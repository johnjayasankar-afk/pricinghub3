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e" sheetId="1" state="visible" r:id="rId1"/>
  </sheets>
  <definedNames>
    <definedName name="JobIDs">Probe!$A$2:$A$4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ID</t>
        </is>
      </c>
      <c r="B1" t="inlineStr">
        <is>
          <t>Amount</t>
        </is>
      </c>
      <c r="C1" t="inlineStr">
        <is>
          <t>Date</t>
        </is>
      </c>
      <c r="D1" t="inlineStr">
        <is>
          <t>Status</t>
        </is>
      </c>
      <c r="E1" t="inlineStr">
        <is>
          <t>Err</t>
        </is>
      </c>
      <c r="G1" t="inlineStr">
        <is>
          <t>Test</t>
        </is>
      </c>
      <c r="H1" t="inlineStr">
        <is>
          <t>Result</t>
        </is>
      </c>
      <c r="I1" t="inlineStr">
        <is>
          <t>Expected</t>
        </is>
      </c>
      <c r="J1" t="inlineStr">
        <is>
          <t>Match</t>
        </is>
      </c>
      <c r="L1" t="inlineStr">
        <is>
          <t>PASSED</t>
        </is>
      </c>
    </row>
    <row r="2">
      <c r="A2" t="inlineStr">
        <is>
          <t>J-1001</t>
        </is>
      </c>
      <c r="B2" t="n">
        <v>100</v>
      </c>
      <c r="C2" s="1" t="n">
        <v>46209</v>
      </c>
      <c r="D2" t="inlineStr">
        <is>
          <t>Open</t>
        </is>
      </c>
      <c r="E2">
        <f>1/0</f>
        <v/>
      </c>
      <c r="G2" t="inlineStr">
        <is>
          <t>SUMIFS</t>
        </is>
      </c>
      <c r="H2">
        <f>SUMIFS(B2:B4,A2:A4,"J-1001")</f>
        <v/>
      </c>
      <c r="I2" t="n">
        <v>150</v>
      </c>
      <c r="J2">
        <f>IF(H2=I2,1,0)</f>
        <v/>
      </c>
      <c r="L2">
        <f>SUM(J2:J21)</f>
        <v/>
      </c>
    </row>
    <row r="3">
      <c r="A3" t="inlineStr">
        <is>
          <t>J-1002</t>
        </is>
      </c>
      <c r="B3" t="n">
        <v>250</v>
      </c>
      <c r="C3" s="1" t="n">
        <v>46249</v>
      </c>
      <c r="D3" t="inlineStr">
        <is>
          <t>Paid</t>
        </is>
      </c>
      <c r="G3" t="inlineStr">
        <is>
          <t>COUNTIFS</t>
        </is>
      </c>
      <c r="H3">
        <f>COUNTIFS(A2:A4,"J-1001",D2:D4,"Open")</f>
        <v/>
      </c>
      <c r="I3" t="n">
        <v>2</v>
      </c>
      <c r="J3">
        <f>IF(H3=I3,1,0)</f>
        <v/>
      </c>
      <c r="L3" t="inlineStr">
        <is>
          <t>VERDICT</t>
        </is>
      </c>
    </row>
    <row r="4">
      <c r="A4" t="inlineStr">
        <is>
          <t>J-1001</t>
        </is>
      </c>
      <c r="B4" t="n">
        <v>50</v>
      </c>
      <c r="C4" s="1" t="n">
        <v>46262</v>
      </c>
      <c r="D4" t="inlineStr">
        <is>
          <t>Open</t>
        </is>
      </c>
      <c r="G4" t="inlineStr">
        <is>
          <t>INDEX/MATCH</t>
        </is>
      </c>
      <c r="H4">
        <f>INDEX(B2:B4,MATCH("J-1002",A2:A4,0))</f>
        <v/>
      </c>
      <c r="I4" t="n">
        <v>250</v>
      </c>
      <c r="J4">
        <f>IF(H4=I4,1,0)</f>
        <v/>
      </c>
      <c r="L4">
        <f>IF(L2=20,"ALL 20 OK","CHECK")</f>
        <v/>
      </c>
    </row>
    <row r="5">
      <c r="G5" t="inlineStr">
        <is>
          <t>IFERROR miss</t>
        </is>
      </c>
      <c r="H5">
        <f>IFERROR(INDEX(B2:B4,MATCH("J-9",A2:A4,0)),"none")</f>
        <v/>
      </c>
      <c r="I5" t="inlineStr">
        <is>
          <t>none</t>
        </is>
      </c>
      <c r="J5">
        <f>IF(H5=I5,1,0)</f>
        <v/>
      </c>
    </row>
    <row r="6">
      <c r="A6" t="inlineStr">
        <is>
          <t>J-1002</t>
        </is>
      </c>
      <c r="G6" t="inlineStr">
        <is>
          <t>VLOOKUP</t>
        </is>
      </c>
      <c r="H6">
        <f>VLOOKUP("J-1002",A2:D4,4,FALSE)</f>
        <v/>
      </c>
      <c r="I6" t="inlineStr">
        <is>
          <t>Paid</t>
        </is>
      </c>
      <c r="J6">
        <f>IF(H6=I6,1,0)</f>
        <v/>
      </c>
    </row>
    <row r="7">
      <c r="G7" t="inlineStr">
        <is>
          <t>WORKDAY skips weekend</t>
        </is>
      </c>
      <c r="H7">
        <f>IF(WORKDAY(DATE(2026,7,9),2)=DATE(2026,7,13),1,0)</f>
        <v/>
      </c>
      <c r="I7" t="n">
        <v>1</v>
      </c>
      <c r="J7">
        <f>IF(H7=I7,1,0)</f>
        <v/>
      </c>
    </row>
    <row r="8">
      <c r="G8" t="inlineStr">
        <is>
          <t>WEEKDAY type 2</t>
        </is>
      </c>
      <c r="H8">
        <f>WEEKDAY(DATE(2026,7,12),2)</f>
        <v/>
      </c>
      <c r="I8" t="n">
        <v>7</v>
      </c>
      <c r="J8">
        <f>IF(H8=I8,1,0)</f>
        <v/>
      </c>
    </row>
    <row r="9">
      <c r="G9" t="inlineStr">
        <is>
          <t>EOMONTH</t>
        </is>
      </c>
      <c r="H9">
        <f>IF(EOMONTH(DATE(2026,2,10),0)=DATE(2026,2,28),1,0)</f>
        <v/>
      </c>
      <c r="I9" t="n">
        <v>1</v>
      </c>
      <c r="J9">
        <f>IF(H9=I9,1,0)</f>
        <v/>
      </c>
    </row>
    <row r="10">
      <c r="G10" t="inlineStr">
        <is>
          <t>TEXT month</t>
        </is>
      </c>
      <c r="H10">
        <f>TEXT(DATE(2026,7,1),"mmm yyyy")</f>
        <v/>
      </c>
      <c r="I10" t="inlineStr">
        <is>
          <t>Jul 2026</t>
        </is>
      </c>
      <c r="J10">
        <f>IF(H10=I10,1,0)</f>
        <v/>
      </c>
    </row>
    <row r="11">
      <c r="G11" t="inlineStr">
        <is>
          <t>TEXT number</t>
        </is>
      </c>
      <c r="H11">
        <f>TEXT(1005,"0")</f>
        <v/>
      </c>
      <c r="I11" t="inlineStr">
        <is>
          <t>1005</t>
        </is>
      </c>
      <c r="J11">
        <f>IF(H11=I11,1,0)</f>
        <v/>
      </c>
    </row>
    <row r="12">
      <c r="G12" t="inlineStr">
        <is>
          <t>SUMPRODUCT ISERROR</t>
        </is>
      </c>
      <c r="H12">
        <f>SUMPRODUCT(--ISERROR(E2:E4))</f>
        <v/>
      </c>
      <c r="I12" t="n">
        <v>1</v>
      </c>
      <c r="J12">
        <f>IF(H12=I12,1,0)</f>
        <v/>
      </c>
    </row>
    <row r="13">
      <c r="G13" t="inlineStr">
        <is>
          <t>SUMIFS date window</t>
        </is>
      </c>
      <c r="H13">
        <f>SUMIFS(B2:B4,C2:C4,"&gt;="&amp;DATE(2026,8,1),C2:C4,"&lt;="&amp;EOMONTH(DATE(2026,8,1),0))</f>
        <v/>
      </c>
      <c r="I13" t="n">
        <v>300</v>
      </c>
      <c r="J13">
        <f>IF(H13=I13,1,0)</f>
        <v/>
      </c>
    </row>
    <row r="14">
      <c r="G14" t="inlineStr">
        <is>
          <t>COUNTIF wildcard</t>
        </is>
      </c>
      <c r="H14">
        <f>COUNTIF(D2:D4,"?*")</f>
        <v/>
      </c>
      <c r="I14" t="n">
        <v>3</v>
      </c>
      <c r="J14">
        <f>IF(H14=I14,1,0)</f>
        <v/>
      </c>
    </row>
    <row r="15">
      <c r="G15" t="inlineStr">
        <is>
          <t>COUNTIF named range</t>
        </is>
      </c>
      <c r="H15">
        <f>COUNTIF(JobIDs,"J-1001")</f>
        <v/>
      </c>
      <c r="I15" t="n">
        <v>2</v>
      </c>
      <c r="J15">
        <f>IF(H15=I15,1,0)</f>
        <v/>
      </c>
    </row>
    <row r="16">
      <c r="G16" t="inlineStr">
        <is>
          <t>MAX AND OR</t>
        </is>
      </c>
      <c r="H16">
        <f>IF(AND(MAX(B2:B4)=250,OR(1=2,2=2)),1,0)</f>
        <v/>
      </c>
      <c r="I16" t="n">
        <v>1</v>
      </c>
      <c r="J16">
        <f>IF(H16=I16,1,0)</f>
        <v/>
      </c>
    </row>
    <row r="17">
      <c r="G17" t="inlineStr">
        <is>
          <t>LEFT ISNUMBER COUNTA</t>
        </is>
      </c>
      <c r="H17">
        <f>IF(AND(LEFT(A2,2)="J-",ISNUMBER(B2),COUNTA(A2:A4)=3),1,0)</f>
        <v/>
      </c>
      <c r="I17" t="n">
        <v>1</v>
      </c>
      <c r="J17">
        <f>IF(H17=I17,1,0)</f>
        <v/>
      </c>
    </row>
    <row r="18">
      <c r="G18" t="inlineStr">
        <is>
          <t>DAY MONTH YEAR</t>
        </is>
      </c>
      <c r="H18">
        <f>DAY(C2)+MONTH(C2)*100+YEAR(C2)*10000</f>
        <v/>
      </c>
      <c r="I18" t="n">
        <v>20260706</v>
      </c>
      <c r="J18">
        <f>IF(H18=I18,1,0)</f>
        <v/>
      </c>
    </row>
    <row r="19">
      <c r="G19" t="inlineStr">
        <is>
          <t>TODAY</t>
        </is>
      </c>
      <c r="H19">
        <f>IF(TODAY()&gt;DATE(2026,1,1),1,0)</f>
        <v/>
      </c>
      <c r="I19" t="n">
        <v>1</v>
      </c>
      <c r="J19">
        <f>IF(H19=I19,1,0)</f>
        <v/>
      </c>
    </row>
    <row r="20">
      <c r="G20" t="inlineStr">
        <is>
          <t>SUMPRODUCT boolean</t>
        </is>
      </c>
      <c r="H20">
        <f>SUMPRODUCT((A2:A4="J-1001")*(B2:B4))</f>
        <v/>
      </c>
      <c r="I20" t="n">
        <v>150</v>
      </c>
      <c r="J20">
        <f>IF(H20=I20,1,0)</f>
        <v/>
      </c>
    </row>
    <row r="21">
      <c r="G21" t="inlineStr">
        <is>
          <t>Gantt window test</t>
        </is>
      </c>
      <c r="H21">
        <f>IF(AND(DATE(2026,7,7)&gt;=C2,DATE(2026,7,7)&lt;=C2+2),1,0)</f>
        <v/>
      </c>
      <c r="I21" t="n">
        <v>1</v>
      </c>
      <c r="J21">
        <f>IF(H21=I21,1,0)</f>
        <v/>
      </c>
    </row>
  </sheetData>
  <conditionalFormatting sqref="B2:B4">
    <cfRule type="expression" priority="1" dxfId="0">
      <formula>B2&gt;100</formula>
    </cfRule>
  </conditionalFormatting>
  <dataValidations count="1">
    <dataValidation sqref="A6" showDropDown="0" showInputMessage="0" showErrorMessage="0" allowBlank="1" type="list">
      <formula1>=JobIDs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2026-09-05T17:46:31Z</dcterms:created>
  <dcterms:modified xsi:type="dcterms:W3CDTF">2026-09-05T17:46:31Z</dcterms:modified>
</cp:coreProperties>
</file>