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[Red]-&quot;$&quot;#,##0.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666666"/>
      <sz val="9"/>
    </font>
    <font>
      <b val="1"/>
    </font>
    <font>
      <color rgb="001F4E9A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1" pivotButton="0" quotePrefix="0" xfId="0"/>
    <xf numFmtId="164" fontId="4" fillId="2" borderId="1" pivotButton="0" quotePrefix="0" xfId="0"/>
    <xf numFmtId="165" fontId="4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2" fontId="0" fillId="0" borderId="1" pivotButton="0" quotePrefix="0" xfId="0"/>
    <xf numFmtId="166" fontId="0" fillId="0" borderId="1" pivotButton="0" quotePrefix="0" xfId="0"/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0" fillId="2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Financial model — Contractor Job Costing Spreadsheet (Etsy primary, Payhip secondary)</t>
        </is>
      </c>
    </row>
    <row r="2">
      <c r="A2" s="2" t="inlineStr">
        <is>
          <t>Blue cells are assumptions. Sources: Etsy fee page (help.etsy.com/hc/en-us/articles/115014483627), Etsy US processing fee 3% + $0.25 (third-party summaries; verify at shop setup), Payhip pricing page. Accessed 2026-09-04.</t>
        </is>
      </c>
    </row>
    <row r="4">
      <c r="A4" s="3" t="inlineStr">
        <is>
          <t>ASSUMPTIONS (per Etsy sale)</t>
        </is>
      </c>
    </row>
    <row r="5">
      <c r="A5" s="4" t="inlineStr">
        <is>
          <t>List price</t>
        </is>
      </c>
      <c r="B5" s="5" t="n">
        <v>29</v>
      </c>
      <c r="C5" s="2" t="inlineStr">
        <is>
          <t>Competitors $9.97–$97 (Gantt+forms tier $47–$97); anchor $29, launch 25% off</t>
        </is>
      </c>
    </row>
    <row r="6">
      <c r="A6" s="4" t="inlineStr">
        <is>
          <t>Typical discount %</t>
        </is>
      </c>
      <c r="B6" s="6" t="n">
        <v>0.25</v>
      </c>
    </row>
    <row r="7">
      <c r="A7" s="4" t="inlineStr">
        <is>
          <t>Realized price</t>
        </is>
      </c>
      <c r="B7" s="7">
        <f>B5*(1-B6)</f>
        <v/>
      </c>
    </row>
    <row r="8">
      <c r="A8" s="4" t="inlineStr">
        <is>
          <t>Etsy transaction fee %</t>
        </is>
      </c>
      <c r="B8" s="6" t="n">
        <v>0.065</v>
      </c>
      <c r="C8" s="2" t="inlineStr">
        <is>
          <t>Official</t>
        </is>
      </c>
    </row>
    <row r="9">
      <c r="A9" s="4" t="inlineStr">
        <is>
          <t>Etsy payment processing % (US)</t>
        </is>
      </c>
      <c r="B9" s="6" t="n">
        <v>0.03</v>
      </c>
      <c r="C9" s="2" t="inlineStr">
        <is>
          <t>Verify at setup</t>
        </is>
      </c>
    </row>
    <row r="10">
      <c r="A10" s="4" t="inlineStr">
        <is>
          <t>Etsy payment processing fixed ($)</t>
        </is>
      </c>
      <c r="B10" s="5" t="n">
        <v>0.25</v>
      </c>
    </row>
    <row r="11">
      <c r="A11" s="4" t="inlineStr">
        <is>
          <t>Etsy auto-renew-on-sale fee ($)</t>
        </is>
      </c>
      <c r="B11" s="5" t="n">
        <v>0.2</v>
      </c>
      <c r="C11" s="2" t="inlineStr">
        <is>
          <t>Official: $0.20 each time a digital listing sells</t>
        </is>
      </c>
    </row>
    <row r="12">
      <c r="A12" s="4" t="inlineStr">
        <is>
          <t>Offsite Ads share of orders</t>
        </is>
      </c>
      <c r="B12" s="6" t="n">
        <v>0.1</v>
      </c>
      <c r="C12" s="2" t="inlineStr">
        <is>
          <t>Mandatory opt-in under $10k/yr; 15% fee only on ad-attributed orders</t>
        </is>
      </c>
    </row>
    <row r="13">
      <c r="A13" s="4" t="inlineStr">
        <is>
          <t>Offsite Ads fee %</t>
        </is>
      </c>
      <c r="B13" s="6" t="n">
        <v>0.15</v>
      </c>
    </row>
    <row r="14">
      <c r="A14" s="4" t="inlineStr">
        <is>
          <t>Refund rate (goodwill refunds on non-returnable item)</t>
        </is>
      </c>
      <c r="B14" s="6" t="n">
        <v>0.03</v>
      </c>
    </row>
    <row r="15">
      <c r="A15" s="4" t="inlineStr">
        <is>
          <t>Fulfillment / AI / hosting cost per sale</t>
        </is>
      </c>
      <c r="B15" s="5" t="n">
        <v>0</v>
      </c>
      <c r="C15" s="2" t="inlineStr">
        <is>
          <t>Etsy hosts and delivers the file</t>
        </is>
      </c>
    </row>
    <row r="16">
      <c r="A16" s="4" t="inlineStr">
        <is>
          <t>Net contribution per Etsy sale</t>
        </is>
      </c>
      <c r="B16" s="7">
        <f>B7*(1-B8-B9-B12*B13)-B10-B11-B15-B14*B7</f>
        <v/>
      </c>
    </row>
    <row r="17">
      <c r="A17" s="4" t="inlineStr">
        <is>
          <t>Contribution margin</t>
        </is>
      </c>
      <c r="B17" s="8">
        <f>B16/B7</f>
        <v/>
      </c>
    </row>
    <row r="18">
      <c r="A18" s="4" t="n"/>
      <c r="B18" s="4" t="n"/>
    </row>
    <row r="19">
      <c r="A19" s="9" t="inlineStr">
        <is>
          <t>ASSUMPTIONS (per Payhip sale, direct link)</t>
        </is>
      </c>
      <c r="B19" s="4" t="n"/>
    </row>
    <row r="20">
      <c r="A20" s="4" t="inlineStr">
        <is>
          <t>Realized price</t>
        </is>
      </c>
      <c r="B20" s="7">
        <f>B7</f>
        <v/>
      </c>
    </row>
    <row r="21">
      <c r="A21" s="4" t="inlineStr">
        <is>
          <t>Payhip fee %</t>
        </is>
      </c>
      <c r="B21" s="6" t="n">
        <v>0.05</v>
      </c>
      <c r="C21" s="2" t="inlineStr">
        <is>
          <t>Free plan</t>
        </is>
      </c>
    </row>
    <row r="22">
      <c r="A22" s="4" t="inlineStr">
        <is>
          <t>PayPal fee % / fixed</t>
        </is>
      </c>
      <c r="B22" s="6" t="n">
        <v>0.0349</v>
      </c>
      <c r="C22" s="2" t="inlineStr">
        <is>
          <t>PayPal US commercial rate; verify</t>
        </is>
      </c>
    </row>
    <row r="23">
      <c r="A23" s="4" t="inlineStr">
        <is>
          <t>PayPal fixed ($)</t>
        </is>
      </c>
      <c r="B23" s="5" t="n">
        <v>0.49</v>
      </c>
    </row>
    <row r="24">
      <c r="A24" s="4" t="inlineStr">
        <is>
          <t>Net contribution per Payhip sale</t>
        </is>
      </c>
      <c r="B24" s="7">
        <f>B20*(1-B21-B22)-B23-B14*B20</f>
        <v/>
      </c>
    </row>
    <row r="25">
      <c r="A25" s="4" t="n"/>
      <c r="B25" s="4" t="n"/>
    </row>
    <row r="26">
      <c r="A26" s="9" t="inlineStr">
        <is>
          <t>FIXED / ONE-TIME COSTS</t>
        </is>
      </c>
      <c r="B26" s="4" t="n"/>
    </row>
    <row r="27">
      <c r="A27" s="4" t="inlineStr">
        <is>
          <t>Etsy shop set-up fee (one-time, owner approval)</t>
        </is>
      </c>
      <c r="B27" s="5" t="n">
        <v>29</v>
      </c>
      <c r="C27" s="2" t="inlineStr">
        <is>
          <t>Etsy says 'varies by location'; third parties report $15–$29 US</t>
        </is>
      </c>
    </row>
    <row r="28">
      <c r="A28" s="4" t="inlineStr">
        <is>
          <t>Etsy listing fees (2 listings × $0.20)</t>
        </is>
      </c>
      <c r="B28" s="5" t="n">
        <v>0.4</v>
      </c>
    </row>
    <row r="29">
      <c r="A29" s="4" t="inlineStr">
        <is>
          <t>Listing renewals per month if unsold (2 × $0.20 / 4 months)</t>
        </is>
      </c>
      <c r="B29" s="7">
        <f>0.40/4</f>
        <v/>
      </c>
    </row>
    <row r="30">
      <c r="A30" s="4" t="inlineStr">
        <is>
          <t>Payhip monthly plan</t>
        </is>
      </c>
      <c r="B30" s="5" t="n">
        <v>0</v>
      </c>
    </row>
    <row r="31">
      <c r="A31" s="4" t="inlineStr">
        <is>
          <t>Fixed monthly expenses</t>
        </is>
      </c>
      <c r="B31" s="7">
        <f>B29+B30</f>
        <v/>
      </c>
    </row>
    <row r="32">
      <c r="A32" s="4" t="inlineStr">
        <is>
          <t>Break-even sales per month (fixed / contribution)</t>
        </is>
      </c>
      <c r="B32" s="10">
        <f>IF(B16&lt;=0,"n/a",B31/B16)</f>
        <v/>
      </c>
    </row>
    <row r="33">
      <c r="A33" s="4" t="inlineStr">
        <is>
          <t>Sales to recover one-time setup</t>
        </is>
      </c>
      <c r="B33" s="11">
        <f>IF(B16&lt;=0,"n/a",(B27+B28)/B16)</f>
        <v/>
      </c>
    </row>
    <row r="35">
      <c r="A35" s="3" t="inlineStr">
        <is>
          <t>SCENARIOS (month 1–3 average)</t>
        </is>
      </c>
    </row>
    <row r="36">
      <c r="A36" s="12" t="inlineStr">
        <is>
          <t>Metric</t>
        </is>
      </c>
      <c r="B36" s="13" t="inlineStr">
        <is>
          <t>Zero sales</t>
        </is>
      </c>
      <c r="C36" s="13" t="inlineStr">
        <is>
          <t>Conservative</t>
        </is>
      </c>
      <c r="D36" s="13" t="inlineStr">
        <is>
          <t>Base</t>
        </is>
      </c>
      <c r="E36" s="13" t="inlineStr">
        <is>
          <t>Optimistic</t>
        </is>
      </c>
    </row>
    <row r="37">
      <c r="A37" t="inlineStr">
        <is>
          <t>Etsy sales / month</t>
        </is>
      </c>
      <c r="B37" s="14" t="n">
        <v>0</v>
      </c>
      <c r="C37" s="14" t="n">
        <v>2</v>
      </c>
      <c r="D37" s="14" t="n">
        <v>6</v>
      </c>
      <c r="E37" s="14" t="n">
        <v>15</v>
      </c>
    </row>
    <row r="38">
      <c r="A38" t="inlineStr">
        <is>
          <t>Payhip sales / month</t>
        </is>
      </c>
      <c r="B38" s="14" t="n">
        <v>0</v>
      </c>
      <c r="C38" s="14" t="n">
        <v>0</v>
      </c>
      <c r="D38" s="14" t="n">
        <v>1</v>
      </c>
      <c r="E38" s="14" t="n">
        <v>3</v>
      </c>
    </row>
    <row r="39">
      <c r="A39" t="inlineStr">
        <is>
          <t>Revenue / month</t>
        </is>
      </c>
      <c r="B39" s="15">
        <f>B37*$B$7+B38*$B$20</f>
        <v/>
      </c>
      <c r="C39" s="15">
        <f>C37*$B$7+C38*$B$20</f>
        <v/>
      </c>
      <c r="D39" s="15">
        <f>D37*$B$7+D38*$B$20</f>
        <v/>
      </c>
      <c r="E39" s="15">
        <f>E37*$B$7+E38*$B$20</f>
        <v/>
      </c>
    </row>
    <row r="40">
      <c r="A40" t="inlineStr">
        <is>
          <t>Contribution / month</t>
        </is>
      </c>
      <c r="B40" s="15">
        <f>B37*$B$16+B38*$B$24</f>
        <v/>
      </c>
      <c r="C40" s="15">
        <f>C37*$B$16+C38*$B$24</f>
        <v/>
      </c>
      <c r="D40" s="15">
        <f>D37*$B$16+D38*$B$24</f>
        <v/>
      </c>
      <c r="E40" s="15">
        <f>E37*$B$16+E38*$B$24</f>
        <v/>
      </c>
    </row>
    <row r="41">
      <c r="A41" t="inlineStr">
        <is>
          <t>Fixed monthly</t>
        </is>
      </c>
      <c r="B41" s="15">
        <f>$B$31</f>
        <v/>
      </c>
      <c r="C41" s="15">
        <f>$B$31</f>
        <v/>
      </c>
      <c r="D41" s="15">
        <f>$B$31</f>
        <v/>
      </c>
      <c r="E41" s="15">
        <f>$B$31</f>
        <v/>
      </c>
    </row>
    <row r="42">
      <c r="A42" t="inlineStr">
        <is>
          <t>Net profit / month</t>
        </is>
      </c>
      <c r="B42" s="15">
        <f>B40-B41</f>
        <v/>
      </c>
      <c r="C42" s="15">
        <f>C40-C41</f>
        <v/>
      </c>
      <c r="D42" s="15">
        <f>D40-D41</f>
        <v/>
      </c>
      <c r="E42" s="15">
        <f>E40-E41</f>
        <v/>
      </c>
    </row>
    <row r="43">
      <c r="A43" t="inlineStr">
        <is>
          <t>Cumulative net after 3 months (incl. setup)</t>
        </is>
      </c>
      <c r="B43" s="15">
        <f>3*B42-$B$27-$B$28</f>
        <v/>
      </c>
      <c r="C43" s="15">
        <f>3*C42-$B$27-$B$28</f>
        <v/>
      </c>
      <c r="D43" s="15">
        <f>3*D42-$B$27-$B$28</f>
        <v/>
      </c>
      <c r="E43" s="15">
        <f>3*E42-$B$27-$B$28</f>
        <v/>
      </c>
    </row>
    <row r="44">
      <c r="A44" t="inlineStr">
        <is>
          <t>Cash actually in bank by day 45</t>
        </is>
      </c>
      <c r="B44" s="15">
        <f>(B37*$B$16)*0.5+B38*$B$24*1.5</f>
        <v/>
      </c>
      <c r="C44" s="15">
        <f>(C37*$B$16)*0.5+C38*$B$24*1.5</f>
        <v/>
      </c>
      <c r="D44" s="15">
        <f>(D37*$B$16)*0.5+D38*$B$24*1.5</f>
        <v/>
      </c>
      <c r="E44" s="15">
        <f>(E37*$B$16)*0.5+E38*$B$24*1.5</f>
        <v/>
      </c>
      <c r="F44" s="2" t="inlineStr">
        <is>
          <t>Etsy: only sales older than 14 days deposited; assumes half of month-1 Etsy sales cleared by day 45. Payhip: instant.</t>
        </is>
      </c>
    </row>
    <row r="46">
      <c r="A46" s="3" t="inlineStr">
        <is>
          <t>CASH TIMING</t>
        </is>
      </c>
    </row>
    <row r="47">
      <c r="A47" t="inlineStr">
        <is>
          <t>Etsy: sale → eligible for deposit</t>
        </is>
      </c>
      <c r="B47" t="inlineStr">
        <is>
          <t>14 days (new seller)</t>
        </is>
      </c>
      <c r="C47" s="2" t="inlineStr">
        <is>
          <t>help.etsy.com deposit article</t>
        </is>
      </c>
    </row>
    <row r="48">
      <c r="A48" t="inlineStr">
        <is>
          <t>Etsy: deposit schedule</t>
        </is>
      </c>
      <c r="B48" t="inlineStr">
        <is>
          <t>Weekly, Monday (default)</t>
        </is>
      </c>
    </row>
    <row r="49">
      <c r="A49" t="inlineStr">
        <is>
          <t>Etsy: bank-detail change hold</t>
        </is>
      </c>
      <c r="B49" t="inlineStr">
        <is>
          <t>5 days</t>
        </is>
      </c>
    </row>
    <row r="50">
      <c r="A50" t="inlineStr">
        <is>
          <t>Payhip: sale → PayPal balance</t>
        </is>
      </c>
      <c r="B50" t="inlineStr">
        <is>
          <t>Instant</t>
        </is>
      </c>
    </row>
    <row r="51">
      <c r="A51" t="inlineStr">
        <is>
          <t>PayPal → bank</t>
        </is>
      </c>
      <c r="B51" t="inlineStr">
        <is>
          <t>1–3 business days (standard transfer)</t>
        </is>
      </c>
    </row>
    <row r="53">
      <c r="A53" s="3" t="inlineStr">
        <is>
          <t>NOTES</t>
        </is>
      </c>
    </row>
    <row r="54" ht="45" customHeight="1">
      <c r="A54" s="16" t="inlineStr">
        <is>
          <t>Revenue ≠ profit ≠ cash. Personal income tax is not modeled (jurisdiction-specific). Sales tax on digital goods is collected and remitted by Etsy as marketplace facilitator; Payhip sales may require the seller to handle sales tax in some states.</t>
        </is>
      </c>
    </row>
    <row r="55" ht="30" customHeight="1">
      <c r="A55" s="16" t="inlineStr">
        <is>
          <t>A single abusive buyer costs at most one refund (~$18). No usage-based costs exist, so growth cannot erase margin.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2026-09-05T03:11:19Z</dcterms:created>
  <dcterms:modified xsi:type="dcterms:W3CDTF">2026-09-05T03:11:19Z</dcterms:modified>
</cp:coreProperties>
</file>