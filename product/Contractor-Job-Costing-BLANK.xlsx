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ettings" sheetId="3" state="visible" r:id="rId3"/>
    <sheet name="Clients" sheetId="4" state="visible" r:id="rId4"/>
    <sheet name="Vendors &amp; Crew" sheetId="5" state="visible" r:id="rId5"/>
    <sheet name="Cost Library" sheetId="6" state="visible" r:id="rId6"/>
    <sheet name="Jobs" sheetId="7" state="visible" r:id="rId7"/>
    <sheet name="Estimate" sheetId="8" state="visible" r:id="rId8"/>
    <sheet name="Proposal" sheetId="9" state="visible" r:id="rId9"/>
    <sheet name="Schedule" sheetId="10" state="visible" r:id="rId10"/>
    <sheet name="Timesheet" sheetId="11" state="visible" r:id="rId11"/>
    <sheet name="Job Costs" sheetId="12" state="visible" r:id="rId12"/>
    <sheet name="Mileage" sheetId="13" state="visible" r:id="rId13"/>
    <sheet name="Daily Log" sheetId="14" state="visible" r:id="rId14"/>
    <sheet name="Change Orders" sheetId="15" state="visible" r:id="rId15"/>
    <sheet name="CO Form" sheetId="16" state="visible" r:id="rId16"/>
    <sheet name="Invoices" sheetId="17" state="visible" r:id="rId17"/>
    <sheet name="Invoice Print" sheetId="18" state="visible" r:id="rId18"/>
    <sheet name="Payments" sheetId="19" state="visible" r:id="rId19"/>
    <sheet name="Client Statement" sheetId="20" state="visible" r:id="rId20"/>
    <sheet name="Job Profit Report" sheetId="21" state="visible" r:id="rId21"/>
    <sheet name="Reports" sheetId="22" state="visible" r:id="rId22"/>
    <sheet name="Tax Summary" sheetId="23" state="visible" r:id="rId23"/>
    <sheet name="Health Check" sheetId="24" state="visible" r:id="rId24"/>
  </sheets>
  <definedNames>
    <definedName name="JobIDs">Jobs!$A$5:$A$44</definedName>
    <definedName name="ClientNames">Clients!$A$5:$A$104</definedName>
    <definedName name="CostCodes">Settings!$E$5:$E$28</definedName>
    <definedName name="CrewNames">'Vendors &amp; Crew'!$A$5:$A$34</definedName>
    <definedName name="VendorNames">'Vendors &amp; Crew'!$A$41:$A$140</definedName>
    <definedName name="InvoiceNumbers">Invoices!$A$5:$A$204</definedName>
    <definedName name="LibraryItems">'Cost Library'!$A$5:$A$204</definedName>
    <definedName name="MarkupTable">Settings!$A$22:$B$27</definedName>
    <definedName name="_xlnm.Print_Area" localSheetId="0">'Start Here'!$A$1:$I$65</definedName>
    <definedName name="_xlnm.Print_Area" localSheetId="1">'Dashboard'!$A$1:$L$97</definedName>
    <definedName name="_xlnm.Print_Titles" localSheetId="3">'Clients'!$4:$4</definedName>
    <definedName name="_xlnm.Print_Titles" localSheetId="5">'Cost Library'!$4:$4</definedName>
    <definedName name="_xlnm.Print_Titles" localSheetId="6">'Jobs'!$4:$4</definedName>
    <definedName name="_xlnm.Print_Titles" localSheetId="7">'Estimate'!$4:$4</definedName>
    <definedName name="_xlnm.Print_Area" localSheetId="8">'Proposal'!$A$1:$F$79</definedName>
    <definedName name="_xlnm.Print_Titles" localSheetId="9">'Schedule'!$3:$4</definedName>
    <definedName name="_xlnm.Print_Titles" localSheetId="10">'Timesheet'!$4:$4</definedName>
    <definedName name="_xlnm.Print_Titles" localSheetId="11">'Job Costs'!$4:$4</definedName>
    <definedName name="_xlnm.Print_Titles" localSheetId="12">'Mileage'!$4:$4</definedName>
    <definedName name="_xlnm.Print_Titles" localSheetId="13">'Daily Log'!$4:$4</definedName>
    <definedName name="_xlnm.Print_Titles" localSheetId="14">'Change Orders'!$4:$4</definedName>
    <definedName name="_xlnm.Print_Area" localSheetId="15">'CO Form'!$A$1:$F$24</definedName>
    <definedName name="_xlnm.Print_Titles" localSheetId="16">'Invoices'!$4:$4</definedName>
    <definedName name="_xlnm.Print_Area" localSheetId="17">'Invoice Print'!$A$1:$F$35</definedName>
    <definedName name="_xlnm.Print_Titles" localSheetId="18">'Payments'!$4:$4</definedName>
    <definedName name="_xlnm.Print_Area" localSheetId="19">'Client Statement'!$A$1:$I$52</definedName>
    <definedName name="_xlnm.Print_Area" localSheetId="20">'Job Profit Report'!$A$1:$I$53</definedName>
  </definedNames>
  <calcPr calcId="124519" fullCalcOnLoad="1"/>
</workbook>
</file>

<file path=xl/styles.xml><?xml version="1.0" encoding="utf-8"?>
<styleSheet xmlns="http://schemas.openxmlformats.org/spreadsheetml/2006/main">
  <numFmts count="7">
    <numFmt numFmtId="164" formatCode="0.0%"/>
    <numFmt numFmtId="165" formatCode="&quot;$&quot;#,##0.00;[Red]-&quot;$&quot;#,##0.00"/>
    <numFmt numFmtId="166" formatCode="#,##0.0"/>
    <numFmt numFmtId="167" formatCode="yyyy-mm-dd"/>
    <numFmt numFmtId="168" formatCode="d"/>
    <numFmt numFmtId="169" formatCode="mmm yyyy"/>
    <numFmt numFmtId="170" formatCode="&quot;$&quot;#,##0;[Red]-&quot;$&quot;#,##0"/>
  </numFmts>
  <fonts count="22">
    <font>
      <name val="Calibri"/>
      <family val="2"/>
      <color theme="1"/>
      <sz val="11"/>
      <scheme val="minor"/>
    </font>
    <font>
      <b val="1"/>
      <color rgb="001F3A5F"/>
      <sz val="16"/>
    </font>
    <font>
      <i val="1"/>
      <color rgb="00666666"/>
      <sz val="9"/>
    </font>
    <font>
      <b val="1"/>
      <color rgb="00FFFFFF"/>
    </font>
    <font>
      <color rgb="001F4E9A"/>
    </font>
    <font>
      <b val="1"/>
      <color rgb="001F3A5F"/>
      <sz val="12"/>
    </font>
    <font>
      <b val="1"/>
    </font>
    <font>
      <b val="1"/>
      <color rgb="001F3A5F"/>
      <sz val="22"/>
    </font>
    <font>
      <b val="1"/>
      <color rgb="002A7F8E"/>
    </font>
    <font>
      <b val="1"/>
      <color rgb="00C00000"/>
    </font>
    <font>
      <color rgb="00FFFFFF"/>
      <sz val="9"/>
    </font>
    <font>
      <sz val="9"/>
    </font>
    <font>
      <b val="1"/>
      <color rgb="001F3A5F"/>
      <sz val="8"/>
    </font>
    <font>
      <color rgb="00FFFFFF"/>
      <sz val="8"/>
    </font>
    <font>
      <sz val="8"/>
    </font>
    <font>
      <b val="1"/>
      <color rgb="001E7B34"/>
    </font>
    <font>
      <b val="1"/>
      <color rgb="001F3A5F"/>
      <sz val="14"/>
    </font>
    <font>
      <b val="1"/>
      <color rgb="002A7F8E"/>
      <sz val="9"/>
    </font>
    <font>
      <b val="1"/>
      <color rgb="00FFFFFF"/>
      <sz val="20"/>
    </font>
    <font>
      <b val="1"/>
      <color rgb="00FFFFFF"/>
      <sz val="9"/>
    </font>
    <font>
      <b val="1"/>
      <color rgb="00FFFFFF"/>
      <sz val="10"/>
    </font>
    <font>
      <color rgb="001F4E9A"/>
      <u val="single"/>
    </font>
  </fonts>
  <fills count="14">
    <fill>
      <patternFill/>
    </fill>
    <fill>
      <patternFill patternType="gray125"/>
    </fill>
    <fill>
      <patternFill patternType="solid">
        <fgColor rgb="001F3A5F"/>
      </patternFill>
    </fill>
    <fill>
      <patternFill patternType="solid">
        <fgColor rgb="00EAF3FF"/>
      </patternFill>
    </fill>
    <fill>
      <patternFill patternType="solid">
        <fgColor rgb="00F2F2F2"/>
      </patternFill>
    </fill>
    <fill>
      <patternFill patternType="solid">
        <fgColor rgb="005B9BD5"/>
        <bgColor rgb="005B9BD5"/>
      </patternFill>
    </fill>
    <fill>
      <patternFill patternType="solid">
        <fgColor rgb="001F3A5F"/>
        <bgColor rgb="001F3A5F"/>
      </patternFill>
    </fill>
    <fill>
      <patternFill patternType="solid">
        <fgColor rgb="00FFE699"/>
        <bgColor rgb="00FFE699"/>
      </patternFill>
    </fill>
    <fill>
      <patternFill patternType="solid">
        <fgColor rgb="00EDEDED"/>
        <bgColor rgb="00EDEDED"/>
      </patternFill>
    </fill>
    <fill>
      <patternFill patternType="solid">
        <fgColor rgb="00EEF6F7"/>
      </patternFill>
    </fill>
    <fill>
      <patternFill patternType="solid">
        <fgColor rgb="002A7F8E"/>
      </patternFill>
    </fill>
    <fill>
      <patternFill patternType="solid">
        <fgColor rgb="007F7F7F"/>
      </patternFill>
    </fill>
    <fill>
      <patternFill patternType="solid">
        <fgColor rgb="004A86C8"/>
      </patternFill>
    </fill>
    <fill>
      <patternFill patternType="solid">
        <fgColor rgb="003A9D5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hair">
        <color rgb="00DDDDDD"/>
      </left>
      <right style="hair">
        <color rgb="00DDDDDD"/>
      </right>
    </border>
  </borders>
  <cellStyleXfs count="1">
    <xf numFmtId="0" fontId="0" fillId="0" borderId="0"/>
  </cellStyleXfs>
  <cellXfs count="77">
    <xf numFmtId="0" fontId="0" fillId="0" borderId="0" pivotButton="0" quotePrefix="0" xfId="0"/>
    <xf numFmtId="0" fontId="18" fillId="2" borderId="0" applyAlignment="1" pivotButton="0" quotePrefix="0" xfId="0">
      <alignment vertical="center" indent="1"/>
    </xf>
    <xf numFmtId="0" fontId="2" fillId="0" borderId="0" applyAlignment="1" pivotButton="0" quotePrefix="0" xfId="0">
      <alignment indent="1"/>
    </xf>
    <xf numFmtId="0" fontId="5" fillId="0" borderId="0" pivotButton="0" quotePrefix="0" xfId="0"/>
    <xf numFmtId="0" fontId="19" fillId="2" borderId="0" applyAlignment="1" pivotButton="0" quotePrefix="0" xfId="0">
      <alignment horizontal="center" vertical="center" wrapText="1"/>
    </xf>
    <xf numFmtId="0" fontId="19" fillId="10" borderId="0" applyAlignment="1" pivotButton="0" quotePrefix="0" xfId="0">
      <alignment horizontal="center" vertical="center" wrapText="1"/>
    </xf>
    <xf numFmtId="0" fontId="2" fillId="0" borderId="0" applyAlignment="1" pivotButton="0" quotePrefix="0" xfId="0">
      <alignment horizontal="center"/>
    </xf>
    <xf numFmtId="0" fontId="20" fillId="11" borderId="0" pivotButton="0" quotePrefix="0" xfId="0"/>
    <xf numFmtId="0" fontId="21" fillId="0" borderId="1" pivotButton="0" quotePrefix="0" xfId="0"/>
    <xf numFmtId="0" fontId="0" fillId="0" borderId="1" pivotButton="0" quotePrefix="0" xfId="0"/>
    <xf numFmtId="0" fontId="20" fillId="12" borderId="0" pivotButton="0" quotePrefix="0" xfId="0"/>
    <xf numFmtId="0" fontId="20" fillId="13"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2" fillId="0" borderId="0" applyAlignment="1" pivotButton="0" quotePrefix="0" xfId="0">
      <alignment horizontal="right"/>
    </xf>
    <xf numFmtId="167" fontId="6" fillId="0" borderId="0" pivotButton="0" quotePrefix="0" xfId="0"/>
    <xf numFmtId="0" fontId="2" fillId="9" borderId="0" pivotButton="0" quotePrefix="0" xfId="0"/>
    <xf numFmtId="0" fontId="0" fillId="9" borderId="0" pivotButton="0" quotePrefix="0" xfId="0"/>
    <xf numFmtId="170" fontId="16" fillId="9" borderId="0" pivotButton="0" quotePrefix="0" xfId="0"/>
    <xf numFmtId="164" fontId="16" fillId="9" borderId="0" pivotButton="0" quotePrefix="0" xfId="0"/>
    <xf numFmtId="1" fontId="16" fillId="9" borderId="0" pivotButton="0" quotePrefix="0" xfId="0"/>
    <xf numFmtId="166" fontId="16" fillId="9" borderId="0" pivotButton="0" quotePrefix="0" xfId="0"/>
    <xf numFmtId="0" fontId="17" fillId="0" borderId="0" pivotButton="0" quotePrefix="0" xfId="0"/>
    <xf numFmtId="0" fontId="3" fillId="2" borderId="1" applyAlignment="1" pivotButton="0" quotePrefix="0" xfId="0">
      <alignment horizontal="center" vertical="center" wrapText="1"/>
    </xf>
    <xf numFmtId="170" fontId="0" fillId="0" borderId="1" pivotButton="0" quotePrefix="0" xfId="0"/>
    <xf numFmtId="164" fontId="0" fillId="0" borderId="1" pivotButton="0" quotePrefix="0" xfId="0"/>
    <xf numFmtId="1" fontId="0" fillId="0" borderId="1" pivotButton="0" quotePrefix="0" xfId="0"/>
    <xf numFmtId="166" fontId="0" fillId="0" borderId="1" pivotButton="0" quotePrefix="0" xfId="0"/>
    <xf numFmtId="0" fontId="6" fillId="0" borderId="0" applyAlignment="1" pivotButton="0" quotePrefix="0" xfId="0">
      <alignment horizontal="right"/>
    </xf>
    <xf numFmtId="169" fontId="0" fillId="0" borderId="1" pivotButton="0" quotePrefix="0" xfId="0"/>
    <xf numFmtId="0" fontId="6" fillId="4" borderId="1" pivotButton="0" quotePrefix="0" xfId="0"/>
    <xf numFmtId="170" fontId="6" fillId="4" borderId="1" pivotButton="0" quotePrefix="0" xfId="0"/>
    <xf numFmtId="166" fontId="6" fillId="4" borderId="1" pivotButton="0" quotePrefix="0" xfId="0"/>
    <xf numFmtId="0" fontId="3" fillId="2" borderId="1" pivotButton="0" quotePrefix="0" xfId="0"/>
    <xf numFmtId="0" fontId="4" fillId="3" borderId="1" applyProtection="1" pivotButton="0" quotePrefix="0" xfId="0">
      <protection locked="0" hidden="0"/>
    </xf>
    <xf numFmtId="164" fontId="4" fillId="3" borderId="1" applyProtection="1" pivotButton="0" quotePrefix="0" xfId="0">
      <protection locked="0" hidden="0"/>
    </xf>
    <xf numFmtId="165" fontId="4" fillId="3" borderId="1" applyProtection="1" pivotButton="0" quotePrefix="0" xfId="0">
      <protection locked="0" hidden="0"/>
    </xf>
    <xf numFmtId="0" fontId="4" fillId="3" borderId="1" applyAlignment="1" applyProtection="1" pivotButton="0" quotePrefix="0" xfId="0">
      <alignment vertical="top" wrapText="1"/>
      <protection locked="0" hidden="0"/>
    </xf>
    <xf numFmtId="165" fontId="0" fillId="0" borderId="1" pivotButton="0" quotePrefix="0" xfId="0"/>
    <xf numFmtId="167" fontId="4" fillId="3" borderId="1" applyProtection="1" pivotButton="0" quotePrefix="0" xfId="0">
      <protection locked="0" hidden="0"/>
    </xf>
    <xf numFmtId="165" fontId="6" fillId="4" borderId="1" pivotButton="0" quotePrefix="0" xfId="0"/>
    <xf numFmtId="164" fontId="6" fillId="4" borderId="1" pivotButton="0" quotePrefix="0" xfId="0"/>
    <xf numFmtId="0" fontId="7" fillId="0" borderId="0" pivotButton="0" quotePrefix="0" xfId="0"/>
    <xf numFmtId="0" fontId="6" fillId="0" borderId="0" pivotButton="0" quotePrefix="0" xfId="0"/>
    <xf numFmtId="0" fontId="8" fillId="0" borderId="0" pivotButton="0" quotePrefix="0" xfId="0"/>
    <xf numFmtId="0" fontId="9" fillId="0" borderId="0" pivotButton="0" quotePrefix="0" xfId="0"/>
    <xf numFmtId="167" fontId="0" fillId="0" borderId="0" pivotButton="0" quotePrefix="0" xfId="0"/>
    <xf numFmtId="0" fontId="0" fillId="0" borderId="4" pivotButton="0" quotePrefix="0" xfId="0"/>
    <xf numFmtId="0" fontId="0" fillId="0" borderId="5" pivotButton="0" quotePrefix="0" xfId="0"/>
    <xf numFmtId="165" fontId="0" fillId="0" borderId="0" pivotButton="0" quotePrefix="0" xfId="0"/>
    <xf numFmtId="164" fontId="0" fillId="0" borderId="0" pivotButton="0" quotePrefix="0" xfId="0"/>
    <xf numFmtId="0" fontId="10" fillId="5" borderId="0" pivotButton="0" quotePrefix="0" xfId="0"/>
    <xf numFmtId="0" fontId="10" fillId="6" borderId="0" pivotButton="0" quotePrefix="0" xfId="0"/>
    <xf numFmtId="0" fontId="11" fillId="7" borderId="0" pivotButton="0" quotePrefix="0" xfId="0"/>
    <xf numFmtId="0" fontId="11" fillId="8" borderId="0" pivotButton="0" quotePrefix="0" xfId="0"/>
    <xf numFmtId="0" fontId="12" fillId="0" borderId="0" pivotButton="0" quotePrefix="0" xfId="0"/>
    <xf numFmtId="168" fontId="14" fillId="0" borderId="0" applyAlignment="1" pivotButton="0" quotePrefix="0" xfId="0">
      <alignment horizontal="center"/>
    </xf>
    <xf numFmtId="0" fontId="13" fillId="2" borderId="0" applyAlignment="1" pivotButton="0" quotePrefix="0" xfId="0">
      <alignment horizontal="center"/>
    </xf>
    <xf numFmtId="167" fontId="0" fillId="0" borderId="1" pivotButton="0" quotePrefix="0" xfId="0"/>
    <xf numFmtId="0" fontId="0" fillId="0" borderId="6" pivotButton="0" quotePrefix="0" xfId="0"/>
    <xf numFmtId="166" fontId="4" fillId="3" borderId="1" applyProtection="1" pivotButton="0" quotePrefix="0" xfId="0">
      <protection locked="0" hidden="0"/>
    </xf>
    <xf numFmtId="167" fontId="4" fillId="3" borderId="1" applyAlignment="1" applyProtection="1" pivotButton="0" quotePrefix="0" xfId="0">
      <alignment vertical="top" wrapText="1"/>
      <protection locked="0" hidden="0"/>
    </xf>
    <xf numFmtId="166" fontId="0" fillId="0" borderId="1" applyAlignment="1" pivotButton="0" quotePrefix="0" xfId="0">
      <alignment vertical="top"/>
    </xf>
    <xf numFmtId="0" fontId="0" fillId="0" borderId="1" applyAlignment="1" pivotButton="0" quotePrefix="0" xfId="0">
      <alignment vertical="top"/>
    </xf>
    <xf numFmtId="0" fontId="4" fillId="3" borderId="1" applyAlignment="1" applyProtection="1" pivotButton="0" quotePrefix="0" xfId="0">
      <alignment horizontal="left"/>
      <protection locked="0" hidden="0"/>
    </xf>
    <xf numFmtId="0" fontId="6" fillId="0" borderId="1" applyAlignment="1" pivotButton="0" quotePrefix="0" xfId="0">
      <alignment vertical="top"/>
    </xf>
    <xf numFmtId="0" fontId="0" fillId="0" borderId="1" applyAlignment="1" pivotButton="0" quotePrefix="0" xfId="0">
      <alignment vertical="top" wrapText="1"/>
    </xf>
    <xf numFmtId="167" fontId="0" fillId="0" borderId="1" applyAlignment="1" pivotButton="0" quotePrefix="0" xfId="0">
      <alignment vertical="top" wrapText="1"/>
    </xf>
    <xf numFmtId="165" fontId="0" fillId="0" borderId="1" applyAlignment="1" pivotButton="0" quotePrefix="0" xfId="0">
      <alignment vertical="top" wrapText="1"/>
    </xf>
    <xf numFmtId="0" fontId="6" fillId="4" borderId="1" applyAlignment="1" pivotButton="0" quotePrefix="0" xfId="0">
      <alignment vertical="top"/>
    </xf>
    <xf numFmtId="165" fontId="6" fillId="4" borderId="1" applyAlignment="1" pivotButton="0" quotePrefix="0" xfId="0">
      <alignment vertical="top" wrapText="1"/>
    </xf>
    <xf numFmtId="0" fontId="6" fillId="0" borderId="1" pivotButton="0" quotePrefix="0" xfId="0"/>
    <xf numFmtId="0" fontId="15" fillId="0" borderId="0" pivotButton="0" quotePrefix="0" xfId="0"/>
    <xf numFmtId="1" fontId="0" fillId="0" borderId="0" pivotButton="0" quotePrefix="0" xfId="0"/>
    <xf numFmtId="166" fontId="0" fillId="0" borderId="0" pivotButton="0" quotePrefix="0" xfId="0"/>
    <xf numFmtId="165" fontId="6" fillId="0" borderId="1" pivotButton="0" quotePrefix="0" xfId="0"/>
  </cellXfs>
  <cellStyles count="1">
    <cellStyle name="Normal" xfId="0" builtinId="0" hidden="0"/>
  </cellStyles>
  <dxfs count="7">
    <dxf>
      <fill>
        <patternFill patternType="solid">
          <fgColor rgb="00FFF3CD"/>
          <bgColor rgb="00FFF3CD"/>
        </patternFill>
      </fill>
    </dxf>
    <dxf>
      <fill>
        <patternFill patternType="solid">
          <fgColor rgb="00F8D7DA"/>
          <bgColor rgb="00F8D7DA"/>
        </patternFill>
      </fill>
    </dxf>
    <dxf>
      <fill>
        <patternFill patternType="solid">
          <fgColor rgb="00D4EDDA"/>
          <bgColor rgb="00D4EDDA"/>
        </patternFill>
      </fill>
    </dxf>
    <dxf>
      <fill>
        <patternFill patternType="solid">
          <fgColor rgb="001F3A5F"/>
          <bgColor rgb="001F3A5F"/>
        </patternFill>
      </fill>
    </dxf>
    <dxf>
      <fill>
        <patternFill patternType="solid">
          <fgColor rgb="005B9BD5"/>
          <bgColor rgb="005B9BD5"/>
        </patternFill>
      </fill>
    </dxf>
    <dxf>
      <fill>
        <patternFill patternType="solid">
          <fgColor rgb="00FFE699"/>
          <bgColor rgb="00FFE699"/>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style val="10"/>
  <chart>
    <title>
      <tx>
        <rich>
          <a:bodyPr/>
          <a:p>
            <a:pPr>
              <a:defRPr/>
            </a:pPr>
            <a:r>
              <a:t>Projected profit by job</a:t>
            </a:r>
          </a:p>
        </rich>
      </tx>
    </title>
    <plotArea>
      <barChart>
        <barDir val="col"/>
        <grouping val="clustered"/>
        <ser>
          <idx val="0"/>
          <order val="0"/>
          <tx>
            <strRef>
              <f>'Dashboard'!G40</f>
            </strRef>
          </tx>
          <spPr>
            <a:ln>
              <a:prstDash val="solid"/>
            </a:ln>
          </spPr>
          <cat>
            <numRef>
              <f>'Dashboard'!$B$41:$B$52</f>
            </numRef>
          </cat>
          <val>
            <numRef>
              <f>'Dashboard'!$G$41:$G$52</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Payments vs costs by month</a:t>
            </a:r>
          </a:p>
        </rich>
      </tx>
    </title>
    <plotArea>
      <barChart>
        <barDir val="col"/>
        <grouping val="clustered"/>
        <ser>
          <idx val="0"/>
          <order val="0"/>
          <tx>
            <strRef>
              <f>'Dashboard'!D83</f>
            </strRef>
          </tx>
          <spPr>
            <a:ln>
              <a:prstDash val="solid"/>
            </a:ln>
          </spPr>
          <cat>
            <numRef>
              <f>'Dashboard'!$B$84:$B$95</f>
            </numRef>
          </cat>
          <val>
            <numRef>
              <f>'Dashboard'!$D$84:$D$95</f>
            </numRef>
          </val>
        </ser>
        <ser>
          <idx val="1"/>
          <order val="1"/>
          <tx>
            <strRef>
              <f>'Dashboard'!E83</f>
            </strRef>
          </tx>
          <spPr>
            <a:ln>
              <a:prstDash val="solid"/>
            </a:ln>
          </spPr>
          <cat>
            <numRef>
              <f>'Dashboard'!$B$84:$B$95</f>
            </numRef>
          </cat>
          <val>
            <numRef>
              <f>'Dashboard'!$E$84:$E$95</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Receivables aging</a:t>
            </a:r>
          </a:p>
        </rich>
      </tx>
    </title>
    <plotArea>
      <barChart>
        <barDir val="col"/>
        <grouping val="clustered"/>
        <ser>
          <idx val="0"/>
          <order val="0"/>
          <tx>
            <strRef>
              <f>'Reports'!C5</f>
            </strRef>
          </tx>
          <spPr>
            <a:ln>
              <a:prstDash val="solid"/>
            </a:ln>
          </spPr>
          <cat>
            <numRef>
              <f>'Reports'!$B$6:$B$10</f>
            </numRef>
          </cat>
          <val>
            <numRef>
              <f>'Reports'!$C$6:$C$10</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3816000" cy="2232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24</row>
      <rowOff>0</rowOff>
    </from>
    <ext cx="3816000" cy="2232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24</row>
      <rowOff>0</rowOff>
    </from>
    <ext cx="3816000" cy="2232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ttings!A1" TargetMode="External" Id="rId1" /><Relationship Type="http://schemas.openxmlformats.org/officeDocument/2006/relationships/hyperlink" Target="#Clients!A1" TargetMode="External" Id="rId2" /><Relationship Type="http://schemas.openxmlformats.org/officeDocument/2006/relationships/hyperlink" Target="#'Vendors &amp; Crew'!A1" TargetMode="External" Id="rId3" /><Relationship Type="http://schemas.openxmlformats.org/officeDocument/2006/relationships/hyperlink" Target="#'Cost Library'!A1" TargetMode="External" Id="rId4" /><Relationship Type="http://schemas.openxmlformats.org/officeDocument/2006/relationships/hyperlink" Target="#Jobs!A1" TargetMode="External" Id="rId5" /><Relationship Type="http://schemas.openxmlformats.org/officeDocument/2006/relationships/hyperlink" Target="#Estimate!A1" TargetMode="External" Id="rId6" /><Relationship Type="http://schemas.openxmlformats.org/officeDocument/2006/relationships/hyperlink" Target="#Schedule!A1" TargetMode="External" Id="rId7" /><Relationship Type="http://schemas.openxmlformats.org/officeDocument/2006/relationships/hyperlink" Target="#Timesheet!A1" TargetMode="External" Id="rId8" /><Relationship Type="http://schemas.openxmlformats.org/officeDocument/2006/relationships/hyperlink" Target="#'Job Costs'!A1" TargetMode="External" Id="rId9" /><Relationship Type="http://schemas.openxmlformats.org/officeDocument/2006/relationships/hyperlink" Target="#Mileage!A1" TargetMode="External" Id="rId10" /><Relationship Type="http://schemas.openxmlformats.org/officeDocument/2006/relationships/hyperlink" Target="#'Daily Log'!A1" TargetMode="External" Id="rId11" /><Relationship Type="http://schemas.openxmlformats.org/officeDocument/2006/relationships/hyperlink" Target="#'Change Orders'!A1" TargetMode="External" Id="rId12" /><Relationship Type="http://schemas.openxmlformats.org/officeDocument/2006/relationships/hyperlink" Target="#Invoices!A1" TargetMode="External" Id="rId13" /><Relationship Type="http://schemas.openxmlformats.org/officeDocument/2006/relationships/hyperlink" Target="#Payments!A1" TargetMode="External" Id="rId14" /><Relationship Type="http://schemas.openxmlformats.org/officeDocument/2006/relationships/hyperlink" Target="#Proposal!A1" TargetMode="External" Id="rId15" /><Relationship Type="http://schemas.openxmlformats.org/officeDocument/2006/relationships/hyperlink" Target="#'CO Form'!A1" TargetMode="External" Id="rId16" /><Relationship Type="http://schemas.openxmlformats.org/officeDocument/2006/relationships/hyperlink" Target="#'Invoice Print'!A1" TargetMode="External" Id="rId17" /><Relationship Type="http://schemas.openxmlformats.org/officeDocument/2006/relationships/hyperlink" Target="#'Client Statement'!A1" TargetMode="External" Id="rId18" /><Relationship Type="http://schemas.openxmlformats.org/officeDocument/2006/relationships/hyperlink" Target="#'Job Profit Report'!A1" TargetMode="External" Id="rId19" /><Relationship Type="http://schemas.openxmlformats.org/officeDocument/2006/relationships/hyperlink" Target="#Reports!A1" TargetMode="External" Id="rId20" /><Relationship Type="http://schemas.openxmlformats.org/officeDocument/2006/relationships/hyperlink" Target="#'Tax Summary'!A1" TargetMode="External" Id="rId21" /><Relationship Type="http://schemas.openxmlformats.org/officeDocument/2006/relationships/hyperlink" Target="#Dashboard!A1" TargetMode="External" Id="rId22" /><Relationship Type="http://schemas.openxmlformats.org/officeDocument/2006/relationships/hyperlink" Target="#'Health Check'!A1" TargetMode="External" Id="rId23"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F7F7F"/>
    <outlinePr summaryBelow="1" summaryRight="1"/>
    <pageSetUpPr fitToPage="1"/>
  </sheetPr>
  <dimension ref="B1:I63"/>
  <sheetViews>
    <sheetView showGridLines="0" tabSelected="1" workbookViewId="0">
      <selection activeCell="B1" sqref="B1"/>
    </sheetView>
  </sheetViews>
  <sheetFormatPr baseColWidth="8" defaultRowHeight="15"/>
  <cols>
    <col width="3"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26" customHeight="1">
      <c r="B1" s="1" t="inlineStr">
        <is>
          <t>Contractor Job Costing &amp; Estimate Spreadsheet</t>
        </is>
      </c>
    </row>
    <row r="2" ht="22" customHeight="1"/>
    <row r="3">
      <c r="B3" s="2" t="inlineStr">
        <is>
          <t>Estimate → schedule → track hours and costs → change orders → invoice → collect → see real profit.  Works in Microsoft Excel (2016+, 365, Mac) and Google Sheets.  Version 1.0 (2026-09).</t>
        </is>
      </c>
    </row>
    <row r="5">
      <c r="B5" s="3" t="inlineStr">
        <is>
          <t>HOW IT FLOWS</t>
        </is>
      </c>
    </row>
    <row r="6" ht="34" customHeight="1">
      <c r="B6" s="4" t="inlineStr">
        <is>
          <t>1  Settings</t>
        </is>
      </c>
      <c r="C6" s="5" t="inlineStr">
        <is>
          <t>2  Clients, Vendors &amp; Crew</t>
        </is>
      </c>
      <c r="D6" s="4" t="inlineStr">
        <is>
          <t>3  Jobs</t>
        </is>
      </c>
      <c r="E6" s="5" t="inlineStr">
        <is>
          <t>4  Estimate → Proposal</t>
        </is>
      </c>
      <c r="F6" s="4" t="inlineStr">
        <is>
          <t>5  Schedule</t>
        </is>
      </c>
      <c r="G6" s="5" t="inlineStr">
        <is>
          <t>6  Timesheet, Costs, Mileage, Log</t>
        </is>
      </c>
      <c r="H6" s="4" t="inlineStr">
        <is>
          <t>7  Change Orders</t>
        </is>
      </c>
      <c r="I6" s="5" t="inlineStr">
        <is>
          <t>8  Invoices → Payments</t>
        </is>
      </c>
    </row>
    <row r="7">
      <c r="B7" s="6" t="inlineStr">
        <is>
          <t>Dashboard, Job Profit Report, Reports, Tax Summary and Health Check update themselves from these inputs.</t>
        </is>
      </c>
    </row>
    <row r="9">
      <c r="B9" s="7" t="inlineStr">
        <is>
          <t>SETUP</t>
        </is>
      </c>
    </row>
    <row r="10">
      <c r="B10" s="8" t="inlineStr">
        <is>
          <t>Settings</t>
        </is>
      </c>
      <c r="C10" s="9" t="inlineStr">
        <is>
          <t>Company details, markups, tax, deposit and progress %, mileage rate, labor burden, cost codes, document text. Start here.</t>
        </is>
      </c>
      <c r="D10" s="9" t="n"/>
      <c r="E10" s="9" t="n"/>
      <c r="F10" s="9" t="n"/>
      <c r="G10" s="9" t="n"/>
      <c r="H10" s="9" t="n"/>
      <c r="I10" s="9" t="n"/>
    </row>
    <row r="11">
      <c r="B11" s="8" t="inlineStr">
        <is>
          <t>Clients</t>
        </is>
      </c>
      <c r="C11" s="9" t="inlineStr">
        <is>
          <t>Client directory with lifetime value and balance due.</t>
        </is>
      </c>
      <c r="D11" s="9" t="n"/>
      <c r="E11" s="9" t="n"/>
      <c r="F11" s="9" t="n"/>
      <c r="G11" s="9" t="n"/>
      <c r="H11" s="9" t="n"/>
      <c r="I11" s="9" t="n"/>
    </row>
    <row r="12">
      <c r="B12" s="8" t="inlineStr">
        <is>
          <t>Vendors &amp; Crew</t>
        </is>
      </c>
      <c r="C12" s="9" t="inlineStr">
        <is>
          <t>Crew rates for the Timesheet; vendor and sub directory with insurance alerts and 1099 flags.</t>
        </is>
      </c>
      <c r="D12" s="9" t="n"/>
      <c r="E12" s="9" t="n"/>
      <c r="F12" s="9" t="n"/>
      <c r="G12" s="9" t="n"/>
      <c r="H12" s="9" t="n"/>
      <c r="I12" s="9" t="n"/>
    </row>
    <row r="13">
      <c r="B13" s="8" t="inlineStr">
        <is>
          <t>Cost Library</t>
        </is>
      </c>
      <c r="C13" s="9" t="inlineStr">
        <is>
          <t>Your price book: items with unit and unit cost that fill into estimates.</t>
        </is>
      </c>
      <c r="D13" s="9" t="n"/>
      <c r="E13" s="9" t="n"/>
      <c r="F13" s="9" t="n"/>
      <c r="G13" s="9" t="n"/>
      <c r="H13" s="9" t="n"/>
      <c r="I13" s="9" t="n"/>
    </row>
    <row r="15">
      <c r="B15" s="10" t="inlineStr">
        <is>
          <t>INPUTS</t>
        </is>
      </c>
    </row>
    <row r="16">
      <c r="B16" s="8" t="inlineStr">
        <is>
          <t>Jobs</t>
        </is>
      </c>
      <c r="C16" s="9" t="inlineStr">
        <is>
          <t>One row per job. Everything rolls up here.</t>
        </is>
      </c>
      <c r="D16" s="9" t="n"/>
      <c r="E16" s="9" t="n"/>
      <c r="F16" s="9" t="n"/>
      <c r="G16" s="9" t="n"/>
      <c r="H16" s="9" t="n"/>
      <c r="I16" s="9" t="n"/>
    </row>
    <row r="17">
      <c r="B17" s="8" t="inlineStr">
        <is>
          <t>Estimate</t>
        </is>
      </c>
      <c r="C17" s="9" t="inlineStr">
        <is>
          <t>Line-by-line quote with automatic category markup and library lookups.</t>
        </is>
      </c>
      <c r="D17" s="9" t="n"/>
      <c r="E17" s="9" t="n"/>
      <c r="F17" s="9" t="n"/>
      <c r="G17" s="9" t="n"/>
      <c r="H17" s="9" t="n"/>
      <c r="I17" s="9" t="n"/>
    </row>
    <row r="18">
      <c r="B18" s="8" t="inlineStr">
        <is>
          <t>Schedule</t>
        </is>
      </c>
      <c r="C18" s="9" t="inlineStr">
        <is>
          <t>Tasks with workday end dates and a 12-week Gantt chart.</t>
        </is>
      </c>
      <c r="D18" s="9" t="n"/>
      <c r="E18" s="9" t="n"/>
      <c r="F18" s="9" t="n"/>
      <c r="G18" s="9" t="n"/>
      <c r="H18" s="9" t="n"/>
      <c r="I18" s="9" t="n"/>
    </row>
    <row r="19">
      <c r="B19" s="8" t="inlineStr">
        <is>
          <t>Timesheet</t>
        </is>
      </c>
      <c r="C19" s="9" t="inlineStr">
        <is>
          <t>Crew hours by day and job with a weekly payroll summary.</t>
        </is>
      </c>
      <c r="D19" s="9" t="n"/>
      <c r="E19" s="9" t="n"/>
      <c r="F19" s="9" t="n"/>
      <c r="G19" s="9" t="n"/>
      <c r="H19" s="9" t="n"/>
      <c r="I19" s="9" t="n"/>
    </row>
    <row r="20">
      <c r="B20" s="8" t="inlineStr">
        <is>
          <t>Job Costs</t>
        </is>
      </c>
      <c r="C20" s="9" t="inlineStr">
        <is>
          <t>Materials, subs, equipment, permits and other actual costs.</t>
        </is>
      </c>
      <c r="D20" s="9" t="n"/>
      <c r="E20" s="9" t="n"/>
      <c r="F20" s="9" t="n"/>
      <c r="G20" s="9" t="n"/>
      <c r="H20" s="9" t="n"/>
      <c r="I20" s="9" t="n"/>
    </row>
    <row r="21">
      <c r="B21" s="8" t="inlineStr">
        <is>
          <t>Mileage</t>
        </is>
      </c>
      <c r="C21" s="9" t="inlineStr">
        <is>
          <t>Job-related driving at your mileage rate.</t>
        </is>
      </c>
      <c r="D21" s="9" t="n"/>
      <c r="E21" s="9" t="n"/>
      <c r="F21" s="9" t="n"/>
      <c r="G21" s="9" t="n"/>
      <c r="H21" s="9" t="n"/>
      <c r="I21" s="9" t="n"/>
    </row>
    <row r="22">
      <c r="B22" s="8" t="inlineStr">
        <is>
          <t>Daily Log</t>
        </is>
      </c>
      <c r="C22" s="9" t="inlineStr">
        <is>
          <t>Weather, crew, work performed, issues, inspections — your dispute record.</t>
        </is>
      </c>
      <c r="D22" s="9" t="n"/>
      <c r="E22" s="9" t="n"/>
      <c r="F22" s="9" t="n"/>
      <c r="G22" s="9" t="n"/>
      <c r="H22" s="9" t="n"/>
      <c r="I22" s="9" t="n"/>
    </row>
    <row r="23">
      <c r="B23" s="8" t="inlineStr">
        <is>
          <t>Change Orders</t>
        </is>
      </c>
      <c r="C23" s="9" t="inlineStr">
        <is>
          <t>Added work; approved COs raise the contract and the budget.</t>
        </is>
      </c>
      <c r="D23" s="9" t="n"/>
      <c r="E23" s="9" t="n"/>
      <c r="F23" s="9" t="n"/>
      <c r="G23" s="9" t="n"/>
      <c r="H23" s="9" t="n"/>
      <c r="I23" s="9" t="n"/>
    </row>
    <row r="24">
      <c r="B24" s="8" t="inlineStr">
        <is>
          <t>Invoices</t>
        </is>
      </c>
      <c r="C24" s="9" t="inlineStr">
        <is>
          <t>Invoices with balances, status, days overdue and aging bucket.</t>
        </is>
      </c>
      <c r="D24" s="9" t="n"/>
      <c r="E24" s="9" t="n"/>
      <c r="F24" s="9" t="n"/>
      <c r="G24" s="9" t="n"/>
      <c r="H24" s="9" t="n"/>
      <c r="I24" s="9" t="n"/>
    </row>
    <row r="25">
      <c r="B25" s="8" t="inlineStr">
        <is>
          <t>Payments</t>
        </is>
      </c>
      <c r="C25" s="9" t="inlineStr">
        <is>
          <t>Money received, linked to invoices and jobs.</t>
        </is>
      </c>
      <c r="D25" s="9" t="n"/>
      <c r="E25" s="9" t="n"/>
      <c r="F25" s="9" t="n"/>
      <c r="G25" s="9" t="n"/>
      <c r="H25" s="9" t="n"/>
      <c r="I25" s="9" t="n"/>
    </row>
    <row r="27">
      <c r="B27" s="11" t="inlineStr">
        <is>
          <t>DOCUMENTS &amp; REPORTS</t>
        </is>
      </c>
    </row>
    <row r="28">
      <c r="B28" s="8" t="inlineStr">
        <is>
          <t>Proposal</t>
        </is>
      </c>
      <c r="C28" s="9" t="inlineStr">
        <is>
          <t>Client-ready proposal: scope, payment schedule, detailed lines, terms, signatures.</t>
        </is>
      </c>
      <c r="D28" s="9" t="n"/>
      <c r="E28" s="9" t="n"/>
      <c r="F28" s="9" t="n"/>
      <c r="G28" s="9" t="n"/>
      <c r="H28" s="9" t="n"/>
      <c r="I28" s="9" t="n"/>
    </row>
    <row r="29">
      <c r="B29" s="8" t="inlineStr">
        <is>
          <t>CO Form</t>
        </is>
      </c>
      <c r="C29" s="9" t="inlineStr">
        <is>
          <t>Signature-ready change order document.</t>
        </is>
      </c>
      <c r="D29" s="9" t="n"/>
      <c r="E29" s="9" t="n"/>
      <c r="F29" s="9" t="n"/>
      <c r="G29" s="9" t="n"/>
      <c r="H29" s="9" t="n"/>
      <c r="I29" s="9" t="n"/>
    </row>
    <row r="30">
      <c r="B30" s="8" t="inlineStr">
        <is>
          <t>Invoice Print</t>
        </is>
      </c>
      <c r="C30" s="9" t="inlineStr">
        <is>
          <t>Printable invoice with contract summary.</t>
        </is>
      </c>
      <c r="D30" s="9" t="n"/>
      <c r="E30" s="9" t="n"/>
      <c r="F30" s="9" t="n"/>
      <c r="G30" s="9" t="n"/>
      <c r="H30" s="9" t="n"/>
      <c r="I30" s="9" t="n"/>
    </row>
    <row r="31">
      <c r="B31" s="8" t="inlineStr">
        <is>
          <t>Client Statement</t>
        </is>
      </c>
      <c r="C31" s="9" t="inlineStr">
        <is>
          <t>All of a client's invoices, balances and aging on one page.</t>
        </is>
      </c>
      <c r="D31" s="9" t="n"/>
      <c r="E31" s="9" t="n"/>
      <c r="F31" s="9" t="n"/>
      <c r="G31" s="9" t="n"/>
      <c r="H31" s="9" t="n"/>
      <c r="I31" s="9" t="n"/>
    </row>
    <row r="32">
      <c r="B32" s="8" t="inlineStr">
        <is>
          <t>Job Profit Report</t>
        </is>
      </c>
      <c r="C32" s="9" t="inlineStr">
        <is>
          <t>Budget vs actual by category and cost code for one job.</t>
        </is>
      </c>
      <c r="D32" s="9" t="n"/>
      <c r="E32" s="9" t="n"/>
      <c r="F32" s="9" t="n"/>
      <c r="G32" s="9" t="n"/>
      <c r="H32" s="9" t="n"/>
      <c r="I32" s="9" t="n"/>
    </row>
    <row r="33">
      <c r="B33" s="8" t="inlineStr">
        <is>
          <t>Reports</t>
        </is>
      </c>
      <c r="C33" s="9" t="inlineStr">
        <is>
          <t>Receivables aging, cash forecast, pipeline, win rate, cost-code performance.</t>
        </is>
      </c>
      <c r="D33" s="9" t="n"/>
      <c r="E33" s="9" t="n"/>
      <c r="F33" s="9" t="n"/>
      <c r="G33" s="9" t="n"/>
      <c r="H33" s="9" t="n"/>
      <c r="I33" s="9" t="n"/>
    </row>
    <row r="34">
      <c r="B34" s="8" t="inlineStr">
        <is>
          <t>Tax Summary</t>
        </is>
      </c>
      <c r="C34" s="9" t="inlineStr">
        <is>
          <t>Year-end totals by category, mileage, 1099 review list.</t>
        </is>
      </c>
      <c r="D34" s="9" t="n"/>
      <c r="E34" s="9" t="n"/>
      <c r="F34" s="9" t="n"/>
      <c r="G34" s="9" t="n"/>
      <c r="H34" s="9" t="n"/>
      <c r="I34" s="9" t="n"/>
    </row>
    <row r="35">
      <c r="B35" s="8" t="inlineStr">
        <is>
          <t>Dashboard</t>
        </is>
      </c>
      <c r="C35" s="9" t="inlineStr">
        <is>
          <t>16 KPIs, alerts, charts, per-job table, monthly P&amp;L.</t>
        </is>
      </c>
      <c r="D35" s="9" t="n"/>
      <c r="E35" s="9" t="n"/>
      <c r="F35" s="9" t="n"/>
      <c r="G35" s="9" t="n"/>
      <c r="H35" s="9" t="n"/>
      <c r="I35" s="9" t="n"/>
    </row>
    <row r="36">
      <c r="B36" s="8" t="inlineStr">
        <is>
          <t>Health Check</t>
        </is>
      </c>
      <c r="C36" s="9" t="inlineStr">
        <is>
          <t>Counts data problems and formula errors. Keep it at ALL CLEAR.</t>
        </is>
      </c>
      <c r="D36" s="9" t="n"/>
      <c r="E36" s="9" t="n"/>
      <c r="F36" s="9" t="n"/>
      <c r="G36" s="9" t="n"/>
      <c r="H36" s="9" t="n"/>
      <c r="I36" s="9" t="n"/>
    </row>
    <row r="38">
      <c r="B38" s="3" t="inlineStr">
        <is>
          <t>TEN-MINUTE SETUP</t>
        </is>
      </c>
    </row>
    <row r="39" ht="16" customHeight="1">
      <c r="B39" s="12" t="inlineStr">
        <is>
          <t>1. Settings: company details, markups, contingency, tax, deposit %, mileage rate, labor burden. Rename cost codes to match your trade.</t>
        </is>
      </c>
    </row>
    <row r="40" ht="16" customHeight="1">
      <c r="B40" s="12" t="inlineStr">
        <is>
          <t>2. Vendors &amp; Crew: add your workers with cost and bill rates, and your subs and suppliers.</t>
        </is>
      </c>
    </row>
    <row r="41" ht="16" customHeight="1">
      <c r="B41" s="12" t="inlineStr">
        <is>
          <t>3. Clients and Jobs: add a client, then a job row with a Job ID such as J-1001 (the sheet suggests the next one).</t>
        </is>
      </c>
    </row>
    <row r="42" ht="16" customHeight="1">
      <c r="B42" s="12" t="inlineStr">
        <is>
          <t>4. Estimate the job, open Proposal, pick the Job ID, print. Enter the signed Contract Value on Jobs.</t>
        </is>
      </c>
    </row>
    <row r="43" ht="16" customHeight="1">
      <c r="B43" s="12" t="inlineStr">
        <is>
          <t>5. As work happens: Timesheet for crew hours, Job Costs for everything else, Mileage, Daily Log, Change Orders.</t>
        </is>
      </c>
    </row>
    <row r="44" ht="16" customHeight="1">
      <c r="B44" s="12" t="inlineStr">
        <is>
          <t>6. Invoice from the Invoices sheet and print with Invoice Print; record Payments; send Client Statements. Watch the Dashboard.</t>
        </is>
      </c>
    </row>
    <row r="46">
      <c r="B46" s="3" t="inlineStr">
        <is>
          <t>COLOR KEY</t>
        </is>
      </c>
    </row>
    <row r="47" ht="16" customHeight="1">
      <c r="B47" s="12" t="inlineStr">
        <is>
          <t>Light-blue cells are inputs. Every other cell is a formula: do not type over them (Undo with Ctrl+Z / Cmd+Z if you do).</t>
        </is>
      </c>
    </row>
    <row r="48" ht="16" customHeight="1">
      <c r="B48" s="12" t="inlineStr">
        <is>
          <t>Red = over budget, overdue, late, expired, or a data problem. Yellow = watch. Green = on track / paid / done.</t>
        </is>
      </c>
    </row>
    <row r="50">
      <c r="B50" s="3" t="inlineStr">
        <is>
          <t>PROTECT AGAINST ACCIDENTS (optional)</t>
        </is>
      </c>
    </row>
    <row r="51" ht="30" customHeight="1">
      <c r="B51" s="12" t="inlineStr">
        <is>
          <t>Input cells are already unlocked. On any sheet, Review → Protect Sheet (leave the password blank) and only the light-blue cells stay editable. Unprotect before inserting rows.</t>
        </is>
      </c>
    </row>
    <row r="53">
      <c r="B53" s="3" t="inlineStr">
        <is>
          <t>GOOGLE SHEETS</t>
        </is>
      </c>
    </row>
    <row r="54" ht="30" customHeight="1">
      <c r="B54" s="12" t="inlineStr">
        <is>
          <t>Upload the .xlsx to Google Drive, open it, then File → Save as Google Sheets. Formulas, dropdowns, conditional formatting and the Gantt chart carry over. The three bar charts may need a one-time reformat.</t>
        </is>
      </c>
    </row>
    <row r="56">
      <c r="B56" s="3" t="inlineStr">
        <is>
          <t>CAPACITY</t>
        </is>
      </c>
    </row>
    <row r="57" ht="30" customHeight="1">
      <c r="B57" s="12" t="inlineStr">
        <is>
          <t>40 jobs · 400 estimate lines · 1000 timesheet rows · 1000 cost entries · 300 mileage rows · 300 daily-log rows · 100 change orders · 200 invoices · 300 payments · 200 schedule tasks · 100 clients · 30 crew · 100 vendors · 200 library items.</t>
        </is>
      </c>
    </row>
    <row r="58" ht="16" customHeight="1">
      <c r="B58" s="12" t="inlineStr">
        <is>
          <t>Need more rows? Insert them inside a table (above the TOTAL row), then copy the formula cells of the row above into the new rows.</t>
        </is>
      </c>
    </row>
    <row r="60">
      <c r="B60" s="3" t="inlineStr">
        <is>
          <t>IMPORTANT</t>
        </is>
      </c>
    </row>
    <row r="61" ht="30" customHeight="1">
      <c r="B61" s="12" t="inlineStr">
        <is>
          <t>This is an organizational and estimating tool, not accounting, tax, legal or financial advice. Verify figures before quoting, invoicing or filing.</t>
        </is>
      </c>
    </row>
    <row r="62" ht="16" customHeight="1">
      <c r="B62" s="12" t="inlineStr">
        <is>
          <t>Amounts are formatted in US dollars; change the number format (Format Cells) to use another currency symbol.</t>
        </is>
      </c>
    </row>
    <row r="63" ht="16" customHeight="1">
      <c r="B63" s="12" t="inlineStr">
        <is>
          <t>Licensed for use in your own business on any number of your devices. Resale or redistribution of the template is not permitted.</t>
        </is>
      </c>
    </row>
  </sheetData>
  <mergeCells count="44">
    <mergeCell ref="C36:I36"/>
    <mergeCell ref="C23:I23"/>
    <mergeCell ref="B62:I62"/>
    <mergeCell ref="B7:I7"/>
    <mergeCell ref="C17:I17"/>
    <mergeCell ref="B47:I47"/>
    <mergeCell ref="B54:I54"/>
    <mergeCell ref="B1:I2"/>
    <mergeCell ref="B3:I3"/>
    <mergeCell ref="C32:I32"/>
    <mergeCell ref="B27:I27"/>
    <mergeCell ref="C19:I19"/>
    <mergeCell ref="B43:I43"/>
    <mergeCell ref="B58:I58"/>
    <mergeCell ref="C28:I28"/>
    <mergeCell ref="C13:I13"/>
    <mergeCell ref="B48:I48"/>
    <mergeCell ref="C18:I18"/>
    <mergeCell ref="B39:I39"/>
    <mergeCell ref="C34:I34"/>
    <mergeCell ref="B42:I42"/>
    <mergeCell ref="C24:I24"/>
    <mergeCell ref="C30:I30"/>
    <mergeCell ref="B61:I61"/>
    <mergeCell ref="C33:I33"/>
    <mergeCell ref="B57:I57"/>
    <mergeCell ref="B44:I44"/>
    <mergeCell ref="C35:I35"/>
    <mergeCell ref="C20:I20"/>
    <mergeCell ref="C29:I29"/>
    <mergeCell ref="C10:I10"/>
    <mergeCell ref="C16:I16"/>
    <mergeCell ref="C25:I25"/>
    <mergeCell ref="B40:I40"/>
    <mergeCell ref="B9:I9"/>
    <mergeCell ref="C31:I31"/>
    <mergeCell ref="C22:I22"/>
    <mergeCell ref="B15:I15"/>
    <mergeCell ref="B51:I51"/>
    <mergeCell ref="C21:I21"/>
    <mergeCell ref="C12:I12"/>
    <mergeCell ref="B63:I63"/>
    <mergeCell ref="B41:I41"/>
    <mergeCell ref="C11:I11"/>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8" r:id="rId15"/>
    <hyperlink xmlns:r="http://schemas.openxmlformats.org/officeDocument/2006/relationships" ref="B29" r:id="rId16"/>
    <hyperlink xmlns:r="http://schemas.openxmlformats.org/officeDocument/2006/relationships" ref="B30" r:id="rId17"/>
    <hyperlink xmlns:r="http://schemas.openxmlformats.org/officeDocument/2006/relationships" ref="B31"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5" r:id="rId22"/>
    <hyperlink xmlns:r="http://schemas.openxmlformats.org/officeDocument/2006/relationships" ref="B36" r:id="rId23"/>
  </hyperlink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xml><?xml version="1.0" encoding="utf-8"?>
<worksheet xmlns="http://schemas.openxmlformats.org/spreadsheetml/2006/main">
  <sheetPr>
    <tabColor rgb="003A9D5D"/>
    <outlinePr summaryBelow="1" summaryRight="1"/>
    <pageSetUpPr fitToPage="1"/>
  </sheetPr>
  <dimension ref="A1:L96"/>
  <sheetViews>
    <sheetView showGridLines="0" tabSelected="0" zoomScale="90" workbookViewId="0">
      <selection activeCell="B1" sqref="B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 customWidth="1" min="13" max="13"/>
  </cols>
  <sheetData>
    <row r="1">
      <c r="A1" s="13" t="inlineStr">
        <is>
          <t>Dashboard</t>
        </is>
      </c>
    </row>
    <row r="2">
      <c r="A2" s="14" t="inlineStr">
        <is>
          <t>Company-wide view. Everything here is calculated. Change the reporting year in Settings to move the monthly P&amp;L.</t>
        </is>
      </c>
      <c r="K2" s="15" t="inlineStr">
        <is>
          <t>As of</t>
        </is>
      </c>
      <c r="L2" s="16">
        <f>TODAY()</f>
        <v/>
      </c>
    </row>
    <row r="4">
      <c r="B4" s="17" t="inlineStr">
        <is>
          <t>Revised contract value (all jobs)</t>
        </is>
      </c>
      <c r="C4" s="18" t="n"/>
      <c r="E4" s="17" t="inlineStr">
        <is>
          <t>Estimated cost</t>
        </is>
      </c>
      <c r="F4" s="18" t="n"/>
      <c r="H4" s="17" t="inlineStr">
        <is>
          <t>Actual cost to date</t>
        </is>
      </c>
      <c r="I4" s="18" t="n"/>
      <c r="K4" s="17" t="inlineStr">
        <is>
          <t>Projected gross profit</t>
        </is>
      </c>
      <c r="L4" s="18" t="n"/>
    </row>
    <row r="5">
      <c r="B5" s="19">
        <f>Jobs!K45</f>
        <v/>
      </c>
      <c r="C5" s="18" t="n"/>
      <c r="E5" s="19">
        <f>Jobs!L45</f>
        <v/>
      </c>
      <c r="F5" s="18" t="n"/>
      <c r="H5" s="19">
        <f>Jobs!M45</f>
        <v/>
      </c>
      <c r="I5" s="18" t="n"/>
      <c r="K5" s="19">
        <f>Jobs!T45</f>
        <v/>
      </c>
      <c r="L5" s="18" t="n"/>
    </row>
    <row r="7">
      <c r="B7" s="17" t="inlineStr">
        <is>
          <t>Projected gross margin</t>
        </is>
      </c>
      <c r="C7" s="18" t="n"/>
      <c r="E7" s="17" t="inlineStr">
        <is>
          <t>Margin after overhead (Settings %)</t>
        </is>
      </c>
      <c r="F7" s="18" t="n"/>
      <c r="H7" s="17" t="inlineStr">
        <is>
          <t>Invoiced</t>
        </is>
      </c>
      <c r="I7" s="18" t="n"/>
      <c r="K7" s="17" t="inlineStr">
        <is>
          <t>Collected</t>
        </is>
      </c>
      <c r="L7" s="18" t="n"/>
    </row>
    <row r="8">
      <c r="B8" s="20">
        <f>Jobs!U45</f>
        <v/>
      </c>
      <c r="C8" s="18" t="n"/>
      <c r="E8" s="20">
        <f>IF(Jobs!K45=0,0,(Jobs!T45-Jobs!K45*Settings!$B$17)/Jobs!K45)</f>
        <v/>
      </c>
      <c r="F8" s="18" t="n"/>
      <c r="H8" s="19">
        <f>Jobs!Q45</f>
        <v/>
      </c>
      <c r="I8" s="18" t="n"/>
      <c r="K8" s="19">
        <f>Jobs!R45</f>
        <v/>
      </c>
      <c r="L8" s="18" t="n"/>
    </row>
    <row r="10">
      <c r="B10" s="17" t="inlineStr">
        <is>
          <t>Outstanding balance</t>
        </is>
      </c>
      <c r="C10" s="18" t="n"/>
      <c r="E10" s="17" t="inlineStr">
        <is>
          <t>Overdue balance</t>
        </is>
      </c>
      <c r="F10" s="18" t="n"/>
      <c r="H10" s="17" t="inlineStr">
        <is>
          <t>Backlog (active jobs not yet invoiced)</t>
        </is>
      </c>
      <c r="I10" s="18" t="n"/>
      <c r="K10" s="17" t="inlineStr">
        <is>
          <t>Unpaid bills logged (Paid? = No)</t>
        </is>
      </c>
      <c r="L10" s="18" t="n"/>
    </row>
    <row r="11">
      <c r="B11" s="19">
        <f>Jobs!S45</f>
        <v/>
      </c>
      <c r="C11" s="18" t="n"/>
      <c r="E11" s="19">
        <f>SUMIFS(Invoices!$H$5:$H$204,Invoices!$I$5:$I$204,"Overdue")</f>
        <v/>
      </c>
      <c r="F11" s="18" t="n"/>
      <c r="H11" s="19">
        <f>SUMIFS(Jobs!$K$5:$K$44,Jobs!$D$5:$D$44,"Approved")+SUMIFS(Jobs!$K$5:$K$44,Jobs!$D$5:$D$44,"In Progress")-(SUMIFS(Jobs!$Q$5:$Q$44,Jobs!$D$5:$D$44,"Approved")+SUMIFS(Jobs!$Q$5:$Q$44,Jobs!$D$5:$D$44,"In Progress"))</f>
        <v/>
      </c>
      <c r="I11" s="18" t="n"/>
      <c r="K11" s="19">
        <f>SUMIFS('Job Costs'!$I$5:$I$1004,'Job Costs'!$J$5:$J$1004,"No")</f>
        <v/>
      </c>
      <c r="L11" s="18" t="n"/>
    </row>
    <row r="13">
      <c r="B13" s="17" t="inlineStr">
        <is>
          <t>Active jobs (Approved / In Progress)</t>
        </is>
      </c>
      <c r="C13" s="18" t="n"/>
      <c r="E13" s="17" t="inlineStr">
        <is>
          <t>Jobs over budget</t>
        </is>
      </c>
      <c r="F13" s="18" t="n"/>
      <c r="H13" s="17" t="inlineStr">
        <is>
          <t>Labor hours this month</t>
        </is>
      </c>
      <c r="I13" s="18" t="n"/>
      <c r="K13" s="17" t="inlineStr">
        <is>
          <t>Win rate (won ÷ won + lost)</t>
        </is>
      </c>
      <c r="L13" s="18" t="n"/>
    </row>
    <row r="14">
      <c r="B14" s="21">
        <f>COUNTIF(Jobs!$D$5:$D$44,"Approved")+COUNTIF(Jobs!$D$5:$D$44,"In Progress")</f>
        <v/>
      </c>
      <c r="C14" s="18" t="n"/>
      <c r="E14" s="21">
        <f>COUNTIF(Jobs!$O$5:$O$44,"&gt;1")</f>
        <v/>
      </c>
      <c r="F14" s="18" t="n"/>
      <c r="H14" s="22">
        <f>SUMIFS(Timesheet!$E$5:$E$1004,Timesheet!$A$5:$A$1004,"&gt;="&amp;DATE(YEAR(TODAY()),MONTH(TODAY()),1),Timesheet!$A$5:$A$1004,"&lt;="&amp;EOMONTH(TODAY(),0))</f>
        <v/>
      </c>
      <c r="I14" s="18" t="n"/>
      <c r="K14" s="20">
        <f>IF(COUNTIF(Jobs!$D$5:$D$44,"Approved")+COUNTIF(Jobs!$D$5:$D$44,"In Progress")+COUNTIF(Jobs!$D$5:$D$44,"Complete")+COUNTIF(Jobs!$D$5:$D$44,"Closed")+COUNTIF(Jobs!$D$5:$D$44,"Lost")=0,0,(COUNTIF(Jobs!$D$5:$D$44,"Approved")+COUNTIF(Jobs!$D$5:$D$44,"In Progress")+COUNTIF(Jobs!$D$5:$D$44,"Complete")+COUNTIF(Jobs!$D$5:$D$44,"Closed"))/(COUNTIF(Jobs!$D$5:$D$44,"Approved")+COUNTIF(Jobs!$D$5:$D$44,"In Progress")+COUNTIF(Jobs!$D$5:$D$44,"Complete")+COUNTIF(Jobs!$D$5:$D$44,"Closed")+COUNTIF(Jobs!$D$5:$D$44,"Lost")))</f>
        <v/>
      </c>
      <c r="L14" s="18" t="n"/>
    </row>
    <row r="16">
      <c r="B16" s="23" t="inlineStr">
        <is>
          <t>ALERTS</t>
        </is>
      </c>
    </row>
    <row r="17">
      <c r="B17" s="17" t="inlineStr">
        <is>
          <t>Overdue invoices</t>
        </is>
      </c>
      <c r="C17" s="18" t="n"/>
      <c r="E17" s="17" t="inlineStr">
        <is>
          <t>Late schedule tasks</t>
        </is>
      </c>
      <c r="F17" s="18" t="n"/>
      <c r="H17" s="17" t="inlineStr">
        <is>
          <t>Vendor insurance expired / expiring</t>
        </is>
      </c>
      <c r="I17" s="18" t="n"/>
      <c r="K17" s="17" t="inlineStr">
        <is>
          <t>Data issues (Health Check)</t>
        </is>
      </c>
      <c r="L17" s="18" t="n"/>
    </row>
    <row r="18">
      <c r="B18" s="21">
        <f>COUNTIF(Invoices!$I$5:$I$204,"Overdue")</f>
        <v/>
      </c>
      <c r="C18" s="18" t="n"/>
      <c r="E18" s="21">
        <f>COUNTIF(Schedule!$H$5:$H$204,"Late")</f>
        <v/>
      </c>
      <c r="F18" s="18" t="n"/>
      <c r="H18" s="21">
        <f>COUNTIF('Vendors &amp; Crew'!$H$41:$H$140,"EXPIRED")+COUNTIF('Vendors &amp; Crew'!$H$41:$H$140,"Expiring soon")</f>
        <v/>
      </c>
      <c r="I18" s="18" t="n"/>
      <c r="K18" s="21">
        <f>'Health Check'!C19</f>
        <v/>
      </c>
      <c r="L18" s="18" t="n"/>
    </row>
    <row r="20">
      <c r="B20" s="23" t="inlineStr">
        <is>
          <t>THIS MONTH</t>
        </is>
      </c>
    </row>
    <row r="21">
      <c r="B21" s="17" t="inlineStr">
        <is>
          <t>Invoiced this month</t>
        </is>
      </c>
      <c r="C21" s="18" t="n"/>
      <c r="E21" s="17" t="inlineStr">
        <is>
          <t>Collected this month</t>
        </is>
      </c>
      <c r="F21" s="18" t="n"/>
      <c r="H21" s="17" t="inlineStr">
        <is>
          <t>Costs this month (all sources)</t>
        </is>
      </c>
      <c r="I21" s="18" t="n"/>
      <c r="K21" s="17" t="inlineStr">
        <is>
          <t>Cash profit this month</t>
        </is>
      </c>
      <c r="L21" s="18" t="n"/>
    </row>
    <row r="22">
      <c r="B22" s="19">
        <f>SUMIFS(Invoices!$E$5:$E$204,Invoices!$C$5:$C$204,"&gt;="&amp;DATE(YEAR(TODAY()),MONTH(TODAY()),1),Invoices!$C$5:$C$204,"&lt;="&amp;EOMONTH(TODAY(),0))</f>
        <v/>
      </c>
      <c r="C22" s="18" t="n"/>
      <c r="E22" s="19">
        <f>SUMIFS(Payments!$D$5:$D$304,Payments!$A$5:$A$304,"&gt;="&amp;DATE(YEAR(TODAY()),MONTH(TODAY()),1),Payments!$A$5:$A$304,"&lt;="&amp;EOMONTH(TODAY(),0))</f>
        <v/>
      </c>
      <c r="F22" s="18" t="n"/>
      <c r="H22" s="19">
        <f>SUMIFS('Job Costs'!$I$5:$I$1004,'Job Costs'!$A$5:$A$1004,"&gt;="&amp;DATE(YEAR(TODAY()),MONTH(TODAY()),1),'Job Costs'!$A$5:$A$1004,"&lt;="&amp;EOMONTH(TODAY(),0))+SUMIFS(Timesheet!$H$5:$H$1004,Timesheet!$A$5:$A$1004,"&gt;="&amp;DATE(YEAR(TODAY()),MONTH(TODAY()),1),Timesheet!$A$5:$A$1004,"&lt;="&amp;EOMONTH(TODAY(),0))+SUMIFS(Mileage!$I$5:$I$304,Mileage!$A$5:$A$304,"&gt;="&amp;DATE(YEAR(TODAY()),MONTH(TODAY()),1),Mileage!$A$5:$A$304,"&lt;="&amp;EOMONTH(TODAY(),0))</f>
        <v/>
      </c>
      <c r="I22" s="18" t="n"/>
      <c r="K22" s="19">
        <f>E22-H22</f>
        <v/>
      </c>
      <c r="L22" s="18" t="n"/>
    </row>
    <row r="24">
      <c r="B24" s="3" t="inlineStr">
        <is>
          <t>Charts</t>
        </is>
      </c>
    </row>
    <row r="39">
      <c r="B39" s="3" t="inlineStr">
        <is>
          <t>Jobs</t>
        </is>
      </c>
    </row>
    <row r="40" ht="30" customHeight="1">
      <c r="B40" s="24" t="inlineStr">
        <is>
          <t>Job ID</t>
        </is>
      </c>
      <c r="C40" s="24" t="inlineStr">
        <is>
          <t>Client</t>
        </is>
      </c>
      <c r="D40" s="24" t="inlineStr">
        <is>
          <t>Status</t>
        </is>
      </c>
      <c r="E40" s="24" t="inlineStr">
        <is>
          <t>Revised Contract</t>
        </is>
      </c>
      <c r="F40" s="24" t="inlineStr">
        <is>
          <t>Actual Cost</t>
        </is>
      </c>
      <c r="G40" s="24" t="inlineStr">
        <is>
          <t>Projected Profit</t>
        </is>
      </c>
      <c r="H40" s="24" t="inlineStr">
        <is>
          <t>Margin %</t>
        </is>
      </c>
      <c r="I40" s="24" t="inlineStr">
        <is>
          <t>% Budget Used</t>
        </is>
      </c>
      <c r="J40" s="24" t="inlineStr">
        <is>
          <t>Balance Due</t>
        </is>
      </c>
      <c r="K40" s="24" t="inlineStr">
        <is>
          <t>Days to Target</t>
        </is>
      </c>
      <c r="L40" s="24" t="inlineStr">
        <is>
          <t>Hours</t>
        </is>
      </c>
    </row>
    <row r="41">
      <c r="B41" s="9">
        <f>IF(Jobs!$A5="","",Jobs!A5)</f>
        <v/>
      </c>
      <c r="C41" s="9">
        <f>IF(Jobs!$A5="","",Jobs!B5)</f>
        <v/>
      </c>
      <c r="D41" s="9">
        <f>IF(Jobs!$A5="","",Jobs!D5)</f>
        <v/>
      </c>
      <c r="E41" s="25">
        <f>IF(Jobs!$A5="","",Jobs!K5)</f>
        <v/>
      </c>
      <c r="F41" s="25">
        <f>IF(Jobs!$A5="","",Jobs!M5)</f>
        <v/>
      </c>
      <c r="G41" s="25">
        <f>IF(Jobs!$A5="","",Jobs!T5)</f>
        <v/>
      </c>
      <c r="H41" s="26">
        <f>IF(Jobs!$A5="","",Jobs!U5)</f>
        <v/>
      </c>
      <c r="I41" s="26">
        <f>IF(Jobs!$A5="","",Jobs!O5)</f>
        <v/>
      </c>
      <c r="J41" s="25">
        <f>IF(Jobs!$A5="","",Jobs!S5)</f>
        <v/>
      </c>
      <c r="K41" s="27">
        <f>IF(Jobs!$A5="","",Jobs!W5)</f>
        <v/>
      </c>
      <c r="L41" s="28">
        <f>IF(Jobs!$A5="","",Jobs!P5)</f>
        <v/>
      </c>
    </row>
    <row r="42">
      <c r="B42" s="9">
        <f>IF(Jobs!$A6="","",Jobs!A6)</f>
        <v/>
      </c>
      <c r="C42" s="9">
        <f>IF(Jobs!$A6="","",Jobs!B6)</f>
        <v/>
      </c>
      <c r="D42" s="9">
        <f>IF(Jobs!$A6="","",Jobs!D6)</f>
        <v/>
      </c>
      <c r="E42" s="25">
        <f>IF(Jobs!$A6="","",Jobs!K6)</f>
        <v/>
      </c>
      <c r="F42" s="25">
        <f>IF(Jobs!$A6="","",Jobs!M6)</f>
        <v/>
      </c>
      <c r="G42" s="25">
        <f>IF(Jobs!$A6="","",Jobs!T6)</f>
        <v/>
      </c>
      <c r="H42" s="26">
        <f>IF(Jobs!$A6="","",Jobs!U6)</f>
        <v/>
      </c>
      <c r="I42" s="26">
        <f>IF(Jobs!$A6="","",Jobs!O6)</f>
        <v/>
      </c>
      <c r="J42" s="25">
        <f>IF(Jobs!$A6="","",Jobs!S6)</f>
        <v/>
      </c>
      <c r="K42" s="27">
        <f>IF(Jobs!$A6="","",Jobs!W6)</f>
        <v/>
      </c>
      <c r="L42" s="28">
        <f>IF(Jobs!$A6="","",Jobs!P6)</f>
        <v/>
      </c>
    </row>
    <row r="43">
      <c r="B43" s="9">
        <f>IF(Jobs!$A7="","",Jobs!A7)</f>
        <v/>
      </c>
      <c r="C43" s="9">
        <f>IF(Jobs!$A7="","",Jobs!B7)</f>
        <v/>
      </c>
      <c r="D43" s="9">
        <f>IF(Jobs!$A7="","",Jobs!D7)</f>
        <v/>
      </c>
      <c r="E43" s="25">
        <f>IF(Jobs!$A7="","",Jobs!K7)</f>
        <v/>
      </c>
      <c r="F43" s="25">
        <f>IF(Jobs!$A7="","",Jobs!M7)</f>
        <v/>
      </c>
      <c r="G43" s="25">
        <f>IF(Jobs!$A7="","",Jobs!T7)</f>
        <v/>
      </c>
      <c r="H43" s="26">
        <f>IF(Jobs!$A7="","",Jobs!U7)</f>
        <v/>
      </c>
      <c r="I43" s="26">
        <f>IF(Jobs!$A7="","",Jobs!O7)</f>
        <v/>
      </c>
      <c r="J43" s="25">
        <f>IF(Jobs!$A7="","",Jobs!S7)</f>
        <v/>
      </c>
      <c r="K43" s="27">
        <f>IF(Jobs!$A7="","",Jobs!W7)</f>
        <v/>
      </c>
      <c r="L43" s="28">
        <f>IF(Jobs!$A7="","",Jobs!P7)</f>
        <v/>
      </c>
    </row>
    <row r="44">
      <c r="B44" s="9">
        <f>IF(Jobs!$A8="","",Jobs!A8)</f>
        <v/>
      </c>
      <c r="C44" s="9">
        <f>IF(Jobs!$A8="","",Jobs!B8)</f>
        <v/>
      </c>
      <c r="D44" s="9">
        <f>IF(Jobs!$A8="","",Jobs!D8)</f>
        <v/>
      </c>
      <c r="E44" s="25">
        <f>IF(Jobs!$A8="","",Jobs!K8)</f>
        <v/>
      </c>
      <c r="F44" s="25">
        <f>IF(Jobs!$A8="","",Jobs!M8)</f>
        <v/>
      </c>
      <c r="G44" s="25">
        <f>IF(Jobs!$A8="","",Jobs!T8)</f>
        <v/>
      </c>
      <c r="H44" s="26">
        <f>IF(Jobs!$A8="","",Jobs!U8)</f>
        <v/>
      </c>
      <c r="I44" s="26">
        <f>IF(Jobs!$A8="","",Jobs!O8)</f>
        <v/>
      </c>
      <c r="J44" s="25">
        <f>IF(Jobs!$A8="","",Jobs!S8)</f>
        <v/>
      </c>
      <c r="K44" s="27">
        <f>IF(Jobs!$A8="","",Jobs!W8)</f>
        <v/>
      </c>
      <c r="L44" s="28">
        <f>IF(Jobs!$A8="","",Jobs!P8)</f>
        <v/>
      </c>
    </row>
    <row r="45">
      <c r="B45" s="9">
        <f>IF(Jobs!$A9="","",Jobs!A9)</f>
        <v/>
      </c>
      <c r="C45" s="9">
        <f>IF(Jobs!$A9="","",Jobs!B9)</f>
        <v/>
      </c>
      <c r="D45" s="9">
        <f>IF(Jobs!$A9="","",Jobs!D9)</f>
        <v/>
      </c>
      <c r="E45" s="25">
        <f>IF(Jobs!$A9="","",Jobs!K9)</f>
        <v/>
      </c>
      <c r="F45" s="25">
        <f>IF(Jobs!$A9="","",Jobs!M9)</f>
        <v/>
      </c>
      <c r="G45" s="25">
        <f>IF(Jobs!$A9="","",Jobs!T9)</f>
        <v/>
      </c>
      <c r="H45" s="26">
        <f>IF(Jobs!$A9="","",Jobs!U9)</f>
        <v/>
      </c>
      <c r="I45" s="26">
        <f>IF(Jobs!$A9="","",Jobs!O9)</f>
        <v/>
      </c>
      <c r="J45" s="25">
        <f>IF(Jobs!$A9="","",Jobs!S9)</f>
        <v/>
      </c>
      <c r="K45" s="27">
        <f>IF(Jobs!$A9="","",Jobs!W9)</f>
        <v/>
      </c>
      <c r="L45" s="28">
        <f>IF(Jobs!$A9="","",Jobs!P9)</f>
        <v/>
      </c>
    </row>
    <row r="46">
      <c r="B46" s="9">
        <f>IF(Jobs!$A10="","",Jobs!A10)</f>
        <v/>
      </c>
      <c r="C46" s="9">
        <f>IF(Jobs!$A10="","",Jobs!B10)</f>
        <v/>
      </c>
      <c r="D46" s="9">
        <f>IF(Jobs!$A10="","",Jobs!D10)</f>
        <v/>
      </c>
      <c r="E46" s="25">
        <f>IF(Jobs!$A10="","",Jobs!K10)</f>
        <v/>
      </c>
      <c r="F46" s="25">
        <f>IF(Jobs!$A10="","",Jobs!M10)</f>
        <v/>
      </c>
      <c r="G46" s="25">
        <f>IF(Jobs!$A10="","",Jobs!T10)</f>
        <v/>
      </c>
      <c r="H46" s="26">
        <f>IF(Jobs!$A10="","",Jobs!U10)</f>
        <v/>
      </c>
      <c r="I46" s="26">
        <f>IF(Jobs!$A10="","",Jobs!O10)</f>
        <v/>
      </c>
      <c r="J46" s="25">
        <f>IF(Jobs!$A10="","",Jobs!S10)</f>
        <v/>
      </c>
      <c r="K46" s="27">
        <f>IF(Jobs!$A10="","",Jobs!W10)</f>
        <v/>
      </c>
      <c r="L46" s="28">
        <f>IF(Jobs!$A10="","",Jobs!P10)</f>
        <v/>
      </c>
    </row>
    <row r="47">
      <c r="B47" s="9">
        <f>IF(Jobs!$A11="","",Jobs!A11)</f>
        <v/>
      </c>
      <c r="C47" s="9">
        <f>IF(Jobs!$A11="","",Jobs!B11)</f>
        <v/>
      </c>
      <c r="D47" s="9">
        <f>IF(Jobs!$A11="","",Jobs!D11)</f>
        <v/>
      </c>
      <c r="E47" s="25">
        <f>IF(Jobs!$A11="","",Jobs!K11)</f>
        <v/>
      </c>
      <c r="F47" s="25">
        <f>IF(Jobs!$A11="","",Jobs!M11)</f>
        <v/>
      </c>
      <c r="G47" s="25">
        <f>IF(Jobs!$A11="","",Jobs!T11)</f>
        <v/>
      </c>
      <c r="H47" s="26">
        <f>IF(Jobs!$A11="","",Jobs!U11)</f>
        <v/>
      </c>
      <c r="I47" s="26">
        <f>IF(Jobs!$A11="","",Jobs!O11)</f>
        <v/>
      </c>
      <c r="J47" s="25">
        <f>IF(Jobs!$A11="","",Jobs!S11)</f>
        <v/>
      </c>
      <c r="K47" s="27">
        <f>IF(Jobs!$A11="","",Jobs!W11)</f>
        <v/>
      </c>
      <c r="L47" s="28">
        <f>IF(Jobs!$A11="","",Jobs!P11)</f>
        <v/>
      </c>
    </row>
    <row r="48">
      <c r="B48" s="9">
        <f>IF(Jobs!$A12="","",Jobs!A12)</f>
        <v/>
      </c>
      <c r="C48" s="9">
        <f>IF(Jobs!$A12="","",Jobs!B12)</f>
        <v/>
      </c>
      <c r="D48" s="9">
        <f>IF(Jobs!$A12="","",Jobs!D12)</f>
        <v/>
      </c>
      <c r="E48" s="25">
        <f>IF(Jobs!$A12="","",Jobs!K12)</f>
        <v/>
      </c>
      <c r="F48" s="25">
        <f>IF(Jobs!$A12="","",Jobs!M12)</f>
        <v/>
      </c>
      <c r="G48" s="25">
        <f>IF(Jobs!$A12="","",Jobs!T12)</f>
        <v/>
      </c>
      <c r="H48" s="26">
        <f>IF(Jobs!$A12="","",Jobs!U12)</f>
        <v/>
      </c>
      <c r="I48" s="26">
        <f>IF(Jobs!$A12="","",Jobs!O12)</f>
        <v/>
      </c>
      <c r="J48" s="25">
        <f>IF(Jobs!$A12="","",Jobs!S12)</f>
        <v/>
      </c>
      <c r="K48" s="27">
        <f>IF(Jobs!$A12="","",Jobs!W12)</f>
        <v/>
      </c>
      <c r="L48" s="28">
        <f>IF(Jobs!$A12="","",Jobs!P12)</f>
        <v/>
      </c>
    </row>
    <row r="49">
      <c r="B49" s="9">
        <f>IF(Jobs!$A13="","",Jobs!A13)</f>
        <v/>
      </c>
      <c r="C49" s="9">
        <f>IF(Jobs!$A13="","",Jobs!B13)</f>
        <v/>
      </c>
      <c r="D49" s="9">
        <f>IF(Jobs!$A13="","",Jobs!D13)</f>
        <v/>
      </c>
      <c r="E49" s="25">
        <f>IF(Jobs!$A13="","",Jobs!K13)</f>
        <v/>
      </c>
      <c r="F49" s="25">
        <f>IF(Jobs!$A13="","",Jobs!M13)</f>
        <v/>
      </c>
      <c r="G49" s="25">
        <f>IF(Jobs!$A13="","",Jobs!T13)</f>
        <v/>
      </c>
      <c r="H49" s="26">
        <f>IF(Jobs!$A13="","",Jobs!U13)</f>
        <v/>
      </c>
      <c r="I49" s="26">
        <f>IF(Jobs!$A13="","",Jobs!O13)</f>
        <v/>
      </c>
      <c r="J49" s="25">
        <f>IF(Jobs!$A13="","",Jobs!S13)</f>
        <v/>
      </c>
      <c r="K49" s="27">
        <f>IF(Jobs!$A13="","",Jobs!W13)</f>
        <v/>
      </c>
      <c r="L49" s="28">
        <f>IF(Jobs!$A13="","",Jobs!P13)</f>
        <v/>
      </c>
    </row>
    <row r="50">
      <c r="B50" s="9">
        <f>IF(Jobs!$A14="","",Jobs!A14)</f>
        <v/>
      </c>
      <c r="C50" s="9">
        <f>IF(Jobs!$A14="","",Jobs!B14)</f>
        <v/>
      </c>
      <c r="D50" s="9">
        <f>IF(Jobs!$A14="","",Jobs!D14)</f>
        <v/>
      </c>
      <c r="E50" s="25">
        <f>IF(Jobs!$A14="","",Jobs!K14)</f>
        <v/>
      </c>
      <c r="F50" s="25">
        <f>IF(Jobs!$A14="","",Jobs!M14)</f>
        <v/>
      </c>
      <c r="G50" s="25">
        <f>IF(Jobs!$A14="","",Jobs!T14)</f>
        <v/>
      </c>
      <c r="H50" s="26">
        <f>IF(Jobs!$A14="","",Jobs!U14)</f>
        <v/>
      </c>
      <c r="I50" s="26">
        <f>IF(Jobs!$A14="","",Jobs!O14)</f>
        <v/>
      </c>
      <c r="J50" s="25">
        <f>IF(Jobs!$A14="","",Jobs!S14)</f>
        <v/>
      </c>
      <c r="K50" s="27">
        <f>IF(Jobs!$A14="","",Jobs!W14)</f>
        <v/>
      </c>
      <c r="L50" s="28">
        <f>IF(Jobs!$A14="","",Jobs!P14)</f>
        <v/>
      </c>
    </row>
    <row r="51">
      <c r="B51" s="9">
        <f>IF(Jobs!$A15="","",Jobs!A15)</f>
        <v/>
      </c>
      <c r="C51" s="9">
        <f>IF(Jobs!$A15="","",Jobs!B15)</f>
        <v/>
      </c>
      <c r="D51" s="9">
        <f>IF(Jobs!$A15="","",Jobs!D15)</f>
        <v/>
      </c>
      <c r="E51" s="25">
        <f>IF(Jobs!$A15="","",Jobs!K15)</f>
        <v/>
      </c>
      <c r="F51" s="25">
        <f>IF(Jobs!$A15="","",Jobs!M15)</f>
        <v/>
      </c>
      <c r="G51" s="25">
        <f>IF(Jobs!$A15="","",Jobs!T15)</f>
        <v/>
      </c>
      <c r="H51" s="26">
        <f>IF(Jobs!$A15="","",Jobs!U15)</f>
        <v/>
      </c>
      <c r="I51" s="26">
        <f>IF(Jobs!$A15="","",Jobs!O15)</f>
        <v/>
      </c>
      <c r="J51" s="25">
        <f>IF(Jobs!$A15="","",Jobs!S15)</f>
        <v/>
      </c>
      <c r="K51" s="27">
        <f>IF(Jobs!$A15="","",Jobs!W15)</f>
        <v/>
      </c>
      <c r="L51" s="28">
        <f>IF(Jobs!$A15="","",Jobs!P15)</f>
        <v/>
      </c>
    </row>
    <row r="52">
      <c r="B52" s="9">
        <f>IF(Jobs!$A16="","",Jobs!A16)</f>
        <v/>
      </c>
      <c r="C52" s="9">
        <f>IF(Jobs!$A16="","",Jobs!B16)</f>
        <v/>
      </c>
      <c r="D52" s="9">
        <f>IF(Jobs!$A16="","",Jobs!D16)</f>
        <v/>
      </c>
      <c r="E52" s="25">
        <f>IF(Jobs!$A16="","",Jobs!K16)</f>
        <v/>
      </c>
      <c r="F52" s="25">
        <f>IF(Jobs!$A16="","",Jobs!M16)</f>
        <v/>
      </c>
      <c r="G52" s="25">
        <f>IF(Jobs!$A16="","",Jobs!T16)</f>
        <v/>
      </c>
      <c r="H52" s="26">
        <f>IF(Jobs!$A16="","",Jobs!U16)</f>
        <v/>
      </c>
      <c r="I52" s="26">
        <f>IF(Jobs!$A16="","",Jobs!O16)</f>
        <v/>
      </c>
      <c r="J52" s="25">
        <f>IF(Jobs!$A16="","",Jobs!S16)</f>
        <v/>
      </c>
      <c r="K52" s="27">
        <f>IF(Jobs!$A16="","",Jobs!W16)</f>
        <v/>
      </c>
      <c r="L52" s="28">
        <f>IF(Jobs!$A16="","",Jobs!P16)</f>
        <v/>
      </c>
    </row>
    <row r="53">
      <c r="B53" s="9">
        <f>IF(Jobs!$A17="","",Jobs!A17)</f>
        <v/>
      </c>
      <c r="C53" s="9">
        <f>IF(Jobs!$A17="","",Jobs!B17)</f>
        <v/>
      </c>
      <c r="D53" s="9">
        <f>IF(Jobs!$A17="","",Jobs!D17)</f>
        <v/>
      </c>
      <c r="E53" s="25">
        <f>IF(Jobs!$A17="","",Jobs!K17)</f>
        <v/>
      </c>
      <c r="F53" s="25">
        <f>IF(Jobs!$A17="","",Jobs!M17)</f>
        <v/>
      </c>
      <c r="G53" s="25">
        <f>IF(Jobs!$A17="","",Jobs!T17)</f>
        <v/>
      </c>
      <c r="H53" s="26">
        <f>IF(Jobs!$A17="","",Jobs!U17)</f>
        <v/>
      </c>
      <c r="I53" s="26">
        <f>IF(Jobs!$A17="","",Jobs!O17)</f>
        <v/>
      </c>
      <c r="J53" s="25">
        <f>IF(Jobs!$A17="","",Jobs!S17)</f>
        <v/>
      </c>
      <c r="K53" s="27">
        <f>IF(Jobs!$A17="","",Jobs!W17)</f>
        <v/>
      </c>
      <c r="L53" s="28">
        <f>IF(Jobs!$A17="","",Jobs!P17)</f>
        <v/>
      </c>
    </row>
    <row r="54">
      <c r="B54" s="9">
        <f>IF(Jobs!$A18="","",Jobs!A18)</f>
        <v/>
      </c>
      <c r="C54" s="9">
        <f>IF(Jobs!$A18="","",Jobs!B18)</f>
        <v/>
      </c>
      <c r="D54" s="9">
        <f>IF(Jobs!$A18="","",Jobs!D18)</f>
        <v/>
      </c>
      <c r="E54" s="25">
        <f>IF(Jobs!$A18="","",Jobs!K18)</f>
        <v/>
      </c>
      <c r="F54" s="25">
        <f>IF(Jobs!$A18="","",Jobs!M18)</f>
        <v/>
      </c>
      <c r="G54" s="25">
        <f>IF(Jobs!$A18="","",Jobs!T18)</f>
        <v/>
      </c>
      <c r="H54" s="26">
        <f>IF(Jobs!$A18="","",Jobs!U18)</f>
        <v/>
      </c>
      <c r="I54" s="26">
        <f>IF(Jobs!$A18="","",Jobs!O18)</f>
        <v/>
      </c>
      <c r="J54" s="25">
        <f>IF(Jobs!$A18="","",Jobs!S18)</f>
        <v/>
      </c>
      <c r="K54" s="27">
        <f>IF(Jobs!$A18="","",Jobs!W18)</f>
        <v/>
      </c>
      <c r="L54" s="28">
        <f>IF(Jobs!$A18="","",Jobs!P18)</f>
        <v/>
      </c>
    </row>
    <row r="55">
      <c r="B55" s="9">
        <f>IF(Jobs!$A19="","",Jobs!A19)</f>
        <v/>
      </c>
      <c r="C55" s="9">
        <f>IF(Jobs!$A19="","",Jobs!B19)</f>
        <v/>
      </c>
      <c r="D55" s="9">
        <f>IF(Jobs!$A19="","",Jobs!D19)</f>
        <v/>
      </c>
      <c r="E55" s="25">
        <f>IF(Jobs!$A19="","",Jobs!K19)</f>
        <v/>
      </c>
      <c r="F55" s="25">
        <f>IF(Jobs!$A19="","",Jobs!M19)</f>
        <v/>
      </c>
      <c r="G55" s="25">
        <f>IF(Jobs!$A19="","",Jobs!T19)</f>
        <v/>
      </c>
      <c r="H55" s="26">
        <f>IF(Jobs!$A19="","",Jobs!U19)</f>
        <v/>
      </c>
      <c r="I55" s="26">
        <f>IF(Jobs!$A19="","",Jobs!O19)</f>
        <v/>
      </c>
      <c r="J55" s="25">
        <f>IF(Jobs!$A19="","",Jobs!S19)</f>
        <v/>
      </c>
      <c r="K55" s="27">
        <f>IF(Jobs!$A19="","",Jobs!W19)</f>
        <v/>
      </c>
      <c r="L55" s="28">
        <f>IF(Jobs!$A19="","",Jobs!P19)</f>
        <v/>
      </c>
    </row>
    <row r="56">
      <c r="B56" s="9">
        <f>IF(Jobs!$A20="","",Jobs!A20)</f>
        <v/>
      </c>
      <c r="C56" s="9">
        <f>IF(Jobs!$A20="","",Jobs!B20)</f>
        <v/>
      </c>
      <c r="D56" s="9">
        <f>IF(Jobs!$A20="","",Jobs!D20)</f>
        <v/>
      </c>
      <c r="E56" s="25">
        <f>IF(Jobs!$A20="","",Jobs!K20)</f>
        <v/>
      </c>
      <c r="F56" s="25">
        <f>IF(Jobs!$A20="","",Jobs!M20)</f>
        <v/>
      </c>
      <c r="G56" s="25">
        <f>IF(Jobs!$A20="","",Jobs!T20)</f>
        <v/>
      </c>
      <c r="H56" s="26">
        <f>IF(Jobs!$A20="","",Jobs!U20)</f>
        <v/>
      </c>
      <c r="I56" s="26">
        <f>IF(Jobs!$A20="","",Jobs!O20)</f>
        <v/>
      </c>
      <c r="J56" s="25">
        <f>IF(Jobs!$A20="","",Jobs!S20)</f>
        <v/>
      </c>
      <c r="K56" s="27">
        <f>IF(Jobs!$A20="","",Jobs!W20)</f>
        <v/>
      </c>
      <c r="L56" s="28">
        <f>IF(Jobs!$A20="","",Jobs!P20)</f>
        <v/>
      </c>
    </row>
    <row r="57">
      <c r="B57" s="9">
        <f>IF(Jobs!$A21="","",Jobs!A21)</f>
        <v/>
      </c>
      <c r="C57" s="9">
        <f>IF(Jobs!$A21="","",Jobs!B21)</f>
        <v/>
      </c>
      <c r="D57" s="9">
        <f>IF(Jobs!$A21="","",Jobs!D21)</f>
        <v/>
      </c>
      <c r="E57" s="25">
        <f>IF(Jobs!$A21="","",Jobs!K21)</f>
        <v/>
      </c>
      <c r="F57" s="25">
        <f>IF(Jobs!$A21="","",Jobs!M21)</f>
        <v/>
      </c>
      <c r="G57" s="25">
        <f>IF(Jobs!$A21="","",Jobs!T21)</f>
        <v/>
      </c>
      <c r="H57" s="26">
        <f>IF(Jobs!$A21="","",Jobs!U21)</f>
        <v/>
      </c>
      <c r="I57" s="26">
        <f>IF(Jobs!$A21="","",Jobs!O21)</f>
        <v/>
      </c>
      <c r="J57" s="25">
        <f>IF(Jobs!$A21="","",Jobs!S21)</f>
        <v/>
      </c>
      <c r="K57" s="27">
        <f>IF(Jobs!$A21="","",Jobs!W21)</f>
        <v/>
      </c>
      <c r="L57" s="28">
        <f>IF(Jobs!$A21="","",Jobs!P21)</f>
        <v/>
      </c>
    </row>
    <row r="58">
      <c r="B58" s="9">
        <f>IF(Jobs!$A22="","",Jobs!A22)</f>
        <v/>
      </c>
      <c r="C58" s="9">
        <f>IF(Jobs!$A22="","",Jobs!B22)</f>
        <v/>
      </c>
      <c r="D58" s="9">
        <f>IF(Jobs!$A22="","",Jobs!D22)</f>
        <v/>
      </c>
      <c r="E58" s="25">
        <f>IF(Jobs!$A22="","",Jobs!K22)</f>
        <v/>
      </c>
      <c r="F58" s="25">
        <f>IF(Jobs!$A22="","",Jobs!M22)</f>
        <v/>
      </c>
      <c r="G58" s="25">
        <f>IF(Jobs!$A22="","",Jobs!T22)</f>
        <v/>
      </c>
      <c r="H58" s="26">
        <f>IF(Jobs!$A22="","",Jobs!U22)</f>
        <v/>
      </c>
      <c r="I58" s="26">
        <f>IF(Jobs!$A22="","",Jobs!O22)</f>
        <v/>
      </c>
      <c r="J58" s="25">
        <f>IF(Jobs!$A22="","",Jobs!S22)</f>
        <v/>
      </c>
      <c r="K58" s="27">
        <f>IF(Jobs!$A22="","",Jobs!W22)</f>
        <v/>
      </c>
      <c r="L58" s="28">
        <f>IF(Jobs!$A22="","",Jobs!P22)</f>
        <v/>
      </c>
    </row>
    <row r="59">
      <c r="B59" s="9">
        <f>IF(Jobs!$A23="","",Jobs!A23)</f>
        <v/>
      </c>
      <c r="C59" s="9">
        <f>IF(Jobs!$A23="","",Jobs!B23)</f>
        <v/>
      </c>
      <c r="D59" s="9">
        <f>IF(Jobs!$A23="","",Jobs!D23)</f>
        <v/>
      </c>
      <c r="E59" s="25">
        <f>IF(Jobs!$A23="","",Jobs!K23)</f>
        <v/>
      </c>
      <c r="F59" s="25">
        <f>IF(Jobs!$A23="","",Jobs!M23)</f>
        <v/>
      </c>
      <c r="G59" s="25">
        <f>IF(Jobs!$A23="","",Jobs!T23)</f>
        <v/>
      </c>
      <c r="H59" s="26">
        <f>IF(Jobs!$A23="","",Jobs!U23)</f>
        <v/>
      </c>
      <c r="I59" s="26">
        <f>IF(Jobs!$A23="","",Jobs!O23)</f>
        <v/>
      </c>
      <c r="J59" s="25">
        <f>IF(Jobs!$A23="","",Jobs!S23)</f>
        <v/>
      </c>
      <c r="K59" s="27">
        <f>IF(Jobs!$A23="","",Jobs!W23)</f>
        <v/>
      </c>
      <c r="L59" s="28">
        <f>IF(Jobs!$A23="","",Jobs!P23)</f>
        <v/>
      </c>
    </row>
    <row r="60">
      <c r="B60" s="9">
        <f>IF(Jobs!$A24="","",Jobs!A24)</f>
        <v/>
      </c>
      <c r="C60" s="9">
        <f>IF(Jobs!$A24="","",Jobs!B24)</f>
        <v/>
      </c>
      <c r="D60" s="9">
        <f>IF(Jobs!$A24="","",Jobs!D24)</f>
        <v/>
      </c>
      <c r="E60" s="25">
        <f>IF(Jobs!$A24="","",Jobs!K24)</f>
        <v/>
      </c>
      <c r="F60" s="25">
        <f>IF(Jobs!$A24="","",Jobs!M24)</f>
        <v/>
      </c>
      <c r="G60" s="25">
        <f>IF(Jobs!$A24="","",Jobs!T24)</f>
        <v/>
      </c>
      <c r="H60" s="26">
        <f>IF(Jobs!$A24="","",Jobs!U24)</f>
        <v/>
      </c>
      <c r="I60" s="26">
        <f>IF(Jobs!$A24="","",Jobs!O24)</f>
        <v/>
      </c>
      <c r="J60" s="25">
        <f>IF(Jobs!$A24="","",Jobs!S24)</f>
        <v/>
      </c>
      <c r="K60" s="27">
        <f>IF(Jobs!$A24="","",Jobs!W24)</f>
        <v/>
      </c>
      <c r="L60" s="28">
        <f>IF(Jobs!$A24="","",Jobs!P24)</f>
        <v/>
      </c>
    </row>
    <row r="61">
      <c r="B61" s="9">
        <f>IF(Jobs!$A25="","",Jobs!A25)</f>
        <v/>
      </c>
      <c r="C61" s="9">
        <f>IF(Jobs!$A25="","",Jobs!B25)</f>
        <v/>
      </c>
      <c r="D61" s="9">
        <f>IF(Jobs!$A25="","",Jobs!D25)</f>
        <v/>
      </c>
      <c r="E61" s="25">
        <f>IF(Jobs!$A25="","",Jobs!K25)</f>
        <v/>
      </c>
      <c r="F61" s="25">
        <f>IF(Jobs!$A25="","",Jobs!M25)</f>
        <v/>
      </c>
      <c r="G61" s="25">
        <f>IF(Jobs!$A25="","",Jobs!T25)</f>
        <v/>
      </c>
      <c r="H61" s="26">
        <f>IF(Jobs!$A25="","",Jobs!U25)</f>
        <v/>
      </c>
      <c r="I61" s="26">
        <f>IF(Jobs!$A25="","",Jobs!O25)</f>
        <v/>
      </c>
      <c r="J61" s="25">
        <f>IF(Jobs!$A25="","",Jobs!S25)</f>
        <v/>
      </c>
      <c r="K61" s="27">
        <f>IF(Jobs!$A25="","",Jobs!W25)</f>
        <v/>
      </c>
      <c r="L61" s="28">
        <f>IF(Jobs!$A25="","",Jobs!P25)</f>
        <v/>
      </c>
    </row>
    <row r="62">
      <c r="B62" s="9">
        <f>IF(Jobs!$A26="","",Jobs!A26)</f>
        <v/>
      </c>
      <c r="C62" s="9">
        <f>IF(Jobs!$A26="","",Jobs!B26)</f>
        <v/>
      </c>
      <c r="D62" s="9">
        <f>IF(Jobs!$A26="","",Jobs!D26)</f>
        <v/>
      </c>
      <c r="E62" s="25">
        <f>IF(Jobs!$A26="","",Jobs!K26)</f>
        <v/>
      </c>
      <c r="F62" s="25">
        <f>IF(Jobs!$A26="","",Jobs!M26)</f>
        <v/>
      </c>
      <c r="G62" s="25">
        <f>IF(Jobs!$A26="","",Jobs!T26)</f>
        <v/>
      </c>
      <c r="H62" s="26">
        <f>IF(Jobs!$A26="","",Jobs!U26)</f>
        <v/>
      </c>
      <c r="I62" s="26">
        <f>IF(Jobs!$A26="","",Jobs!O26)</f>
        <v/>
      </c>
      <c r="J62" s="25">
        <f>IF(Jobs!$A26="","",Jobs!S26)</f>
        <v/>
      </c>
      <c r="K62" s="27">
        <f>IF(Jobs!$A26="","",Jobs!W26)</f>
        <v/>
      </c>
      <c r="L62" s="28">
        <f>IF(Jobs!$A26="","",Jobs!P26)</f>
        <v/>
      </c>
    </row>
    <row r="63">
      <c r="B63" s="9">
        <f>IF(Jobs!$A27="","",Jobs!A27)</f>
        <v/>
      </c>
      <c r="C63" s="9">
        <f>IF(Jobs!$A27="","",Jobs!B27)</f>
        <v/>
      </c>
      <c r="D63" s="9">
        <f>IF(Jobs!$A27="","",Jobs!D27)</f>
        <v/>
      </c>
      <c r="E63" s="25">
        <f>IF(Jobs!$A27="","",Jobs!K27)</f>
        <v/>
      </c>
      <c r="F63" s="25">
        <f>IF(Jobs!$A27="","",Jobs!M27)</f>
        <v/>
      </c>
      <c r="G63" s="25">
        <f>IF(Jobs!$A27="","",Jobs!T27)</f>
        <v/>
      </c>
      <c r="H63" s="26">
        <f>IF(Jobs!$A27="","",Jobs!U27)</f>
        <v/>
      </c>
      <c r="I63" s="26">
        <f>IF(Jobs!$A27="","",Jobs!O27)</f>
        <v/>
      </c>
      <c r="J63" s="25">
        <f>IF(Jobs!$A27="","",Jobs!S27)</f>
        <v/>
      </c>
      <c r="K63" s="27">
        <f>IF(Jobs!$A27="","",Jobs!W27)</f>
        <v/>
      </c>
      <c r="L63" s="28">
        <f>IF(Jobs!$A27="","",Jobs!P27)</f>
        <v/>
      </c>
    </row>
    <row r="64">
      <c r="B64" s="9">
        <f>IF(Jobs!$A28="","",Jobs!A28)</f>
        <v/>
      </c>
      <c r="C64" s="9">
        <f>IF(Jobs!$A28="","",Jobs!B28)</f>
        <v/>
      </c>
      <c r="D64" s="9">
        <f>IF(Jobs!$A28="","",Jobs!D28)</f>
        <v/>
      </c>
      <c r="E64" s="25">
        <f>IF(Jobs!$A28="","",Jobs!K28)</f>
        <v/>
      </c>
      <c r="F64" s="25">
        <f>IF(Jobs!$A28="","",Jobs!M28)</f>
        <v/>
      </c>
      <c r="G64" s="25">
        <f>IF(Jobs!$A28="","",Jobs!T28)</f>
        <v/>
      </c>
      <c r="H64" s="26">
        <f>IF(Jobs!$A28="","",Jobs!U28)</f>
        <v/>
      </c>
      <c r="I64" s="26">
        <f>IF(Jobs!$A28="","",Jobs!O28)</f>
        <v/>
      </c>
      <c r="J64" s="25">
        <f>IF(Jobs!$A28="","",Jobs!S28)</f>
        <v/>
      </c>
      <c r="K64" s="27">
        <f>IF(Jobs!$A28="","",Jobs!W28)</f>
        <v/>
      </c>
      <c r="L64" s="28">
        <f>IF(Jobs!$A28="","",Jobs!P28)</f>
        <v/>
      </c>
    </row>
    <row r="65">
      <c r="B65" s="9">
        <f>IF(Jobs!$A29="","",Jobs!A29)</f>
        <v/>
      </c>
      <c r="C65" s="9">
        <f>IF(Jobs!$A29="","",Jobs!B29)</f>
        <v/>
      </c>
      <c r="D65" s="9">
        <f>IF(Jobs!$A29="","",Jobs!D29)</f>
        <v/>
      </c>
      <c r="E65" s="25">
        <f>IF(Jobs!$A29="","",Jobs!K29)</f>
        <v/>
      </c>
      <c r="F65" s="25">
        <f>IF(Jobs!$A29="","",Jobs!M29)</f>
        <v/>
      </c>
      <c r="G65" s="25">
        <f>IF(Jobs!$A29="","",Jobs!T29)</f>
        <v/>
      </c>
      <c r="H65" s="26">
        <f>IF(Jobs!$A29="","",Jobs!U29)</f>
        <v/>
      </c>
      <c r="I65" s="26">
        <f>IF(Jobs!$A29="","",Jobs!O29)</f>
        <v/>
      </c>
      <c r="J65" s="25">
        <f>IF(Jobs!$A29="","",Jobs!S29)</f>
        <v/>
      </c>
      <c r="K65" s="27">
        <f>IF(Jobs!$A29="","",Jobs!W29)</f>
        <v/>
      </c>
      <c r="L65" s="28">
        <f>IF(Jobs!$A29="","",Jobs!P29)</f>
        <v/>
      </c>
    </row>
    <row r="66">
      <c r="B66" s="9">
        <f>IF(Jobs!$A30="","",Jobs!A30)</f>
        <v/>
      </c>
      <c r="C66" s="9">
        <f>IF(Jobs!$A30="","",Jobs!B30)</f>
        <v/>
      </c>
      <c r="D66" s="9">
        <f>IF(Jobs!$A30="","",Jobs!D30)</f>
        <v/>
      </c>
      <c r="E66" s="25">
        <f>IF(Jobs!$A30="","",Jobs!K30)</f>
        <v/>
      </c>
      <c r="F66" s="25">
        <f>IF(Jobs!$A30="","",Jobs!M30)</f>
        <v/>
      </c>
      <c r="G66" s="25">
        <f>IF(Jobs!$A30="","",Jobs!T30)</f>
        <v/>
      </c>
      <c r="H66" s="26">
        <f>IF(Jobs!$A30="","",Jobs!U30)</f>
        <v/>
      </c>
      <c r="I66" s="26">
        <f>IF(Jobs!$A30="","",Jobs!O30)</f>
        <v/>
      </c>
      <c r="J66" s="25">
        <f>IF(Jobs!$A30="","",Jobs!S30)</f>
        <v/>
      </c>
      <c r="K66" s="27">
        <f>IF(Jobs!$A30="","",Jobs!W30)</f>
        <v/>
      </c>
      <c r="L66" s="28">
        <f>IF(Jobs!$A30="","",Jobs!P30)</f>
        <v/>
      </c>
    </row>
    <row r="67">
      <c r="B67" s="9">
        <f>IF(Jobs!$A31="","",Jobs!A31)</f>
        <v/>
      </c>
      <c r="C67" s="9">
        <f>IF(Jobs!$A31="","",Jobs!B31)</f>
        <v/>
      </c>
      <c r="D67" s="9">
        <f>IF(Jobs!$A31="","",Jobs!D31)</f>
        <v/>
      </c>
      <c r="E67" s="25">
        <f>IF(Jobs!$A31="","",Jobs!K31)</f>
        <v/>
      </c>
      <c r="F67" s="25">
        <f>IF(Jobs!$A31="","",Jobs!M31)</f>
        <v/>
      </c>
      <c r="G67" s="25">
        <f>IF(Jobs!$A31="","",Jobs!T31)</f>
        <v/>
      </c>
      <c r="H67" s="26">
        <f>IF(Jobs!$A31="","",Jobs!U31)</f>
        <v/>
      </c>
      <c r="I67" s="26">
        <f>IF(Jobs!$A31="","",Jobs!O31)</f>
        <v/>
      </c>
      <c r="J67" s="25">
        <f>IF(Jobs!$A31="","",Jobs!S31)</f>
        <v/>
      </c>
      <c r="K67" s="27">
        <f>IF(Jobs!$A31="","",Jobs!W31)</f>
        <v/>
      </c>
      <c r="L67" s="28">
        <f>IF(Jobs!$A31="","",Jobs!P31)</f>
        <v/>
      </c>
    </row>
    <row r="68">
      <c r="B68" s="9">
        <f>IF(Jobs!$A32="","",Jobs!A32)</f>
        <v/>
      </c>
      <c r="C68" s="9">
        <f>IF(Jobs!$A32="","",Jobs!B32)</f>
        <v/>
      </c>
      <c r="D68" s="9">
        <f>IF(Jobs!$A32="","",Jobs!D32)</f>
        <v/>
      </c>
      <c r="E68" s="25">
        <f>IF(Jobs!$A32="","",Jobs!K32)</f>
        <v/>
      </c>
      <c r="F68" s="25">
        <f>IF(Jobs!$A32="","",Jobs!M32)</f>
        <v/>
      </c>
      <c r="G68" s="25">
        <f>IF(Jobs!$A32="","",Jobs!T32)</f>
        <v/>
      </c>
      <c r="H68" s="26">
        <f>IF(Jobs!$A32="","",Jobs!U32)</f>
        <v/>
      </c>
      <c r="I68" s="26">
        <f>IF(Jobs!$A32="","",Jobs!O32)</f>
        <v/>
      </c>
      <c r="J68" s="25">
        <f>IF(Jobs!$A32="","",Jobs!S32)</f>
        <v/>
      </c>
      <c r="K68" s="27">
        <f>IF(Jobs!$A32="","",Jobs!W32)</f>
        <v/>
      </c>
      <c r="L68" s="28">
        <f>IF(Jobs!$A32="","",Jobs!P32)</f>
        <v/>
      </c>
    </row>
    <row r="69">
      <c r="B69" s="9">
        <f>IF(Jobs!$A33="","",Jobs!A33)</f>
        <v/>
      </c>
      <c r="C69" s="9">
        <f>IF(Jobs!$A33="","",Jobs!B33)</f>
        <v/>
      </c>
      <c r="D69" s="9">
        <f>IF(Jobs!$A33="","",Jobs!D33)</f>
        <v/>
      </c>
      <c r="E69" s="25">
        <f>IF(Jobs!$A33="","",Jobs!K33)</f>
        <v/>
      </c>
      <c r="F69" s="25">
        <f>IF(Jobs!$A33="","",Jobs!M33)</f>
        <v/>
      </c>
      <c r="G69" s="25">
        <f>IF(Jobs!$A33="","",Jobs!T33)</f>
        <v/>
      </c>
      <c r="H69" s="26">
        <f>IF(Jobs!$A33="","",Jobs!U33)</f>
        <v/>
      </c>
      <c r="I69" s="26">
        <f>IF(Jobs!$A33="","",Jobs!O33)</f>
        <v/>
      </c>
      <c r="J69" s="25">
        <f>IF(Jobs!$A33="","",Jobs!S33)</f>
        <v/>
      </c>
      <c r="K69" s="27">
        <f>IF(Jobs!$A33="","",Jobs!W33)</f>
        <v/>
      </c>
      <c r="L69" s="28">
        <f>IF(Jobs!$A33="","",Jobs!P33)</f>
        <v/>
      </c>
    </row>
    <row r="70">
      <c r="B70" s="9">
        <f>IF(Jobs!$A34="","",Jobs!A34)</f>
        <v/>
      </c>
      <c r="C70" s="9">
        <f>IF(Jobs!$A34="","",Jobs!B34)</f>
        <v/>
      </c>
      <c r="D70" s="9">
        <f>IF(Jobs!$A34="","",Jobs!D34)</f>
        <v/>
      </c>
      <c r="E70" s="25">
        <f>IF(Jobs!$A34="","",Jobs!K34)</f>
        <v/>
      </c>
      <c r="F70" s="25">
        <f>IF(Jobs!$A34="","",Jobs!M34)</f>
        <v/>
      </c>
      <c r="G70" s="25">
        <f>IF(Jobs!$A34="","",Jobs!T34)</f>
        <v/>
      </c>
      <c r="H70" s="26">
        <f>IF(Jobs!$A34="","",Jobs!U34)</f>
        <v/>
      </c>
      <c r="I70" s="26">
        <f>IF(Jobs!$A34="","",Jobs!O34)</f>
        <v/>
      </c>
      <c r="J70" s="25">
        <f>IF(Jobs!$A34="","",Jobs!S34)</f>
        <v/>
      </c>
      <c r="K70" s="27">
        <f>IF(Jobs!$A34="","",Jobs!W34)</f>
        <v/>
      </c>
      <c r="L70" s="28">
        <f>IF(Jobs!$A34="","",Jobs!P34)</f>
        <v/>
      </c>
    </row>
    <row r="71">
      <c r="B71" s="9">
        <f>IF(Jobs!$A35="","",Jobs!A35)</f>
        <v/>
      </c>
      <c r="C71" s="9">
        <f>IF(Jobs!$A35="","",Jobs!B35)</f>
        <v/>
      </c>
      <c r="D71" s="9">
        <f>IF(Jobs!$A35="","",Jobs!D35)</f>
        <v/>
      </c>
      <c r="E71" s="25">
        <f>IF(Jobs!$A35="","",Jobs!K35)</f>
        <v/>
      </c>
      <c r="F71" s="25">
        <f>IF(Jobs!$A35="","",Jobs!M35)</f>
        <v/>
      </c>
      <c r="G71" s="25">
        <f>IF(Jobs!$A35="","",Jobs!T35)</f>
        <v/>
      </c>
      <c r="H71" s="26">
        <f>IF(Jobs!$A35="","",Jobs!U35)</f>
        <v/>
      </c>
      <c r="I71" s="26">
        <f>IF(Jobs!$A35="","",Jobs!O35)</f>
        <v/>
      </c>
      <c r="J71" s="25">
        <f>IF(Jobs!$A35="","",Jobs!S35)</f>
        <v/>
      </c>
      <c r="K71" s="27">
        <f>IF(Jobs!$A35="","",Jobs!W35)</f>
        <v/>
      </c>
      <c r="L71" s="28">
        <f>IF(Jobs!$A35="","",Jobs!P35)</f>
        <v/>
      </c>
    </row>
    <row r="72">
      <c r="B72" s="9">
        <f>IF(Jobs!$A36="","",Jobs!A36)</f>
        <v/>
      </c>
      <c r="C72" s="9">
        <f>IF(Jobs!$A36="","",Jobs!B36)</f>
        <v/>
      </c>
      <c r="D72" s="9">
        <f>IF(Jobs!$A36="","",Jobs!D36)</f>
        <v/>
      </c>
      <c r="E72" s="25">
        <f>IF(Jobs!$A36="","",Jobs!K36)</f>
        <v/>
      </c>
      <c r="F72" s="25">
        <f>IF(Jobs!$A36="","",Jobs!M36)</f>
        <v/>
      </c>
      <c r="G72" s="25">
        <f>IF(Jobs!$A36="","",Jobs!T36)</f>
        <v/>
      </c>
      <c r="H72" s="26">
        <f>IF(Jobs!$A36="","",Jobs!U36)</f>
        <v/>
      </c>
      <c r="I72" s="26">
        <f>IF(Jobs!$A36="","",Jobs!O36)</f>
        <v/>
      </c>
      <c r="J72" s="25">
        <f>IF(Jobs!$A36="","",Jobs!S36)</f>
        <v/>
      </c>
      <c r="K72" s="27">
        <f>IF(Jobs!$A36="","",Jobs!W36)</f>
        <v/>
      </c>
      <c r="L72" s="28">
        <f>IF(Jobs!$A36="","",Jobs!P36)</f>
        <v/>
      </c>
    </row>
    <row r="73">
      <c r="B73" s="9">
        <f>IF(Jobs!$A37="","",Jobs!A37)</f>
        <v/>
      </c>
      <c r="C73" s="9">
        <f>IF(Jobs!$A37="","",Jobs!B37)</f>
        <v/>
      </c>
      <c r="D73" s="9">
        <f>IF(Jobs!$A37="","",Jobs!D37)</f>
        <v/>
      </c>
      <c r="E73" s="25">
        <f>IF(Jobs!$A37="","",Jobs!K37)</f>
        <v/>
      </c>
      <c r="F73" s="25">
        <f>IF(Jobs!$A37="","",Jobs!M37)</f>
        <v/>
      </c>
      <c r="G73" s="25">
        <f>IF(Jobs!$A37="","",Jobs!T37)</f>
        <v/>
      </c>
      <c r="H73" s="26">
        <f>IF(Jobs!$A37="","",Jobs!U37)</f>
        <v/>
      </c>
      <c r="I73" s="26">
        <f>IF(Jobs!$A37="","",Jobs!O37)</f>
        <v/>
      </c>
      <c r="J73" s="25">
        <f>IF(Jobs!$A37="","",Jobs!S37)</f>
        <v/>
      </c>
      <c r="K73" s="27">
        <f>IF(Jobs!$A37="","",Jobs!W37)</f>
        <v/>
      </c>
      <c r="L73" s="28">
        <f>IF(Jobs!$A37="","",Jobs!P37)</f>
        <v/>
      </c>
    </row>
    <row r="74">
      <c r="B74" s="9">
        <f>IF(Jobs!$A38="","",Jobs!A38)</f>
        <v/>
      </c>
      <c r="C74" s="9">
        <f>IF(Jobs!$A38="","",Jobs!B38)</f>
        <v/>
      </c>
      <c r="D74" s="9">
        <f>IF(Jobs!$A38="","",Jobs!D38)</f>
        <v/>
      </c>
      <c r="E74" s="25">
        <f>IF(Jobs!$A38="","",Jobs!K38)</f>
        <v/>
      </c>
      <c r="F74" s="25">
        <f>IF(Jobs!$A38="","",Jobs!M38)</f>
        <v/>
      </c>
      <c r="G74" s="25">
        <f>IF(Jobs!$A38="","",Jobs!T38)</f>
        <v/>
      </c>
      <c r="H74" s="26">
        <f>IF(Jobs!$A38="","",Jobs!U38)</f>
        <v/>
      </c>
      <c r="I74" s="26">
        <f>IF(Jobs!$A38="","",Jobs!O38)</f>
        <v/>
      </c>
      <c r="J74" s="25">
        <f>IF(Jobs!$A38="","",Jobs!S38)</f>
        <v/>
      </c>
      <c r="K74" s="27">
        <f>IF(Jobs!$A38="","",Jobs!W38)</f>
        <v/>
      </c>
      <c r="L74" s="28">
        <f>IF(Jobs!$A38="","",Jobs!P38)</f>
        <v/>
      </c>
    </row>
    <row r="75">
      <c r="B75" s="9">
        <f>IF(Jobs!$A39="","",Jobs!A39)</f>
        <v/>
      </c>
      <c r="C75" s="9">
        <f>IF(Jobs!$A39="","",Jobs!B39)</f>
        <v/>
      </c>
      <c r="D75" s="9">
        <f>IF(Jobs!$A39="","",Jobs!D39)</f>
        <v/>
      </c>
      <c r="E75" s="25">
        <f>IF(Jobs!$A39="","",Jobs!K39)</f>
        <v/>
      </c>
      <c r="F75" s="25">
        <f>IF(Jobs!$A39="","",Jobs!M39)</f>
        <v/>
      </c>
      <c r="G75" s="25">
        <f>IF(Jobs!$A39="","",Jobs!T39)</f>
        <v/>
      </c>
      <c r="H75" s="26">
        <f>IF(Jobs!$A39="","",Jobs!U39)</f>
        <v/>
      </c>
      <c r="I75" s="26">
        <f>IF(Jobs!$A39="","",Jobs!O39)</f>
        <v/>
      </c>
      <c r="J75" s="25">
        <f>IF(Jobs!$A39="","",Jobs!S39)</f>
        <v/>
      </c>
      <c r="K75" s="27">
        <f>IF(Jobs!$A39="","",Jobs!W39)</f>
        <v/>
      </c>
      <c r="L75" s="28">
        <f>IF(Jobs!$A39="","",Jobs!P39)</f>
        <v/>
      </c>
    </row>
    <row r="76">
      <c r="B76" s="9">
        <f>IF(Jobs!$A40="","",Jobs!A40)</f>
        <v/>
      </c>
      <c r="C76" s="9">
        <f>IF(Jobs!$A40="","",Jobs!B40)</f>
        <v/>
      </c>
      <c r="D76" s="9">
        <f>IF(Jobs!$A40="","",Jobs!D40)</f>
        <v/>
      </c>
      <c r="E76" s="25">
        <f>IF(Jobs!$A40="","",Jobs!K40)</f>
        <v/>
      </c>
      <c r="F76" s="25">
        <f>IF(Jobs!$A40="","",Jobs!M40)</f>
        <v/>
      </c>
      <c r="G76" s="25">
        <f>IF(Jobs!$A40="","",Jobs!T40)</f>
        <v/>
      </c>
      <c r="H76" s="26">
        <f>IF(Jobs!$A40="","",Jobs!U40)</f>
        <v/>
      </c>
      <c r="I76" s="26">
        <f>IF(Jobs!$A40="","",Jobs!O40)</f>
        <v/>
      </c>
      <c r="J76" s="25">
        <f>IF(Jobs!$A40="","",Jobs!S40)</f>
        <v/>
      </c>
      <c r="K76" s="27">
        <f>IF(Jobs!$A40="","",Jobs!W40)</f>
        <v/>
      </c>
      <c r="L76" s="28">
        <f>IF(Jobs!$A40="","",Jobs!P40)</f>
        <v/>
      </c>
    </row>
    <row r="77">
      <c r="B77" s="9">
        <f>IF(Jobs!$A41="","",Jobs!A41)</f>
        <v/>
      </c>
      <c r="C77" s="9">
        <f>IF(Jobs!$A41="","",Jobs!B41)</f>
        <v/>
      </c>
      <c r="D77" s="9">
        <f>IF(Jobs!$A41="","",Jobs!D41)</f>
        <v/>
      </c>
      <c r="E77" s="25">
        <f>IF(Jobs!$A41="","",Jobs!K41)</f>
        <v/>
      </c>
      <c r="F77" s="25">
        <f>IF(Jobs!$A41="","",Jobs!M41)</f>
        <v/>
      </c>
      <c r="G77" s="25">
        <f>IF(Jobs!$A41="","",Jobs!T41)</f>
        <v/>
      </c>
      <c r="H77" s="26">
        <f>IF(Jobs!$A41="","",Jobs!U41)</f>
        <v/>
      </c>
      <c r="I77" s="26">
        <f>IF(Jobs!$A41="","",Jobs!O41)</f>
        <v/>
      </c>
      <c r="J77" s="25">
        <f>IF(Jobs!$A41="","",Jobs!S41)</f>
        <v/>
      </c>
      <c r="K77" s="27">
        <f>IF(Jobs!$A41="","",Jobs!W41)</f>
        <v/>
      </c>
      <c r="L77" s="28">
        <f>IF(Jobs!$A41="","",Jobs!P41)</f>
        <v/>
      </c>
    </row>
    <row r="78">
      <c r="B78" s="9">
        <f>IF(Jobs!$A42="","",Jobs!A42)</f>
        <v/>
      </c>
      <c r="C78" s="9">
        <f>IF(Jobs!$A42="","",Jobs!B42)</f>
        <v/>
      </c>
      <c r="D78" s="9">
        <f>IF(Jobs!$A42="","",Jobs!D42)</f>
        <v/>
      </c>
      <c r="E78" s="25">
        <f>IF(Jobs!$A42="","",Jobs!K42)</f>
        <v/>
      </c>
      <c r="F78" s="25">
        <f>IF(Jobs!$A42="","",Jobs!M42)</f>
        <v/>
      </c>
      <c r="G78" s="25">
        <f>IF(Jobs!$A42="","",Jobs!T42)</f>
        <v/>
      </c>
      <c r="H78" s="26">
        <f>IF(Jobs!$A42="","",Jobs!U42)</f>
        <v/>
      </c>
      <c r="I78" s="26">
        <f>IF(Jobs!$A42="","",Jobs!O42)</f>
        <v/>
      </c>
      <c r="J78" s="25">
        <f>IF(Jobs!$A42="","",Jobs!S42)</f>
        <v/>
      </c>
      <c r="K78" s="27">
        <f>IF(Jobs!$A42="","",Jobs!W42)</f>
        <v/>
      </c>
      <c r="L78" s="28">
        <f>IF(Jobs!$A42="","",Jobs!P42)</f>
        <v/>
      </c>
    </row>
    <row r="79">
      <c r="B79" s="9">
        <f>IF(Jobs!$A43="","",Jobs!A43)</f>
        <v/>
      </c>
      <c r="C79" s="9">
        <f>IF(Jobs!$A43="","",Jobs!B43)</f>
        <v/>
      </c>
      <c r="D79" s="9">
        <f>IF(Jobs!$A43="","",Jobs!D43)</f>
        <v/>
      </c>
      <c r="E79" s="25">
        <f>IF(Jobs!$A43="","",Jobs!K43)</f>
        <v/>
      </c>
      <c r="F79" s="25">
        <f>IF(Jobs!$A43="","",Jobs!M43)</f>
        <v/>
      </c>
      <c r="G79" s="25">
        <f>IF(Jobs!$A43="","",Jobs!T43)</f>
        <v/>
      </c>
      <c r="H79" s="26">
        <f>IF(Jobs!$A43="","",Jobs!U43)</f>
        <v/>
      </c>
      <c r="I79" s="26">
        <f>IF(Jobs!$A43="","",Jobs!O43)</f>
        <v/>
      </c>
      <c r="J79" s="25">
        <f>IF(Jobs!$A43="","",Jobs!S43)</f>
        <v/>
      </c>
      <c r="K79" s="27">
        <f>IF(Jobs!$A43="","",Jobs!W43)</f>
        <v/>
      </c>
      <c r="L79" s="28">
        <f>IF(Jobs!$A43="","",Jobs!P43)</f>
        <v/>
      </c>
    </row>
    <row r="80">
      <c r="B80" s="9">
        <f>IF(Jobs!$A44="","",Jobs!A44)</f>
        <v/>
      </c>
      <c r="C80" s="9">
        <f>IF(Jobs!$A44="","",Jobs!B44)</f>
        <v/>
      </c>
      <c r="D80" s="9">
        <f>IF(Jobs!$A44="","",Jobs!D44)</f>
        <v/>
      </c>
      <c r="E80" s="25">
        <f>IF(Jobs!$A44="","",Jobs!K44)</f>
        <v/>
      </c>
      <c r="F80" s="25">
        <f>IF(Jobs!$A44="","",Jobs!M44)</f>
        <v/>
      </c>
      <c r="G80" s="25">
        <f>IF(Jobs!$A44="","",Jobs!T44)</f>
        <v/>
      </c>
      <c r="H80" s="26">
        <f>IF(Jobs!$A44="","",Jobs!U44)</f>
        <v/>
      </c>
      <c r="I80" s="26">
        <f>IF(Jobs!$A44="","",Jobs!O44)</f>
        <v/>
      </c>
      <c r="J80" s="25">
        <f>IF(Jobs!$A44="","",Jobs!S44)</f>
        <v/>
      </c>
      <c r="K80" s="27">
        <f>IF(Jobs!$A44="","",Jobs!W44)</f>
        <v/>
      </c>
      <c r="L80" s="28">
        <f>IF(Jobs!$A44="","",Jobs!P44)</f>
        <v/>
      </c>
    </row>
    <row r="82">
      <c r="B82" s="3" t="inlineStr">
        <is>
          <t>Monthly P&amp;L</t>
        </is>
      </c>
      <c r="D82" s="29" t="inlineStr">
        <is>
          <t>Year:</t>
        </is>
      </c>
      <c r="E82">
        <f>Settings!$B$14</f>
        <v/>
      </c>
    </row>
    <row r="83" ht="30" customHeight="1">
      <c r="B83" s="24" t="inlineStr">
        <is>
          <t>Month</t>
        </is>
      </c>
      <c r="C83" s="24" t="inlineStr">
        <is>
          <t>Invoiced</t>
        </is>
      </c>
      <c r="D83" s="24" t="inlineStr">
        <is>
          <t>Payments Received</t>
        </is>
      </c>
      <c r="E83" s="24" t="inlineStr">
        <is>
          <t>Costs (all sources)</t>
        </is>
      </c>
      <c r="F83" s="24" t="inlineStr">
        <is>
          <t>Cash Profit</t>
        </is>
      </c>
      <c r="G83" s="24" t="inlineStr">
        <is>
          <t>Cumulative</t>
        </is>
      </c>
      <c r="H83" s="24" t="inlineStr">
        <is>
          <t>Labor Hours</t>
        </is>
      </c>
    </row>
    <row r="84">
      <c r="B84" s="30">
        <f>DATE($E$82,1,1)</f>
        <v/>
      </c>
      <c r="C84" s="25">
        <f>SUMIFS(Invoices!$E$5:$E$204,Invoices!$C$5:$C$204,"&gt;="&amp;B84,Invoices!$C$5:$C$204,"&lt;="&amp;EOMONTH(B84,0))</f>
        <v/>
      </c>
      <c r="D84" s="25">
        <f>SUMIFS(Payments!$D$5:$D$304,Payments!$A$5:$A$304,"&gt;="&amp;B84,Payments!$A$5:$A$304,"&lt;="&amp;EOMONTH(B84,0))</f>
        <v/>
      </c>
      <c r="E84" s="25">
        <f>SUMIFS('Job Costs'!$I$5:$I$1004,'Job Costs'!$A$5:$A$1004,"&gt;="&amp;B84,'Job Costs'!$A$5:$A$1004,"&lt;="&amp;EOMONTH(B84,0))+SUMIFS(Timesheet!$H$5:$H$1004,Timesheet!$A$5:$A$1004,"&gt;="&amp;B84,Timesheet!$A$5:$A$1004,"&lt;="&amp;EOMONTH(B84,0))+SUMIFS(Mileage!$I$5:$I$304,Mileage!$A$5:$A$304,"&gt;="&amp;B84,Mileage!$A$5:$A$304,"&lt;="&amp;EOMONTH(B84,0))</f>
        <v/>
      </c>
      <c r="F84" s="25">
        <f>D84-E84</f>
        <v/>
      </c>
      <c r="G84" s="25">
        <f>SUM($F$84:F84)</f>
        <v/>
      </c>
      <c r="H84" s="28">
        <f>SUMIFS(Timesheet!$E$5:$E$1004,Timesheet!$A$5:$A$1004,"&gt;="&amp;B84,Timesheet!$A$5:$A$1004,"&lt;="&amp;EOMONTH(B84,0))</f>
        <v/>
      </c>
    </row>
    <row r="85">
      <c r="B85" s="30">
        <f>DATE($E$82,2,1)</f>
        <v/>
      </c>
      <c r="C85" s="25">
        <f>SUMIFS(Invoices!$E$5:$E$204,Invoices!$C$5:$C$204,"&gt;="&amp;B85,Invoices!$C$5:$C$204,"&lt;="&amp;EOMONTH(B85,0))</f>
        <v/>
      </c>
      <c r="D85" s="25">
        <f>SUMIFS(Payments!$D$5:$D$304,Payments!$A$5:$A$304,"&gt;="&amp;B85,Payments!$A$5:$A$304,"&lt;="&amp;EOMONTH(B85,0))</f>
        <v/>
      </c>
      <c r="E85" s="25">
        <f>SUMIFS('Job Costs'!$I$5:$I$1004,'Job Costs'!$A$5:$A$1004,"&gt;="&amp;B85,'Job Costs'!$A$5:$A$1004,"&lt;="&amp;EOMONTH(B85,0))+SUMIFS(Timesheet!$H$5:$H$1004,Timesheet!$A$5:$A$1004,"&gt;="&amp;B85,Timesheet!$A$5:$A$1004,"&lt;="&amp;EOMONTH(B85,0))+SUMIFS(Mileage!$I$5:$I$304,Mileage!$A$5:$A$304,"&gt;="&amp;B85,Mileage!$A$5:$A$304,"&lt;="&amp;EOMONTH(B85,0))</f>
        <v/>
      </c>
      <c r="F85" s="25">
        <f>D85-E85</f>
        <v/>
      </c>
      <c r="G85" s="25">
        <f>SUM($F$84:F85)</f>
        <v/>
      </c>
      <c r="H85" s="28">
        <f>SUMIFS(Timesheet!$E$5:$E$1004,Timesheet!$A$5:$A$1004,"&gt;="&amp;B85,Timesheet!$A$5:$A$1004,"&lt;="&amp;EOMONTH(B85,0))</f>
        <v/>
      </c>
    </row>
    <row r="86">
      <c r="B86" s="30">
        <f>DATE($E$82,3,1)</f>
        <v/>
      </c>
      <c r="C86" s="25">
        <f>SUMIFS(Invoices!$E$5:$E$204,Invoices!$C$5:$C$204,"&gt;="&amp;B86,Invoices!$C$5:$C$204,"&lt;="&amp;EOMONTH(B86,0))</f>
        <v/>
      </c>
      <c r="D86" s="25">
        <f>SUMIFS(Payments!$D$5:$D$304,Payments!$A$5:$A$304,"&gt;="&amp;B86,Payments!$A$5:$A$304,"&lt;="&amp;EOMONTH(B86,0))</f>
        <v/>
      </c>
      <c r="E86" s="25">
        <f>SUMIFS('Job Costs'!$I$5:$I$1004,'Job Costs'!$A$5:$A$1004,"&gt;="&amp;B86,'Job Costs'!$A$5:$A$1004,"&lt;="&amp;EOMONTH(B86,0))+SUMIFS(Timesheet!$H$5:$H$1004,Timesheet!$A$5:$A$1004,"&gt;="&amp;B86,Timesheet!$A$5:$A$1004,"&lt;="&amp;EOMONTH(B86,0))+SUMIFS(Mileage!$I$5:$I$304,Mileage!$A$5:$A$304,"&gt;="&amp;B86,Mileage!$A$5:$A$304,"&lt;="&amp;EOMONTH(B86,0))</f>
        <v/>
      </c>
      <c r="F86" s="25">
        <f>D86-E86</f>
        <v/>
      </c>
      <c r="G86" s="25">
        <f>SUM($F$84:F86)</f>
        <v/>
      </c>
      <c r="H86" s="28">
        <f>SUMIFS(Timesheet!$E$5:$E$1004,Timesheet!$A$5:$A$1004,"&gt;="&amp;B86,Timesheet!$A$5:$A$1004,"&lt;="&amp;EOMONTH(B86,0))</f>
        <v/>
      </c>
    </row>
    <row r="87">
      <c r="B87" s="30">
        <f>DATE($E$82,4,1)</f>
        <v/>
      </c>
      <c r="C87" s="25">
        <f>SUMIFS(Invoices!$E$5:$E$204,Invoices!$C$5:$C$204,"&gt;="&amp;B87,Invoices!$C$5:$C$204,"&lt;="&amp;EOMONTH(B87,0))</f>
        <v/>
      </c>
      <c r="D87" s="25">
        <f>SUMIFS(Payments!$D$5:$D$304,Payments!$A$5:$A$304,"&gt;="&amp;B87,Payments!$A$5:$A$304,"&lt;="&amp;EOMONTH(B87,0))</f>
        <v/>
      </c>
      <c r="E87" s="25">
        <f>SUMIFS('Job Costs'!$I$5:$I$1004,'Job Costs'!$A$5:$A$1004,"&gt;="&amp;B87,'Job Costs'!$A$5:$A$1004,"&lt;="&amp;EOMONTH(B87,0))+SUMIFS(Timesheet!$H$5:$H$1004,Timesheet!$A$5:$A$1004,"&gt;="&amp;B87,Timesheet!$A$5:$A$1004,"&lt;="&amp;EOMONTH(B87,0))+SUMIFS(Mileage!$I$5:$I$304,Mileage!$A$5:$A$304,"&gt;="&amp;B87,Mileage!$A$5:$A$304,"&lt;="&amp;EOMONTH(B87,0))</f>
        <v/>
      </c>
      <c r="F87" s="25">
        <f>D87-E87</f>
        <v/>
      </c>
      <c r="G87" s="25">
        <f>SUM($F$84:F87)</f>
        <v/>
      </c>
      <c r="H87" s="28">
        <f>SUMIFS(Timesheet!$E$5:$E$1004,Timesheet!$A$5:$A$1004,"&gt;="&amp;B87,Timesheet!$A$5:$A$1004,"&lt;="&amp;EOMONTH(B87,0))</f>
        <v/>
      </c>
    </row>
    <row r="88">
      <c r="B88" s="30">
        <f>DATE($E$82,5,1)</f>
        <v/>
      </c>
      <c r="C88" s="25">
        <f>SUMIFS(Invoices!$E$5:$E$204,Invoices!$C$5:$C$204,"&gt;="&amp;B88,Invoices!$C$5:$C$204,"&lt;="&amp;EOMONTH(B88,0))</f>
        <v/>
      </c>
      <c r="D88" s="25">
        <f>SUMIFS(Payments!$D$5:$D$304,Payments!$A$5:$A$304,"&gt;="&amp;B88,Payments!$A$5:$A$304,"&lt;="&amp;EOMONTH(B88,0))</f>
        <v/>
      </c>
      <c r="E88" s="25">
        <f>SUMIFS('Job Costs'!$I$5:$I$1004,'Job Costs'!$A$5:$A$1004,"&gt;="&amp;B88,'Job Costs'!$A$5:$A$1004,"&lt;="&amp;EOMONTH(B88,0))+SUMIFS(Timesheet!$H$5:$H$1004,Timesheet!$A$5:$A$1004,"&gt;="&amp;B88,Timesheet!$A$5:$A$1004,"&lt;="&amp;EOMONTH(B88,0))+SUMIFS(Mileage!$I$5:$I$304,Mileage!$A$5:$A$304,"&gt;="&amp;B88,Mileage!$A$5:$A$304,"&lt;="&amp;EOMONTH(B88,0))</f>
        <v/>
      </c>
      <c r="F88" s="25">
        <f>D88-E88</f>
        <v/>
      </c>
      <c r="G88" s="25">
        <f>SUM($F$84:F88)</f>
        <v/>
      </c>
      <c r="H88" s="28">
        <f>SUMIFS(Timesheet!$E$5:$E$1004,Timesheet!$A$5:$A$1004,"&gt;="&amp;B88,Timesheet!$A$5:$A$1004,"&lt;="&amp;EOMONTH(B88,0))</f>
        <v/>
      </c>
    </row>
    <row r="89">
      <c r="B89" s="30">
        <f>DATE($E$82,6,1)</f>
        <v/>
      </c>
      <c r="C89" s="25">
        <f>SUMIFS(Invoices!$E$5:$E$204,Invoices!$C$5:$C$204,"&gt;="&amp;B89,Invoices!$C$5:$C$204,"&lt;="&amp;EOMONTH(B89,0))</f>
        <v/>
      </c>
      <c r="D89" s="25">
        <f>SUMIFS(Payments!$D$5:$D$304,Payments!$A$5:$A$304,"&gt;="&amp;B89,Payments!$A$5:$A$304,"&lt;="&amp;EOMONTH(B89,0))</f>
        <v/>
      </c>
      <c r="E89" s="25">
        <f>SUMIFS('Job Costs'!$I$5:$I$1004,'Job Costs'!$A$5:$A$1004,"&gt;="&amp;B89,'Job Costs'!$A$5:$A$1004,"&lt;="&amp;EOMONTH(B89,0))+SUMIFS(Timesheet!$H$5:$H$1004,Timesheet!$A$5:$A$1004,"&gt;="&amp;B89,Timesheet!$A$5:$A$1004,"&lt;="&amp;EOMONTH(B89,0))+SUMIFS(Mileage!$I$5:$I$304,Mileage!$A$5:$A$304,"&gt;="&amp;B89,Mileage!$A$5:$A$304,"&lt;="&amp;EOMONTH(B89,0))</f>
        <v/>
      </c>
      <c r="F89" s="25">
        <f>D89-E89</f>
        <v/>
      </c>
      <c r="G89" s="25">
        <f>SUM($F$84:F89)</f>
        <v/>
      </c>
      <c r="H89" s="28">
        <f>SUMIFS(Timesheet!$E$5:$E$1004,Timesheet!$A$5:$A$1004,"&gt;="&amp;B89,Timesheet!$A$5:$A$1004,"&lt;="&amp;EOMONTH(B89,0))</f>
        <v/>
      </c>
    </row>
    <row r="90">
      <c r="B90" s="30">
        <f>DATE($E$82,7,1)</f>
        <v/>
      </c>
      <c r="C90" s="25">
        <f>SUMIFS(Invoices!$E$5:$E$204,Invoices!$C$5:$C$204,"&gt;="&amp;B90,Invoices!$C$5:$C$204,"&lt;="&amp;EOMONTH(B90,0))</f>
        <v/>
      </c>
      <c r="D90" s="25">
        <f>SUMIFS(Payments!$D$5:$D$304,Payments!$A$5:$A$304,"&gt;="&amp;B90,Payments!$A$5:$A$304,"&lt;="&amp;EOMONTH(B90,0))</f>
        <v/>
      </c>
      <c r="E90" s="25">
        <f>SUMIFS('Job Costs'!$I$5:$I$1004,'Job Costs'!$A$5:$A$1004,"&gt;="&amp;B90,'Job Costs'!$A$5:$A$1004,"&lt;="&amp;EOMONTH(B90,0))+SUMIFS(Timesheet!$H$5:$H$1004,Timesheet!$A$5:$A$1004,"&gt;="&amp;B90,Timesheet!$A$5:$A$1004,"&lt;="&amp;EOMONTH(B90,0))+SUMIFS(Mileage!$I$5:$I$304,Mileage!$A$5:$A$304,"&gt;="&amp;B90,Mileage!$A$5:$A$304,"&lt;="&amp;EOMONTH(B90,0))</f>
        <v/>
      </c>
      <c r="F90" s="25">
        <f>D90-E90</f>
        <v/>
      </c>
      <c r="G90" s="25">
        <f>SUM($F$84:F90)</f>
        <v/>
      </c>
      <c r="H90" s="28">
        <f>SUMIFS(Timesheet!$E$5:$E$1004,Timesheet!$A$5:$A$1004,"&gt;="&amp;B90,Timesheet!$A$5:$A$1004,"&lt;="&amp;EOMONTH(B90,0))</f>
        <v/>
      </c>
    </row>
    <row r="91">
      <c r="B91" s="30">
        <f>DATE($E$82,8,1)</f>
        <v/>
      </c>
      <c r="C91" s="25">
        <f>SUMIFS(Invoices!$E$5:$E$204,Invoices!$C$5:$C$204,"&gt;="&amp;B91,Invoices!$C$5:$C$204,"&lt;="&amp;EOMONTH(B91,0))</f>
        <v/>
      </c>
      <c r="D91" s="25">
        <f>SUMIFS(Payments!$D$5:$D$304,Payments!$A$5:$A$304,"&gt;="&amp;B91,Payments!$A$5:$A$304,"&lt;="&amp;EOMONTH(B91,0))</f>
        <v/>
      </c>
      <c r="E91" s="25">
        <f>SUMIFS('Job Costs'!$I$5:$I$1004,'Job Costs'!$A$5:$A$1004,"&gt;="&amp;B91,'Job Costs'!$A$5:$A$1004,"&lt;="&amp;EOMONTH(B91,0))+SUMIFS(Timesheet!$H$5:$H$1004,Timesheet!$A$5:$A$1004,"&gt;="&amp;B91,Timesheet!$A$5:$A$1004,"&lt;="&amp;EOMONTH(B91,0))+SUMIFS(Mileage!$I$5:$I$304,Mileage!$A$5:$A$304,"&gt;="&amp;B91,Mileage!$A$5:$A$304,"&lt;="&amp;EOMONTH(B91,0))</f>
        <v/>
      </c>
      <c r="F91" s="25">
        <f>D91-E91</f>
        <v/>
      </c>
      <c r="G91" s="25">
        <f>SUM($F$84:F91)</f>
        <v/>
      </c>
      <c r="H91" s="28">
        <f>SUMIFS(Timesheet!$E$5:$E$1004,Timesheet!$A$5:$A$1004,"&gt;="&amp;B91,Timesheet!$A$5:$A$1004,"&lt;="&amp;EOMONTH(B91,0))</f>
        <v/>
      </c>
    </row>
    <row r="92">
      <c r="B92" s="30">
        <f>DATE($E$82,9,1)</f>
        <v/>
      </c>
      <c r="C92" s="25">
        <f>SUMIFS(Invoices!$E$5:$E$204,Invoices!$C$5:$C$204,"&gt;="&amp;B92,Invoices!$C$5:$C$204,"&lt;="&amp;EOMONTH(B92,0))</f>
        <v/>
      </c>
      <c r="D92" s="25">
        <f>SUMIFS(Payments!$D$5:$D$304,Payments!$A$5:$A$304,"&gt;="&amp;B92,Payments!$A$5:$A$304,"&lt;="&amp;EOMONTH(B92,0))</f>
        <v/>
      </c>
      <c r="E92" s="25">
        <f>SUMIFS('Job Costs'!$I$5:$I$1004,'Job Costs'!$A$5:$A$1004,"&gt;="&amp;B92,'Job Costs'!$A$5:$A$1004,"&lt;="&amp;EOMONTH(B92,0))+SUMIFS(Timesheet!$H$5:$H$1004,Timesheet!$A$5:$A$1004,"&gt;="&amp;B92,Timesheet!$A$5:$A$1004,"&lt;="&amp;EOMONTH(B92,0))+SUMIFS(Mileage!$I$5:$I$304,Mileage!$A$5:$A$304,"&gt;="&amp;B92,Mileage!$A$5:$A$304,"&lt;="&amp;EOMONTH(B92,0))</f>
        <v/>
      </c>
      <c r="F92" s="25">
        <f>D92-E92</f>
        <v/>
      </c>
      <c r="G92" s="25">
        <f>SUM($F$84:F92)</f>
        <v/>
      </c>
      <c r="H92" s="28">
        <f>SUMIFS(Timesheet!$E$5:$E$1004,Timesheet!$A$5:$A$1004,"&gt;="&amp;B92,Timesheet!$A$5:$A$1004,"&lt;="&amp;EOMONTH(B92,0))</f>
        <v/>
      </c>
    </row>
    <row r="93">
      <c r="B93" s="30">
        <f>DATE($E$82,10,1)</f>
        <v/>
      </c>
      <c r="C93" s="25">
        <f>SUMIFS(Invoices!$E$5:$E$204,Invoices!$C$5:$C$204,"&gt;="&amp;B93,Invoices!$C$5:$C$204,"&lt;="&amp;EOMONTH(B93,0))</f>
        <v/>
      </c>
      <c r="D93" s="25">
        <f>SUMIFS(Payments!$D$5:$D$304,Payments!$A$5:$A$304,"&gt;="&amp;B93,Payments!$A$5:$A$304,"&lt;="&amp;EOMONTH(B93,0))</f>
        <v/>
      </c>
      <c r="E93" s="25">
        <f>SUMIFS('Job Costs'!$I$5:$I$1004,'Job Costs'!$A$5:$A$1004,"&gt;="&amp;B93,'Job Costs'!$A$5:$A$1004,"&lt;="&amp;EOMONTH(B93,0))+SUMIFS(Timesheet!$H$5:$H$1004,Timesheet!$A$5:$A$1004,"&gt;="&amp;B93,Timesheet!$A$5:$A$1004,"&lt;="&amp;EOMONTH(B93,0))+SUMIFS(Mileage!$I$5:$I$304,Mileage!$A$5:$A$304,"&gt;="&amp;B93,Mileage!$A$5:$A$304,"&lt;="&amp;EOMONTH(B93,0))</f>
        <v/>
      </c>
      <c r="F93" s="25">
        <f>D93-E93</f>
        <v/>
      </c>
      <c r="G93" s="25">
        <f>SUM($F$84:F93)</f>
        <v/>
      </c>
      <c r="H93" s="28">
        <f>SUMIFS(Timesheet!$E$5:$E$1004,Timesheet!$A$5:$A$1004,"&gt;="&amp;B93,Timesheet!$A$5:$A$1004,"&lt;="&amp;EOMONTH(B93,0))</f>
        <v/>
      </c>
    </row>
    <row r="94">
      <c r="B94" s="30">
        <f>DATE($E$82,11,1)</f>
        <v/>
      </c>
      <c r="C94" s="25">
        <f>SUMIFS(Invoices!$E$5:$E$204,Invoices!$C$5:$C$204,"&gt;="&amp;B94,Invoices!$C$5:$C$204,"&lt;="&amp;EOMONTH(B94,0))</f>
        <v/>
      </c>
      <c r="D94" s="25">
        <f>SUMIFS(Payments!$D$5:$D$304,Payments!$A$5:$A$304,"&gt;="&amp;B94,Payments!$A$5:$A$304,"&lt;="&amp;EOMONTH(B94,0))</f>
        <v/>
      </c>
      <c r="E94" s="25">
        <f>SUMIFS('Job Costs'!$I$5:$I$1004,'Job Costs'!$A$5:$A$1004,"&gt;="&amp;B94,'Job Costs'!$A$5:$A$1004,"&lt;="&amp;EOMONTH(B94,0))+SUMIFS(Timesheet!$H$5:$H$1004,Timesheet!$A$5:$A$1004,"&gt;="&amp;B94,Timesheet!$A$5:$A$1004,"&lt;="&amp;EOMONTH(B94,0))+SUMIFS(Mileage!$I$5:$I$304,Mileage!$A$5:$A$304,"&gt;="&amp;B94,Mileage!$A$5:$A$304,"&lt;="&amp;EOMONTH(B94,0))</f>
        <v/>
      </c>
      <c r="F94" s="25">
        <f>D94-E94</f>
        <v/>
      </c>
      <c r="G94" s="25">
        <f>SUM($F$84:F94)</f>
        <v/>
      </c>
      <c r="H94" s="28">
        <f>SUMIFS(Timesheet!$E$5:$E$1004,Timesheet!$A$5:$A$1004,"&gt;="&amp;B94,Timesheet!$A$5:$A$1004,"&lt;="&amp;EOMONTH(B94,0))</f>
        <v/>
      </c>
    </row>
    <row r="95">
      <c r="B95" s="30">
        <f>DATE($E$82,12,1)</f>
        <v/>
      </c>
      <c r="C95" s="25">
        <f>SUMIFS(Invoices!$E$5:$E$204,Invoices!$C$5:$C$204,"&gt;="&amp;B95,Invoices!$C$5:$C$204,"&lt;="&amp;EOMONTH(B95,0))</f>
        <v/>
      </c>
      <c r="D95" s="25">
        <f>SUMIFS(Payments!$D$5:$D$304,Payments!$A$5:$A$304,"&gt;="&amp;B95,Payments!$A$5:$A$304,"&lt;="&amp;EOMONTH(B95,0))</f>
        <v/>
      </c>
      <c r="E95" s="25">
        <f>SUMIFS('Job Costs'!$I$5:$I$1004,'Job Costs'!$A$5:$A$1004,"&gt;="&amp;B95,'Job Costs'!$A$5:$A$1004,"&lt;="&amp;EOMONTH(B95,0))+SUMIFS(Timesheet!$H$5:$H$1004,Timesheet!$A$5:$A$1004,"&gt;="&amp;B95,Timesheet!$A$5:$A$1004,"&lt;="&amp;EOMONTH(B95,0))+SUMIFS(Mileage!$I$5:$I$304,Mileage!$A$5:$A$304,"&gt;="&amp;B95,Mileage!$A$5:$A$304,"&lt;="&amp;EOMONTH(B95,0))</f>
        <v/>
      </c>
      <c r="F95" s="25">
        <f>D95-E95</f>
        <v/>
      </c>
      <c r="G95" s="25">
        <f>SUM($F$84:F95)</f>
        <v/>
      </c>
      <c r="H95" s="28">
        <f>SUMIFS(Timesheet!$E$5:$E$1004,Timesheet!$A$5:$A$1004,"&gt;="&amp;B95,Timesheet!$A$5:$A$1004,"&lt;="&amp;EOMONTH(B95,0))</f>
        <v/>
      </c>
    </row>
    <row r="96">
      <c r="B96" s="31" t="inlineStr">
        <is>
          <t>TOTAL</t>
        </is>
      </c>
      <c r="C96" s="32">
        <f>SUM(C84:C95)</f>
        <v/>
      </c>
      <c r="D96" s="32">
        <f>SUM(D84:D95)</f>
        <v/>
      </c>
      <c r="E96" s="32">
        <f>SUM(E84:E95)</f>
        <v/>
      </c>
      <c r="F96" s="32">
        <f>SUM(F84:F95)</f>
        <v/>
      </c>
      <c r="G96" s="31" t="n"/>
      <c r="H96" s="33">
        <f>SUM(H84:H95)</f>
        <v/>
      </c>
    </row>
  </sheetData>
  <conditionalFormatting sqref="B18:C18">
    <cfRule type="expression" priority="1" dxfId="0">
      <formula>$B$18&gt;0</formula>
    </cfRule>
  </conditionalFormatting>
  <conditionalFormatting sqref="E18:F18">
    <cfRule type="expression" priority="2" dxfId="0">
      <formula>$E$18&gt;0</formula>
    </cfRule>
  </conditionalFormatting>
  <conditionalFormatting sqref="H18:I18">
    <cfRule type="expression" priority="3" dxfId="0">
      <formula>$H$18&gt;0</formula>
    </cfRule>
  </conditionalFormatting>
  <conditionalFormatting sqref="K18:L18">
    <cfRule type="expression" priority="4" dxfId="0">
      <formula>$K$18&gt;0</formula>
    </cfRule>
  </conditionalFormatting>
  <conditionalFormatting sqref="I41:I80">
    <cfRule type="expression" priority="5" dxfId="1">
      <formula>AND(I41&lt;&gt;"",I41&gt;1)</formula>
    </cfRule>
  </conditionalFormatting>
  <conditionalFormatting sqref="H41:H80">
    <cfRule type="expression" priority="6" dxfId="0">
      <formula>AND(H41&lt;&gt;"",H41&lt;0.1,D41&lt;&gt;"Lost",D41&lt;&gt;"Lead")</formula>
    </cfRule>
  </conditionalFormatting>
  <conditionalFormatting sqref="K41:K80">
    <cfRule type="expression" priority="7" dxfId="1">
      <formula>AND(K41&lt;&gt;"",K41&lt;0)</formula>
    </cfRule>
  </conditionalFormatting>
  <pageMargins left="0.75" right="0.75" top="1" bottom="1" header="0.5" footer="0.5"/>
  <pageSetup orientation="landscape" fitToHeight="0" fitToWidth="1"/>
  <headerFooter>
    <oddHeader/>
    <oddFooter>&amp;C&amp;8 &amp;A  —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7F7F7F"/>
    <outlinePr summaryBelow="1" summaryRight="1"/>
    <pageSetUpPr fitToPage="1"/>
  </sheetPr>
  <dimension ref="A1:L35"/>
  <sheetViews>
    <sheetView showGridLines="0" tabSelected="0" zoomScale="90" workbookViewId="0">
      <selection activeCell="B5" sqref="B5"/>
    </sheetView>
  </sheetViews>
  <sheetFormatPr baseColWidth="8" defaultRowHeight="15"/>
  <cols>
    <col width="54" customWidth="1" min="1" max="1"/>
    <col width="44" customWidth="1" min="2" max="2"/>
    <col width="58" customWidth="1" min="3" max="3"/>
    <col width="3" customWidth="1" min="4" max="4"/>
    <col width="10" customWidth="1" min="5" max="5"/>
    <col width="34" customWidth="1" min="6" max="6"/>
    <col width="18" customWidth="1" min="7" max="7"/>
    <col width="4" customWidth="1" min="8" max="8"/>
    <col width="14" customWidth="1" min="9" max="9"/>
    <col width="12" customWidth="1" min="10" max="10"/>
    <col width="17" customWidth="1" min="11" max="11"/>
    <col width="18" customWidth="1" min="12" max="12"/>
    <col width="4" customWidth="1" min="13" max="13"/>
  </cols>
  <sheetData>
    <row r="1">
      <c r="A1" s="13" t="inlineStr">
        <is>
          <t>Settings</t>
        </is>
      </c>
    </row>
    <row r="2">
      <c r="A2" s="14" t="inlineStr">
        <is>
          <t>Light-blue cells are inputs. Everything here feeds dropdowns, markups, documents and reports on the other sheets.</t>
        </is>
      </c>
    </row>
    <row r="4" ht="30" customHeight="1">
      <c r="A4" s="24" t="inlineStr">
        <is>
          <t>Company &amp; defaults</t>
        </is>
      </c>
      <c r="B4" s="24" t="inlineStr">
        <is>
          <t>Value</t>
        </is>
      </c>
      <c r="E4" s="24" t="inlineStr">
        <is>
          <t>Code</t>
        </is>
      </c>
      <c r="F4" s="24" t="inlineStr">
        <is>
          <t>Cost code name</t>
        </is>
      </c>
      <c r="G4" s="24" t="inlineStr">
        <is>
          <t>Category</t>
        </is>
      </c>
      <c r="I4" s="34" t="inlineStr">
        <is>
          <t>Job status</t>
        </is>
      </c>
      <c r="J4" s="34" t="inlineStr">
        <is>
          <t>Units</t>
        </is>
      </c>
      <c r="K4" s="34" t="inlineStr">
        <is>
          <t>Payment methods</t>
        </is>
      </c>
      <c r="L4" s="34" t="inlineStr">
        <is>
          <t>Vendor types</t>
        </is>
      </c>
    </row>
    <row r="5">
      <c r="A5" s="9" t="inlineStr">
        <is>
          <t>Company name</t>
        </is>
      </c>
      <c r="B5" s="35" t="inlineStr">
        <is>
          <t>Your Company LLC</t>
        </is>
      </c>
      <c r="E5" s="35" t="inlineStr">
        <is>
          <t>01</t>
        </is>
      </c>
      <c r="F5" s="35" t="inlineStr">
        <is>
          <t>General conditions / supervision</t>
        </is>
      </c>
      <c r="G5" s="35" t="inlineStr">
        <is>
          <t>Labor</t>
        </is>
      </c>
      <c r="I5" s="35" t="inlineStr">
        <is>
          <t>Lead</t>
        </is>
      </c>
      <c r="J5" s="35" t="inlineStr">
        <is>
          <t>ea</t>
        </is>
      </c>
      <c r="K5" s="35" t="inlineStr">
        <is>
          <t>Check</t>
        </is>
      </c>
      <c r="L5" s="35" t="inlineStr">
        <is>
          <t>Subcontractor</t>
        </is>
      </c>
    </row>
    <row r="6">
      <c r="A6" s="9" t="inlineStr">
        <is>
          <t>Address</t>
        </is>
      </c>
      <c r="B6" s="35" t="inlineStr"/>
      <c r="E6" s="35" t="inlineStr">
        <is>
          <t>02</t>
        </is>
      </c>
      <c r="F6" s="35" t="inlineStr">
        <is>
          <t>Demolition &amp; disposal</t>
        </is>
      </c>
      <c r="G6" s="35" t="inlineStr">
        <is>
          <t>Labor</t>
        </is>
      </c>
      <c r="I6" s="35" t="inlineStr">
        <is>
          <t>Quoted</t>
        </is>
      </c>
      <c r="J6" s="35" t="inlineStr">
        <is>
          <t>hr</t>
        </is>
      </c>
      <c r="K6" s="35" t="inlineStr">
        <is>
          <t>ACH / Bank</t>
        </is>
      </c>
      <c r="L6" s="35" t="inlineStr">
        <is>
          <t>Supplier</t>
        </is>
      </c>
    </row>
    <row r="7">
      <c r="A7" s="9" t="inlineStr">
        <is>
          <t>Phone / email</t>
        </is>
      </c>
      <c r="B7" s="35" t="inlineStr"/>
      <c r="E7" s="35" t="inlineStr">
        <is>
          <t>03</t>
        </is>
      </c>
      <c r="F7" s="35" t="inlineStr">
        <is>
          <t>Site work &amp; excavation</t>
        </is>
      </c>
      <c r="G7" s="35" t="inlineStr">
        <is>
          <t>Subcontractor</t>
        </is>
      </c>
      <c r="I7" s="35" t="inlineStr">
        <is>
          <t>Approved</t>
        </is>
      </c>
      <c r="J7" s="35" t="inlineStr">
        <is>
          <t>day</t>
        </is>
      </c>
      <c r="K7" s="35" t="inlineStr">
        <is>
          <t>Card</t>
        </is>
      </c>
      <c r="L7" s="35" t="inlineStr">
        <is>
          <t>Equipment rental</t>
        </is>
      </c>
    </row>
    <row r="8">
      <c r="A8" s="9" t="inlineStr">
        <is>
          <t>License #</t>
        </is>
      </c>
      <c r="B8" s="35" t="inlineStr"/>
      <c r="E8" s="35" t="inlineStr">
        <is>
          <t>04</t>
        </is>
      </c>
      <c r="F8" s="35" t="inlineStr">
        <is>
          <t>Concrete &amp; foundation</t>
        </is>
      </c>
      <c r="G8" s="35" t="inlineStr">
        <is>
          <t>Subcontractor</t>
        </is>
      </c>
      <c r="I8" s="35" t="inlineStr">
        <is>
          <t>In Progress</t>
        </is>
      </c>
      <c r="J8" s="35" t="inlineStr">
        <is>
          <t>sq ft</t>
        </is>
      </c>
      <c r="K8" s="35" t="inlineStr">
        <is>
          <t>Cash</t>
        </is>
      </c>
      <c r="L8" s="35" t="inlineStr">
        <is>
          <t>Other</t>
        </is>
      </c>
    </row>
    <row r="9">
      <c r="A9" s="9" t="inlineStr">
        <is>
          <t>Default contingency %</t>
        </is>
      </c>
      <c r="B9" s="36" t="n">
        <v>0.05</v>
      </c>
      <c r="E9" s="35" t="inlineStr">
        <is>
          <t>05</t>
        </is>
      </c>
      <c r="F9" s="35" t="inlineStr">
        <is>
          <t>Framing labor</t>
        </is>
      </c>
      <c r="G9" s="35" t="inlineStr">
        <is>
          <t>Labor</t>
        </is>
      </c>
      <c r="I9" s="35" t="inlineStr">
        <is>
          <t>Complete</t>
        </is>
      </c>
      <c r="J9" s="35" t="inlineStr">
        <is>
          <t>lin ft</t>
        </is>
      </c>
      <c r="K9" s="35" t="inlineStr">
        <is>
          <t>Zelle</t>
        </is>
      </c>
    </row>
    <row r="10">
      <c r="A10" s="9" t="inlineStr">
        <is>
          <t>Sales tax %</t>
        </is>
      </c>
      <c r="B10" s="36" t="n">
        <v>0</v>
      </c>
      <c r="E10" s="35" t="inlineStr">
        <is>
          <t>06</t>
        </is>
      </c>
      <c r="F10" s="35" t="inlineStr">
        <is>
          <t>Lumber &amp; framing materials</t>
        </is>
      </c>
      <c r="G10" s="35" t="inlineStr">
        <is>
          <t>Material</t>
        </is>
      </c>
      <c r="I10" s="35" t="inlineStr">
        <is>
          <t>Closed</t>
        </is>
      </c>
      <c r="J10" s="35" t="inlineStr">
        <is>
          <t>sq yd</t>
        </is>
      </c>
      <c r="K10" s="35" t="inlineStr">
        <is>
          <t>Other</t>
        </is>
      </c>
    </row>
    <row r="11">
      <c r="A11" s="9" t="inlineStr">
        <is>
          <t>Deposit % of proposal total</t>
        </is>
      </c>
      <c r="B11" s="36" t="n">
        <v>0.3</v>
      </c>
      <c r="E11" s="35" t="inlineStr">
        <is>
          <t>07</t>
        </is>
      </c>
      <c r="F11" s="35" t="inlineStr">
        <is>
          <t>Roofing</t>
        </is>
      </c>
      <c r="G11" s="35" t="inlineStr">
        <is>
          <t>Subcontractor</t>
        </is>
      </c>
      <c r="I11" s="35" t="inlineStr">
        <is>
          <t>Lost</t>
        </is>
      </c>
      <c r="J11" s="35" t="inlineStr">
        <is>
          <t>cu yd</t>
        </is>
      </c>
    </row>
    <row r="12">
      <c r="A12" s="9" t="inlineStr">
        <is>
          <t>Progress payment % (mid-job)</t>
        </is>
      </c>
      <c r="B12" s="36" t="n">
        <v>0.4</v>
      </c>
      <c r="E12" s="35" t="inlineStr">
        <is>
          <t>08</t>
        </is>
      </c>
      <c r="F12" s="35" t="inlineStr">
        <is>
          <t>Windows &amp; doors</t>
        </is>
      </c>
      <c r="G12" s="35" t="inlineStr">
        <is>
          <t>Material</t>
        </is>
      </c>
      <c r="J12" s="35" t="inlineStr">
        <is>
          <t>gal</t>
        </is>
      </c>
    </row>
    <row r="13">
      <c r="A13" s="9" t="inlineStr">
        <is>
          <t>Overdue grace (days past due)</t>
        </is>
      </c>
      <c r="B13" s="35" t="n">
        <v>0</v>
      </c>
      <c r="E13" s="35" t="inlineStr">
        <is>
          <t>09</t>
        </is>
      </c>
      <c r="F13" s="35" t="inlineStr">
        <is>
          <t>Exterior finishes / siding</t>
        </is>
      </c>
      <c r="G13" s="35" t="inlineStr">
        <is>
          <t>Subcontractor</t>
        </is>
      </c>
      <c r="J13" s="35" t="inlineStr">
        <is>
          <t>box</t>
        </is>
      </c>
    </row>
    <row r="14">
      <c r="A14" s="9" t="inlineStr">
        <is>
          <t>Reporting / tax year</t>
        </is>
      </c>
      <c r="B14" s="35" t="n">
        <v>2026</v>
      </c>
      <c r="E14" s="35" t="inlineStr">
        <is>
          <t>10</t>
        </is>
      </c>
      <c r="F14" s="35" t="inlineStr">
        <is>
          <t>Plumbing</t>
        </is>
      </c>
      <c r="G14" s="35" t="inlineStr">
        <is>
          <t>Subcontractor</t>
        </is>
      </c>
      <c r="J14" s="35" t="inlineStr">
        <is>
          <t>lot</t>
        </is>
      </c>
    </row>
    <row r="15">
      <c r="A15" s="9" t="inlineStr">
        <is>
          <t>Mileage rate ($ per mile)</t>
        </is>
      </c>
      <c r="B15" s="37" t="n">
        <v>0.7</v>
      </c>
      <c r="C15" s="14" t="inlineStr">
        <is>
          <t>Check the current IRS standard mileage rate each January.</t>
        </is>
      </c>
      <c r="E15" s="35" t="inlineStr">
        <is>
          <t>11</t>
        </is>
      </c>
      <c r="F15" s="35" t="inlineStr">
        <is>
          <t>Electrical</t>
        </is>
      </c>
      <c r="G15" s="35" t="inlineStr">
        <is>
          <t>Subcontractor</t>
        </is>
      </c>
    </row>
    <row r="16">
      <c r="A16" s="9" t="inlineStr">
        <is>
          <t>Proposal valid for (days)</t>
        </is>
      </c>
      <c r="B16" s="35" t="n">
        <v>30</v>
      </c>
      <c r="E16" s="35" t="inlineStr">
        <is>
          <t>12</t>
        </is>
      </c>
      <c r="F16" s="35" t="inlineStr">
        <is>
          <t>HVAC</t>
        </is>
      </c>
      <c r="G16" s="35" t="inlineStr">
        <is>
          <t>Subcontractor</t>
        </is>
      </c>
    </row>
    <row r="17">
      <c r="A17" s="9" t="inlineStr">
        <is>
          <t>Overhead % of revenue (for net margin)</t>
        </is>
      </c>
      <c r="B17" s="36" t="n">
        <v>0.1</v>
      </c>
      <c r="C17" s="14" t="inlineStr">
        <is>
          <t>Used for 'margin after overhead' on the Dashboard and Job Profit Report.</t>
        </is>
      </c>
      <c r="E17" s="35" t="inlineStr">
        <is>
          <t>13</t>
        </is>
      </c>
      <c r="F17" s="35" t="inlineStr">
        <is>
          <t>Insulation &amp; drywall</t>
        </is>
      </c>
      <c r="G17" s="35" t="inlineStr">
        <is>
          <t>Subcontractor</t>
        </is>
      </c>
    </row>
    <row r="18">
      <c r="A18" s="9" t="inlineStr">
        <is>
          <t>Labor burden % (payroll taxes, insurance, added to crew cost)</t>
        </is>
      </c>
      <c r="B18" s="36" t="n">
        <v>0</v>
      </c>
      <c r="C18" s="14" t="inlineStr">
        <is>
          <t>Applied on the Timesheet: Labor cost = hours × rate × (1 + burden).</t>
        </is>
      </c>
      <c r="E18" s="35" t="inlineStr">
        <is>
          <t>14</t>
        </is>
      </c>
      <c r="F18" s="35" t="inlineStr">
        <is>
          <t>Interior finish labor</t>
        </is>
      </c>
      <c r="G18" s="35" t="inlineStr">
        <is>
          <t>Labor</t>
        </is>
      </c>
    </row>
    <row r="19">
      <c r="A19" s="9" t="inlineStr">
        <is>
          <t>Sales tax applies to</t>
        </is>
      </c>
      <c r="B19" s="35" t="inlineStr">
        <is>
          <t>Material only</t>
        </is>
      </c>
      <c r="C19" s="14" t="inlineStr">
        <is>
          <t>Material only = tax on Material lines. All lines = tax on the whole subtotal.</t>
        </is>
      </c>
      <c r="E19" s="35" t="inlineStr">
        <is>
          <t>15</t>
        </is>
      </c>
      <c r="F19" s="35" t="inlineStr">
        <is>
          <t>Paint &amp; wall finishes</t>
        </is>
      </c>
      <c r="G19" s="35" t="inlineStr">
        <is>
          <t>Material</t>
        </is>
      </c>
    </row>
    <row r="20">
      <c r="E20" s="35" t="inlineStr">
        <is>
          <t>16</t>
        </is>
      </c>
      <c r="F20" s="35" t="inlineStr">
        <is>
          <t>Flooring &amp; tile</t>
        </is>
      </c>
      <c r="G20" s="35" t="inlineStr">
        <is>
          <t>Material</t>
        </is>
      </c>
    </row>
    <row r="21" ht="18" customHeight="1">
      <c r="A21" s="24" t="inlineStr">
        <is>
          <t>Cost category</t>
        </is>
      </c>
      <c r="B21" s="24" t="inlineStr">
        <is>
          <t>Default markup %</t>
        </is>
      </c>
      <c r="E21" s="35" t="inlineStr">
        <is>
          <t>17</t>
        </is>
      </c>
      <c r="F21" s="35" t="inlineStr">
        <is>
          <t>Cabinets &amp; countertops</t>
        </is>
      </c>
      <c r="G21" s="35" t="inlineStr">
        <is>
          <t>Material</t>
        </is>
      </c>
    </row>
    <row r="22">
      <c r="A22" s="9" t="inlineStr">
        <is>
          <t>Labor</t>
        </is>
      </c>
      <c r="B22" s="36" t="n">
        <v>0.35</v>
      </c>
      <c r="E22" s="35" t="inlineStr">
        <is>
          <t>18</t>
        </is>
      </c>
      <c r="F22" s="35" t="inlineStr">
        <is>
          <t>Fixtures &amp; appliances</t>
        </is>
      </c>
      <c r="G22" s="35" t="inlineStr">
        <is>
          <t>Material</t>
        </is>
      </c>
    </row>
    <row r="23">
      <c r="A23" s="9" t="inlineStr">
        <is>
          <t>Material</t>
        </is>
      </c>
      <c r="B23" s="36" t="n">
        <v>0.2</v>
      </c>
      <c r="E23" s="35" t="inlineStr">
        <is>
          <t>19</t>
        </is>
      </c>
      <c r="F23" s="35" t="inlineStr">
        <is>
          <t>Equipment rental</t>
        </is>
      </c>
      <c r="G23" s="35" t="inlineStr">
        <is>
          <t>Equipment</t>
        </is>
      </c>
    </row>
    <row r="24">
      <c r="A24" s="9" t="inlineStr">
        <is>
          <t>Subcontractor</t>
        </is>
      </c>
      <c r="B24" s="36" t="n">
        <v>0.15</v>
      </c>
      <c r="E24" s="35" t="inlineStr">
        <is>
          <t>20</t>
        </is>
      </c>
      <c r="F24" s="35" t="inlineStr">
        <is>
          <t>Permits &amp; inspections</t>
        </is>
      </c>
      <c r="G24" s="35" t="inlineStr">
        <is>
          <t>Permit/Fee</t>
        </is>
      </c>
    </row>
    <row r="25">
      <c r="A25" s="9" t="inlineStr">
        <is>
          <t>Equipment</t>
        </is>
      </c>
      <c r="B25" s="36" t="n">
        <v>0.15</v>
      </c>
      <c r="E25" s="35" t="inlineStr">
        <is>
          <t>21</t>
        </is>
      </c>
      <c r="F25" s="35" t="inlineStr">
        <is>
          <t>Dumpster &amp; cleanup</t>
        </is>
      </c>
      <c r="G25" s="35" t="inlineStr">
        <is>
          <t>Other</t>
        </is>
      </c>
    </row>
    <row r="26">
      <c r="A26" s="9" t="inlineStr">
        <is>
          <t>Permit/Fee</t>
        </is>
      </c>
      <c r="B26" s="36" t="n">
        <v>0</v>
      </c>
      <c r="E26" s="35" t="inlineStr">
        <is>
          <t>22</t>
        </is>
      </c>
      <c r="F26" s="35" t="inlineStr">
        <is>
          <t>Fuel &amp; mileage</t>
        </is>
      </c>
      <c r="G26" s="35" t="inlineStr">
        <is>
          <t>Other</t>
        </is>
      </c>
    </row>
    <row r="27">
      <c r="A27" s="9" t="inlineStr">
        <is>
          <t>Other</t>
        </is>
      </c>
      <c r="B27" s="36" t="n">
        <v>0.1</v>
      </c>
      <c r="E27" s="35" t="inlineStr">
        <is>
          <t>23</t>
        </is>
      </c>
      <c r="F27" s="35" t="inlineStr">
        <is>
          <t>Warranty / callbacks</t>
        </is>
      </c>
      <c r="G27" s="35" t="inlineStr">
        <is>
          <t>Labor</t>
        </is>
      </c>
    </row>
    <row r="28">
      <c r="A28" s="14" t="inlineStr">
        <is>
          <t>Markup is applied to cost: Price = Cost × (1 + markup). Override per line on the Estimate.</t>
        </is>
      </c>
      <c r="E28" s="35" t="inlineStr">
        <is>
          <t>24</t>
        </is>
      </c>
      <c r="F28" s="35" t="inlineStr">
        <is>
          <t>Miscellaneous</t>
        </is>
      </c>
      <c r="G28" s="35" t="inlineStr">
        <is>
          <t>Other</t>
        </is>
      </c>
    </row>
    <row r="29" ht="18" customHeight="1">
      <c r="A29" s="24" t="inlineStr">
        <is>
          <t>Document text</t>
        </is>
      </c>
      <c r="B29" s="24" t="inlineStr">
        <is>
          <t>Value</t>
        </is>
      </c>
    </row>
    <row r="30" ht="70" customHeight="1">
      <c r="A30" s="9" t="inlineStr">
        <is>
          <t>Proposal terms</t>
        </is>
      </c>
      <c r="B30" s="38" t="inlineStr">
        <is>
          <t>This proposal is valid until the date shown. Work begins on receipt of the deposit. Changes to scope are priced as written change orders before work proceeds. Balance is due on completion.</t>
        </is>
      </c>
    </row>
    <row r="31" ht="38" customHeight="1">
      <c r="A31" s="9" t="inlineStr">
        <is>
          <t>Invoice payment instructions</t>
        </is>
      </c>
      <c r="B31" s="38" t="inlineStr">
        <is>
          <t>Pay by check to the company name above, or by bank transfer. Please reference the invoice number.</t>
        </is>
      </c>
    </row>
    <row r="32" ht="34" customHeight="1">
      <c r="A32" s="9" t="inlineStr">
        <is>
          <t>Invoice / statement footer</t>
        </is>
      </c>
      <c r="B32" s="38" t="inlineStr">
        <is>
          <t>Thank you for your business.</t>
        </is>
      </c>
    </row>
    <row r="33" ht="54" customHeight="1">
      <c r="A33" s="9" t="inlineStr">
        <is>
          <t>Change order terms</t>
        </is>
      </c>
      <c r="B33" s="38" t="inlineStr">
        <is>
          <t>The client authorizes the added work and price above. The revised contract total and any schedule change apply from the date signed.</t>
        </is>
      </c>
    </row>
    <row r="34" ht="70" customHeight="1">
      <c r="A34" s="9" t="inlineStr">
        <is>
          <t>Proposal exclusions &amp; assumptions</t>
        </is>
      </c>
      <c r="B34" s="38" t="inlineStr">
        <is>
          <t>Excludes permits not listed, hazardous-material remediation, structural repairs discovered after demolition, and work outside the described scope. Pricing assumes access to water and power on site.</t>
        </is>
      </c>
    </row>
    <row r="35">
      <c r="A35" s="14" t="inlineStr">
        <is>
          <t>Logo: on Proposal, Invoice Print, CO Form or Client Statement use Insert → Pictures and place it top-right.</t>
        </is>
      </c>
    </row>
  </sheetData>
  <dataValidations count="2">
    <dataValidation sqref="B19" showDropDown="0" showInputMessage="0" showErrorMessage="0" allowBlank="1" type="list">
      <formula1>"Material only,All lines"</formula1>
    </dataValidation>
    <dataValidation sqref="G5:G28" showDropDown="0" showInputMessage="1" showErrorMessage="0" allowBlank="1" promptTitle="Pick from the list" prompt="Category drives the default markup and the reports." type="list">
      <formula1>=Settings!$A$22:$A$27</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4.xml><?xml version="1.0" encoding="utf-8"?>
<worksheet xmlns="http://schemas.openxmlformats.org/spreadsheetml/2006/main">
  <sheetPr>
    <tabColor rgb="004A86C8"/>
    <outlinePr summaryBelow="1" summaryRight="1"/>
    <pageSetUpPr fitToPage="1"/>
  </sheetPr>
  <dimension ref="A1:K104"/>
  <sheetViews>
    <sheetView showGridLines="0" tabSelected="0" workbookViewId="0">
      <pane xSplit="1" ySplit="4" topLeftCell="B5" activePane="bottomRight" state="frozen"/>
      <selection pane="topRight"/>
      <selection pane="bottomLeft"/>
      <selection pane="bottomRight" activeCell="A5" sqref="A5"/>
    </sheetView>
  </sheetViews>
  <sheetFormatPr baseColWidth="8" defaultRowHeight="15"/>
  <cols>
    <col width="24" customWidth="1" min="1" max="1"/>
    <col width="20" customWidth="1" min="2" max="2"/>
    <col width="14" customWidth="1" min="3" max="3"/>
    <col width="26" customWidth="1" min="4" max="4"/>
    <col width="34" customWidth="1" min="5" max="5"/>
    <col width="24" customWidth="1" min="6" max="6"/>
    <col width="8" customWidth="1" min="7" max="7"/>
    <col width="18" customWidth="1" min="8" max="8"/>
    <col width="14" customWidth="1" min="9" max="9"/>
    <col width="14" customWidth="1" min="10" max="10"/>
    <col width="24" customWidth="1" min="11" max="11"/>
  </cols>
  <sheetData>
    <row r="1">
      <c r="A1" s="13" t="inlineStr">
        <is>
          <t>Clients</t>
        </is>
      </c>
    </row>
    <row r="2">
      <c r="A2" s="14" t="inlineStr">
        <is>
          <t>One row per client. Jobs, contract value, collected and balance due are calculated from the Jobs sheet. Print a statement from the Client Statement sheet.</t>
        </is>
      </c>
    </row>
    <row r="4" ht="30" customHeight="1">
      <c r="A4" s="24" t="inlineStr">
        <is>
          <t>Client</t>
        </is>
      </c>
      <c r="B4" s="24" t="inlineStr">
        <is>
          <t>Contact person</t>
        </is>
      </c>
      <c r="C4" s="24" t="inlineStr">
        <is>
          <t>Phone</t>
        </is>
      </c>
      <c r="D4" s="24" t="inlineStr">
        <is>
          <t>Email</t>
        </is>
      </c>
      <c r="E4" s="24" t="inlineStr">
        <is>
          <t>Billing address</t>
        </is>
      </c>
      <c r="F4" s="24" t="inlineStr">
        <is>
          <t>Notes</t>
        </is>
      </c>
      <c r="G4" s="24" t="inlineStr">
        <is>
          <t>Jobs</t>
        </is>
      </c>
      <c r="H4" s="24" t="inlineStr">
        <is>
          <t>Contract value (all jobs)</t>
        </is>
      </c>
      <c r="I4" s="24" t="inlineStr">
        <is>
          <t>Collected</t>
        </is>
      </c>
      <c r="J4" s="24" t="inlineStr">
        <is>
          <t>Balance due</t>
        </is>
      </c>
      <c r="K4" s="24" t="inlineStr">
        <is>
          <t>Check</t>
        </is>
      </c>
    </row>
    <row r="5">
      <c r="A5" s="35" t="n"/>
      <c r="B5" s="35" t="n"/>
      <c r="C5" s="35" t="n"/>
      <c r="D5" s="35" t="n"/>
      <c r="E5" s="35" t="n"/>
      <c r="F5" s="35" t="n"/>
      <c r="G5" s="9">
        <f>IF(A5="","",COUNTIF(Jobs!$B$5:$B$44,A5))</f>
        <v/>
      </c>
      <c r="H5" s="39">
        <f>IF(A5="","",SUMIFS(Jobs!$K$5:$K$44,Jobs!$B$5:$B$44,A5))</f>
        <v/>
      </c>
      <c r="I5" s="39">
        <f>IF(A5="","",SUMIFS(Jobs!$R$5:$R$44,Jobs!$B$5:$B$44,A5))</f>
        <v/>
      </c>
      <c r="J5" s="39">
        <f>IF(A5="","",SUMIFS(Jobs!$S$5:$S$44,Jobs!$B$5:$B$44,A5))</f>
        <v/>
      </c>
      <c r="K5" s="9">
        <f>IF(A5="","",IF(COUNTIF(Clients!$A$5:$A$104,A5)&gt;1,"Duplicate client",""))</f>
        <v/>
      </c>
    </row>
    <row r="6">
      <c r="A6" s="35" t="n"/>
      <c r="B6" s="35" t="n"/>
      <c r="C6" s="35" t="n"/>
      <c r="D6" s="35" t="n"/>
      <c r="E6" s="35" t="n"/>
      <c r="F6" s="35" t="n"/>
      <c r="G6" s="9">
        <f>IF(A6="","",COUNTIF(Jobs!$B$5:$B$44,A6))</f>
        <v/>
      </c>
      <c r="H6" s="39">
        <f>IF(A6="","",SUMIFS(Jobs!$K$5:$K$44,Jobs!$B$5:$B$44,A6))</f>
        <v/>
      </c>
      <c r="I6" s="39">
        <f>IF(A6="","",SUMIFS(Jobs!$R$5:$R$44,Jobs!$B$5:$B$44,A6))</f>
        <v/>
      </c>
      <c r="J6" s="39">
        <f>IF(A6="","",SUMIFS(Jobs!$S$5:$S$44,Jobs!$B$5:$B$44,A6))</f>
        <v/>
      </c>
      <c r="K6" s="9">
        <f>IF(A6="","",IF(COUNTIF(Clients!$A$5:$A$104,A6)&gt;1,"Duplicate client",""))</f>
        <v/>
      </c>
    </row>
    <row r="7">
      <c r="A7" s="35" t="n"/>
      <c r="B7" s="35" t="n"/>
      <c r="C7" s="35" t="n"/>
      <c r="D7" s="35" t="n"/>
      <c r="E7" s="35" t="n"/>
      <c r="F7" s="35" t="n"/>
      <c r="G7" s="9">
        <f>IF(A7="","",COUNTIF(Jobs!$B$5:$B$44,A7))</f>
        <v/>
      </c>
      <c r="H7" s="39">
        <f>IF(A7="","",SUMIFS(Jobs!$K$5:$K$44,Jobs!$B$5:$B$44,A7))</f>
        <v/>
      </c>
      <c r="I7" s="39">
        <f>IF(A7="","",SUMIFS(Jobs!$R$5:$R$44,Jobs!$B$5:$B$44,A7))</f>
        <v/>
      </c>
      <c r="J7" s="39">
        <f>IF(A7="","",SUMIFS(Jobs!$S$5:$S$44,Jobs!$B$5:$B$44,A7))</f>
        <v/>
      </c>
      <c r="K7" s="9">
        <f>IF(A7="","",IF(COUNTIF(Clients!$A$5:$A$104,A7)&gt;1,"Duplicate client",""))</f>
        <v/>
      </c>
    </row>
    <row r="8">
      <c r="A8" s="35" t="n"/>
      <c r="B8" s="35" t="n"/>
      <c r="C8" s="35" t="n"/>
      <c r="D8" s="35" t="n"/>
      <c r="E8" s="35" t="n"/>
      <c r="F8" s="35" t="n"/>
      <c r="G8" s="9">
        <f>IF(A8="","",COUNTIF(Jobs!$B$5:$B$44,A8))</f>
        <v/>
      </c>
      <c r="H8" s="39">
        <f>IF(A8="","",SUMIFS(Jobs!$K$5:$K$44,Jobs!$B$5:$B$44,A8))</f>
        <v/>
      </c>
      <c r="I8" s="39">
        <f>IF(A8="","",SUMIFS(Jobs!$R$5:$R$44,Jobs!$B$5:$B$44,A8))</f>
        <v/>
      </c>
      <c r="J8" s="39">
        <f>IF(A8="","",SUMIFS(Jobs!$S$5:$S$44,Jobs!$B$5:$B$44,A8))</f>
        <v/>
      </c>
      <c r="K8" s="9">
        <f>IF(A8="","",IF(COUNTIF(Clients!$A$5:$A$104,A8)&gt;1,"Duplicate client",""))</f>
        <v/>
      </c>
    </row>
    <row r="9">
      <c r="A9" s="35" t="n"/>
      <c r="B9" s="35" t="n"/>
      <c r="C9" s="35" t="n"/>
      <c r="D9" s="35" t="n"/>
      <c r="E9" s="35" t="n"/>
      <c r="F9" s="35" t="n"/>
      <c r="G9" s="9">
        <f>IF(A9="","",COUNTIF(Jobs!$B$5:$B$44,A9))</f>
        <v/>
      </c>
      <c r="H9" s="39">
        <f>IF(A9="","",SUMIFS(Jobs!$K$5:$K$44,Jobs!$B$5:$B$44,A9))</f>
        <v/>
      </c>
      <c r="I9" s="39">
        <f>IF(A9="","",SUMIFS(Jobs!$R$5:$R$44,Jobs!$B$5:$B$44,A9))</f>
        <v/>
      </c>
      <c r="J9" s="39">
        <f>IF(A9="","",SUMIFS(Jobs!$S$5:$S$44,Jobs!$B$5:$B$44,A9))</f>
        <v/>
      </c>
      <c r="K9" s="9">
        <f>IF(A9="","",IF(COUNTIF(Clients!$A$5:$A$104,A9)&gt;1,"Duplicate client",""))</f>
        <v/>
      </c>
    </row>
    <row r="10">
      <c r="A10" s="35" t="n"/>
      <c r="B10" s="35" t="n"/>
      <c r="C10" s="35" t="n"/>
      <c r="D10" s="35" t="n"/>
      <c r="E10" s="35" t="n"/>
      <c r="F10" s="35" t="n"/>
      <c r="G10" s="9">
        <f>IF(A10="","",COUNTIF(Jobs!$B$5:$B$44,A10))</f>
        <v/>
      </c>
      <c r="H10" s="39">
        <f>IF(A10="","",SUMIFS(Jobs!$K$5:$K$44,Jobs!$B$5:$B$44,A10))</f>
        <v/>
      </c>
      <c r="I10" s="39">
        <f>IF(A10="","",SUMIFS(Jobs!$R$5:$R$44,Jobs!$B$5:$B$44,A10))</f>
        <v/>
      </c>
      <c r="J10" s="39">
        <f>IF(A10="","",SUMIFS(Jobs!$S$5:$S$44,Jobs!$B$5:$B$44,A10))</f>
        <v/>
      </c>
      <c r="K10" s="9">
        <f>IF(A10="","",IF(COUNTIF(Clients!$A$5:$A$104,A10)&gt;1,"Duplicate client",""))</f>
        <v/>
      </c>
    </row>
    <row r="11">
      <c r="A11" s="35" t="n"/>
      <c r="B11" s="35" t="n"/>
      <c r="C11" s="35" t="n"/>
      <c r="D11" s="35" t="n"/>
      <c r="E11" s="35" t="n"/>
      <c r="F11" s="35" t="n"/>
      <c r="G11" s="9">
        <f>IF(A11="","",COUNTIF(Jobs!$B$5:$B$44,A11))</f>
        <v/>
      </c>
      <c r="H11" s="39">
        <f>IF(A11="","",SUMIFS(Jobs!$K$5:$K$44,Jobs!$B$5:$B$44,A11))</f>
        <v/>
      </c>
      <c r="I11" s="39">
        <f>IF(A11="","",SUMIFS(Jobs!$R$5:$R$44,Jobs!$B$5:$B$44,A11))</f>
        <v/>
      </c>
      <c r="J11" s="39">
        <f>IF(A11="","",SUMIFS(Jobs!$S$5:$S$44,Jobs!$B$5:$B$44,A11))</f>
        <v/>
      </c>
      <c r="K11" s="9">
        <f>IF(A11="","",IF(COUNTIF(Clients!$A$5:$A$104,A11)&gt;1,"Duplicate client",""))</f>
        <v/>
      </c>
    </row>
    <row r="12">
      <c r="A12" s="35" t="n"/>
      <c r="B12" s="35" t="n"/>
      <c r="C12" s="35" t="n"/>
      <c r="D12" s="35" t="n"/>
      <c r="E12" s="35" t="n"/>
      <c r="F12" s="35" t="n"/>
      <c r="G12" s="9">
        <f>IF(A12="","",COUNTIF(Jobs!$B$5:$B$44,A12))</f>
        <v/>
      </c>
      <c r="H12" s="39">
        <f>IF(A12="","",SUMIFS(Jobs!$K$5:$K$44,Jobs!$B$5:$B$44,A12))</f>
        <v/>
      </c>
      <c r="I12" s="39">
        <f>IF(A12="","",SUMIFS(Jobs!$R$5:$R$44,Jobs!$B$5:$B$44,A12))</f>
        <v/>
      </c>
      <c r="J12" s="39">
        <f>IF(A12="","",SUMIFS(Jobs!$S$5:$S$44,Jobs!$B$5:$B$44,A12))</f>
        <v/>
      </c>
      <c r="K12" s="9">
        <f>IF(A12="","",IF(COUNTIF(Clients!$A$5:$A$104,A12)&gt;1,"Duplicate client",""))</f>
        <v/>
      </c>
    </row>
    <row r="13">
      <c r="A13" s="35" t="n"/>
      <c r="B13" s="35" t="n"/>
      <c r="C13" s="35" t="n"/>
      <c r="D13" s="35" t="n"/>
      <c r="E13" s="35" t="n"/>
      <c r="F13" s="35" t="n"/>
      <c r="G13" s="9">
        <f>IF(A13="","",COUNTIF(Jobs!$B$5:$B$44,A13))</f>
        <v/>
      </c>
      <c r="H13" s="39">
        <f>IF(A13="","",SUMIFS(Jobs!$K$5:$K$44,Jobs!$B$5:$B$44,A13))</f>
        <v/>
      </c>
      <c r="I13" s="39">
        <f>IF(A13="","",SUMIFS(Jobs!$R$5:$R$44,Jobs!$B$5:$B$44,A13))</f>
        <v/>
      </c>
      <c r="J13" s="39">
        <f>IF(A13="","",SUMIFS(Jobs!$S$5:$S$44,Jobs!$B$5:$B$44,A13))</f>
        <v/>
      </c>
      <c r="K13" s="9">
        <f>IF(A13="","",IF(COUNTIF(Clients!$A$5:$A$104,A13)&gt;1,"Duplicate client",""))</f>
        <v/>
      </c>
    </row>
    <row r="14">
      <c r="A14" s="35" t="n"/>
      <c r="B14" s="35" t="n"/>
      <c r="C14" s="35" t="n"/>
      <c r="D14" s="35" t="n"/>
      <c r="E14" s="35" t="n"/>
      <c r="F14" s="35" t="n"/>
      <c r="G14" s="9">
        <f>IF(A14="","",COUNTIF(Jobs!$B$5:$B$44,A14))</f>
        <v/>
      </c>
      <c r="H14" s="39">
        <f>IF(A14="","",SUMIFS(Jobs!$K$5:$K$44,Jobs!$B$5:$B$44,A14))</f>
        <v/>
      </c>
      <c r="I14" s="39">
        <f>IF(A14="","",SUMIFS(Jobs!$R$5:$R$44,Jobs!$B$5:$B$44,A14))</f>
        <v/>
      </c>
      <c r="J14" s="39">
        <f>IF(A14="","",SUMIFS(Jobs!$S$5:$S$44,Jobs!$B$5:$B$44,A14))</f>
        <v/>
      </c>
      <c r="K14" s="9">
        <f>IF(A14="","",IF(COUNTIF(Clients!$A$5:$A$104,A14)&gt;1,"Duplicate client",""))</f>
        <v/>
      </c>
    </row>
    <row r="15">
      <c r="A15" s="35" t="n"/>
      <c r="B15" s="35" t="n"/>
      <c r="C15" s="35" t="n"/>
      <c r="D15" s="35" t="n"/>
      <c r="E15" s="35" t="n"/>
      <c r="F15" s="35" t="n"/>
      <c r="G15" s="9">
        <f>IF(A15="","",COUNTIF(Jobs!$B$5:$B$44,A15))</f>
        <v/>
      </c>
      <c r="H15" s="39">
        <f>IF(A15="","",SUMIFS(Jobs!$K$5:$K$44,Jobs!$B$5:$B$44,A15))</f>
        <v/>
      </c>
      <c r="I15" s="39">
        <f>IF(A15="","",SUMIFS(Jobs!$R$5:$R$44,Jobs!$B$5:$B$44,A15))</f>
        <v/>
      </c>
      <c r="J15" s="39">
        <f>IF(A15="","",SUMIFS(Jobs!$S$5:$S$44,Jobs!$B$5:$B$44,A15))</f>
        <v/>
      </c>
      <c r="K15" s="9">
        <f>IF(A15="","",IF(COUNTIF(Clients!$A$5:$A$104,A15)&gt;1,"Duplicate client",""))</f>
        <v/>
      </c>
    </row>
    <row r="16">
      <c r="A16" s="35" t="n"/>
      <c r="B16" s="35" t="n"/>
      <c r="C16" s="35" t="n"/>
      <c r="D16" s="35" t="n"/>
      <c r="E16" s="35" t="n"/>
      <c r="F16" s="35" t="n"/>
      <c r="G16" s="9">
        <f>IF(A16="","",COUNTIF(Jobs!$B$5:$B$44,A16))</f>
        <v/>
      </c>
      <c r="H16" s="39">
        <f>IF(A16="","",SUMIFS(Jobs!$K$5:$K$44,Jobs!$B$5:$B$44,A16))</f>
        <v/>
      </c>
      <c r="I16" s="39">
        <f>IF(A16="","",SUMIFS(Jobs!$R$5:$R$44,Jobs!$B$5:$B$44,A16))</f>
        <v/>
      </c>
      <c r="J16" s="39">
        <f>IF(A16="","",SUMIFS(Jobs!$S$5:$S$44,Jobs!$B$5:$B$44,A16))</f>
        <v/>
      </c>
      <c r="K16" s="9">
        <f>IF(A16="","",IF(COUNTIF(Clients!$A$5:$A$104,A16)&gt;1,"Duplicate client",""))</f>
        <v/>
      </c>
    </row>
    <row r="17">
      <c r="A17" s="35" t="n"/>
      <c r="B17" s="35" t="n"/>
      <c r="C17" s="35" t="n"/>
      <c r="D17" s="35" t="n"/>
      <c r="E17" s="35" t="n"/>
      <c r="F17" s="35" t="n"/>
      <c r="G17" s="9">
        <f>IF(A17="","",COUNTIF(Jobs!$B$5:$B$44,A17))</f>
        <v/>
      </c>
      <c r="H17" s="39">
        <f>IF(A17="","",SUMIFS(Jobs!$K$5:$K$44,Jobs!$B$5:$B$44,A17))</f>
        <v/>
      </c>
      <c r="I17" s="39">
        <f>IF(A17="","",SUMIFS(Jobs!$R$5:$R$44,Jobs!$B$5:$B$44,A17))</f>
        <v/>
      </c>
      <c r="J17" s="39">
        <f>IF(A17="","",SUMIFS(Jobs!$S$5:$S$44,Jobs!$B$5:$B$44,A17))</f>
        <v/>
      </c>
      <c r="K17" s="9">
        <f>IF(A17="","",IF(COUNTIF(Clients!$A$5:$A$104,A17)&gt;1,"Duplicate client",""))</f>
        <v/>
      </c>
    </row>
    <row r="18">
      <c r="A18" s="35" t="n"/>
      <c r="B18" s="35" t="n"/>
      <c r="C18" s="35" t="n"/>
      <c r="D18" s="35" t="n"/>
      <c r="E18" s="35" t="n"/>
      <c r="F18" s="35" t="n"/>
      <c r="G18" s="9">
        <f>IF(A18="","",COUNTIF(Jobs!$B$5:$B$44,A18))</f>
        <v/>
      </c>
      <c r="H18" s="39">
        <f>IF(A18="","",SUMIFS(Jobs!$K$5:$K$44,Jobs!$B$5:$B$44,A18))</f>
        <v/>
      </c>
      <c r="I18" s="39">
        <f>IF(A18="","",SUMIFS(Jobs!$R$5:$R$44,Jobs!$B$5:$B$44,A18))</f>
        <v/>
      </c>
      <c r="J18" s="39">
        <f>IF(A18="","",SUMIFS(Jobs!$S$5:$S$44,Jobs!$B$5:$B$44,A18))</f>
        <v/>
      </c>
      <c r="K18" s="9">
        <f>IF(A18="","",IF(COUNTIF(Clients!$A$5:$A$104,A18)&gt;1,"Duplicate client",""))</f>
        <v/>
      </c>
    </row>
    <row r="19">
      <c r="A19" s="35" t="n"/>
      <c r="B19" s="35" t="n"/>
      <c r="C19" s="35" t="n"/>
      <c r="D19" s="35" t="n"/>
      <c r="E19" s="35" t="n"/>
      <c r="F19" s="35" t="n"/>
      <c r="G19" s="9">
        <f>IF(A19="","",COUNTIF(Jobs!$B$5:$B$44,A19))</f>
        <v/>
      </c>
      <c r="H19" s="39">
        <f>IF(A19="","",SUMIFS(Jobs!$K$5:$K$44,Jobs!$B$5:$B$44,A19))</f>
        <v/>
      </c>
      <c r="I19" s="39">
        <f>IF(A19="","",SUMIFS(Jobs!$R$5:$R$44,Jobs!$B$5:$B$44,A19))</f>
        <v/>
      </c>
      <c r="J19" s="39">
        <f>IF(A19="","",SUMIFS(Jobs!$S$5:$S$44,Jobs!$B$5:$B$44,A19))</f>
        <v/>
      </c>
      <c r="K19" s="9">
        <f>IF(A19="","",IF(COUNTIF(Clients!$A$5:$A$104,A19)&gt;1,"Duplicate client",""))</f>
        <v/>
      </c>
    </row>
    <row r="20">
      <c r="A20" s="35" t="n"/>
      <c r="B20" s="35" t="n"/>
      <c r="C20" s="35" t="n"/>
      <c r="D20" s="35" t="n"/>
      <c r="E20" s="35" t="n"/>
      <c r="F20" s="35" t="n"/>
      <c r="G20" s="9">
        <f>IF(A20="","",COUNTIF(Jobs!$B$5:$B$44,A20))</f>
        <v/>
      </c>
      <c r="H20" s="39">
        <f>IF(A20="","",SUMIFS(Jobs!$K$5:$K$44,Jobs!$B$5:$B$44,A20))</f>
        <v/>
      </c>
      <c r="I20" s="39">
        <f>IF(A20="","",SUMIFS(Jobs!$R$5:$R$44,Jobs!$B$5:$B$44,A20))</f>
        <v/>
      </c>
      <c r="J20" s="39">
        <f>IF(A20="","",SUMIFS(Jobs!$S$5:$S$44,Jobs!$B$5:$B$44,A20))</f>
        <v/>
      </c>
      <c r="K20" s="9">
        <f>IF(A20="","",IF(COUNTIF(Clients!$A$5:$A$104,A20)&gt;1,"Duplicate client",""))</f>
        <v/>
      </c>
    </row>
    <row r="21">
      <c r="A21" s="35" t="n"/>
      <c r="B21" s="35" t="n"/>
      <c r="C21" s="35" t="n"/>
      <c r="D21" s="35" t="n"/>
      <c r="E21" s="35" t="n"/>
      <c r="F21" s="35" t="n"/>
      <c r="G21" s="9">
        <f>IF(A21="","",COUNTIF(Jobs!$B$5:$B$44,A21))</f>
        <v/>
      </c>
      <c r="H21" s="39">
        <f>IF(A21="","",SUMIFS(Jobs!$K$5:$K$44,Jobs!$B$5:$B$44,A21))</f>
        <v/>
      </c>
      <c r="I21" s="39">
        <f>IF(A21="","",SUMIFS(Jobs!$R$5:$R$44,Jobs!$B$5:$B$44,A21))</f>
        <v/>
      </c>
      <c r="J21" s="39">
        <f>IF(A21="","",SUMIFS(Jobs!$S$5:$S$44,Jobs!$B$5:$B$44,A21))</f>
        <v/>
      </c>
      <c r="K21" s="9">
        <f>IF(A21="","",IF(COUNTIF(Clients!$A$5:$A$104,A21)&gt;1,"Duplicate client",""))</f>
        <v/>
      </c>
    </row>
    <row r="22">
      <c r="A22" s="35" t="n"/>
      <c r="B22" s="35" t="n"/>
      <c r="C22" s="35" t="n"/>
      <c r="D22" s="35" t="n"/>
      <c r="E22" s="35" t="n"/>
      <c r="F22" s="35" t="n"/>
      <c r="G22" s="9">
        <f>IF(A22="","",COUNTIF(Jobs!$B$5:$B$44,A22))</f>
        <v/>
      </c>
      <c r="H22" s="39">
        <f>IF(A22="","",SUMIFS(Jobs!$K$5:$K$44,Jobs!$B$5:$B$44,A22))</f>
        <v/>
      </c>
      <c r="I22" s="39">
        <f>IF(A22="","",SUMIFS(Jobs!$R$5:$R$44,Jobs!$B$5:$B$44,A22))</f>
        <v/>
      </c>
      <c r="J22" s="39">
        <f>IF(A22="","",SUMIFS(Jobs!$S$5:$S$44,Jobs!$B$5:$B$44,A22))</f>
        <v/>
      </c>
      <c r="K22" s="9">
        <f>IF(A22="","",IF(COUNTIF(Clients!$A$5:$A$104,A22)&gt;1,"Duplicate client",""))</f>
        <v/>
      </c>
    </row>
    <row r="23">
      <c r="A23" s="35" t="n"/>
      <c r="B23" s="35" t="n"/>
      <c r="C23" s="35" t="n"/>
      <c r="D23" s="35" t="n"/>
      <c r="E23" s="35" t="n"/>
      <c r="F23" s="35" t="n"/>
      <c r="G23" s="9">
        <f>IF(A23="","",COUNTIF(Jobs!$B$5:$B$44,A23))</f>
        <v/>
      </c>
      <c r="H23" s="39">
        <f>IF(A23="","",SUMIFS(Jobs!$K$5:$K$44,Jobs!$B$5:$B$44,A23))</f>
        <v/>
      </c>
      <c r="I23" s="39">
        <f>IF(A23="","",SUMIFS(Jobs!$R$5:$R$44,Jobs!$B$5:$B$44,A23))</f>
        <v/>
      </c>
      <c r="J23" s="39">
        <f>IF(A23="","",SUMIFS(Jobs!$S$5:$S$44,Jobs!$B$5:$B$44,A23))</f>
        <v/>
      </c>
      <c r="K23" s="9">
        <f>IF(A23="","",IF(COUNTIF(Clients!$A$5:$A$104,A23)&gt;1,"Duplicate client",""))</f>
        <v/>
      </c>
    </row>
    <row r="24">
      <c r="A24" s="35" t="n"/>
      <c r="B24" s="35" t="n"/>
      <c r="C24" s="35" t="n"/>
      <c r="D24" s="35" t="n"/>
      <c r="E24" s="35" t="n"/>
      <c r="F24" s="35" t="n"/>
      <c r="G24" s="9">
        <f>IF(A24="","",COUNTIF(Jobs!$B$5:$B$44,A24))</f>
        <v/>
      </c>
      <c r="H24" s="39">
        <f>IF(A24="","",SUMIFS(Jobs!$K$5:$K$44,Jobs!$B$5:$B$44,A24))</f>
        <v/>
      </c>
      <c r="I24" s="39">
        <f>IF(A24="","",SUMIFS(Jobs!$R$5:$R$44,Jobs!$B$5:$B$44,A24))</f>
        <v/>
      </c>
      <c r="J24" s="39">
        <f>IF(A24="","",SUMIFS(Jobs!$S$5:$S$44,Jobs!$B$5:$B$44,A24))</f>
        <v/>
      </c>
      <c r="K24" s="9">
        <f>IF(A24="","",IF(COUNTIF(Clients!$A$5:$A$104,A24)&gt;1,"Duplicate client",""))</f>
        <v/>
      </c>
    </row>
    <row r="25">
      <c r="A25" s="35" t="n"/>
      <c r="B25" s="35" t="n"/>
      <c r="C25" s="35" t="n"/>
      <c r="D25" s="35" t="n"/>
      <c r="E25" s="35" t="n"/>
      <c r="F25" s="35" t="n"/>
      <c r="G25" s="9">
        <f>IF(A25="","",COUNTIF(Jobs!$B$5:$B$44,A25))</f>
        <v/>
      </c>
      <c r="H25" s="39">
        <f>IF(A25="","",SUMIFS(Jobs!$K$5:$K$44,Jobs!$B$5:$B$44,A25))</f>
        <v/>
      </c>
      <c r="I25" s="39">
        <f>IF(A25="","",SUMIFS(Jobs!$R$5:$R$44,Jobs!$B$5:$B$44,A25))</f>
        <v/>
      </c>
      <c r="J25" s="39">
        <f>IF(A25="","",SUMIFS(Jobs!$S$5:$S$44,Jobs!$B$5:$B$44,A25))</f>
        <v/>
      </c>
      <c r="K25" s="9">
        <f>IF(A25="","",IF(COUNTIF(Clients!$A$5:$A$104,A25)&gt;1,"Duplicate client",""))</f>
        <v/>
      </c>
    </row>
    <row r="26">
      <c r="A26" s="35" t="n"/>
      <c r="B26" s="35" t="n"/>
      <c r="C26" s="35" t="n"/>
      <c r="D26" s="35" t="n"/>
      <c r="E26" s="35" t="n"/>
      <c r="F26" s="35" t="n"/>
      <c r="G26" s="9">
        <f>IF(A26="","",COUNTIF(Jobs!$B$5:$B$44,A26))</f>
        <v/>
      </c>
      <c r="H26" s="39">
        <f>IF(A26="","",SUMIFS(Jobs!$K$5:$K$44,Jobs!$B$5:$B$44,A26))</f>
        <v/>
      </c>
      <c r="I26" s="39">
        <f>IF(A26="","",SUMIFS(Jobs!$R$5:$R$44,Jobs!$B$5:$B$44,A26))</f>
        <v/>
      </c>
      <c r="J26" s="39">
        <f>IF(A26="","",SUMIFS(Jobs!$S$5:$S$44,Jobs!$B$5:$B$44,A26))</f>
        <v/>
      </c>
      <c r="K26" s="9">
        <f>IF(A26="","",IF(COUNTIF(Clients!$A$5:$A$104,A26)&gt;1,"Duplicate client",""))</f>
        <v/>
      </c>
    </row>
    <row r="27">
      <c r="A27" s="35" t="n"/>
      <c r="B27" s="35" t="n"/>
      <c r="C27" s="35" t="n"/>
      <c r="D27" s="35" t="n"/>
      <c r="E27" s="35" t="n"/>
      <c r="F27" s="35" t="n"/>
      <c r="G27" s="9">
        <f>IF(A27="","",COUNTIF(Jobs!$B$5:$B$44,A27))</f>
        <v/>
      </c>
      <c r="H27" s="39">
        <f>IF(A27="","",SUMIFS(Jobs!$K$5:$K$44,Jobs!$B$5:$B$44,A27))</f>
        <v/>
      </c>
      <c r="I27" s="39">
        <f>IF(A27="","",SUMIFS(Jobs!$R$5:$R$44,Jobs!$B$5:$B$44,A27))</f>
        <v/>
      </c>
      <c r="J27" s="39">
        <f>IF(A27="","",SUMIFS(Jobs!$S$5:$S$44,Jobs!$B$5:$B$44,A27))</f>
        <v/>
      </c>
      <c r="K27" s="9">
        <f>IF(A27="","",IF(COUNTIF(Clients!$A$5:$A$104,A27)&gt;1,"Duplicate client",""))</f>
        <v/>
      </c>
    </row>
    <row r="28">
      <c r="A28" s="35" t="n"/>
      <c r="B28" s="35" t="n"/>
      <c r="C28" s="35" t="n"/>
      <c r="D28" s="35" t="n"/>
      <c r="E28" s="35" t="n"/>
      <c r="F28" s="35" t="n"/>
      <c r="G28" s="9">
        <f>IF(A28="","",COUNTIF(Jobs!$B$5:$B$44,A28))</f>
        <v/>
      </c>
      <c r="H28" s="39">
        <f>IF(A28="","",SUMIFS(Jobs!$K$5:$K$44,Jobs!$B$5:$B$44,A28))</f>
        <v/>
      </c>
      <c r="I28" s="39">
        <f>IF(A28="","",SUMIFS(Jobs!$R$5:$R$44,Jobs!$B$5:$B$44,A28))</f>
        <v/>
      </c>
      <c r="J28" s="39">
        <f>IF(A28="","",SUMIFS(Jobs!$S$5:$S$44,Jobs!$B$5:$B$44,A28))</f>
        <v/>
      </c>
      <c r="K28" s="9">
        <f>IF(A28="","",IF(COUNTIF(Clients!$A$5:$A$104,A28)&gt;1,"Duplicate client",""))</f>
        <v/>
      </c>
    </row>
    <row r="29">
      <c r="A29" s="35" t="n"/>
      <c r="B29" s="35" t="n"/>
      <c r="C29" s="35" t="n"/>
      <c r="D29" s="35" t="n"/>
      <c r="E29" s="35" t="n"/>
      <c r="F29" s="35" t="n"/>
      <c r="G29" s="9">
        <f>IF(A29="","",COUNTIF(Jobs!$B$5:$B$44,A29))</f>
        <v/>
      </c>
      <c r="H29" s="39">
        <f>IF(A29="","",SUMIFS(Jobs!$K$5:$K$44,Jobs!$B$5:$B$44,A29))</f>
        <v/>
      </c>
      <c r="I29" s="39">
        <f>IF(A29="","",SUMIFS(Jobs!$R$5:$R$44,Jobs!$B$5:$B$44,A29))</f>
        <v/>
      </c>
      <c r="J29" s="39">
        <f>IF(A29="","",SUMIFS(Jobs!$S$5:$S$44,Jobs!$B$5:$B$44,A29))</f>
        <v/>
      </c>
      <c r="K29" s="9">
        <f>IF(A29="","",IF(COUNTIF(Clients!$A$5:$A$104,A29)&gt;1,"Duplicate client",""))</f>
        <v/>
      </c>
    </row>
    <row r="30">
      <c r="A30" s="35" t="n"/>
      <c r="B30" s="35" t="n"/>
      <c r="C30" s="35" t="n"/>
      <c r="D30" s="35" t="n"/>
      <c r="E30" s="35" t="n"/>
      <c r="F30" s="35" t="n"/>
      <c r="G30" s="9">
        <f>IF(A30="","",COUNTIF(Jobs!$B$5:$B$44,A30))</f>
        <v/>
      </c>
      <c r="H30" s="39">
        <f>IF(A30="","",SUMIFS(Jobs!$K$5:$K$44,Jobs!$B$5:$B$44,A30))</f>
        <v/>
      </c>
      <c r="I30" s="39">
        <f>IF(A30="","",SUMIFS(Jobs!$R$5:$R$44,Jobs!$B$5:$B$44,A30))</f>
        <v/>
      </c>
      <c r="J30" s="39">
        <f>IF(A30="","",SUMIFS(Jobs!$S$5:$S$44,Jobs!$B$5:$B$44,A30))</f>
        <v/>
      </c>
      <c r="K30" s="9">
        <f>IF(A30="","",IF(COUNTIF(Clients!$A$5:$A$104,A30)&gt;1,"Duplicate client",""))</f>
        <v/>
      </c>
    </row>
    <row r="31">
      <c r="A31" s="35" t="n"/>
      <c r="B31" s="35" t="n"/>
      <c r="C31" s="35" t="n"/>
      <c r="D31" s="35" t="n"/>
      <c r="E31" s="35" t="n"/>
      <c r="F31" s="35" t="n"/>
      <c r="G31" s="9">
        <f>IF(A31="","",COUNTIF(Jobs!$B$5:$B$44,A31))</f>
        <v/>
      </c>
      <c r="H31" s="39">
        <f>IF(A31="","",SUMIFS(Jobs!$K$5:$K$44,Jobs!$B$5:$B$44,A31))</f>
        <v/>
      </c>
      <c r="I31" s="39">
        <f>IF(A31="","",SUMIFS(Jobs!$R$5:$R$44,Jobs!$B$5:$B$44,A31))</f>
        <v/>
      </c>
      <c r="J31" s="39">
        <f>IF(A31="","",SUMIFS(Jobs!$S$5:$S$44,Jobs!$B$5:$B$44,A31))</f>
        <v/>
      </c>
      <c r="K31" s="9">
        <f>IF(A31="","",IF(COUNTIF(Clients!$A$5:$A$104,A31)&gt;1,"Duplicate client",""))</f>
        <v/>
      </c>
    </row>
    <row r="32">
      <c r="A32" s="35" t="n"/>
      <c r="B32" s="35" t="n"/>
      <c r="C32" s="35" t="n"/>
      <c r="D32" s="35" t="n"/>
      <c r="E32" s="35" t="n"/>
      <c r="F32" s="35" t="n"/>
      <c r="G32" s="9">
        <f>IF(A32="","",COUNTIF(Jobs!$B$5:$B$44,A32))</f>
        <v/>
      </c>
      <c r="H32" s="39">
        <f>IF(A32="","",SUMIFS(Jobs!$K$5:$K$44,Jobs!$B$5:$B$44,A32))</f>
        <v/>
      </c>
      <c r="I32" s="39">
        <f>IF(A32="","",SUMIFS(Jobs!$R$5:$R$44,Jobs!$B$5:$B$44,A32))</f>
        <v/>
      </c>
      <c r="J32" s="39">
        <f>IF(A32="","",SUMIFS(Jobs!$S$5:$S$44,Jobs!$B$5:$B$44,A32))</f>
        <v/>
      </c>
      <c r="K32" s="9">
        <f>IF(A32="","",IF(COUNTIF(Clients!$A$5:$A$104,A32)&gt;1,"Duplicate client",""))</f>
        <v/>
      </c>
    </row>
    <row r="33">
      <c r="A33" s="35" t="n"/>
      <c r="B33" s="35" t="n"/>
      <c r="C33" s="35" t="n"/>
      <c r="D33" s="35" t="n"/>
      <c r="E33" s="35" t="n"/>
      <c r="F33" s="35" t="n"/>
      <c r="G33" s="9">
        <f>IF(A33="","",COUNTIF(Jobs!$B$5:$B$44,A33))</f>
        <v/>
      </c>
      <c r="H33" s="39">
        <f>IF(A33="","",SUMIFS(Jobs!$K$5:$K$44,Jobs!$B$5:$B$44,A33))</f>
        <v/>
      </c>
      <c r="I33" s="39">
        <f>IF(A33="","",SUMIFS(Jobs!$R$5:$R$44,Jobs!$B$5:$B$44,A33))</f>
        <v/>
      </c>
      <c r="J33" s="39">
        <f>IF(A33="","",SUMIFS(Jobs!$S$5:$S$44,Jobs!$B$5:$B$44,A33))</f>
        <v/>
      </c>
      <c r="K33" s="9">
        <f>IF(A33="","",IF(COUNTIF(Clients!$A$5:$A$104,A33)&gt;1,"Duplicate client",""))</f>
        <v/>
      </c>
    </row>
    <row r="34">
      <c r="A34" s="35" t="n"/>
      <c r="B34" s="35" t="n"/>
      <c r="C34" s="35" t="n"/>
      <c r="D34" s="35" t="n"/>
      <c r="E34" s="35" t="n"/>
      <c r="F34" s="35" t="n"/>
      <c r="G34" s="9">
        <f>IF(A34="","",COUNTIF(Jobs!$B$5:$B$44,A34))</f>
        <v/>
      </c>
      <c r="H34" s="39">
        <f>IF(A34="","",SUMIFS(Jobs!$K$5:$K$44,Jobs!$B$5:$B$44,A34))</f>
        <v/>
      </c>
      <c r="I34" s="39">
        <f>IF(A34="","",SUMIFS(Jobs!$R$5:$R$44,Jobs!$B$5:$B$44,A34))</f>
        <v/>
      </c>
      <c r="J34" s="39">
        <f>IF(A34="","",SUMIFS(Jobs!$S$5:$S$44,Jobs!$B$5:$B$44,A34))</f>
        <v/>
      </c>
      <c r="K34" s="9">
        <f>IF(A34="","",IF(COUNTIF(Clients!$A$5:$A$104,A34)&gt;1,"Duplicate client",""))</f>
        <v/>
      </c>
    </row>
    <row r="35">
      <c r="A35" s="35" t="n"/>
      <c r="B35" s="35" t="n"/>
      <c r="C35" s="35" t="n"/>
      <c r="D35" s="35" t="n"/>
      <c r="E35" s="35" t="n"/>
      <c r="F35" s="35" t="n"/>
      <c r="G35" s="9">
        <f>IF(A35="","",COUNTIF(Jobs!$B$5:$B$44,A35))</f>
        <v/>
      </c>
      <c r="H35" s="39">
        <f>IF(A35="","",SUMIFS(Jobs!$K$5:$K$44,Jobs!$B$5:$B$44,A35))</f>
        <v/>
      </c>
      <c r="I35" s="39">
        <f>IF(A35="","",SUMIFS(Jobs!$R$5:$R$44,Jobs!$B$5:$B$44,A35))</f>
        <v/>
      </c>
      <c r="J35" s="39">
        <f>IF(A35="","",SUMIFS(Jobs!$S$5:$S$44,Jobs!$B$5:$B$44,A35))</f>
        <v/>
      </c>
      <c r="K35" s="9">
        <f>IF(A35="","",IF(COUNTIF(Clients!$A$5:$A$104,A35)&gt;1,"Duplicate client",""))</f>
        <v/>
      </c>
    </row>
    <row r="36">
      <c r="A36" s="35" t="n"/>
      <c r="B36" s="35" t="n"/>
      <c r="C36" s="35" t="n"/>
      <c r="D36" s="35" t="n"/>
      <c r="E36" s="35" t="n"/>
      <c r="F36" s="35" t="n"/>
      <c r="G36" s="9">
        <f>IF(A36="","",COUNTIF(Jobs!$B$5:$B$44,A36))</f>
        <v/>
      </c>
      <c r="H36" s="39">
        <f>IF(A36="","",SUMIFS(Jobs!$K$5:$K$44,Jobs!$B$5:$B$44,A36))</f>
        <v/>
      </c>
      <c r="I36" s="39">
        <f>IF(A36="","",SUMIFS(Jobs!$R$5:$R$44,Jobs!$B$5:$B$44,A36))</f>
        <v/>
      </c>
      <c r="J36" s="39">
        <f>IF(A36="","",SUMIFS(Jobs!$S$5:$S$44,Jobs!$B$5:$B$44,A36))</f>
        <v/>
      </c>
      <c r="K36" s="9">
        <f>IF(A36="","",IF(COUNTIF(Clients!$A$5:$A$104,A36)&gt;1,"Duplicate client",""))</f>
        <v/>
      </c>
    </row>
    <row r="37">
      <c r="A37" s="35" t="n"/>
      <c r="B37" s="35" t="n"/>
      <c r="C37" s="35" t="n"/>
      <c r="D37" s="35" t="n"/>
      <c r="E37" s="35" t="n"/>
      <c r="F37" s="35" t="n"/>
      <c r="G37" s="9">
        <f>IF(A37="","",COUNTIF(Jobs!$B$5:$B$44,A37))</f>
        <v/>
      </c>
      <c r="H37" s="39">
        <f>IF(A37="","",SUMIFS(Jobs!$K$5:$K$44,Jobs!$B$5:$B$44,A37))</f>
        <v/>
      </c>
      <c r="I37" s="39">
        <f>IF(A37="","",SUMIFS(Jobs!$R$5:$R$44,Jobs!$B$5:$B$44,A37))</f>
        <v/>
      </c>
      <c r="J37" s="39">
        <f>IF(A37="","",SUMIFS(Jobs!$S$5:$S$44,Jobs!$B$5:$B$44,A37))</f>
        <v/>
      </c>
      <c r="K37" s="9">
        <f>IF(A37="","",IF(COUNTIF(Clients!$A$5:$A$104,A37)&gt;1,"Duplicate client",""))</f>
        <v/>
      </c>
    </row>
    <row r="38">
      <c r="A38" s="35" t="n"/>
      <c r="B38" s="35" t="n"/>
      <c r="C38" s="35" t="n"/>
      <c r="D38" s="35" t="n"/>
      <c r="E38" s="35" t="n"/>
      <c r="F38" s="35" t="n"/>
      <c r="G38" s="9">
        <f>IF(A38="","",COUNTIF(Jobs!$B$5:$B$44,A38))</f>
        <v/>
      </c>
      <c r="H38" s="39">
        <f>IF(A38="","",SUMIFS(Jobs!$K$5:$K$44,Jobs!$B$5:$B$44,A38))</f>
        <v/>
      </c>
      <c r="I38" s="39">
        <f>IF(A38="","",SUMIFS(Jobs!$R$5:$R$44,Jobs!$B$5:$B$44,A38))</f>
        <v/>
      </c>
      <c r="J38" s="39">
        <f>IF(A38="","",SUMIFS(Jobs!$S$5:$S$44,Jobs!$B$5:$B$44,A38))</f>
        <v/>
      </c>
      <c r="K38" s="9">
        <f>IF(A38="","",IF(COUNTIF(Clients!$A$5:$A$104,A38)&gt;1,"Duplicate client",""))</f>
        <v/>
      </c>
    </row>
    <row r="39">
      <c r="A39" s="35" t="n"/>
      <c r="B39" s="35" t="n"/>
      <c r="C39" s="35" t="n"/>
      <c r="D39" s="35" t="n"/>
      <c r="E39" s="35" t="n"/>
      <c r="F39" s="35" t="n"/>
      <c r="G39" s="9">
        <f>IF(A39="","",COUNTIF(Jobs!$B$5:$B$44,A39))</f>
        <v/>
      </c>
      <c r="H39" s="39">
        <f>IF(A39="","",SUMIFS(Jobs!$K$5:$K$44,Jobs!$B$5:$B$44,A39))</f>
        <v/>
      </c>
      <c r="I39" s="39">
        <f>IF(A39="","",SUMIFS(Jobs!$R$5:$R$44,Jobs!$B$5:$B$44,A39))</f>
        <v/>
      </c>
      <c r="J39" s="39">
        <f>IF(A39="","",SUMIFS(Jobs!$S$5:$S$44,Jobs!$B$5:$B$44,A39))</f>
        <v/>
      </c>
      <c r="K39" s="9">
        <f>IF(A39="","",IF(COUNTIF(Clients!$A$5:$A$104,A39)&gt;1,"Duplicate client",""))</f>
        <v/>
      </c>
    </row>
    <row r="40">
      <c r="A40" s="35" t="n"/>
      <c r="B40" s="35" t="n"/>
      <c r="C40" s="35" t="n"/>
      <c r="D40" s="35" t="n"/>
      <c r="E40" s="35" t="n"/>
      <c r="F40" s="35" t="n"/>
      <c r="G40" s="9">
        <f>IF(A40="","",COUNTIF(Jobs!$B$5:$B$44,A40))</f>
        <v/>
      </c>
      <c r="H40" s="39">
        <f>IF(A40="","",SUMIFS(Jobs!$K$5:$K$44,Jobs!$B$5:$B$44,A40))</f>
        <v/>
      </c>
      <c r="I40" s="39">
        <f>IF(A40="","",SUMIFS(Jobs!$R$5:$R$44,Jobs!$B$5:$B$44,A40))</f>
        <v/>
      </c>
      <c r="J40" s="39">
        <f>IF(A40="","",SUMIFS(Jobs!$S$5:$S$44,Jobs!$B$5:$B$44,A40))</f>
        <v/>
      </c>
      <c r="K40" s="9">
        <f>IF(A40="","",IF(COUNTIF(Clients!$A$5:$A$104,A40)&gt;1,"Duplicate client",""))</f>
        <v/>
      </c>
    </row>
    <row r="41">
      <c r="A41" s="35" t="n"/>
      <c r="B41" s="35" t="n"/>
      <c r="C41" s="35" t="n"/>
      <c r="D41" s="35" t="n"/>
      <c r="E41" s="35" t="n"/>
      <c r="F41" s="35" t="n"/>
      <c r="G41" s="9">
        <f>IF(A41="","",COUNTIF(Jobs!$B$5:$B$44,A41))</f>
        <v/>
      </c>
      <c r="H41" s="39">
        <f>IF(A41="","",SUMIFS(Jobs!$K$5:$K$44,Jobs!$B$5:$B$44,A41))</f>
        <v/>
      </c>
      <c r="I41" s="39">
        <f>IF(A41="","",SUMIFS(Jobs!$R$5:$R$44,Jobs!$B$5:$B$44,A41))</f>
        <v/>
      </c>
      <c r="J41" s="39">
        <f>IF(A41="","",SUMIFS(Jobs!$S$5:$S$44,Jobs!$B$5:$B$44,A41))</f>
        <v/>
      </c>
      <c r="K41" s="9">
        <f>IF(A41="","",IF(COUNTIF(Clients!$A$5:$A$104,A41)&gt;1,"Duplicate client",""))</f>
        <v/>
      </c>
    </row>
    <row r="42">
      <c r="A42" s="35" t="n"/>
      <c r="B42" s="35" t="n"/>
      <c r="C42" s="35" t="n"/>
      <c r="D42" s="35" t="n"/>
      <c r="E42" s="35" t="n"/>
      <c r="F42" s="35" t="n"/>
      <c r="G42" s="9">
        <f>IF(A42="","",COUNTIF(Jobs!$B$5:$B$44,A42))</f>
        <v/>
      </c>
      <c r="H42" s="39">
        <f>IF(A42="","",SUMIFS(Jobs!$K$5:$K$44,Jobs!$B$5:$B$44,A42))</f>
        <v/>
      </c>
      <c r="I42" s="39">
        <f>IF(A42="","",SUMIFS(Jobs!$R$5:$R$44,Jobs!$B$5:$B$44,A42))</f>
        <v/>
      </c>
      <c r="J42" s="39">
        <f>IF(A42="","",SUMIFS(Jobs!$S$5:$S$44,Jobs!$B$5:$B$44,A42))</f>
        <v/>
      </c>
      <c r="K42" s="9">
        <f>IF(A42="","",IF(COUNTIF(Clients!$A$5:$A$104,A42)&gt;1,"Duplicate client",""))</f>
        <v/>
      </c>
    </row>
    <row r="43">
      <c r="A43" s="35" t="n"/>
      <c r="B43" s="35" t="n"/>
      <c r="C43" s="35" t="n"/>
      <c r="D43" s="35" t="n"/>
      <c r="E43" s="35" t="n"/>
      <c r="F43" s="35" t="n"/>
      <c r="G43" s="9">
        <f>IF(A43="","",COUNTIF(Jobs!$B$5:$B$44,A43))</f>
        <v/>
      </c>
      <c r="H43" s="39">
        <f>IF(A43="","",SUMIFS(Jobs!$K$5:$K$44,Jobs!$B$5:$B$44,A43))</f>
        <v/>
      </c>
      <c r="I43" s="39">
        <f>IF(A43="","",SUMIFS(Jobs!$R$5:$R$44,Jobs!$B$5:$B$44,A43))</f>
        <v/>
      </c>
      <c r="J43" s="39">
        <f>IF(A43="","",SUMIFS(Jobs!$S$5:$S$44,Jobs!$B$5:$B$44,A43))</f>
        <v/>
      </c>
      <c r="K43" s="9">
        <f>IF(A43="","",IF(COUNTIF(Clients!$A$5:$A$104,A43)&gt;1,"Duplicate client",""))</f>
        <v/>
      </c>
    </row>
    <row r="44">
      <c r="A44" s="35" t="n"/>
      <c r="B44" s="35" t="n"/>
      <c r="C44" s="35" t="n"/>
      <c r="D44" s="35" t="n"/>
      <c r="E44" s="35" t="n"/>
      <c r="F44" s="35" t="n"/>
      <c r="G44" s="9">
        <f>IF(A44="","",COUNTIF(Jobs!$B$5:$B$44,A44))</f>
        <v/>
      </c>
      <c r="H44" s="39">
        <f>IF(A44="","",SUMIFS(Jobs!$K$5:$K$44,Jobs!$B$5:$B$44,A44))</f>
        <v/>
      </c>
      <c r="I44" s="39">
        <f>IF(A44="","",SUMIFS(Jobs!$R$5:$R$44,Jobs!$B$5:$B$44,A44))</f>
        <v/>
      </c>
      <c r="J44" s="39">
        <f>IF(A44="","",SUMIFS(Jobs!$S$5:$S$44,Jobs!$B$5:$B$44,A44))</f>
        <v/>
      </c>
      <c r="K44" s="9">
        <f>IF(A44="","",IF(COUNTIF(Clients!$A$5:$A$104,A44)&gt;1,"Duplicate client",""))</f>
        <v/>
      </c>
    </row>
    <row r="45">
      <c r="A45" s="35" t="n"/>
      <c r="B45" s="35" t="n"/>
      <c r="C45" s="35" t="n"/>
      <c r="D45" s="35" t="n"/>
      <c r="E45" s="35" t="n"/>
      <c r="F45" s="35" t="n"/>
      <c r="G45" s="9">
        <f>IF(A45="","",COUNTIF(Jobs!$B$5:$B$44,A45))</f>
        <v/>
      </c>
      <c r="H45" s="39">
        <f>IF(A45="","",SUMIFS(Jobs!$K$5:$K$44,Jobs!$B$5:$B$44,A45))</f>
        <v/>
      </c>
      <c r="I45" s="39">
        <f>IF(A45="","",SUMIFS(Jobs!$R$5:$R$44,Jobs!$B$5:$B$44,A45))</f>
        <v/>
      </c>
      <c r="J45" s="39">
        <f>IF(A45="","",SUMIFS(Jobs!$S$5:$S$44,Jobs!$B$5:$B$44,A45))</f>
        <v/>
      </c>
      <c r="K45" s="9">
        <f>IF(A45="","",IF(COUNTIF(Clients!$A$5:$A$104,A45)&gt;1,"Duplicate client",""))</f>
        <v/>
      </c>
    </row>
    <row r="46">
      <c r="A46" s="35" t="n"/>
      <c r="B46" s="35" t="n"/>
      <c r="C46" s="35" t="n"/>
      <c r="D46" s="35" t="n"/>
      <c r="E46" s="35" t="n"/>
      <c r="F46" s="35" t="n"/>
      <c r="G46" s="9">
        <f>IF(A46="","",COUNTIF(Jobs!$B$5:$B$44,A46))</f>
        <v/>
      </c>
      <c r="H46" s="39">
        <f>IF(A46="","",SUMIFS(Jobs!$K$5:$K$44,Jobs!$B$5:$B$44,A46))</f>
        <v/>
      </c>
      <c r="I46" s="39">
        <f>IF(A46="","",SUMIFS(Jobs!$R$5:$R$44,Jobs!$B$5:$B$44,A46))</f>
        <v/>
      </c>
      <c r="J46" s="39">
        <f>IF(A46="","",SUMIFS(Jobs!$S$5:$S$44,Jobs!$B$5:$B$44,A46))</f>
        <v/>
      </c>
      <c r="K46" s="9">
        <f>IF(A46="","",IF(COUNTIF(Clients!$A$5:$A$104,A46)&gt;1,"Duplicate client",""))</f>
        <v/>
      </c>
    </row>
    <row r="47">
      <c r="A47" s="35" t="n"/>
      <c r="B47" s="35" t="n"/>
      <c r="C47" s="35" t="n"/>
      <c r="D47" s="35" t="n"/>
      <c r="E47" s="35" t="n"/>
      <c r="F47" s="35" t="n"/>
      <c r="G47" s="9">
        <f>IF(A47="","",COUNTIF(Jobs!$B$5:$B$44,A47))</f>
        <v/>
      </c>
      <c r="H47" s="39">
        <f>IF(A47="","",SUMIFS(Jobs!$K$5:$K$44,Jobs!$B$5:$B$44,A47))</f>
        <v/>
      </c>
      <c r="I47" s="39">
        <f>IF(A47="","",SUMIFS(Jobs!$R$5:$R$44,Jobs!$B$5:$B$44,A47))</f>
        <v/>
      </c>
      <c r="J47" s="39">
        <f>IF(A47="","",SUMIFS(Jobs!$S$5:$S$44,Jobs!$B$5:$B$44,A47))</f>
        <v/>
      </c>
      <c r="K47" s="9">
        <f>IF(A47="","",IF(COUNTIF(Clients!$A$5:$A$104,A47)&gt;1,"Duplicate client",""))</f>
        <v/>
      </c>
    </row>
    <row r="48">
      <c r="A48" s="35" t="n"/>
      <c r="B48" s="35" t="n"/>
      <c r="C48" s="35" t="n"/>
      <c r="D48" s="35" t="n"/>
      <c r="E48" s="35" t="n"/>
      <c r="F48" s="35" t="n"/>
      <c r="G48" s="9">
        <f>IF(A48="","",COUNTIF(Jobs!$B$5:$B$44,A48))</f>
        <v/>
      </c>
      <c r="H48" s="39">
        <f>IF(A48="","",SUMIFS(Jobs!$K$5:$K$44,Jobs!$B$5:$B$44,A48))</f>
        <v/>
      </c>
      <c r="I48" s="39">
        <f>IF(A48="","",SUMIFS(Jobs!$R$5:$R$44,Jobs!$B$5:$B$44,A48))</f>
        <v/>
      </c>
      <c r="J48" s="39">
        <f>IF(A48="","",SUMIFS(Jobs!$S$5:$S$44,Jobs!$B$5:$B$44,A48))</f>
        <v/>
      </c>
      <c r="K48" s="9">
        <f>IF(A48="","",IF(COUNTIF(Clients!$A$5:$A$104,A48)&gt;1,"Duplicate client",""))</f>
        <v/>
      </c>
    </row>
    <row r="49">
      <c r="A49" s="35" t="n"/>
      <c r="B49" s="35" t="n"/>
      <c r="C49" s="35" t="n"/>
      <c r="D49" s="35" t="n"/>
      <c r="E49" s="35" t="n"/>
      <c r="F49" s="35" t="n"/>
      <c r="G49" s="9">
        <f>IF(A49="","",COUNTIF(Jobs!$B$5:$B$44,A49))</f>
        <v/>
      </c>
      <c r="H49" s="39">
        <f>IF(A49="","",SUMIFS(Jobs!$K$5:$K$44,Jobs!$B$5:$B$44,A49))</f>
        <v/>
      </c>
      <c r="I49" s="39">
        <f>IF(A49="","",SUMIFS(Jobs!$R$5:$R$44,Jobs!$B$5:$B$44,A49))</f>
        <v/>
      </c>
      <c r="J49" s="39">
        <f>IF(A49="","",SUMIFS(Jobs!$S$5:$S$44,Jobs!$B$5:$B$44,A49))</f>
        <v/>
      </c>
      <c r="K49" s="9">
        <f>IF(A49="","",IF(COUNTIF(Clients!$A$5:$A$104,A49)&gt;1,"Duplicate client",""))</f>
        <v/>
      </c>
    </row>
    <row r="50">
      <c r="A50" s="35" t="n"/>
      <c r="B50" s="35" t="n"/>
      <c r="C50" s="35" t="n"/>
      <c r="D50" s="35" t="n"/>
      <c r="E50" s="35" t="n"/>
      <c r="F50" s="35" t="n"/>
      <c r="G50" s="9">
        <f>IF(A50="","",COUNTIF(Jobs!$B$5:$B$44,A50))</f>
        <v/>
      </c>
      <c r="H50" s="39">
        <f>IF(A50="","",SUMIFS(Jobs!$K$5:$K$44,Jobs!$B$5:$B$44,A50))</f>
        <v/>
      </c>
      <c r="I50" s="39">
        <f>IF(A50="","",SUMIFS(Jobs!$R$5:$R$44,Jobs!$B$5:$B$44,A50))</f>
        <v/>
      </c>
      <c r="J50" s="39">
        <f>IF(A50="","",SUMIFS(Jobs!$S$5:$S$44,Jobs!$B$5:$B$44,A50))</f>
        <v/>
      </c>
      <c r="K50" s="9">
        <f>IF(A50="","",IF(COUNTIF(Clients!$A$5:$A$104,A50)&gt;1,"Duplicate client",""))</f>
        <v/>
      </c>
    </row>
    <row r="51">
      <c r="A51" s="35" t="n"/>
      <c r="B51" s="35" t="n"/>
      <c r="C51" s="35" t="n"/>
      <c r="D51" s="35" t="n"/>
      <c r="E51" s="35" t="n"/>
      <c r="F51" s="35" t="n"/>
      <c r="G51" s="9">
        <f>IF(A51="","",COUNTIF(Jobs!$B$5:$B$44,A51))</f>
        <v/>
      </c>
      <c r="H51" s="39">
        <f>IF(A51="","",SUMIFS(Jobs!$K$5:$K$44,Jobs!$B$5:$B$44,A51))</f>
        <v/>
      </c>
      <c r="I51" s="39">
        <f>IF(A51="","",SUMIFS(Jobs!$R$5:$R$44,Jobs!$B$5:$B$44,A51))</f>
        <v/>
      </c>
      <c r="J51" s="39">
        <f>IF(A51="","",SUMIFS(Jobs!$S$5:$S$44,Jobs!$B$5:$B$44,A51))</f>
        <v/>
      </c>
      <c r="K51" s="9">
        <f>IF(A51="","",IF(COUNTIF(Clients!$A$5:$A$104,A51)&gt;1,"Duplicate client",""))</f>
        <v/>
      </c>
    </row>
    <row r="52">
      <c r="A52" s="35" t="n"/>
      <c r="B52" s="35" t="n"/>
      <c r="C52" s="35" t="n"/>
      <c r="D52" s="35" t="n"/>
      <c r="E52" s="35" t="n"/>
      <c r="F52" s="35" t="n"/>
      <c r="G52" s="9">
        <f>IF(A52="","",COUNTIF(Jobs!$B$5:$B$44,A52))</f>
        <v/>
      </c>
      <c r="H52" s="39">
        <f>IF(A52="","",SUMIFS(Jobs!$K$5:$K$44,Jobs!$B$5:$B$44,A52))</f>
        <v/>
      </c>
      <c r="I52" s="39">
        <f>IF(A52="","",SUMIFS(Jobs!$R$5:$R$44,Jobs!$B$5:$B$44,A52))</f>
        <v/>
      </c>
      <c r="J52" s="39">
        <f>IF(A52="","",SUMIFS(Jobs!$S$5:$S$44,Jobs!$B$5:$B$44,A52))</f>
        <v/>
      </c>
      <c r="K52" s="9">
        <f>IF(A52="","",IF(COUNTIF(Clients!$A$5:$A$104,A52)&gt;1,"Duplicate client",""))</f>
        <v/>
      </c>
    </row>
    <row r="53">
      <c r="A53" s="35" t="n"/>
      <c r="B53" s="35" t="n"/>
      <c r="C53" s="35" t="n"/>
      <c r="D53" s="35" t="n"/>
      <c r="E53" s="35" t="n"/>
      <c r="F53" s="35" t="n"/>
      <c r="G53" s="9">
        <f>IF(A53="","",COUNTIF(Jobs!$B$5:$B$44,A53))</f>
        <v/>
      </c>
      <c r="H53" s="39">
        <f>IF(A53="","",SUMIFS(Jobs!$K$5:$K$44,Jobs!$B$5:$B$44,A53))</f>
        <v/>
      </c>
      <c r="I53" s="39">
        <f>IF(A53="","",SUMIFS(Jobs!$R$5:$R$44,Jobs!$B$5:$B$44,A53))</f>
        <v/>
      </c>
      <c r="J53" s="39">
        <f>IF(A53="","",SUMIFS(Jobs!$S$5:$S$44,Jobs!$B$5:$B$44,A53))</f>
        <v/>
      </c>
      <c r="K53" s="9">
        <f>IF(A53="","",IF(COUNTIF(Clients!$A$5:$A$104,A53)&gt;1,"Duplicate client",""))</f>
        <v/>
      </c>
    </row>
    <row r="54">
      <c r="A54" s="35" t="n"/>
      <c r="B54" s="35" t="n"/>
      <c r="C54" s="35" t="n"/>
      <c r="D54" s="35" t="n"/>
      <c r="E54" s="35" t="n"/>
      <c r="F54" s="35" t="n"/>
      <c r="G54" s="9">
        <f>IF(A54="","",COUNTIF(Jobs!$B$5:$B$44,A54))</f>
        <v/>
      </c>
      <c r="H54" s="39">
        <f>IF(A54="","",SUMIFS(Jobs!$K$5:$K$44,Jobs!$B$5:$B$44,A54))</f>
        <v/>
      </c>
      <c r="I54" s="39">
        <f>IF(A54="","",SUMIFS(Jobs!$R$5:$R$44,Jobs!$B$5:$B$44,A54))</f>
        <v/>
      </c>
      <c r="J54" s="39">
        <f>IF(A54="","",SUMIFS(Jobs!$S$5:$S$44,Jobs!$B$5:$B$44,A54))</f>
        <v/>
      </c>
      <c r="K54" s="9">
        <f>IF(A54="","",IF(COUNTIF(Clients!$A$5:$A$104,A54)&gt;1,"Duplicate client",""))</f>
        <v/>
      </c>
    </row>
    <row r="55">
      <c r="A55" s="35" t="n"/>
      <c r="B55" s="35" t="n"/>
      <c r="C55" s="35" t="n"/>
      <c r="D55" s="35" t="n"/>
      <c r="E55" s="35" t="n"/>
      <c r="F55" s="35" t="n"/>
      <c r="G55" s="9">
        <f>IF(A55="","",COUNTIF(Jobs!$B$5:$B$44,A55))</f>
        <v/>
      </c>
      <c r="H55" s="39">
        <f>IF(A55="","",SUMIFS(Jobs!$K$5:$K$44,Jobs!$B$5:$B$44,A55))</f>
        <v/>
      </c>
      <c r="I55" s="39">
        <f>IF(A55="","",SUMIFS(Jobs!$R$5:$R$44,Jobs!$B$5:$B$44,A55))</f>
        <v/>
      </c>
      <c r="J55" s="39">
        <f>IF(A55="","",SUMIFS(Jobs!$S$5:$S$44,Jobs!$B$5:$B$44,A55))</f>
        <v/>
      </c>
      <c r="K55" s="9">
        <f>IF(A55="","",IF(COUNTIF(Clients!$A$5:$A$104,A55)&gt;1,"Duplicate client",""))</f>
        <v/>
      </c>
    </row>
    <row r="56">
      <c r="A56" s="35" t="n"/>
      <c r="B56" s="35" t="n"/>
      <c r="C56" s="35" t="n"/>
      <c r="D56" s="35" t="n"/>
      <c r="E56" s="35" t="n"/>
      <c r="F56" s="35" t="n"/>
      <c r="G56" s="9">
        <f>IF(A56="","",COUNTIF(Jobs!$B$5:$B$44,A56))</f>
        <v/>
      </c>
      <c r="H56" s="39">
        <f>IF(A56="","",SUMIFS(Jobs!$K$5:$K$44,Jobs!$B$5:$B$44,A56))</f>
        <v/>
      </c>
      <c r="I56" s="39">
        <f>IF(A56="","",SUMIFS(Jobs!$R$5:$R$44,Jobs!$B$5:$B$44,A56))</f>
        <v/>
      </c>
      <c r="J56" s="39">
        <f>IF(A56="","",SUMIFS(Jobs!$S$5:$S$44,Jobs!$B$5:$B$44,A56))</f>
        <v/>
      </c>
      <c r="K56" s="9">
        <f>IF(A56="","",IF(COUNTIF(Clients!$A$5:$A$104,A56)&gt;1,"Duplicate client",""))</f>
        <v/>
      </c>
    </row>
    <row r="57">
      <c r="A57" s="35" t="n"/>
      <c r="B57" s="35" t="n"/>
      <c r="C57" s="35" t="n"/>
      <c r="D57" s="35" t="n"/>
      <c r="E57" s="35" t="n"/>
      <c r="F57" s="35" t="n"/>
      <c r="G57" s="9">
        <f>IF(A57="","",COUNTIF(Jobs!$B$5:$B$44,A57))</f>
        <v/>
      </c>
      <c r="H57" s="39">
        <f>IF(A57="","",SUMIFS(Jobs!$K$5:$K$44,Jobs!$B$5:$B$44,A57))</f>
        <v/>
      </c>
      <c r="I57" s="39">
        <f>IF(A57="","",SUMIFS(Jobs!$R$5:$R$44,Jobs!$B$5:$B$44,A57))</f>
        <v/>
      </c>
      <c r="J57" s="39">
        <f>IF(A57="","",SUMIFS(Jobs!$S$5:$S$44,Jobs!$B$5:$B$44,A57))</f>
        <v/>
      </c>
      <c r="K57" s="9">
        <f>IF(A57="","",IF(COUNTIF(Clients!$A$5:$A$104,A57)&gt;1,"Duplicate client",""))</f>
        <v/>
      </c>
    </row>
    <row r="58">
      <c r="A58" s="35" t="n"/>
      <c r="B58" s="35" t="n"/>
      <c r="C58" s="35" t="n"/>
      <c r="D58" s="35" t="n"/>
      <c r="E58" s="35" t="n"/>
      <c r="F58" s="35" t="n"/>
      <c r="G58" s="9">
        <f>IF(A58="","",COUNTIF(Jobs!$B$5:$B$44,A58))</f>
        <v/>
      </c>
      <c r="H58" s="39">
        <f>IF(A58="","",SUMIFS(Jobs!$K$5:$K$44,Jobs!$B$5:$B$44,A58))</f>
        <v/>
      </c>
      <c r="I58" s="39">
        <f>IF(A58="","",SUMIFS(Jobs!$R$5:$R$44,Jobs!$B$5:$B$44,A58))</f>
        <v/>
      </c>
      <c r="J58" s="39">
        <f>IF(A58="","",SUMIFS(Jobs!$S$5:$S$44,Jobs!$B$5:$B$44,A58))</f>
        <v/>
      </c>
      <c r="K58" s="9">
        <f>IF(A58="","",IF(COUNTIF(Clients!$A$5:$A$104,A58)&gt;1,"Duplicate client",""))</f>
        <v/>
      </c>
    </row>
    <row r="59">
      <c r="A59" s="35" t="n"/>
      <c r="B59" s="35" t="n"/>
      <c r="C59" s="35" t="n"/>
      <c r="D59" s="35" t="n"/>
      <c r="E59" s="35" t="n"/>
      <c r="F59" s="35" t="n"/>
      <c r="G59" s="9">
        <f>IF(A59="","",COUNTIF(Jobs!$B$5:$B$44,A59))</f>
        <v/>
      </c>
      <c r="H59" s="39">
        <f>IF(A59="","",SUMIFS(Jobs!$K$5:$K$44,Jobs!$B$5:$B$44,A59))</f>
        <v/>
      </c>
      <c r="I59" s="39">
        <f>IF(A59="","",SUMIFS(Jobs!$R$5:$R$44,Jobs!$B$5:$B$44,A59))</f>
        <v/>
      </c>
      <c r="J59" s="39">
        <f>IF(A59="","",SUMIFS(Jobs!$S$5:$S$44,Jobs!$B$5:$B$44,A59))</f>
        <v/>
      </c>
      <c r="K59" s="9">
        <f>IF(A59="","",IF(COUNTIF(Clients!$A$5:$A$104,A59)&gt;1,"Duplicate client",""))</f>
        <v/>
      </c>
    </row>
    <row r="60">
      <c r="A60" s="35" t="n"/>
      <c r="B60" s="35" t="n"/>
      <c r="C60" s="35" t="n"/>
      <c r="D60" s="35" t="n"/>
      <c r="E60" s="35" t="n"/>
      <c r="F60" s="35" t="n"/>
      <c r="G60" s="9">
        <f>IF(A60="","",COUNTIF(Jobs!$B$5:$B$44,A60))</f>
        <v/>
      </c>
      <c r="H60" s="39">
        <f>IF(A60="","",SUMIFS(Jobs!$K$5:$K$44,Jobs!$B$5:$B$44,A60))</f>
        <v/>
      </c>
      <c r="I60" s="39">
        <f>IF(A60="","",SUMIFS(Jobs!$R$5:$R$44,Jobs!$B$5:$B$44,A60))</f>
        <v/>
      </c>
      <c r="J60" s="39">
        <f>IF(A60="","",SUMIFS(Jobs!$S$5:$S$44,Jobs!$B$5:$B$44,A60))</f>
        <v/>
      </c>
      <c r="K60" s="9">
        <f>IF(A60="","",IF(COUNTIF(Clients!$A$5:$A$104,A60)&gt;1,"Duplicate client",""))</f>
        <v/>
      </c>
    </row>
    <row r="61">
      <c r="A61" s="35" t="n"/>
      <c r="B61" s="35" t="n"/>
      <c r="C61" s="35" t="n"/>
      <c r="D61" s="35" t="n"/>
      <c r="E61" s="35" t="n"/>
      <c r="F61" s="35" t="n"/>
      <c r="G61" s="9">
        <f>IF(A61="","",COUNTIF(Jobs!$B$5:$B$44,A61))</f>
        <v/>
      </c>
      <c r="H61" s="39">
        <f>IF(A61="","",SUMIFS(Jobs!$K$5:$K$44,Jobs!$B$5:$B$44,A61))</f>
        <v/>
      </c>
      <c r="I61" s="39">
        <f>IF(A61="","",SUMIFS(Jobs!$R$5:$R$44,Jobs!$B$5:$B$44,A61))</f>
        <v/>
      </c>
      <c r="J61" s="39">
        <f>IF(A61="","",SUMIFS(Jobs!$S$5:$S$44,Jobs!$B$5:$B$44,A61))</f>
        <v/>
      </c>
      <c r="K61" s="9">
        <f>IF(A61="","",IF(COUNTIF(Clients!$A$5:$A$104,A61)&gt;1,"Duplicate client",""))</f>
        <v/>
      </c>
    </row>
    <row r="62">
      <c r="A62" s="35" t="n"/>
      <c r="B62" s="35" t="n"/>
      <c r="C62" s="35" t="n"/>
      <c r="D62" s="35" t="n"/>
      <c r="E62" s="35" t="n"/>
      <c r="F62" s="35" t="n"/>
      <c r="G62" s="9">
        <f>IF(A62="","",COUNTIF(Jobs!$B$5:$B$44,A62))</f>
        <v/>
      </c>
      <c r="H62" s="39">
        <f>IF(A62="","",SUMIFS(Jobs!$K$5:$K$44,Jobs!$B$5:$B$44,A62))</f>
        <v/>
      </c>
      <c r="I62" s="39">
        <f>IF(A62="","",SUMIFS(Jobs!$R$5:$R$44,Jobs!$B$5:$B$44,A62))</f>
        <v/>
      </c>
      <c r="J62" s="39">
        <f>IF(A62="","",SUMIFS(Jobs!$S$5:$S$44,Jobs!$B$5:$B$44,A62))</f>
        <v/>
      </c>
      <c r="K62" s="9">
        <f>IF(A62="","",IF(COUNTIF(Clients!$A$5:$A$104,A62)&gt;1,"Duplicate client",""))</f>
        <v/>
      </c>
    </row>
    <row r="63">
      <c r="A63" s="35" t="n"/>
      <c r="B63" s="35" t="n"/>
      <c r="C63" s="35" t="n"/>
      <c r="D63" s="35" t="n"/>
      <c r="E63" s="35" t="n"/>
      <c r="F63" s="35" t="n"/>
      <c r="G63" s="9">
        <f>IF(A63="","",COUNTIF(Jobs!$B$5:$B$44,A63))</f>
        <v/>
      </c>
      <c r="H63" s="39">
        <f>IF(A63="","",SUMIFS(Jobs!$K$5:$K$44,Jobs!$B$5:$B$44,A63))</f>
        <v/>
      </c>
      <c r="I63" s="39">
        <f>IF(A63="","",SUMIFS(Jobs!$R$5:$R$44,Jobs!$B$5:$B$44,A63))</f>
        <v/>
      </c>
      <c r="J63" s="39">
        <f>IF(A63="","",SUMIFS(Jobs!$S$5:$S$44,Jobs!$B$5:$B$44,A63))</f>
        <v/>
      </c>
      <c r="K63" s="9">
        <f>IF(A63="","",IF(COUNTIF(Clients!$A$5:$A$104,A63)&gt;1,"Duplicate client",""))</f>
        <v/>
      </c>
    </row>
    <row r="64">
      <c r="A64" s="35" t="n"/>
      <c r="B64" s="35" t="n"/>
      <c r="C64" s="35" t="n"/>
      <c r="D64" s="35" t="n"/>
      <c r="E64" s="35" t="n"/>
      <c r="F64" s="35" t="n"/>
      <c r="G64" s="9">
        <f>IF(A64="","",COUNTIF(Jobs!$B$5:$B$44,A64))</f>
        <v/>
      </c>
      <c r="H64" s="39">
        <f>IF(A64="","",SUMIFS(Jobs!$K$5:$K$44,Jobs!$B$5:$B$44,A64))</f>
        <v/>
      </c>
      <c r="I64" s="39">
        <f>IF(A64="","",SUMIFS(Jobs!$R$5:$R$44,Jobs!$B$5:$B$44,A64))</f>
        <v/>
      </c>
      <c r="J64" s="39">
        <f>IF(A64="","",SUMIFS(Jobs!$S$5:$S$44,Jobs!$B$5:$B$44,A64))</f>
        <v/>
      </c>
      <c r="K64" s="9">
        <f>IF(A64="","",IF(COUNTIF(Clients!$A$5:$A$104,A64)&gt;1,"Duplicate client",""))</f>
        <v/>
      </c>
    </row>
    <row r="65">
      <c r="A65" s="35" t="n"/>
      <c r="B65" s="35" t="n"/>
      <c r="C65" s="35" t="n"/>
      <c r="D65" s="35" t="n"/>
      <c r="E65" s="35" t="n"/>
      <c r="F65" s="35" t="n"/>
      <c r="G65" s="9">
        <f>IF(A65="","",COUNTIF(Jobs!$B$5:$B$44,A65))</f>
        <v/>
      </c>
      <c r="H65" s="39">
        <f>IF(A65="","",SUMIFS(Jobs!$K$5:$K$44,Jobs!$B$5:$B$44,A65))</f>
        <v/>
      </c>
      <c r="I65" s="39">
        <f>IF(A65="","",SUMIFS(Jobs!$R$5:$R$44,Jobs!$B$5:$B$44,A65))</f>
        <v/>
      </c>
      <c r="J65" s="39">
        <f>IF(A65="","",SUMIFS(Jobs!$S$5:$S$44,Jobs!$B$5:$B$44,A65))</f>
        <v/>
      </c>
      <c r="K65" s="9">
        <f>IF(A65="","",IF(COUNTIF(Clients!$A$5:$A$104,A65)&gt;1,"Duplicate client",""))</f>
        <v/>
      </c>
    </row>
    <row r="66">
      <c r="A66" s="35" t="n"/>
      <c r="B66" s="35" t="n"/>
      <c r="C66" s="35" t="n"/>
      <c r="D66" s="35" t="n"/>
      <c r="E66" s="35" t="n"/>
      <c r="F66" s="35" t="n"/>
      <c r="G66" s="9">
        <f>IF(A66="","",COUNTIF(Jobs!$B$5:$B$44,A66))</f>
        <v/>
      </c>
      <c r="H66" s="39">
        <f>IF(A66="","",SUMIFS(Jobs!$K$5:$K$44,Jobs!$B$5:$B$44,A66))</f>
        <v/>
      </c>
      <c r="I66" s="39">
        <f>IF(A66="","",SUMIFS(Jobs!$R$5:$R$44,Jobs!$B$5:$B$44,A66))</f>
        <v/>
      </c>
      <c r="J66" s="39">
        <f>IF(A66="","",SUMIFS(Jobs!$S$5:$S$44,Jobs!$B$5:$B$44,A66))</f>
        <v/>
      </c>
      <c r="K66" s="9">
        <f>IF(A66="","",IF(COUNTIF(Clients!$A$5:$A$104,A66)&gt;1,"Duplicate client",""))</f>
        <v/>
      </c>
    </row>
    <row r="67">
      <c r="A67" s="35" t="n"/>
      <c r="B67" s="35" t="n"/>
      <c r="C67" s="35" t="n"/>
      <c r="D67" s="35" t="n"/>
      <c r="E67" s="35" t="n"/>
      <c r="F67" s="35" t="n"/>
      <c r="G67" s="9">
        <f>IF(A67="","",COUNTIF(Jobs!$B$5:$B$44,A67))</f>
        <v/>
      </c>
      <c r="H67" s="39">
        <f>IF(A67="","",SUMIFS(Jobs!$K$5:$K$44,Jobs!$B$5:$B$44,A67))</f>
        <v/>
      </c>
      <c r="I67" s="39">
        <f>IF(A67="","",SUMIFS(Jobs!$R$5:$R$44,Jobs!$B$5:$B$44,A67))</f>
        <v/>
      </c>
      <c r="J67" s="39">
        <f>IF(A67="","",SUMIFS(Jobs!$S$5:$S$44,Jobs!$B$5:$B$44,A67))</f>
        <v/>
      </c>
      <c r="K67" s="9">
        <f>IF(A67="","",IF(COUNTIF(Clients!$A$5:$A$104,A67)&gt;1,"Duplicate client",""))</f>
        <v/>
      </c>
    </row>
    <row r="68">
      <c r="A68" s="35" t="n"/>
      <c r="B68" s="35" t="n"/>
      <c r="C68" s="35" t="n"/>
      <c r="D68" s="35" t="n"/>
      <c r="E68" s="35" t="n"/>
      <c r="F68" s="35" t="n"/>
      <c r="G68" s="9">
        <f>IF(A68="","",COUNTIF(Jobs!$B$5:$B$44,A68))</f>
        <v/>
      </c>
      <c r="H68" s="39">
        <f>IF(A68="","",SUMIFS(Jobs!$K$5:$K$44,Jobs!$B$5:$B$44,A68))</f>
        <v/>
      </c>
      <c r="I68" s="39">
        <f>IF(A68="","",SUMIFS(Jobs!$R$5:$R$44,Jobs!$B$5:$B$44,A68))</f>
        <v/>
      </c>
      <c r="J68" s="39">
        <f>IF(A68="","",SUMIFS(Jobs!$S$5:$S$44,Jobs!$B$5:$B$44,A68))</f>
        <v/>
      </c>
      <c r="K68" s="9">
        <f>IF(A68="","",IF(COUNTIF(Clients!$A$5:$A$104,A68)&gt;1,"Duplicate client",""))</f>
        <v/>
      </c>
    </row>
    <row r="69">
      <c r="A69" s="35" t="n"/>
      <c r="B69" s="35" t="n"/>
      <c r="C69" s="35" t="n"/>
      <c r="D69" s="35" t="n"/>
      <c r="E69" s="35" t="n"/>
      <c r="F69" s="35" t="n"/>
      <c r="G69" s="9">
        <f>IF(A69="","",COUNTIF(Jobs!$B$5:$B$44,A69))</f>
        <v/>
      </c>
      <c r="H69" s="39">
        <f>IF(A69="","",SUMIFS(Jobs!$K$5:$K$44,Jobs!$B$5:$B$44,A69))</f>
        <v/>
      </c>
      <c r="I69" s="39">
        <f>IF(A69="","",SUMIFS(Jobs!$R$5:$R$44,Jobs!$B$5:$B$44,A69))</f>
        <v/>
      </c>
      <c r="J69" s="39">
        <f>IF(A69="","",SUMIFS(Jobs!$S$5:$S$44,Jobs!$B$5:$B$44,A69))</f>
        <v/>
      </c>
      <c r="K69" s="9">
        <f>IF(A69="","",IF(COUNTIF(Clients!$A$5:$A$104,A69)&gt;1,"Duplicate client",""))</f>
        <v/>
      </c>
    </row>
    <row r="70">
      <c r="A70" s="35" t="n"/>
      <c r="B70" s="35" t="n"/>
      <c r="C70" s="35" t="n"/>
      <c r="D70" s="35" t="n"/>
      <c r="E70" s="35" t="n"/>
      <c r="F70" s="35" t="n"/>
      <c r="G70" s="9">
        <f>IF(A70="","",COUNTIF(Jobs!$B$5:$B$44,A70))</f>
        <v/>
      </c>
      <c r="H70" s="39">
        <f>IF(A70="","",SUMIFS(Jobs!$K$5:$K$44,Jobs!$B$5:$B$44,A70))</f>
        <v/>
      </c>
      <c r="I70" s="39">
        <f>IF(A70="","",SUMIFS(Jobs!$R$5:$R$44,Jobs!$B$5:$B$44,A70))</f>
        <v/>
      </c>
      <c r="J70" s="39">
        <f>IF(A70="","",SUMIFS(Jobs!$S$5:$S$44,Jobs!$B$5:$B$44,A70))</f>
        <v/>
      </c>
      <c r="K70" s="9">
        <f>IF(A70="","",IF(COUNTIF(Clients!$A$5:$A$104,A70)&gt;1,"Duplicate client",""))</f>
        <v/>
      </c>
    </row>
    <row r="71">
      <c r="A71" s="35" t="n"/>
      <c r="B71" s="35" t="n"/>
      <c r="C71" s="35" t="n"/>
      <c r="D71" s="35" t="n"/>
      <c r="E71" s="35" t="n"/>
      <c r="F71" s="35" t="n"/>
      <c r="G71" s="9">
        <f>IF(A71="","",COUNTIF(Jobs!$B$5:$B$44,A71))</f>
        <v/>
      </c>
      <c r="H71" s="39">
        <f>IF(A71="","",SUMIFS(Jobs!$K$5:$K$44,Jobs!$B$5:$B$44,A71))</f>
        <v/>
      </c>
      <c r="I71" s="39">
        <f>IF(A71="","",SUMIFS(Jobs!$R$5:$R$44,Jobs!$B$5:$B$44,A71))</f>
        <v/>
      </c>
      <c r="J71" s="39">
        <f>IF(A71="","",SUMIFS(Jobs!$S$5:$S$44,Jobs!$B$5:$B$44,A71))</f>
        <v/>
      </c>
      <c r="K71" s="9">
        <f>IF(A71="","",IF(COUNTIF(Clients!$A$5:$A$104,A71)&gt;1,"Duplicate client",""))</f>
        <v/>
      </c>
    </row>
    <row r="72">
      <c r="A72" s="35" t="n"/>
      <c r="B72" s="35" t="n"/>
      <c r="C72" s="35" t="n"/>
      <c r="D72" s="35" t="n"/>
      <c r="E72" s="35" t="n"/>
      <c r="F72" s="35" t="n"/>
      <c r="G72" s="9">
        <f>IF(A72="","",COUNTIF(Jobs!$B$5:$B$44,A72))</f>
        <v/>
      </c>
      <c r="H72" s="39">
        <f>IF(A72="","",SUMIFS(Jobs!$K$5:$K$44,Jobs!$B$5:$B$44,A72))</f>
        <v/>
      </c>
      <c r="I72" s="39">
        <f>IF(A72="","",SUMIFS(Jobs!$R$5:$R$44,Jobs!$B$5:$B$44,A72))</f>
        <v/>
      </c>
      <c r="J72" s="39">
        <f>IF(A72="","",SUMIFS(Jobs!$S$5:$S$44,Jobs!$B$5:$B$44,A72))</f>
        <v/>
      </c>
      <c r="K72" s="9">
        <f>IF(A72="","",IF(COUNTIF(Clients!$A$5:$A$104,A72)&gt;1,"Duplicate client",""))</f>
        <v/>
      </c>
    </row>
    <row r="73">
      <c r="A73" s="35" t="n"/>
      <c r="B73" s="35" t="n"/>
      <c r="C73" s="35" t="n"/>
      <c r="D73" s="35" t="n"/>
      <c r="E73" s="35" t="n"/>
      <c r="F73" s="35" t="n"/>
      <c r="G73" s="9">
        <f>IF(A73="","",COUNTIF(Jobs!$B$5:$B$44,A73))</f>
        <v/>
      </c>
      <c r="H73" s="39">
        <f>IF(A73="","",SUMIFS(Jobs!$K$5:$K$44,Jobs!$B$5:$B$44,A73))</f>
        <v/>
      </c>
      <c r="I73" s="39">
        <f>IF(A73="","",SUMIFS(Jobs!$R$5:$R$44,Jobs!$B$5:$B$44,A73))</f>
        <v/>
      </c>
      <c r="J73" s="39">
        <f>IF(A73="","",SUMIFS(Jobs!$S$5:$S$44,Jobs!$B$5:$B$44,A73))</f>
        <v/>
      </c>
      <c r="K73" s="9">
        <f>IF(A73="","",IF(COUNTIF(Clients!$A$5:$A$104,A73)&gt;1,"Duplicate client",""))</f>
        <v/>
      </c>
    </row>
    <row r="74">
      <c r="A74" s="35" t="n"/>
      <c r="B74" s="35" t="n"/>
      <c r="C74" s="35" t="n"/>
      <c r="D74" s="35" t="n"/>
      <c r="E74" s="35" t="n"/>
      <c r="F74" s="35" t="n"/>
      <c r="G74" s="9">
        <f>IF(A74="","",COUNTIF(Jobs!$B$5:$B$44,A74))</f>
        <v/>
      </c>
      <c r="H74" s="39">
        <f>IF(A74="","",SUMIFS(Jobs!$K$5:$K$44,Jobs!$B$5:$B$44,A74))</f>
        <v/>
      </c>
      <c r="I74" s="39">
        <f>IF(A74="","",SUMIFS(Jobs!$R$5:$R$44,Jobs!$B$5:$B$44,A74))</f>
        <v/>
      </c>
      <c r="J74" s="39">
        <f>IF(A74="","",SUMIFS(Jobs!$S$5:$S$44,Jobs!$B$5:$B$44,A74))</f>
        <v/>
      </c>
      <c r="K74" s="9">
        <f>IF(A74="","",IF(COUNTIF(Clients!$A$5:$A$104,A74)&gt;1,"Duplicate client",""))</f>
        <v/>
      </c>
    </row>
    <row r="75">
      <c r="A75" s="35" t="n"/>
      <c r="B75" s="35" t="n"/>
      <c r="C75" s="35" t="n"/>
      <c r="D75" s="35" t="n"/>
      <c r="E75" s="35" t="n"/>
      <c r="F75" s="35" t="n"/>
      <c r="G75" s="9">
        <f>IF(A75="","",COUNTIF(Jobs!$B$5:$B$44,A75))</f>
        <v/>
      </c>
      <c r="H75" s="39">
        <f>IF(A75="","",SUMIFS(Jobs!$K$5:$K$44,Jobs!$B$5:$B$44,A75))</f>
        <v/>
      </c>
      <c r="I75" s="39">
        <f>IF(A75="","",SUMIFS(Jobs!$R$5:$R$44,Jobs!$B$5:$B$44,A75))</f>
        <v/>
      </c>
      <c r="J75" s="39">
        <f>IF(A75="","",SUMIFS(Jobs!$S$5:$S$44,Jobs!$B$5:$B$44,A75))</f>
        <v/>
      </c>
      <c r="K75" s="9">
        <f>IF(A75="","",IF(COUNTIF(Clients!$A$5:$A$104,A75)&gt;1,"Duplicate client",""))</f>
        <v/>
      </c>
    </row>
    <row r="76">
      <c r="A76" s="35" t="n"/>
      <c r="B76" s="35" t="n"/>
      <c r="C76" s="35" t="n"/>
      <c r="D76" s="35" t="n"/>
      <c r="E76" s="35" t="n"/>
      <c r="F76" s="35" t="n"/>
      <c r="G76" s="9">
        <f>IF(A76="","",COUNTIF(Jobs!$B$5:$B$44,A76))</f>
        <v/>
      </c>
      <c r="H76" s="39">
        <f>IF(A76="","",SUMIFS(Jobs!$K$5:$K$44,Jobs!$B$5:$B$44,A76))</f>
        <v/>
      </c>
      <c r="I76" s="39">
        <f>IF(A76="","",SUMIFS(Jobs!$R$5:$R$44,Jobs!$B$5:$B$44,A76))</f>
        <v/>
      </c>
      <c r="J76" s="39">
        <f>IF(A76="","",SUMIFS(Jobs!$S$5:$S$44,Jobs!$B$5:$B$44,A76))</f>
        <v/>
      </c>
      <c r="K76" s="9">
        <f>IF(A76="","",IF(COUNTIF(Clients!$A$5:$A$104,A76)&gt;1,"Duplicate client",""))</f>
        <v/>
      </c>
    </row>
    <row r="77">
      <c r="A77" s="35" t="n"/>
      <c r="B77" s="35" t="n"/>
      <c r="C77" s="35" t="n"/>
      <c r="D77" s="35" t="n"/>
      <c r="E77" s="35" t="n"/>
      <c r="F77" s="35" t="n"/>
      <c r="G77" s="9">
        <f>IF(A77="","",COUNTIF(Jobs!$B$5:$B$44,A77))</f>
        <v/>
      </c>
      <c r="H77" s="39">
        <f>IF(A77="","",SUMIFS(Jobs!$K$5:$K$44,Jobs!$B$5:$B$44,A77))</f>
        <v/>
      </c>
      <c r="I77" s="39">
        <f>IF(A77="","",SUMIFS(Jobs!$R$5:$R$44,Jobs!$B$5:$B$44,A77))</f>
        <v/>
      </c>
      <c r="J77" s="39">
        <f>IF(A77="","",SUMIFS(Jobs!$S$5:$S$44,Jobs!$B$5:$B$44,A77))</f>
        <v/>
      </c>
      <c r="K77" s="9">
        <f>IF(A77="","",IF(COUNTIF(Clients!$A$5:$A$104,A77)&gt;1,"Duplicate client",""))</f>
        <v/>
      </c>
    </row>
    <row r="78">
      <c r="A78" s="35" t="n"/>
      <c r="B78" s="35" t="n"/>
      <c r="C78" s="35" t="n"/>
      <c r="D78" s="35" t="n"/>
      <c r="E78" s="35" t="n"/>
      <c r="F78" s="35" t="n"/>
      <c r="G78" s="9">
        <f>IF(A78="","",COUNTIF(Jobs!$B$5:$B$44,A78))</f>
        <v/>
      </c>
      <c r="H78" s="39">
        <f>IF(A78="","",SUMIFS(Jobs!$K$5:$K$44,Jobs!$B$5:$B$44,A78))</f>
        <v/>
      </c>
      <c r="I78" s="39">
        <f>IF(A78="","",SUMIFS(Jobs!$R$5:$R$44,Jobs!$B$5:$B$44,A78))</f>
        <v/>
      </c>
      <c r="J78" s="39">
        <f>IF(A78="","",SUMIFS(Jobs!$S$5:$S$44,Jobs!$B$5:$B$44,A78))</f>
        <v/>
      </c>
      <c r="K78" s="9">
        <f>IF(A78="","",IF(COUNTIF(Clients!$A$5:$A$104,A78)&gt;1,"Duplicate client",""))</f>
        <v/>
      </c>
    </row>
    <row r="79">
      <c r="A79" s="35" t="n"/>
      <c r="B79" s="35" t="n"/>
      <c r="C79" s="35" t="n"/>
      <c r="D79" s="35" t="n"/>
      <c r="E79" s="35" t="n"/>
      <c r="F79" s="35" t="n"/>
      <c r="G79" s="9">
        <f>IF(A79="","",COUNTIF(Jobs!$B$5:$B$44,A79))</f>
        <v/>
      </c>
      <c r="H79" s="39">
        <f>IF(A79="","",SUMIFS(Jobs!$K$5:$K$44,Jobs!$B$5:$B$44,A79))</f>
        <v/>
      </c>
      <c r="I79" s="39">
        <f>IF(A79="","",SUMIFS(Jobs!$R$5:$R$44,Jobs!$B$5:$B$44,A79))</f>
        <v/>
      </c>
      <c r="J79" s="39">
        <f>IF(A79="","",SUMIFS(Jobs!$S$5:$S$44,Jobs!$B$5:$B$44,A79))</f>
        <v/>
      </c>
      <c r="K79" s="9">
        <f>IF(A79="","",IF(COUNTIF(Clients!$A$5:$A$104,A79)&gt;1,"Duplicate client",""))</f>
        <v/>
      </c>
    </row>
    <row r="80">
      <c r="A80" s="35" t="n"/>
      <c r="B80" s="35" t="n"/>
      <c r="C80" s="35" t="n"/>
      <c r="D80" s="35" t="n"/>
      <c r="E80" s="35" t="n"/>
      <c r="F80" s="35" t="n"/>
      <c r="G80" s="9">
        <f>IF(A80="","",COUNTIF(Jobs!$B$5:$B$44,A80))</f>
        <v/>
      </c>
      <c r="H80" s="39">
        <f>IF(A80="","",SUMIFS(Jobs!$K$5:$K$44,Jobs!$B$5:$B$44,A80))</f>
        <v/>
      </c>
      <c r="I80" s="39">
        <f>IF(A80="","",SUMIFS(Jobs!$R$5:$R$44,Jobs!$B$5:$B$44,A80))</f>
        <v/>
      </c>
      <c r="J80" s="39">
        <f>IF(A80="","",SUMIFS(Jobs!$S$5:$S$44,Jobs!$B$5:$B$44,A80))</f>
        <v/>
      </c>
      <c r="K80" s="9">
        <f>IF(A80="","",IF(COUNTIF(Clients!$A$5:$A$104,A80)&gt;1,"Duplicate client",""))</f>
        <v/>
      </c>
    </row>
    <row r="81">
      <c r="A81" s="35" t="n"/>
      <c r="B81" s="35" t="n"/>
      <c r="C81" s="35" t="n"/>
      <c r="D81" s="35" t="n"/>
      <c r="E81" s="35" t="n"/>
      <c r="F81" s="35" t="n"/>
      <c r="G81" s="9">
        <f>IF(A81="","",COUNTIF(Jobs!$B$5:$B$44,A81))</f>
        <v/>
      </c>
      <c r="H81" s="39">
        <f>IF(A81="","",SUMIFS(Jobs!$K$5:$K$44,Jobs!$B$5:$B$44,A81))</f>
        <v/>
      </c>
      <c r="I81" s="39">
        <f>IF(A81="","",SUMIFS(Jobs!$R$5:$R$44,Jobs!$B$5:$B$44,A81))</f>
        <v/>
      </c>
      <c r="J81" s="39">
        <f>IF(A81="","",SUMIFS(Jobs!$S$5:$S$44,Jobs!$B$5:$B$44,A81))</f>
        <v/>
      </c>
      <c r="K81" s="9">
        <f>IF(A81="","",IF(COUNTIF(Clients!$A$5:$A$104,A81)&gt;1,"Duplicate client",""))</f>
        <v/>
      </c>
    </row>
    <row r="82">
      <c r="A82" s="35" t="n"/>
      <c r="B82" s="35" t="n"/>
      <c r="C82" s="35" t="n"/>
      <c r="D82" s="35" t="n"/>
      <c r="E82" s="35" t="n"/>
      <c r="F82" s="35" t="n"/>
      <c r="G82" s="9">
        <f>IF(A82="","",COUNTIF(Jobs!$B$5:$B$44,A82))</f>
        <v/>
      </c>
      <c r="H82" s="39">
        <f>IF(A82="","",SUMIFS(Jobs!$K$5:$K$44,Jobs!$B$5:$B$44,A82))</f>
        <v/>
      </c>
      <c r="I82" s="39">
        <f>IF(A82="","",SUMIFS(Jobs!$R$5:$R$44,Jobs!$B$5:$B$44,A82))</f>
        <v/>
      </c>
      <c r="J82" s="39">
        <f>IF(A82="","",SUMIFS(Jobs!$S$5:$S$44,Jobs!$B$5:$B$44,A82))</f>
        <v/>
      </c>
      <c r="K82" s="9">
        <f>IF(A82="","",IF(COUNTIF(Clients!$A$5:$A$104,A82)&gt;1,"Duplicate client",""))</f>
        <v/>
      </c>
    </row>
    <row r="83">
      <c r="A83" s="35" t="n"/>
      <c r="B83" s="35" t="n"/>
      <c r="C83" s="35" t="n"/>
      <c r="D83" s="35" t="n"/>
      <c r="E83" s="35" t="n"/>
      <c r="F83" s="35" t="n"/>
      <c r="G83" s="9">
        <f>IF(A83="","",COUNTIF(Jobs!$B$5:$B$44,A83))</f>
        <v/>
      </c>
      <c r="H83" s="39">
        <f>IF(A83="","",SUMIFS(Jobs!$K$5:$K$44,Jobs!$B$5:$B$44,A83))</f>
        <v/>
      </c>
      <c r="I83" s="39">
        <f>IF(A83="","",SUMIFS(Jobs!$R$5:$R$44,Jobs!$B$5:$B$44,A83))</f>
        <v/>
      </c>
      <c r="J83" s="39">
        <f>IF(A83="","",SUMIFS(Jobs!$S$5:$S$44,Jobs!$B$5:$B$44,A83))</f>
        <v/>
      </c>
      <c r="K83" s="9">
        <f>IF(A83="","",IF(COUNTIF(Clients!$A$5:$A$104,A83)&gt;1,"Duplicate client",""))</f>
        <v/>
      </c>
    </row>
    <row r="84">
      <c r="A84" s="35" t="n"/>
      <c r="B84" s="35" t="n"/>
      <c r="C84" s="35" t="n"/>
      <c r="D84" s="35" t="n"/>
      <c r="E84" s="35" t="n"/>
      <c r="F84" s="35" t="n"/>
      <c r="G84" s="9">
        <f>IF(A84="","",COUNTIF(Jobs!$B$5:$B$44,A84))</f>
        <v/>
      </c>
      <c r="H84" s="39">
        <f>IF(A84="","",SUMIFS(Jobs!$K$5:$K$44,Jobs!$B$5:$B$44,A84))</f>
        <v/>
      </c>
      <c r="I84" s="39">
        <f>IF(A84="","",SUMIFS(Jobs!$R$5:$R$44,Jobs!$B$5:$B$44,A84))</f>
        <v/>
      </c>
      <c r="J84" s="39">
        <f>IF(A84="","",SUMIFS(Jobs!$S$5:$S$44,Jobs!$B$5:$B$44,A84))</f>
        <v/>
      </c>
      <c r="K84" s="9">
        <f>IF(A84="","",IF(COUNTIF(Clients!$A$5:$A$104,A84)&gt;1,"Duplicate client",""))</f>
        <v/>
      </c>
    </row>
    <row r="85">
      <c r="A85" s="35" t="n"/>
      <c r="B85" s="35" t="n"/>
      <c r="C85" s="35" t="n"/>
      <c r="D85" s="35" t="n"/>
      <c r="E85" s="35" t="n"/>
      <c r="F85" s="35" t="n"/>
      <c r="G85" s="9">
        <f>IF(A85="","",COUNTIF(Jobs!$B$5:$B$44,A85))</f>
        <v/>
      </c>
      <c r="H85" s="39">
        <f>IF(A85="","",SUMIFS(Jobs!$K$5:$K$44,Jobs!$B$5:$B$44,A85))</f>
        <v/>
      </c>
      <c r="I85" s="39">
        <f>IF(A85="","",SUMIFS(Jobs!$R$5:$R$44,Jobs!$B$5:$B$44,A85))</f>
        <v/>
      </c>
      <c r="J85" s="39">
        <f>IF(A85="","",SUMIFS(Jobs!$S$5:$S$44,Jobs!$B$5:$B$44,A85))</f>
        <v/>
      </c>
      <c r="K85" s="9">
        <f>IF(A85="","",IF(COUNTIF(Clients!$A$5:$A$104,A85)&gt;1,"Duplicate client",""))</f>
        <v/>
      </c>
    </row>
    <row r="86">
      <c r="A86" s="35" t="n"/>
      <c r="B86" s="35" t="n"/>
      <c r="C86" s="35" t="n"/>
      <c r="D86" s="35" t="n"/>
      <c r="E86" s="35" t="n"/>
      <c r="F86" s="35" t="n"/>
      <c r="G86" s="9">
        <f>IF(A86="","",COUNTIF(Jobs!$B$5:$B$44,A86))</f>
        <v/>
      </c>
      <c r="H86" s="39">
        <f>IF(A86="","",SUMIFS(Jobs!$K$5:$K$44,Jobs!$B$5:$B$44,A86))</f>
        <v/>
      </c>
      <c r="I86" s="39">
        <f>IF(A86="","",SUMIFS(Jobs!$R$5:$R$44,Jobs!$B$5:$B$44,A86))</f>
        <v/>
      </c>
      <c r="J86" s="39">
        <f>IF(A86="","",SUMIFS(Jobs!$S$5:$S$44,Jobs!$B$5:$B$44,A86))</f>
        <v/>
      </c>
      <c r="K86" s="9">
        <f>IF(A86="","",IF(COUNTIF(Clients!$A$5:$A$104,A86)&gt;1,"Duplicate client",""))</f>
        <v/>
      </c>
    </row>
    <row r="87">
      <c r="A87" s="35" t="n"/>
      <c r="B87" s="35" t="n"/>
      <c r="C87" s="35" t="n"/>
      <c r="D87" s="35" t="n"/>
      <c r="E87" s="35" t="n"/>
      <c r="F87" s="35" t="n"/>
      <c r="G87" s="9">
        <f>IF(A87="","",COUNTIF(Jobs!$B$5:$B$44,A87))</f>
        <v/>
      </c>
      <c r="H87" s="39">
        <f>IF(A87="","",SUMIFS(Jobs!$K$5:$K$44,Jobs!$B$5:$B$44,A87))</f>
        <v/>
      </c>
      <c r="I87" s="39">
        <f>IF(A87="","",SUMIFS(Jobs!$R$5:$R$44,Jobs!$B$5:$B$44,A87))</f>
        <v/>
      </c>
      <c r="J87" s="39">
        <f>IF(A87="","",SUMIFS(Jobs!$S$5:$S$44,Jobs!$B$5:$B$44,A87))</f>
        <v/>
      </c>
      <c r="K87" s="9">
        <f>IF(A87="","",IF(COUNTIF(Clients!$A$5:$A$104,A87)&gt;1,"Duplicate client",""))</f>
        <v/>
      </c>
    </row>
    <row r="88">
      <c r="A88" s="35" t="n"/>
      <c r="B88" s="35" t="n"/>
      <c r="C88" s="35" t="n"/>
      <c r="D88" s="35" t="n"/>
      <c r="E88" s="35" t="n"/>
      <c r="F88" s="35" t="n"/>
      <c r="G88" s="9">
        <f>IF(A88="","",COUNTIF(Jobs!$B$5:$B$44,A88))</f>
        <v/>
      </c>
      <c r="H88" s="39">
        <f>IF(A88="","",SUMIFS(Jobs!$K$5:$K$44,Jobs!$B$5:$B$44,A88))</f>
        <v/>
      </c>
      <c r="I88" s="39">
        <f>IF(A88="","",SUMIFS(Jobs!$R$5:$R$44,Jobs!$B$5:$B$44,A88))</f>
        <v/>
      </c>
      <c r="J88" s="39">
        <f>IF(A88="","",SUMIFS(Jobs!$S$5:$S$44,Jobs!$B$5:$B$44,A88))</f>
        <v/>
      </c>
      <c r="K88" s="9">
        <f>IF(A88="","",IF(COUNTIF(Clients!$A$5:$A$104,A88)&gt;1,"Duplicate client",""))</f>
        <v/>
      </c>
    </row>
    <row r="89">
      <c r="A89" s="35" t="n"/>
      <c r="B89" s="35" t="n"/>
      <c r="C89" s="35" t="n"/>
      <c r="D89" s="35" t="n"/>
      <c r="E89" s="35" t="n"/>
      <c r="F89" s="35" t="n"/>
      <c r="G89" s="9">
        <f>IF(A89="","",COUNTIF(Jobs!$B$5:$B$44,A89))</f>
        <v/>
      </c>
      <c r="H89" s="39">
        <f>IF(A89="","",SUMIFS(Jobs!$K$5:$K$44,Jobs!$B$5:$B$44,A89))</f>
        <v/>
      </c>
      <c r="I89" s="39">
        <f>IF(A89="","",SUMIFS(Jobs!$R$5:$R$44,Jobs!$B$5:$B$44,A89))</f>
        <v/>
      </c>
      <c r="J89" s="39">
        <f>IF(A89="","",SUMIFS(Jobs!$S$5:$S$44,Jobs!$B$5:$B$44,A89))</f>
        <v/>
      </c>
      <c r="K89" s="9">
        <f>IF(A89="","",IF(COUNTIF(Clients!$A$5:$A$104,A89)&gt;1,"Duplicate client",""))</f>
        <v/>
      </c>
    </row>
    <row r="90">
      <c r="A90" s="35" t="n"/>
      <c r="B90" s="35" t="n"/>
      <c r="C90" s="35" t="n"/>
      <c r="D90" s="35" t="n"/>
      <c r="E90" s="35" t="n"/>
      <c r="F90" s="35" t="n"/>
      <c r="G90" s="9">
        <f>IF(A90="","",COUNTIF(Jobs!$B$5:$B$44,A90))</f>
        <v/>
      </c>
      <c r="H90" s="39">
        <f>IF(A90="","",SUMIFS(Jobs!$K$5:$K$44,Jobs!$B$5:$B$44,A90))</f>
        <v/>
      </c>
      <c r="I90" s="39">
        <f>IF(A90="","",SUMIFS(Jobs!$R$5:$R$44,Jobs!$B$5:$B$44,A90))</f>
        <v/>
      </c>
      <c r="J90" s="39">
        <f>IF(A90="","",SUMIFS(Jobs!$S$5:$S$44,Jobs!$B$5:$B$44,A90))</f>
        <v/>
      </c>
      <c r="K90" s="9">
        <f>IF(A90="","",IF(COUNTIF(Clients!$A$5:$A$104,A90)&gt;1,"Duplicate client",""))</f>
        <v/>
      </c>
    </row>
    <row r="91">
      <c r="A91" s="35" t="n"/>
      <c r="B91" s="35" t="n"/>
      <c r="C91" s="35" t="n"/>
      <c r="D91" s="35" t="n"/>
      <c r="E91" s="35" t="n"/>
      <c r="F91" s="35" t="n"/>
      <c r="G91" s="9">
        <f>IF(A91="","",COUNTIF(Jobs!$B$5:$B$44,A91))</f>
        <v/>
      </c>
      <c r="H91" s="39">
        <f>IF(A91="","",SUMIFS(Jobs!$K$5:$K$44,Jobs!$B$5:$B$44,A91))</f>
        <v/>
      </c>
      <c r="I91" s="39">
        <f>IF(A91="","",SUMIFS(Jobs!$R$5:$R$44,Jobs!$B$5:$B$44,A91))</f>
        <v/>
      </c>
      <c r="J91" s="39">
        <f>IF(A91="","",SUMIFS(Jobs!$S$5:$S$44,Jobs!$B$5:$B$44,A91))</f>
        <v/>
      </c>
      <c r="K91" s="9">
        <f>IF(A91="","",IF(COUNTIF(Clients!$A$5:$A$104,A91)&gt;1,"Duplicate client",""))</f>
        <v/>
      </c>
    </row>
    <row r="92">
      <c r="A92" s="35" t="n"/>
      <c r="B92" s="35" t="n"/>
      <c r="C92" s="35" t="n"/>
      <c r="D92" s="35" t="n"/>
      <c r="E92" s="35" t="n"/>
      <c r="F92" s="35" t="n"/>
      <c r="G92" s="9">
        <f>IF(A92="","",COUNTIF(Jobs!$B$5:$B$44,A92))</f>
        <v/>
      </c>
      <c r="H92" s="39">
        <f>IF(A92="","",SUMIFS(Jobs!$K$5:$K$44,Jobs!$B$5:$B$44,A92))</f>
        <v/>
      </c>
      <c r="I92" s="39">
        <f>IF(A92="","",SUMIFS(Jobs!$R$5:$R$44,Jobs!$B$5:$B$44,A92))</f>
        <v/>
      </c>
      <c r="J92" s="39">
        <f>IF(A92="","",SUMIFS(Jobs!$S$5:$S$44,Jobs!$B$5:$B$44,A92))</f>
        <v/>
      </c>
      <c r="K92" s="9">
        <f>IF(A92="","",IF(COUNTIF(Clients!$A$5:$A$104,A92)&gt;1,"Duplicate client",""))</f>
        <v/>
      </c>
    </row>
    <row r="93">
      <c r="A93" s="35" t="n"/>
      <c r="B93" s="35" t="n"/>
      <c r="C93" s="35" t="n"/>
      <c r="D93" s="35" t="n"/>
      <c r="E93" s="35" t="n"/>
      <c r="F93" s="35" t="n"/>
      <c r="G93" s="9">
        <f>IF(A93="","",COUNTIF(Jobs!$B$5:$B$44,A93))</f>
        <v/>
      </c>
      <c r="H93" s="39">
        <f>IF(A93="","",SUMIFS(Jobs!$K$5:$K$44,Jobs!$B$5:$B$44,A93))</f>
        <v/>
      </c>
      <c r="I93" s="39">
        <f>IF(A93="","",SUMIFS(Jobs!$R$5:$R$44,Jobs!$B$5:$B$44,A93))</f>
        <v/>
      </c>
      <c r="J93" s="39">
        <f>IF(A93="","",SUMIFS(Jobs!$S$5:$S$44,Jobs!$B$5:$B$44,A93))</f>
        <v/>
      </c>
      <c r="K93" s="9">
        <f>IF(A93="","",IF(COUNTIF(Clients!$A$5:$A$104,A93)&gt;1,"Duplicate client",""))</f>
        <v/>
      </c>
    </row>
    <row r="94">
      <c r="A94" s="35" t="n"/>
      <c r="B94" s="35" t="n"/>
      <c r="C94" s="35" t="n"/>
      <c r="D94" s="35" t="n"/>
      <c r="E94" s="35" t="n"/>
      <c r="F94" s="35" t="n"/>
      <c r="G94" s="9">
        <f>IF(A94="","",COUNTIF(Jobs!$B$5:$B$44,A94))</f>
        <v/>
      </c>
      <c r="H94" s="39">
        <f>IF(A94="","",SUMIFS(Jobs!$K$5:$K$44,Jobs!$B$5:$B$44,A94))</f>
        <v/>
      </c>
      <c r="I94" s="39">
        <f>IF(A94="","",SUMIFS(Jobs!$R$5:$R$44,Jobs!$B$5:$B$44,A94))</f>
        <v/>
      </c>
      <c r="J94" s="39">
        <f>IF(A94="","",SUMIFS(Jobs!$S$5:$S$44,Jobs!$B$5:$B$44,A94))</f>
        <v/>
      </c>
      <c r="K94" s="9">
        <f>IF(A94="","",IF(COUNTIF(Clients!$A$5:$A$104,A94)&gt;1,"Duplicate client",""))</f>
        <v/>
      </c>
    </row>
    <row r="95">
      <c r="A95" s="35" t="n"/>
      <c r="B95" s="35" t="n"/>
      <c r="C95" s="35" t="n"/>
      <c r="D95" s="35" t="n"/>
      <c r="E95" s="35" t="n"/>
      <c r="F95" s="35" t="n"/>
      <c r="G95" s="9">
        <f>IF(A95="","",COUNTIF(Jobs!$B$5:$B$44,A95))</f>
        <v/>
      </c>
      <c r="H95" s="39">
        <f>IF(A95="","",SUMIFS(Jobs!$K$5:$K$44,Jobs!$B$5:$B$44,A95))</f>
        <v/>
      </c>
      <c r="I95" s="39">
        <f>IF(A95="","",SUMIFS(Jobs!$R$5:$R$44,Jobs!$B$5:$B$44,A95))</f>
        <v/>
      </c>
      <c r="J95" s="39">
        <f>IF(A95="","",SUMIFS(Jobs!$S$5:$S$44,Jobs!$B$5:$B$44,A95))</f>
        <v/>
      </c>
      <c r="K95" s="9">
        <f>IF(A95="","",IF(COUNTIF(Clients!$A$5:$A$104,A95)&gt;1,"Duplicate client",""))</f>
        <v/>
      </c>
    </row>
    <row r="96">
      <c r="A96" s="35" t="n"/>
      <c r="B96" s="35" t="n"/>
      <c r="C96" s="35" t="n"/>
      <c r="D96" s="35" t="n"/>
      <c r="E96" s="35" t="n"/>
      <c r="F96" s="35" t="n"/>
      <c r="G96" s="9">
        <f>IF(A96="","",COUNTIF(Jobs!$B$5:$B$44,A96))</f>
        <v/>
      </c>
      <c r="H96" s="39">
        <f>IF(A96="","",SUMIFS(Jobs!$K$5:$K$44,Jobs!$B$5:$B$44,A96))</f>
        <v/>
      </c>
      <c r="I96" s="39">
        <f>IF(A96="","",SUMIFS(Jobs!$R$5:$R$44,Jobs!$B$5:$B$44,A96))</f>
        <v/>
      </c>
      <c r="J96" s="39">
        <f>IF(A96="","",SUMIFS(Jobs!$S$5:$S$44,Jobs!$B$5:$B$44,A96))</f>
        <v/>
      </c>
      <c r="K96" s="9">
        <f>IF(A96="","",IF(COUNTIF(Clients!$A$5:$A$104,A96)&gt;1,"Duplicate client",""))</f>
        <v/>
      </c>
    </row>
    <row r="97">
      <c r="A97" s="35" t="n"/>
      <c r="B97" s="35" t="n"/>
      <c r="C97" s="35" t="n"/>
      <c r="D97" s="35" t="n"/>
      <c r="E97" s="35" t="n"/>
      <c r="F97" s="35" t="n"/>
      <c r="G97" s="9">
        <f>IF(A97="","",COUNTIF(Jobs!$B$5:$B$44,A97))</f>
        <v/>
      </c>
      <c r="H97" s="39">
        <f>IF(A97="","",SUMIFS(Jobs!$K$5:$K$44,Jobs!$B$5:$B$44,A97))</f>
        <v/>
      </c>
      <c r="I97" s="39">
        <f>IF(A97="","",SUMIFS(Jobs!$R$5:$R$44,Jobs!$B$5:$B$44,A97))</f>
        <v/>
      </c>
      <c r="J97" s="39">
        <f>IF(A97="","",SUMIFS(Jobs!$S$5:$S$44,Jobs!$B$5:$B$44,A97))</f>
        <v/>
      </c>
      <c r="K97" s="9">
        <f>IF(A97="","",IF(COUNTIF(Clients!$A$5:$A$104,A97)&gt;1,"Duplicate client",""))</f>
        <v/>
      </c>
    </row>
    <row r="98">
      <c r="A98" s="35" t="n"/>
      <c r="B98" s="35" t="n"/>
      <c r="C98" s="35" t="n"/>
      <c r="D98" s="35" t="n"/>
      <c r="E98" s="35" t="n"/>
      <c r="F98" s="35" t="n"/>
      <c r="G98" s="9">
        <f>IF(A98="","",COUNTIF(Jobs!$B$5:$B$44,A98))</f>
        <v/>
      </c>
      <c r="H98" s="39">
        <f>IF(A98="","",SUMIFS(Jobs!$K$5:$K$44,Jobs!$B$5:$B$44,A98))</f>
        <v/>
      </c>
      <c r="I98" s="39">
        <f>IF(A98="","",SUMIFS(Jobs!$R$5:$R$44,Jobs!$B$5:$B$44,A98))</f>
        <v/>
      </c>
      <c r="J98" s="39">
        <f>IF(A98="","",SUMIFS(Jobs!$S$5:$S$44,Jobs!$B$5:$B$44,A98))</f>
        <v/>
      </c>
      <c r="K98" s="9">
        <f>IF(A98="","",IF(COUNTIF(Clients!$A$5:$A$104,A98)&gt;1,"Duplicate client",""))</f>
        <v/>
      </c>
    </row>
    <row r="99">
      <c r="A99" s="35" t="n"/>
      <c r="B99" s="35" t="n"/>
      <c r="C99" s="35" t="n"/>
      <c r="D99" s="35" t="n"/>
      <c r="E99" s="35" t="n"/>
      <c r="F99" s="35" t="n"/>
      <c r="G99" s="9">
        <f>IF(A99="","",COUNTIF(Jobs!$B$5:$B$44,A99))</f>
        <v/>
      </c>
      <c r="H99" s="39">
        <f>IF(A99="","",SUMIFS(Jobs!$K$5:$K$44,Jobs!$B$5:$B$44,A99))</f>
        <v/>
      </c>
      <c r="I99" s="39">
        <f>IF(A99="","",SUMIFS(Jobs!$R$5:$R$44,Jobs!$B$5:$B$44,A99))</f>
        <v/>
      </c>
      <c r="J99" s="39">
        <f>IF(A99="","",SUMIFS(Jobs!$S$5:$S$44,Jobs!$B$5:$B$44,A99))</f>
        <v/>
      </c>
      <c r="K99" s="9">
        <f>IF(A99="","",IF(COUNTIF(Clients!$A$5:$A$104,A99)&gt;1,"Duplicate client",""))</f>
        <v/>
      </c>
    </row>
    <row r="100">
      <c r="A100" s="35" t="n"/>
      <c r="B100" s="35" t="n"/>
      <c r="C100" s="35" t="n"/>
      <c r="D100" s="35" t="n"/>
      <c r="E100" s="35" t="n"/>
      <c r="F100" s="35" t="n"/>
      <c r="G100" s="9">
        <f>IF(A100="","",COUNTIF(Jobs!$B$5:$B$44,A100))</f>
        <v/>
      </c>
      <c r="H100" s="39">
        <f>IF(A100="","",SUMIFS(Jobs!$K$5:$K$44,Jobs!$B$5:$B$44,A100))</f>
        <v/>
      </c>
      <c r="I100" s="39">
        <f>IF(A100="","",SUMIFS(Jobs!$R$5:$R$44,Jobs!$B$5:$B$44,A100))</f>
        <v/>
      </c>
      <c r="J100" s="39">
        <f>IF(A100="","",SUMIFS(Jobs!$S$5:$S$44,Jobs!$B$5:$B$44,A100))</f>
        <v/>
      </c>
      <c r="K100" s="9">
        <f>IF(A100="","",IF(COUNTIF(Clients!$A$5:$A$104,A100)&gt;1,"Duplicate client",""))</f>
        <v/>
      </c>
    </row>
    <row r="101">
      <c r="A101" s="35" t="n"/>
      <c r="B101" s="35" t="n"/>
      <c r="C101" s="35" t="n"/>
      <c r="D101" s="35" t="n"/>
      <c r="E101" s="35" t="n"/>
      <c r="F101" s="35" t="n"/>
      <c r="G101" s="9">
        <f>IF(A101="","",COUNTIF(Jobs!$B$5:$B$44,A101))</f>
        <v/>
      </c>
      <c r="H101" s="39">
        <f>IF(A101="","",SUMIFS(Jobs!$K$5:$K$44,Jobs!$B$5:$B$44,A101))</f>
        <v/>
      </c>
      <c r="I101" s="39">
        <f>IF(A101="","",SUMIFS(Jobs!$R$5:$R$44,Jobs!$B$5:$B$44,A101))</f>
        <v/>
      </c>
      <c r="J101" s="39">
        <f>IF(A101="","",SUMIFS(Jobs!$S$5:$S$44,Jobs!$B$5:$B$44,A101))</f>
        <v/>
      </c>
      <c r="K101" s="9">
        <f>IF(A101="","",IF(COUNTIF(Clients!$A$5:$A$104,A101)&gt;1,"Duplicate client",""))</f>
        <v/>
      </c>
    </row>
    <row r="102">
      <c r="A102" s="35" t="n"/>
      <c r="B102" s="35" t="n"/>
      <c r="C102" s="35" t="n"/>
      <c r="D102" s="35" t="n"/>
      <c r="E102" s="35" t="n"/>
      <c r="F102" s="35" t="n"/>
      <c r="G102" s="9">
        <f>IF(A102="","",COUNTIF(Jobs!$B$5:$B$44,A102))</f>
        <v/>
      </c>
      <c r="H102" s="39">
        <f>IF(A102="","",SUMIFS(Jobs!$K$5:$K$44,Jobs!$B$5:$B$44,A102))</f>
        <v/>
      </c>
      <c r="I102" s="39">
        <f>IF(A102="","",SUMIFS(Jobs!$R$5:$R$44,Jobs!$B$5:$B$44,A102))</f>
        <v/>
      </c>
      <c r="J102" s="39">
        <f>IF(A102="","",SUMIFS(Jobs!$S$5:$S$44,Jobs!$B$5:$B$44,A102))</f>
        <v/>
      </c>
      <c r="K102" s="9">
        <f>IF(A102="","",IF(COUNTIF(Clients!$A$5:$A$104,A102)&gt;1,"Duplicate client",""))</f>
        <v/>
      </c>
    </row>
    <row r="103">
      <c r="A103" s="35" t="n"/>
      <c r="B103" s="35" t="n"/>
      <c r="C103" s="35" t="n"/>
      <c r="D103" s="35" t="n"/>
      <c r="E103" s="35" t="n"/>
      <c r="F103" s="35" t="n"/>
      <c r="G103" s="9">
        <f>IF(A103="","",COUNTIF(Jobs!$B$5:$B$44,A103))</f>
        <v/>
      </c>
      <c r="H103" s="39">
        <f>IF(A103="","",SUMIFS(Jobs!$K$5:$K$44,Jobs!$B$5:$B$44,A103))</f>
        <v/>
      </c>
      <c r="I103" s="39">
        <f>IF(A103="","",SUMIFS(Jobs!$R$5:$R$44,Jobs!$B$5:$B$44,A103))</f>
        <v/>
      </c>
      <c r="J103" s="39">
        <f>IF(A103="","",SUMIFS(Jobs!$S$5:$S$44,Jobs!$B$5:$B$44,A103))</f>
        <v/>
      </c>
      <c r="K103" s="9">
        <f>IF(A103="","",IF(COUNTIF(Clients!$A$5:$A$104,A103)&gt;1,"Duplicate client",""))</f>
        <v/>
      </c>
    </row>
    <row r="104">
      <c r="A104" s="35" t="n"/>
      <c r="B104" s="35" t="n"/>
      <c r="C104" s="35" t="n"/>
      <c r="D104" s="35" t="n"/>
      <c r="E104" s="35" t="n"/>
      <c r="F104" s="35" t="n"/>
      <c r="G104" s="9">
        <f>IF(A104="","",COUNTIF(Jobs!$B$5:$B$44,A104))</f>
        <v/>
      </c>
      <c r="H104" s="39">
        <f>IF(A104="","",SUMIFS(Jobs!$K$5:$K$44,Jobs!$B$5:$B$44,A104))</f>
        <v/>
      </c>
      <c r="I104" s="39">
        <f>IF(A104="","",SUMIFS(Jobs!$R$5:$R$44,Jobs!$B$5:$B$44,A104))</f>
        <v/>
      </c>
      <c r="J104" s="39">
        <f>IF(A104="","",SUMIFS(Jobs!$S$5:$S$44,Jobs!$B$5:$B$44,A104))</f>
        <v/>
      </c>
      <c r="K104" s="9">
        <f>IF(A104="","",IF(COUNTIF(Clients!$A$5:$A$104,A104)&gt;1,"Duplicate client",""))</f>
        <v/>
      </c>
    </row>
  </sheetData>
  <conditionalFormatting sqref="K5:K104">
    <cfRule type="expression" priority="1" dxfId="1">
      <formula>K5&lt;&gt;""</formula>
    </cfRule>
  </conditionalFormatting>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5.xml><?xml version="1.0" encoding="utf-8"?>
<worksheet xmlns="http://schemas.openxmlformats.org/spreadsheetml/2006/main">
  <sheetPr>
    <tabColor rgb="004A86C8"/>
    <outlinePr summaryBelow="1" summaryRight="1"/>
    <pageSetUpPr fitToPage="1"/>
  </sheetPr>
  <dimension ref="A1:O142"/>
  <sheetViews>
    <sheetView showGridLines="0" tabSelected="0" zoomScale="90" workbookViewId="0">
      <selection activeCell="A5" sqref="A5"/>
    </sheetView>
  </sheetViews>
  <sheetFormatPr baseColWidth="8" defaultRowHeight="15"/>
  <cols>
    <col width="24" customWidth="1" min="1" max="1"/>
    <col width="16" customWidth="1" min="2" max="2"/>
    <col width="20" customWidth="1" min="3" max="3"/>
    <col width="14" customWidth="1" min="4" max="4"/>
    <col width="28" customWidth="1" min="5" max="5"/>
    <col width="12" customWidth="1" min="6" max="6"/>
    <col width="16" customWidth="1" min="7" max="7"/>
    <col width="18" customWidth="1" min="8" max="8"/>
    <col width="12" customWidth="1" min="9" max="9"/>
    <col width="12" customWidth="1" min="10" max="10"/>
    <col width="14" customWidth="1" min="11" max="11"/>
    <col width="14" customWidth="1" min="12" max="12"/>
    <col width="18" customWidth="1" min="13" max="13"/>
    <col width="22" customWidth="1" min="14" max="14"/>
    <col width="26" customWidth="1" min="15" max="15"/>
  </cols>
  <sheetData>
    <row r="1">
      <c r="A1" s="13" t="inlineStr">
        <is>
          <t>Vendors &amp; Crew</t>
        </is>
      </c>
    </row>
    <row r="2">
      <c r="A2" s="14" t="inlineStr">
        <is>
          <t>Crew (your workers, with cost and bill rates) feeds the Timesheet. Vendors &amp; subs feed Job Costs, insurance alerts and the 1099 review.</t>
        </is>
      </c>
    </row>
    <row r="3">
      <c r="A3" s="3" t="inlineStr">
        <is>
          <t>CREW</t>
        </is>
      </c>
    </row>
    <row r="4" ht="30" customHeight="1">
      <c r="A4" s="24" t="inlineStr">
        <is>
          <t>Worker</t>
        </is>
      </c>
      <c r="B4" s="24" t="inlineStr">
        <is>
          <t>Role</t>
        </is>
      </c>
      <c r="C4" s="24" t="inlineStr">
        <is>
          <t>Cost Rate ($/hr)</t>
        </is>
      </c>
      <c r="D4" s="24" t="inlineStr">
        <is>
          <t>Bill Rate ($/hr)</t>
        </is>
      </c>
      <c r="E4" s="24" t="inlineStr">
        <is>
          <t>Phone</t>
        </is>
      </c>
      <c r="F4" s="24" t="inlineStr">
        <is>
          <t>Hours YTD</t>
        </is>
      </c>
      <c r="G4" s="24" t="inlineStr">
        <is>
          <t>Labor Cost YTD</t>
        </is>
      </c>
      <c r="H4" s="24" t="inlineStr">
        <is>
          <t>Check</t>
        </is>
      </c>
      <c r="I4" s="24" t="inlineStr">
        <is>
          <t>Notes</t>
        </is>
      </c>
    </row>
    <row r="5">
      <c r="A5" s="35" t="n"/>
      <c r="B5" s="35" t="n"/>
      <c r="C5" s="37" t="n"/>
      <c r="D5" s="37" t="n"/>
      <c r="E5" s="35" t="n"/>
      <c r="F5" s="28">
        <f>IF(A5="","",SUMIFS(Timesheet!$E$5:$E$1004,Timesheet!$B$5:$B$1004,A5,Timesheet!$A$5:$A$1004,"&gt;="&amp;DATE(Settings!$B$14,1,1),Timesheet!$A$5:$A$1004,"&lt;="&amp;DATE(Settings!$B$14,12,31)))</f>
        <v/>
      </c>
      <c r="G5" s="39">
        <f>IF(A5="","",SUMIFS(Timesheet!$H$5:$H$1004,Timesheet!$B$5:$B$1004,A5,Timesheet!$A$5:$A$1004,"&gt;="&amp;DATE(Settings!$B$14,1,1),Timesheet!$A$5:$A$1004,"&lt;="&amp;DATE(Settings!$B$14,12,31)))</f>
        <v/>
      </c>
      <c r="H5" s="9">
        <f>IF(A5="","",IF(COUNTIF('Vendors &amp; Crew'!$A$5:$A$34,A5)&gt;1,"Duplicate worker",IF(C5="","Missing cost rate","")))</f>
        <v/>
      </c>
      <c r="I5" s="35" t="n"/>
    </row>
    <row r="6">
      <c r="A6" s="35" t="n"/>
      <c r="B6" s="35" t="n"/>
      <c r="C6" s="37" t="n"/>
      <c r="D6" s="37" t="n"/>
      <c r="E6" s="35" t="n"/>
      <c r="F6" s="28">
        <f>IF(A6="","",SUMIFS(Timesheet!$E$5:$E$1004,Timesheet!$B$5:$B$1004,A6,Timesheet!$A$5:$A$1004,"&gt;="&amp;DATE(Settings!$B$14,1,1),Timesheet!$A$5:$A$1004,"&lt;="&amp;DATE(Settings!$B$14,12,31)))</f>
        <v/>
      </c>
      <c r="G6" s="39">
        <f>IF(A6="","",SUMIFS(Timesheet!$H$5:$H$1004,Timesheet!$B$5:$B$1004,A6,Timesheet!$A$5:$A$1004,"&gt;="&amp;DATE(Settings!$B$14,1,1),Timesheet!$A$5:$A$1004,"&lt;="&amp;DATE(Settings!$B$14,12,31)))</f>
        <v/>
      </c>
      <c r="H6" s="9">
        <f>IF(A6="","",IF(COUNTIF('Vendors &amp; Crew'!$A$5:$A$34,A6)&gt;1,"Duplicate worker",IF(C6="","Missing cost rate","")))</f>
        <v/>
      </c>
      <c r="I6" s="35" t="n"/>
    </row>
    <row r="7">
      <c r="A7" s="35" t="n"/>
      <c r="B7" s="35" t="n"/>
      <c r="C7" s="37" t="n"/>
      <c r="D7" s="37" t="n"/>
      <c r="E7" s="35" t="n"/>
      <c r="F7" s="28">
        <f>IF(A7="","",SUMIFS(Timesheet!$E$5:$E$1004,Timesheet!$B$5:$B$1004,A7,Timesheet!$A$5:$A$1004,"&gt;="&amp;DATE(Settings!$B$14,1,1),Timesheet!$A$5:$A$1004,"&lt;="&amp;DATE(Settings!$B$14,12,31)))</f>
        <v/>
      </c>
      <c r="G7" s="39">
        <f>IF(A7="","",SUMIFS(Timesheet!$H$5:$H$1004,Timesheet!$B$5:$B$1004,A7,Timesheet!$A$5:$A$1004,"&gt;="&amp;DATE(Settings!$B$14,1,1),Timesheet!$A$5:$A$1004,"&lt;="&amp;DATE(Settings!$B$14,12,31)))</f>
        <v/>
      </c>
      <c r="H7" s="9">
        <f>IF(A7="","",IF(COUNTIF('Vendors &amp; Crew'!$A$5:$A$34,A7)&gt;1,"Duplicate worker",IF(C7="","Missing cost rate","")))</f>
        <v/>
      </c>
      <c r="I7" s="35" t="n"/>
    </row>
    <row r="8">
      <c r="A8" s="35" t="n"/>
      <c r="B8" s="35" t="n"/>
      <c r="C8" s="37" t="n"/>
      <c r="D8" s="37" t="n"/>
      <c r="E8" s="35" t="n"/>
      <c r="F8" s="28">
        <f>IF(A8="","",SUMIFS(Timesheet!$E$5:$E$1004,Timesheet!$B$5:$B$1004,A8,Timesheet!$A$5:$A$1004,"&gt;="&amp;DATE(Settings!$B$14,1,1),Timesheet!$A$5:$A$1004,"&lt;="&amp;DATE(Settings!$B$14,12,31)))</f>
        <v/>
      </c>
      <c r="G8" s="39">
        <f>IF(A8="","",SUMIFS(Timesheet!$H$5:$H$1004,Timesheet!$B$5:$B$1004,A8,Timesheet!$A$5:$A$1004,"&gt;="&amp;DATE(Settings!$B$14,1,1),Timesheet!$A$5:$A$1004,"&lt;="&amp;DATE(Settings!$B$14,12,31)))</f>
        <v/>
      </c>
      <c r="H8" s="9">
        <f>IF(A8="","",IF(COUNTIF('Vendors &amp; Crew'!$A$5:$A$34,A8)&gt;1,"Duplicate worker",IF(C8="","Missing cost rate","")))</f>
        <v/>
      </c>
      <c r="I8" s="35" t="n"/>
    </row>
    <row r="9">
      <c r="A9" s="35" t="n"/>
      <c r="B9" s="35" t="n"/>
      <c r="C9" s="37" t="n"/>
      <c r="D9" s="37" t="n"/>
      <c r="E9" s="35" t="n"/>
      <c r="F9" s="28">
        <f>IF(A9="","",SUMIFS(Timesheet!$E$5:$E$1004,Timesheet!$B$5:$B$1004,A9,Timesheet!$A$5:$A$1004,"&gt;="&amp;DATE(Settings!$B$14,1,1),Timesheet!$A$5:$A$1004,"&lt;="&amp;DATE(Settings!$B$14,12,31)))</f>
        <v/>
      </c>
      <c r="G9" s="39">
        <f>IF(A9="","",SUMIFS(Timesheet!$H$5:$H$1004,Timesheet!$B$5:$B$1004,A9,Timesheet!$A$5:$A$1004,"&gt;="&amp;DATE(Settings!$B$14,1,1),Timesheet!$A$5:$A$1004,"&lt;="&amp;DATE(Settings!$B$14,12,31)))</f>
        <v/>
      </c>
      <c r="H9" s="9">
        <f>IF(A9="","",IF(COUNTIF('Vendors &amp; Crew'!$A$5:$A$34,A9)&gt;1,"Duplicate worker",IF(C9="","Missing cost rate","")))</f>
        <v/>
      </c>
      <c r="I9" s="35" t="n"/>
    </row>
    <row r="10">
      <c r="A10" s="35" t="n"/>
      <c r="B10" s="35" t="n"/>
      <c r="C10" s="37" t="n"/>
      <c r="D10" s="37" t="n"/>
      <c r="E10" s="35" t="n"/>
      <c r="F10" s="28">
        <f>IF(A10="","",SUMIFS(Timesheet!$E$5:$E$1004,Timesheet!$B$5:$B$1004,A10,Timesheet!$A$5:$A$1004,"&gt;="&amp;DATE(Settings!$B$14,1,1),Timesheet!$A$5:$A$1004,"&lt;="&amp;DATE(Settings!$B$14,12,31)))</f>
        <v/>
      </c>
      <c r="G10" s="39">
        <f>IF(A10="","",SUMIFS(Timesheet!$H$5:$H$1004,Timesheet!$B$5:$B$1004,A10,Timesheet!$A$5:$A$1004,"&gt;="&amp;DATE(Settings!$B$14,1,1),Timesheet!$A$5:$A$1004,"&lt;="&amp;DATE(Settings!$B$14,12,31)))</f>
        <v/>
      </c>
      <c r="H10" s="9">
        <f>IF(A10="","",IF(COUNTIF('Vendors &amp; Crew'!$A$5:$A$34,A10)&gt;1,"Duplicate worker",IF(C10="","Missing cost rate","")))</f>
        <v/>
      </c>
      <c r="I10" s="35" t="n"/>
    </row>
    <row r="11">
      <c r="A11" s="35" t="n"/>
      <c r="B11" s="35" t="n"/>
      <c r="C11" s="37" t="n"/>
      <c r="D11" s="37" t="n"/>
      <c r="E11" s="35" t="n"/>
      <c r="F11" s="28">
        <f>IF(A11="","",SUMIFS(Timesheet!$E$5:$E$1004,Timesheet!$B$5:$B$1004,A11,Timesheet!$A$5:$A$1004,"&gt;="&amp;DATE(Settings!$B$14,1,1),Timesheet!$A$5:$A$1004,"&lt;="&amp;DATE(Settings!$B$14,12,31)))</f>
        <v/>
      </c>
      <c r="G11" s="39">
        <f>IF(A11="","",SUMIFS(Timesheet!$H$5:$H$1004,Timesheet!$B$5:$B$1004,A11,Timesheet!$A$5:$A$1004,"&gt;="&amp;DATE(Settings!$B$14,1,1),Timesheet!$A$5:$A$1004,"&lt;="&amp;DATE(Settings!$B$14,12,31)))</f>
        <v/>
      </c>
      <c r="H11" s="9">
        <f>IF(A11="","",IF(COUNTIF('Vendors &amp; Crew'!$A$5:$A$34,A11)&gt;1,"Duplicate worker",IF(C11="","Missing cost rate","")))</f>
        <v/>
      </c>
      <c r="I11" s="35" t="n"/>
    </row>
    <row r="12">
      <c r="A12" s="35" t="n"/>
      <c r="B12" s="35" t="n"/>
      <c r="C12" s="37" t="n"/>
      <c r="D12" s="37" t="n"/>
      <c r="E12" s="35" t="n"/>
      <c r="F12" s="28">
        <f>IF(A12="","",SUMIFS(Timesheet!$E$5:$E$1004,Timesheet!$B$5:$B$1004,A12,Timesheet!$A$5:$A$1004,"&gt;="&amp;DATE(Settings!$B$14,1,1),Timesheet!$A$5:$A$1004,"&lt;="&amp;DATE(Settings!$B$14,12,31)))</f>
        <v/>
      </c>
      <c r="G12" s="39">
        <f>IF(A12="","",SUMIFS(Timesheet!$H$5:$H$1004,Timesheet!$B$5:$B$1004,A12,Timesheet!$A$5:$A$1004,"&gt;="&amp;DATE(Settings!$B$14,1,1),Timesheet!$A$5:$A$1004,"&lt;="&amp;DATE(Settings!$B$14,12,31)))</f>
        <v/>
      </c>
      <c r="H12" s="9">
        <f>IF(A12="","",IF(COUNTIF('Vendors &amp; Crew'!$A$5:$A$34,A12)&gt;1,"Duplicate worker",IF(C12="","Missing cost rate","")))</f>
        <v/>
      </c>
      <c r="I12" s="35" t="n"/>
    </row>
    <row r="13">
      <c r="A13" s="35" t="n"/>
      <c r="B13" s="35" t="n"/>
      <c r="C13" s="37" t="n"/>
      <c r="D13" s="37" t="n"/>
      <c r="E13" s="35" t="n"/>
      <c r="F13" s="28">
        <f>IF(A13="","",SUMIFS(Timesheet!$E$5:$E$1004,Timesheet!$B$5:$B$1004,A13,Timesheet!$A$5:$A$1004,"&gt;="&amp;DATE(Settings!$B$14,1,1),Timesheet!$A$5:$A$1004,"&lt;="&amp;DATE(Settings!$B$14,12,31)))</f>
        <v/>
      </c>
      <c r="G13" s="39">
        <f>IF(A13="","",SUMIFS(Timesheet!$H$5:$H$1004,Timesheet!$B$5:$B$1004,A13,Timesheet!$A$5:$A$1004,"&gt;="&amp;DATE(Settings!$B$14,1,1),Timesheet!$A$5:$A$1004,"&lt;="&amp;DATE(Settings!$B$14,12,31)))</f>
        <v/>
      </c>
      <c r="H13" s="9">
        <f>IF(A13="","",IF(COUNTIF('Vendors &amp; Crew'!$A$5:$A$34,A13)&gt;1,"Duplicate worker",IF(C13="","Missing cost rate","")))</f>
        <v/>
      </c>
      <c r="I13" s="35" t="n"/>
    </row>
    <row r="14">
      <c r="A14" s="35" t="n"/>
      <c r="B14" s="35" t="n"/>
      <c r="C14" s="37" t="n"/>
      <c r="D14" s="37" t="n"/>
      <c r="E14" s="35" t="n"/>
      <c r="F14" s="28">
        <f>IF(A14="","",SUMIFS(Timesheet!$E$5:$E$1004,Timesheet!$B$5:$B$1004,A14,Timesheet!$A$5:$A$1004,"&gt;="&amp;DATE(Settings!$B$14,1,1),Timesheet!$A$5:$A$1004,"&lt;="&amp;DATE(Settings!$B$14,12,31)))</f>
        <v/>
      </c>
      <c r="G14" s="39">
        <f>IF(A14="","",SUMIFS(Timesheet!$H$5:$H$1004,Timesheet!$B$5:$B$1004,A14,Timesheet!$A$5:$A$1004,"&gt;="&amp;DATE(Settings!$B$14,1,1),Timesheet!$A$5:$A$1004,"&lt;="&amp;DATE(Settings!$B$14,12,31)))</f>
        <v/>
      </c>
      <c r="H14" s="9">
        <f>IF(A14="","",IF(COUNTIF('Vendors &amp; Crew'!$A$5:$A$34,A14)&gt;1,"Duplicate worker",IF(C14="","Missing cost rate","")))</f>
        <v/>
      </c>
      <c r="I14" s="35" t="n"/>
    </row>
    <row r="15">
      <c r="A15" s="35" t="n"/>
      <c r="B15" s="35" t="n"/>
      <c r="C15" s="37" t="n"/>
      <c r="D15" s="37" t="n"/>
      <c r="E15" s="35" t="n"/>
      <c r="F15" s="28">
        <f>IF(A15="","",SUMIFS(Timesheet!$E$5:$E$1004,Timesheet!$B$5:$B$1004,A15,Timesheet!$A$5:$A$1004,"&gt;="&amp;DATE(Settings!$B$14,1,1),Timesheet!$A$5:$A$1004,"&lt;="&amp;DATE(Settings!$B$14,12,31)))</f>
        <v/>
      </c>
      <c r="G15" s="39">
        <f>IF(A15="","",SUMIFS(Timesheet!$H$5:$H$1004,Timesheet!$B$5:$B$1004,A15,Timesheet!$A$5:$A$1004,"&gt;="&amp;DATE(Settings!$B$14,1,1),Timesheet!$A$5:$A$1004,"&lt;="&amp;DATE(Settings!$B$14,12,31)))</f>
        <v/>
      </c>
      <c r="H15" s="9">
        <f>IF(A15="","",IF(COUNTIF('Vendors &amp; Crew'!$A$5:$A$34,A15)&gt;1,"Duplicate worker",IF(C15="","Missing cost rate","")))</f>
        <v/>
      </c>
      <c r="I15" s="35" t="n"/>
    </row>
    <row r="16">
      <c r="A16" s="35" t="n"/>
      <c r="B16" s="35" t="n"/>
      <c r="C16" s="37" t="n"/>
      <c r="D16" s="37" t="n"/>
      <c r="E16" s="35" t="n"/>
      <c r="F16" s="28">
        <f>IF(A16="","",SUMIFS(Timesheet!$E$5:$E$1004,Timesheet!$B$5:$B$1004,A16,Timesheet!$A$5:$A$1004,"&gt;="&amp;DATE(Settings!$B$14,1,1),Timesheet!$A$5:$A$1004,"&lt;="&amp;DATE(Settings!$B$14,12,31)))</f>
        <v/>
      </c>
      <c r="G16" s="39">
        <f>IF(A16="","",SUMIFS(Timesheet!$H$5:$H$1004,Timesheet!$B$5:$B$1004,A16,Timesheet!$A$5:$A$1004,"&gt;="&amp;DATE(Settings!$B$14,1,1),Timesheet!$A$5:$A$1004,"&lt;="&amp;DATE(Settings!$B$14,12,31)))</f>
        <v/>
      </c>
      <c r="H16" s="9">
        <f>IF(A16="","",IF(COUNTIF('Vendors &amp; Crew'!$A$5:$A$34,A16)&gt;1,"Duplicate worker",IF(C16="","Missing cost rate","")))</f>
        <v/>
      </c>
      <c r="I16" s="35" t="n"/>
    </row>
    <row r="17">
      <c r="A17" s="35" t="n"/>
      <c r="B17" s="35" t="n"/>
      <c r="C17" s="37" t="n"/>
      <c r="D17" s="37" t="n"/>
      <c r="E17" s="35" t="n"/>
      <c r="F17" s="28">
        <f>IF(A17="","",SUMIFS(Timesheet!$E$5:$E$1004,Timesheet!$B$5:$B$1004,A17,Timesheet!$A$5:$A$1004,"&gt;="&amp;DATE(Settings!$B$14,1,1),Timesheet!$A$5:$A$1004,"&lt;="&amp;DATE(Settings!$B$14,12,31)))</f>
        <v/>
      </c>
      <c r="G17" s="39">
        <f>IF(A17="","",SUMIFS(Timesheet!$H$5:$H$1004,Timesheet!$B$5:$B$1004,A17,Timesheet!$A$5:$A$1004,"&gt;="&amp;DATE(Settings!$B$14,1,1),Timesheet!$A$5:$A$1004,"&lt;="&amp;DATE(Settings!$B$14,12,31)))</f>
        <v/>
      </c>
      <c r="H17" s="9">
        <f>IF(A17="","",IF(COUNTIF('Vendors &amp; Crew'!$A$5:$A$34,A17)&gt;1,"Duplicate worker",IF(C17="","Missing cost rate","")))</f>
        <v/>
      </c>
      <c r="I17" s="35" t="n"/>
    </row>
    <row r="18">
      <c r="A18" s="35" t="n"/>
      <c r="B18" s="35" t="n"/>
      <c r="C18" s="37" t="n"/>
      <c r="D18" s="37" t="n"/>
      <c r="E18" s="35" t="n"/>
      <c r="F18" s="28">
        <f>IF(A18="","",SUMIFS(Timesheet!$E$5:$E$1004,Timesheet!$B$5:$B$1004,A18,Timesheet!$A$5:$A$1004,"&gt;="&amp;DATE(Settings!$B$14,1,1),Timesheet!$A$5:$A$1004,"&lt;="&amp;DATE(Settings!$B$14,12,31)))</f>
        <v/>
      </c>
      <c r="G18" s="39">
        <f>IF(A18="","",SUMIFS(Timesheet!$H$5:$H$1004,Timesheet!$B$5:$B$1004,A18,Timesheet!$A$5:$A$1004,"&gt;="&amp;DATE(Settings!$B$14,1,1),Timesheet!$A$5:$A$1004,"&lt;="&amp;DATE(Settings!$B$14,12,31)))</f>
        <v/>
      </c>
      <c r="H18" s="9">
        <f>IF(A18="","",IF(COUNTIF('Vendors &amp; Crew'!$A$5:$A$34,A18)&gt;1,"Duplicate worker",IF(C18="","Missing cost rate","")))</f>
        <v/>
      </c>
      <c r="I18" s="35" t="n"/>
    </row>
    <row r="19">
      <c r="A19" s="35" t="n"/>
      <c r="B19" s="35" t="n"/>
      <c r="C19" s="37" t="n"/>
      <c r="D19" s="37" t="n"/>
      <c r="E19" s="35" t="n"/>
      <c r="F19" s="28">
        <f>IF(A19="","",SUMIFS(Timesheet!$E$5:$E$1004,Timesheet!$B$5:$B$1004,A19,Timesheet!$A$5:$A$1004,"&gt;="&amp;DATE(Settings!$B$14,1,1),Timesheet!$A$5:$A$1004,"&lt;="&amp;DATE(Settings!$B$14,12,31)))</f>
        <v/>
      </c>
      <c r="G19" s="39">
        <f>IF(A19="","",SUMIFS(Timesheet!$H$5:$H$1004,Timesheet!$B$5:$B$1004,A19,Timesheet!$A$5:$A$1004,"&gt;="&amp;DATE(Settings!$B$14,1,1),Timesheet!$A$5:$A$1004,"&lt;="&amp;DATE(Settings!$B$14,12,31)))</f>
        <v/>
      </c>
      <c r="H19" s="9">
        <f>IF(A19="","",IF(COUNTIF('Vendors &amp; Crew'!$A$5:$A$34,A19)&gt;1,"Duplicate worker",IF(C19="","Missing cost rate","")))</f>
        <v/>
      </c>
      <c r="I19" s="35" t="n"/>
    </row>
    <row r="20">
      <c r="A20" s="35" t="n"/>
      <c r="B20" s="35" t="n"/>
      <c r="C20" s="37" t="n"/>
      <c r="D20" s="37" t="n"/>
      <c r="E20" s="35" t="n"/>
      <c r="F20" s="28">
        <f>IF(A20="","",SUMIFS(Timesheet!$E$5:$E$1004,Timesheet!$B$5:$B$1004,A20,Timesheet!$A$5:$A$1004,"&gt;="&amp;DATE(Settings!$B$14,1,1),Timesheet!$A$5:$A$1004,"&lt;="&amp;DATE(Settings!$B$14,12,31)))</f>
        <v/>
      </c>
      <c r="G20" s="39">
        <f>IF(A20="","",SUMIFS(Timesheet!$H$5:$H$1004,Timesheet!$B$5:$B$1004,A20,Timesheet!$A$5:$A$1004,"&gt;="&amp;DATE(Settings!$B$14,1,1),Timesheet!$A$5:$A$1004,"&lt;="&amp;DATE(Settings!$B$14,12,31)))</f>
        <v/>
      </c>
      <c r="H20" s="9">
        <f>IF(A20="","",IF(COUNTIF('Vendors &amp; Crew'!$A$5:$A$34,A20)&gt;1,"Duplicate worker",IF(C20="","Missing cost rate","")))</f>
        <v/>
      </c>
      <c r="I20" s="35" t="n"/>
    </row>
    <row r="21">
      <c r="A21" s="35" t="n"/>
      <c r="B21" s="35" t="n"/>
      <c r="C21" s="37" t="n"/>
      <c r="D21" s="37" t="n"/>
      <c r="E21" s="35" t="n"/>
      <c r="F21" s="28">
        <f>IF(A21="","",SUMIFS(Timesheet!$E$5:$E$1004,Timesheet!$B$5:$B$1004,A21,Timesheet!$A$5:$A$1004,"&gt;="&amp;DATE(Settings!$B$14,1,1),Timesheet!$A$5:$A$1004,"&lt;="&amp;DATE(Settings!$B$14,12,31)))</f>
        <v/>
      </c>
      <c r="G21" s="39">
        <f>IF(A21="","",SUMIFS(Timesheet!$H$5:$H$1004,Timesheet!$B$5:$B$1004,A21,Timesheet!$A$5:$A$1004,"&gt;="&amp;DATE(Settings!$B$14,1,1),Timesheet!$A$5:$A$1004,"&lt;="&amp;DATE(Settings!$B$14,12,31)))</f>
        <v/>
      </c>
      <c r="H21" s="9">
        <f>IF(A21="","",IF(COUNTIF('Vendors &amp; Crew'!$A$5:$A$34,A21)&gt;1,"Duplicate worker",IF(C21="","Missing cost rate","")))</f>
        <v/>
      </c>
      <c r="I21" s="35" t="n"/>
    </row>
    <row r="22">
      <c r="A22" s="35" t="n"/>
      <c r="B22" s="35" t="n"/>
      <c r="C22" s="37" t="n"/>
      <c r="D22" s="37" t="n"/>
      <c r="E22" s="35" t="n"/>
      <c r="F22" s="28">
        <f>IF(A22="","",SUMIFS(Timesheet!$E$5:$E$1004,Timesheet!$B$5:$B$1004,A22,Timesheet!$A$5:$A$1004,"&gt;="&amp;DATE(Settings!$B$14,1,1),Timesheet!$A$5:$A$1004,"&lt;="&amp;DATE(Settings!$B$14,12,31)))</f>
        <v/>
      </c>
      <c r="G22" s="39">
        <f>IF(A22="","",SUMIFS(Timesheet!$H$5:$H$1004,Timesheet!$B$5:$B$1004,A22,Timesheet!$A$5:$A$1004,"&gt;="&amp;DATE(Settings!$B$14,1,1),Timesheet!$A$5:$A$1004,"&lt;="&amp;DATE(Settings!$B$14,12,31)))</f>
        <v/>
      </c>
      <c r="H22" s="9">
        <f>IF(A22="","",IF(COUNTIF('Vendors &amp; Crew'!$A$5:$A$34,A22)&gt;1,"Duplicate worker",IF(C22="","Missing cost rate","")))</f>
        <v/>
      </c>
      <c r="I22" s="35" t="n"/>
    </row>
    <row r="23">
      <c r="A23" s="35" t="n"/>
      <c r="B23" s="35" t="n"/>
      <c r="C23" s="37" t="n"/>
      <c r="D23" s="37" t="n"/>
      <c r="E23" s="35" t="n"/>
      <c r="F23" s="28">
        <f>IF(A23="","",SUMIFS(Timesheet!$E$5:$E$1004,Timesheet!$B$5:$B$1004,A23,Timesheet!$A$5:$A$1004,"&gt;="&amp;DATE(Settings!$B$14,1,1),Timesheet!$A$5:$A$1004,"&lt;="&amp;DATE(Settings!$B$14,12,31)))</f>
        <v/>
      </c>
      <c r="G23" s="39">
        <f>IF(A23="","",SUMIFS(Timesheet!$H$5:$H$1004,Timesheet!$B$5:$B$1004,A23,Timesheet!$A$5:$A$1004,"&gt;="&amp;DATE(Settings!$B$14,1,1),Timesheet!$A$5:$A$1004,"&lt;="&amp;DATE(Settings!$B$14,12,31)))</f>
        <v/>
      </c>
      <c r="H23" s="9">
        <f>IF(A23="","",IF(COUNTIF('Vendors &amp; Crew'!$A$5:$A$34,A23)&gt;1,"Duplicate worker",IF(C23="","Missing cost rate","")))</f>
        <v/>
      </c>
      <c r="I23" s="35" t="n"/>
    </row>
    <row r="24">
      <c r="A24" s="35" t="n"/>
      <c r="B24" s="35" t="n"/>
      <c r="C24" s="37" t="n"/>
      <c r="D24" s="37" t="n"/>
      <c r="E24" s="35" t="n"/>
      <c r="F24" s="28">
        <f>IF(A24="","",SUMIFS(Timesheet!$E$5:$E$1004,Timesheet!$B$5:$B$1004,A24,Timesheet!$A$5:$A$1004,"&gt;="&amp;DATE(Settings!$B$14,1,1),Timesheet!$A$5:$A$1004,"&lt;="&amp;DATE(Settings!$B$14,12,31)))</f>
        <v/>
      </c>
      <c r="G24" s="39">
        <f>IF(A24="","",SUMIFS(Timesheet!$H$5:$H$1004,Timesheet!$B$5:$B$1004,A24,Timesheet!$A$5:$A$1004,"&gt;="&amp;DATE(Settings!$B$14,1,1),Timesheet!$A$5:$A$1004,"&lt;="&amp;DATE(Settings!$B$14,12,31)))</f>
        <v/>
      </c>
      <c r="H24" s="9">
        <f>IF(A24="","",IF(COUNTIF('Vendors &amp; Crew'!$A$5:$A$34,A24)&gt;1,"Duplicate worker",IF(C24="","Missing cost rate","")))</f>
        <v/>
      </c>
      <c r="I24" s="35" t="n"/>
    </row>
    <row r="25">
      <c r="A25" s="35" t="n"/>
      <c r="B25" s="35" t="n"/>
      <c r="C25" s="37" t="n"/>
      <c r="D25" s="37" t="n"/>
      <c r="E25" s="35" t="n"/>
      <c r="F25" s="28">
        <f>IF(A25="","",SUMIFS(Timesheet!$E$5:$E$1004,Timesheet!$B$5:$B$1004,A25,Timesheet!$A$5:$A$1004,"&gt;="&amp;DATE(Settings!$B$14,1,1),Timesheet!$A$5:$A$1004,"&lt;="&amp;DATE(Settings!$B$14,12,31)))</f>
        <v/>
      </c>
      <c r="G25" s="39">
        <f>IF(A25="","",SUMIFS(Timesheet!$H$5:$H$1004,Timesheet!$B$5:$B$1004,A25,Timesheet!$A$5:$A$1004,"&gt;="&amp;DATE(Settings!$B$14,1,1),Timesheet!$A$5:$A$1004,"&lt;="&amp;DATE(Settings!$B$14,12,31)))</f>
        <v/>
      </c>
      <c r="H25" s="9">
        <f>IF(A25="","",IF(COUNTIF('Vendors &amp; Crew'!$A$5:$A$34,A25)&gt;1,"Duplicate worker",IF(C25="","Missing cost rate","")))</f>
        <v/>
      </c>
      <c r="I25" s="35" t="n"/>
    </row>
    <row r="26">
      <c r="A26" s="35" t="n"/>
      <c r="B26" s="35" t="n"/>
      <c r="C26" s="37" t="n"/>
      <c r="D26" s="37" t="n"/>
      <c r="E26" s="35" t="n"/>
      <c r="F26" s="28">
        <f>IF(A26="","",SUMIFS(Timesheet!$E$5:$E$1004,Timesheet!$B$5:$B$1004,A26,Timesheet!$A$5:$A$1004,"&gt;="&amp;DATE(Settings!$B$14,1,1),Timesheet!$A$5:$A$1004,"&lt;="&amp;DATE(Settings!$B$14,12,31)))</f>
        <v/>
      </c>
      <c r="G26" s="39">
        <f>IF(A26="","",SUMIFS(Timesheet!$H$5:$H$1004,Timesheet!$B$5:$B$1004,A26,Timesheet!$A$5:$A$1004,"&gt;="&amp;DATE(Settings!$B$14,1,1),Timesheet!$A$5:$A$1004,"&lt;="&amp;DATE(Settings!$B$14,12,31)))</f>
        <v/>
      </c>
      <c r="H26" s="9">
        <f>IF(A26="","",IF(COUNTIF('Vendors &amp; Crew'!$A$5:$A$34,A26)&gt;1,"Duplicate worker",IF(C26="","Missing cost rate","")))</f>
        <v/>
      </c>
      <c r="I26" s="35" t="n"/>
    </row>
    <row r="27">
      <c r="A27" s="35" t="n"/>
      <c r="B27" s="35" t="n"/>
      <c r="C27" s="37" t="n"/>
      <c r="D27" s="37" t="n"/>
      <c r="E27" s="35" t="n"/>
      <c r="F27" s="28">
        <f>IF(A27="","",SUMIFS(Timesheet!$E$5:$E$1004,Timesheet!$B$5:$B$1004,A27,Timesheet!$A$5:$A$1004,"&gt;="&amp;DATE(Settings!$B$14,1,1),Timesheet!$A$5:$A$1004,"&lt;="&amp;DATE(Settings!$B$14,12,31)))</f>
        <v/>
      </c>
      <c r="G27" s="39">
        <f>IF(A27="","",SUMIFS(Timesheet!$H$5:$H$1004,Timesheet!$B$5:$B$1004,A27,Timesheet!$A$5:$A$1004,"&gt;="&amp;DATE(Settings!$B$14,1,1),Timesheet!$A$5:$A$1004,"&lt;="&amp;DATE(Settings!$B$14,12,31)))</f>
        <v/>
      </c>
      <c r="H27" s="9">
        <f>IF(A27="","",IF(COUNTIF('Vendors &amp; Crew'!$A$5:$A$34,A27)&gt;1,"Duplicate worker",IF(C27="","Missing cost rate","")))</f>
        <v/>
      </c>
      <c r="I27" s="35" t="n"/>
    </row>
    <row r="28">
      <c r="A28" s="35" t="n"/>
      <c r="B28" s="35" t="n"/>
      <c r="C28" s="37" t="n"/>
      <c r="D28" s="37" t="n"/>
      <c r="E28" s="35" t="n"/>
      <c r="F28" s="28">
        <f>IF(A28="","",SUMIFS(Timesheet!$E$5:$E$1004,Timesheet!$B$5:$B$1004,A28,Timesheet!$A$5:$A$1004,"&gt;="&amp;DATE(Settings!$B$14,1,1),Timesheet!$A$5:$A$1004,"&lt;="&amp;DATE(Settings!$B$14,12,31)))</f>
        <v/>
      </c>
      <c r="G28" s="39">
        <f>IF(A28="","",SUMIFS(Timesheet!$H$5:$H$1004,Timesheet!$B$5:$B$1004,A28,Timesheet!$A$5:$A$1004,"&gt;="&amp;DATE(Settings!$B$14,1,1),Timesheet!$A$5:$A$1004,"&lt;="&amp;DATE(Settings!$B$14,12,31)))</f>
        <v/>
      </c>
      <c r="H28" s="9">
        <f>IF(A28="","",IF(COUNTIF('Vendors &amp; Crew'!$A$5:$A$34,A28)&gt;1,"Duplicate worker",IF(C28="","Missing cost rate","")))</f>
        <v/>
      </c>
      <c r="I28" s="35" t="n"/>
    </row>
    <row r="29">
      <c r="A29" s="35" t="n"/>
      <c r="B29" s="35" t="n"/>
      <c r="C29" s="37" t="n"/>
      <c r="D29" s="37" t="n"/>
      <c r="E29" s="35" t="n"/>
      <c r="F29" s="28">
        <f>IF(A29="","",SUMIFS(Timesheet!$E$5:$E$1004,Timesheet!$B$5:$B$1004,A29,Timesheet!$A$5:$A$1004,"&gt;="&amp;DATE(Settings!$B$14,1,1),Timesheet!$A$5:$A$1004,"&lt;="&amp;DATE(Settings!$B$14,12,31)))</f>
        <v/>
      </c>
      <c r="G29" s="39">
        <f>IF(A29="","",SUMIFS(Timesheet!$H$5:$H$1004,Timesheet!$B$5:$B$1004,A29,Timesheet!$A$5:$A$1004,"&gt;="&amp;DATE(Settings!$B$14,1,1),Timesheet!$A$5:$A$1004,"&lt;="&amp;DATE(Settings!$B$14,12,31)))</f>
        <v/>
      </c>
      <c r="H29" s="9">
        <f>IF(A29="","",IF(COUNTIF('Vendors &amp; Crew'!$A$5:$A$34,A29)&gt;1,"Duplicate worker",IF(C29="","Missing cost rate","")))</f>
        <v/>
      </c>
      <c r="I29" s="35" t="n"/>
    </row>
    <row r="30">
      <c r="A30" s="35" t="n"/>
      <c r="B30" s="35" t="n"/>
      <c r="C30" s="37" t="n"/>
      <c r="D30" s="37" t="n"/>
      <c r="E30" s="35" t="n"/>
      <c r="F30" s="28">
        <f>IF(A30="","",SUMIFS(Timesheet!$E$5:$E$1004,Timesheet!$B$5:$B$1004,A30,Timesheet!$A$5:$A$1004,"&gt;="&amp;DATE(Settings!$B$14,1,1),Timesheet!$A$5:$A$1004,"&lt;="&amp;DATE(Settings!$B$14,12,31)))</f>
        <v/>
      </c>
      <c r="G30" s="39">
        <f>IF(A30="","",SUMIFS(Timesheet!$H$5:$H$1004,Timesheet!$B$5:$B$1004,A30,Timesheet!$A$5:$A$1004,"&gt;="&amp;DATE(Settings!$B$14,1,1),Timesheet!$A$5:$A$1004,"&lt;="&amp;DATE(Settings!$B$14,12,31)))</f>
        <v/>
      </c>
      <c r="H30" s="9">
        <f>IF(A30="","",IF(COUNTIF('Vendors &amp; Crew'!$A$5:$A$34,A30)&gt;1,"Duplicate worker",IF(C30="","Missing cost rate","")))</f>
        <v/>
      </c>
      <c r="I30" s="35" t="n"/>
    </row>
    <row r="31">
      <c r="A31" s="35" t="n"/>
      <c r="B31" s="35" t="n"/>
      <c r="C31" s="37" t="n"/>
      <c r="D31" s="37" t="n"/>
      <c r="E31" s="35" t="n"/>
      <c r="F31" s="28">
        <f>IF(A31="","",SUMIFS(Timesheet!$E$5:$E$1004,Timesheet!$B$5:$B$1004,A31,Timesheet!$A$5:$A$1004,"&gt;="&amp;DATE(Settings!$B$14,1,1),Timesheet!$A$5:$A$1004,"&lt;="&amp;DATE(Settings!$B$14,12,31)))</f>
        <v/>
      </c>
      <c r="G31" s="39">
        <f>IF(A31="","",SUMIFS(Timesheet!$H$5:$H$1004,Timesheet!$B$5:$B$1004,A31,Timesheet!$A$5:$A$1004,"&gt;="&amp;DATE(Settings!$B$14,1,1),Timesheet!$A$5:$A$1004,"&lt;="&amp;DATE(Settings!$B$14,12,31)))</f>
        <v/>
      </c>
      <c r="H31" s="9">
        <f>IF(A31="","",IF(COUNTIF('Vendors &amp; Crew'!$A$5:$A$34,A31)&gt;1,"Duplicate worker",IF(C31="","Missing cost rate","")))</f>
        <v/>
      </c>
      <c r="I31" s="35" t="n"/>
    </row>
    <row r="32">
      <c r="A32" s="35" t="n"/>
      <c r="B32" s="35" t="n"/>
      <c r="C32" s="37" t="n"/>
      <c r="D32" s="37" t="n"/>
      <c r="E32" s="35" t="n"/>
      <c r="F32" s="28">
        <f>IF(A32="","",SUMIFS(Timesheet!$E$5:$E$1004,Timesheet!$B$5:$B$1004,A32,Timesheet!$A$5:$A$1004,"&gt;="&amp;DATE(Settings!$B$14,1,1),Timesheet!$A$5:$A$1004,"&lt;="&amp;DATE(Settings!$B$14,12,31)))</f>
        <v/>
      </c>
      <c r="G32" s="39">
        <f>IF(A32="","",SUMIFS(Timesheet!$H$5:$H$1004,Timesheet!$B$5:$B$1004,A32,Timesheet!$A$5:$A$1004,"&gt;="&amp;DATE(Settings!$B$14,1,1),Timesheet!$A$5:$A$1004,"&lt;="&amp;DATE(Settings!$B$14,12,31)))</f>
        <v/>
      </c>
      <c r="H32" s="9">
        <f>IF(A32="","",IF(COUNTIF('Vendors &amp; Crew'!$A$5:$A$34,A32)&gt;1,"Duplicate worker",IF(C32="","Missing cost rate","")))</f>
        <v/>
      </c>
      <c r="I32" s="35" t="n"/>
    </row>
    <row r="33">
      <c r="A33" s="35" t="n"/>
      <c r="B33" s="35" t="n"/>
      <c r="C33" s="37" t="n"/>
      <c r="D33" s="37" t="n"/>
      <c r="E33" s="35" t="n"/>
      <c r="F33" s="28">
        <f>IF(A33="","",SUMIFS(Timesheet!$E$5:$E$1004,Timesheet!$B$5:$B$1004,A33,Timesheet!$A$5:$A$1004,"&gt;="&amp;DATE(Settings!$B$14,1,1),Timesheet!$A$5:$A$1004,"&lt;="&amp;DATE(Settings!$B$14,12,31)))</f>
        <v/>
      </c>
      <c r="G33" s="39">
        <f>IF(A33="","",SUMIFS(Timesheet!$H$5:$H$1004,Timesheet!$B$5:$B$1004,A33,Timesheet!$A$5:$A$1004,"&gt;="&amp;DATE(Settings!$B$14,1,1),Timesheet!$A$5:$A$1004,"&lt;="&amp;DATE(Settings!$B$14,12,31)))</f>
        <v/>
      </c>
      <c r="H33" s="9">
        <f>IF(A33="","",IF(COUNTIF('Vendors &amp; Crew'!$A$5:$A$34,A33)&gt;1,"Duplicate worker",IF(C33="","Missing cost rate","")))</f>
        <v/>
      </c>
      <c r="I33" s="35" t="n"/>
    </row>
    <row r="34">
      <c r="A34" s="35" t="n"/>
      <c r="B34" s="35" t="n"/>
      <c r="C34" s="37" t="n"/>
      <c r="D34" s="37" t="n"/>
      <c r="E34" s="35" t="n"/>
      <c r="F34" s="28">
        <f>IF(A34="","",SUMIFS(Timesheet!$E$5:$E$1004,Timesheet!$B$5:$B$1004,A34,Timesheet!$A$5:$A$1004,"&gt;="&amp;DATE(Settings!$B$14,1,1),Timesheet!$A$5:$A$1004,"&lt;="&amp;DATE(Settings!$B$14,12,31)))</f>
        <v/>
      </c>
      <c r="G34" s="39">
        <f>IF(A34="","",SUMIFS(Timesheet!$H$5:$H$1004,Timesheet!$B$5:$B$1004,A34,Timesheet!$A$5:$A$1004,"&gt;="&amp;DATE(Settings!$B$14,1,1),Timesheet!$A$5:$A$1004,"&lt;="&amp;DATE(Settings!$B$14,12,31)))</f>
        <v/>
      </c>
      <c r="H34" s="9">
        <f>IF(A34="","",IF(COUNTIF('Vendors &amp; Crew'!$A$5:$A$34,A34)&gt;1,"Duplicate worker",IF(C34="","Missing cost rate","")))</f>
        <v/>
      </c>
      <c r="I34" s="35" t="n"/>
    </row>
    <row r="39">
      <c r="A39" s="3" t="inlineStr">
        <is>
          <t>VENDORS &amp; SUBCONTRACTORS</t>
        </is>
      </c>
    </row>
    <row r="40" ht="30" customHeight="1">
      <c r="A40" s="24" t="inlineStr">
        <is>
          <t>Vendor / Sub</t>
        </is>
      </c>
      <c r="B40" s="24" t="inlineStr">
        <is>
          <t>Type</t>
        </is>
      </c>
      <c r="C40" s="24" t="inlineStr">
        <is>
          <t>Trade</t>
        </is>
      </c>
      <c r="D40" s="24" t="inlineStr">
        <is>
          <t>Phone</t>
        </is>
      </c>
      <c r="E40" s="24" t="inlineStr">
        <is>
          <t>Email</t>
        </is>
      </c>
      <c r="F40" s="24" t="inlineStr">
        <is>
          <t>License #</t>
        </is>
      </c>
      <c r="G40" s="24" t="inlineStr">
        <is>
          <t>Insurance Expiry</t>
        </is>
      </c>
      <c r="H40" s="24" t="inlineStr">
        <is>
          <t>Insurance Status</t>
        </is>
      </c>
      <c r="I40" s="24" t="inlineStr">
        <is>
          <t>W-9 on file</t>
        </is>
      </c>
      <c r="J40" s="24" t="inlineStr">
        <is>
          <t>1099-eligible</t>
        </is>
      </c>
      <c r="K40" s="24" t="inlineStr">
        <is>
          <t>Paid YTD</t>
        </is>
      </c>
      <c r="L40" s="24" t="inlineStr">
        <is>
          <t>Unpaid Balance</t>
        </is>
      </c>
      <c r="M40" s="24" t="inlineStr">
        <is>
          <t>1099 Flag</t>
        </is>
      </c>
      <c r="N40" s="24" t="inlineStr">
        <is>
          <t>Check</t>
        </is>
      </c>
      <c r="O40" s="24" t="inlineStr">
        <is>
          <t>Notes</t>
        </is>
      </c>
    </row>
    <row r="41">
      <c r="A41" s="35" t="n"/>
      <c r="B41" s="35" t="n"/>
      <c r="C41" s="35" t="n"/>
      <c r="D41" s="35" t="n"/>
      <c r="E41" s="35" t="n"/>
      <c r="F41" s="35" t="n"/>
      <c r="G41" s="40" t="n"/>
      <c r="H41" s="9">
        <f>IF(A41="","",IF(G41="","No expiry on file",IF(G41&lt;TODAY(),"EXPIRED",IF(G41-TODAY()&lt;=30,"Expiring soon","OK"))))</f>
        <v/>
      </c>
      <c r="I41" s="35" t="n"/>
      <c r="J41" s="35" t="n"/>
      <c r="K41" s="39">
        <f>IF(A41="","",SUMIFS('Job Costs'!$I$5:$I$1004,'Job Costs'!$E$5:$E$1004,A41,'Job Costs'!$A$5:$A$1004,"&gt;="&amp;DATE(Settings!$B$14,1,1),'Job Costs'!$A$5:$A$1004,"&lt;="&amp;DATE(Settings!$B$14,12,31)))</f>
        <v/>
      </c>
      <c r="L41" s="39">
        <f>IF(A41="","",SUMIFS('Job Costs'!$I$5:$I$1004,'Job Costs'!$E$5:$E$1004,A41,'Job Costs'!$J$5:$J$1004,"No"))</f>
        <v/>
      </c>
      <c r="M41" s="9">
        <f>IF(A41="","",IF(AND(J41="Yes",K41&gt;=600),"Review for 1099",""))</f>
        <v/>
      </c>
      <c r="N41" s="9">
        <f>IF(A41="","",IF(COUNTIF('Vendors &amp; Crew'!$A$41:$A$140,A41)&gt;1,"Duplicate vendor",""))</f>
        <v/>
      </c>
      <c r="O41" s="35" t="n"/>
    </row>
    <row r="42">
      <c r="A42" s="35" t="n"/>
      <c r="B42" s="35" t="n"/>
      <c r="C42" s="35" t="n"/>
      <c r="D42" s="35" t="n"/>
      <c r="E42" s="35" t="n"/>
      <c r="F42" s="35" t="n"/>
      <c r="G42" s="40" t="n"/>
      <c r="H42" s="9">
        <f>IF(A42="","",IF(G42="","No expiry on file",IF(G42&lt;TODAY(),"EXPIRED",IF(G42-TODAY()&lt;=30,"Expiring soon","OK"))))</f>
        <v/>
      </c>
      <c r="I42" s="35" t="n"/>
      <c r="J42" s="35" t="n"/>
      <c r="K42" s="39">
        <f>IF(A42="","",SUMIFS('Job Costs'!$I$5:$I$1004,'Job Costs'!$E$5:$E$1004,A42,'Job Costs'!$A$5:$A$1004,"&gt;="&amp;DATE(Settings!$B$14,1,1),'Job Costs'!$A$5:$A$1004,"&lt;="&amp;DATE(Settings!$B$14,12,31)))</f>
        <v/>
      </c>
      <c r="L42" s="39">
        <f>IF(A42="","",SUMIFS('Job Costs'!$I$5:$I$1004,'Job Costs'!$E$5:$E$1004,A42,'Job Costs'!$J$5:$J$1004,"No"))</f>
        <v/>
      </c>
      <c r="M42" s="9">
        <f>IF(A42="","",IF(AND(J42="Yes",K42&gt;=600),"Review for 1099",""))</f>
        <v/>
      </c>
      <c r="N42" s="9">
        <f>IF(A42="","",IF(COUNTIF('Vendors &amp; Crew'!$A$41:$A$140,A42)&gt;1,"Duplicate vendor",""))</f>
        <v/>
      </c>
      <c r="O42" s="35" t="n"/>
    </row>
    <row r="43">
      <c r="A43" s="35" t="n"/>
      <c r="B43" s="35" t="n"/>
      <c r="C43" s="35" t="n"/>
      <c r="D43" s="35" t="n"/>
      <c r="E43" s="35" t="n"/>
      <c r="F43" s="35" t="n"/>
      <c r="G43" s="40" t="n"/>
      <c r="H43" s="9">
        <f>IF(A43="","",IF(G43="","No expiry on file",IF(G43&lt;TODAY(),"EXPIRED",IF(G43-TODAY()&lt;=30,"Expiring soon","OK"))))</f>
        <v/>
      </c>
      <c r="I43" s="35" t="n"/>
      <c r="J43" s="35" t="n"/>
      <c r="K43" s="39">
        <f>IF(A43="","",SUMIFS('Job Costs'!$I$5:$I$1004,'Job Costs'!$E$5:$E$1004,A43,'Job Costs'!$A$5:$A$1004,"&gt;="&amp;DATE(Settings!$B$14,1,1),'Job Costs'!$A$5:$A$1004,"&lt;="&amp;DATE(Settings!$B$14,12,31)))</f>
        <v/>
      </c>
      <c r="L43" s="39">
        <f>IF(A43="","",SUMIFS('Job Costs'!$I$5:$I$1004,'Job Costs'!$E$5:$E$1004,A43,'Job Costs'!$J$5:$J$1004,"No"))</f>
        <v/>
      </c>
      <c r="M43" s="9">
        <f>IF(A43="","",IF(AND(J43="Yes",K43&gt;=600),"Review for 1099",""))</f>
        <v/>
      </c>
      <c r="N43" s="9">
        <f>IF(A43="","",IF(COUNTIF('Vendors &amp; Crew'!$A$41:$A$140,A43)&gt;1,"Duplicate vendor",""))</f>
        <v/>
      </c>
      <c r="O43" s="35" t="n"/>
    </row>
    <row r="44">
      <c r="A44" s="35" t="n"/>
      <c r="B44" s="35" t="n"/>
      <c r="C44" s="35" t="n"/>
      <c r="D44" s="35" t="n"/>
      <c r="E44" s="35" t="n"/>
      <c r="F44" s="35" t="n"/>
      <c r="G44" s="40" t="n"/>
      <c r="H44" s="9">
        <f>IF(A44="","",IF(G44="","No expiry on file",IF(G44&lt;TODAY(),"EXPIRED",IF(G44-TODAY()&lt;=30,"Expiring soon","OK"))))</f>
        <v/>
      </c>
      <c r="I44" s="35" t="n"/>
      <c r="J44" s="35" t="n"/>
      <c r="K44" s="39">
        <f>IF(A44="","",SUMIFS('Job Costs'!$I$5:$I$1004,'Job Costs'!$E$5:$E$1004,A44,'Job Costs'!$A$5:$A$1004,"&gt;="&amp;DATE(Settings!$B$14,1,1),'Job Costs'!$A$5:$A$1004,"&lt;="&amp;DATE(Settings!$B$14,12,31)))</f>
        <v/>
      </c>
      <c r="L44" s="39">
        <f>IF(A44="","",SUMIFS('Job Costs'!$I$5:$I$1004,'Job Costs'!$E$5:$E$1004,A44,'Job Costs'!$J$5:$J$1004,"No"))</f>
        <v/>
      </c>
      <c r="M44" s="9">
        <f>IF(A44="","",IF(AND(J44="Yes",K44&gt;=600),"Review for 1099",""))</f>
        <v/>
      </c>
      <c r="N44" s="9">
        <f>IF(A44="","",IF(COUNTIF('Vendors &amp; Crew'!$A$41:$A$140,A44)&gt;1,"Duplicate vendor",""))</f>
        <v/>
      </c>
      <c r="O44" s="35" t="n"/>
    </row>
    <row r="45">
      <c r="A45" s="35" t="n"/>
      <c r="B45" s="35" t="n"/>
      <c r="C45" s="35" t="n"/>
      <c r="D45" s="35" t="n"/>
      <c r="E45" s="35" t="n"/>
      <c r="F45" s="35" t="n"/>
      <c r="G45" s="40" t="n"/>
      <c r="H45" s="9">
        <f>IF(A45="","",IF(G45="","No expiry on file",IF(G45&lt;TODAY(),"EXPIRED",IF(G45-TODAY()&lt;=30,"Expiring soon","OK"))))</f>
        <v/>
      </c>
      <c r="I45" s="35" t="n"/>
      <c r="J45" s="35" t="n"/>
      <c r="K45" s="39">
        <f>IF(A45="","",SUMIFS('Job Costs'!$I$5:$I$1004,'Job Costs'!$E$5:$E$1004,A45,'Job Costs'!$A$5:$A$1004,"&gt;="&amp;DATE(Settings!$B$14,1,1),'Job Costs'!$A$5:$A$1004,"&lt;="&amp;DATE(Settings!$B$14,12,31)))</f>
        <v/>
      </c>
      <c r="L45" s="39">
        <f>IF(A45="","",SUMIFS('Job Costs'!$I$5:$I$1004,'Job Costs'!$E$5:$E$1004,A45,'Job Costs'!$J$5:$J$1004,"No"))</f>
        <v/>
      </c>
      <c r="M45" s="9">
        <f>IF(A45="","",IF(AND(J45="Yes",K45&gt;=600),"Review for 1099",""))</f>
        <v/>
      </c>
      <c r="N45" s="9">
        <f>IF(A45="","",IF(COUNTIF('Vendors &amp; Crew'!$A$41:$A$140,A45)&gt;1,"Duplicate vendor",""))</f>
        <v/>
      </c>
      <c r="O45" s="35" t="n"/>
    </row>
    <row r="46">
      <c r="A46" s="35" t="n"/>
      <c r="B46" s="35" t="n"/>
      <c r="C46" s="35" t="n"/>
      <c r="D46" s="35" t="n"/>
      <c r="E46" s="35" t="n"/>
      <c r="F46" s="35" t="n"/>
      <c r="G46" s="40" t="n"/>
      <c r="H46" s="9">
        <f>IF(A46="","",IF(G46="","No expiry on file",IF(G46&lt;TODAY(),"EXPIRED",IF(G46-TODAY()&lt;=30,"Expiring soon","OK"))))</f>
        <v/>
      </c>
      <c r="I46" s="35" t="n"/>
      <c r="J46" s="35" t="n"/>
      <c r="K46" s="39">
        <f>IF(A46="","",SUMIFS('Job Costs'!$I$5:$I$1004,'Job Costs'!$E$5:$E$1004,A46,'Job Costs'!$A$5:$A$1004,"&gt;="&amp;DATE(Settings!$B$14,1,1),'Job Costs'!$A$5:$A$1004,"&lt;="&amp;DATE(Settings!$B$14,12,31)))</f>
        <v/>
      </c>
      <c r="L46" s="39">
        <f>IF(A46="","",SUMIFS('Job Costs'!$I$5:$I$1004,'Job Costs'!$E$5:$E$1004,A46,'Job Costs'!$J$5:$J$1004,"No"))</f>
        <v/>
      </c>
      <c r="M46" s="9">
        <f>IF(A46="","",IF(AND(J46="Yes",K46&gt;=600),"Review for 1099",""))</f>
        <v/>
      </c>
      <c r="N46" s="9">
        <f>IF(A46="","",IF(COUNTIF('Vendors &amp; Crew'!$A$41:$A$140,A46)&gt;1,"Duplicate vendor",""))</f>
        <v/>
      </c>
      <c r="O46" s="35" t="n"/>
    </row>
    <row r="47">
      <c r="A47" s="35" t="n"/>
      <c r="B47" s="35" t="n"/>
      <c r="C47" s="35" t="n"/>
      <c r="D47" s="35" t="n"/>
      <c r="E47" s="35" t="n"/>
      <c r="F47" s="35" t="n"/>
      <c r="G47" s="40" t="n"/>
      <c r="H47" s="9">
        <f>IF(A47="","",IF(G47="","No expiry on file",IF(G47&lt;TODAY(),"EXPIRED",IF(G47-TODAY()&lt;=30,"Expiring soon","OK"))))</f>
        <v/>
      </c>
      <c r="I47" s="35" t="n"/>
      <c r="J47" s="35" t="n"/>
      <c r="K47" s="39">
        <f>IF(A47="","",SUMIFS('Job Costs'!$I$5:$I$1004,'Job Costs'!$E$5:$E$1004,A47,'Job Costs'!$A$5:$A$1004,"&gt;="&amp;DATE(Settings!$B$14,1,1),'Job Costs'!$A$5:$A$1004,"&lt;="&amp;DATE(Settings!$B$14,12,31)))</f>
        <v/>
      </c>
      <c r="L47" s="39">
        <f>IF(A47="","",SUMIFS('Job Costs'!$I$5:$I$1004,'Job Costs'!$E$5:$E$1004,A47,'Job Costs'!$J$5:$J$1004,"No"))</f>
        <v/>
      </c>
      <c r="M47" s="9">
        <f>IF(A47="","",IF(AND(J47="Yes",K47&gt;=600),"Review for 1099",""))</f>
        <v/>
      </c>
      <c r="N47" s="9">
        <f>IF(A47="","",IF(COUNTIF('Vendors &amp; Crew'!$A$41:$A$140,A47)&gt;1,"Duplicate vendor",""))</f>
        <v/>
      </c>
      <c r="O47" s="35" t="n"/>
    </row>
    <row r="48">
      <c r="A48" s="35" t="n"/>
      <c r="B48" s="35" t="n"/>
      <c r="C48" s="35" t="n"/>
      <c r="D48" s="35" t="n"/>
      <c r="E48" s="35" t="n"/>
      <c r="F48" s="35" t="n"/>
      <c r="G48" s="40" t="n"/>
      <c r="H48" s="9">
        <f>IF(A48="","",IF(G48="","No expiry on file",IF(G48&lt;TODAY(),"EXPIRED",IF(G48-TODAY()&lt;=30,"Expiring soon","OK"))))</f>
        <v/>
      </c>
      <c r="I48" s="35" t="n"/>
      <c r="J48" s="35" t="n"/>
      <c r="K48" s="39">
        <f>IF(A48="","",SUMIFS('Job Costs'!$I$5:$I$1004,'Job Costs'!$E$5:$E$1004,A48,'Job Costs'!$A$5:$A$1004,"&gt;="&amp;DATE(Settings!$B$14,1,1),'Job Costs'!$A$5:$A$1004,"&lt;="&amp;DATE(Settings!$B$14,12,31)))</f>
        <v/>
      </c>
      <c r="L48" s="39">
        <f>IF(A48="","",SUMIFS('Job Costs'!$I$5:$I$1004,'Job Costs'!$E$5:$E$1004,A48,'Job Costs'!$J$5:$J$1004,"No"))</f>
        <v/>
      </c>
      <c r="M48" s="9">
        <f>IF(A48="","",IF(AND(J48="Yes",K48&gt;=600),"Review for 1099",""))</f>
        <v/>
      </c>
      <c r="N48" s="9">
        <f>IF(A48="","",IF(COUNTIF('Vendors &amp; Crew'!$A$41:$A$140,A48)&gt;1,"Duplicate vendor",""))</f>
        <v/>
      </c>
      <c r="O48" s="35" t="n"/>
    </row>
    <row r="49">
      <c r="A49" s="35" t="n"/>
      <c r="B49" s="35" t="n"/>
      <c r="C49" s="35" t="n"/>
      <c r="D49" s="35" t="n"/>
      <c r="E49" s="35" t="n"/>
      <c r="F49" s="35" t="n"/>
      <c r="G49" s="40" t="n"/>
      <c r="H49" s="9">
        <f>IF(A49="","",IF(G49="","No expiry on file",IF(G49&lt;TODAY(),"EXPIRED",IF(G49-TODAY()&lt;=30,"Expiring soon","OK"))))</f>
        <v/>
      </c>
      <c r="I49" s="35" t="n"/>
      <c r="J49" s="35" t="n"/>
      <c r="K49" s="39">
        <f>IF(A49="","",SUMIFS('Job Costs'!$I$5:$I$1004,'Job Costs'!$E$5:$E$1004,A49,'Job Costs'!$A$5:$A$1004,"&gt;="&amp;DATE(Settings!$B$14,1,1),'Job Costs'!$A$5:$A$1004,"&lt;="&amp;DATE(Settings!$B$14,12,31)))</f>
        <v/>
      </c>
      <c r="L49" s="39">
        <f>IF(A49="","",SUMIFS('Job Costs'!$I$5:$I$1004,'Job Costs'!$E$5:$E$1004,A49,'Job Costs'!$J$5:$J$1004,"No"))</f>
        <v/>
      </c>
      <c r="M49" s="9">
        <f>IF(A49="","",IF(AND(J49="Yes",K49&gt;=600),"Review for 1099",""))</f>
        <v/>
      </c>
      <c r="N49" s="9">
        <f>IF(A49="","",IF(COUNTIF('Vendors &amp; Crew'!$A$41:$A$140,A49)&gt;1,"Duplicate vendor",""))</f>
        <v/>
      </c>
      <c r="O49" s="35" t="n"/>
    </row>
    <row r="50">
      <c r="A50" s="35" t="n"/>
      <c r="B50" s="35" t="n"/>
      <c r="C50" s="35" t="n"/>
      <c r="D50" s="35" t="n"/>
      <c r="E50" s="35" t="n"/>
      <c r="F50" s="35" t="n"/>
      <c r="G50" s="40" t="n"/>
      <c r="H50" s="9">
        <f>IF(A50="","",IF(G50="","No expiry on file",IF(G50&lt;TODAY(),"EXPIRED",IF(G50-TODAY()&lt;=30,"Expiring soon","OK"))))</f>
        <v/>
      </c>
      <c r="I50" s="35" t="n"/>
      <c r="J50" s="35" t="n"/>
      <c r="K50" s="39">
        <f>IF(A50="","",SUMIFS('Job Costs'!$I$5:$I$1004,'Job Costs'!$E$5:$E$1004,A50,'Job Costs'!$A$5:$A$1004,"&gt;="&amp;DATE(Settings!$B$14,1,1),'Job Costs'!$A$5:$A$1004,"&lt;="&amp;DATE(Settings!$B$14,12,31)))</f>
        <v/>
      </c>
      <c r="L50" s="39">
        <f>IF(A50="","",SUMIFS('Job Costs'!$I$5:$I$1004,'Job Costs'!$E$5:$E$1004,A50,'Job Costs'!$J$5:$J$1004,"No"))</f>
        <v/>
      </c>
      <c r="M50" s="9">
        <f>IF(A50="","",IF(AND(J50="Yes",K50&gt;=600),"Review for 1099",""))</f>
        <v/>
      </c>
      <c r="N50" s="9">
        <f>IF(A50="","",IF(COUNTIF('Vendors &amp; Crew'!$A$41:$A$140,A50)&gt;1,"Duplicate vendor",""))</f>
        <v/>
      </c>
      <c r="O50" s="35" t="n"/>
    </row>
    <row r="51">
      <c r="A51" s="35" t="n"/>
      <c r="B51" s="35" t="n"/>
      <c r="C51" s="35" t="n"/>
      <c r="D51" s="35" t="n"/>
      <c r="E51" s="35" t="n"/>
      <c r="F51" s="35" t="n"/>
      <c r="G51" s="40" t="n"/>
      <c r="H51" s="9">
        <f>IF(A51="","",IF(G51="","No expiry on file",IF(G51&lt;TODAY(),"EXPIRED",IF(G51-TODAY()&lt;=30,"Expiring soon","OK"))))</f>
        <v/>
      </c>
      <c r="I51" s="35" t="n"/>
      <c r="J51" s="35" t="n"/>
      <c r="K51" s="39">
        <f>IF(A51="","",SUMIFS('Job Costs'!$I$5:$I$1004,'Job Costs'!$E$5:$E$1004,A51,'Job Costs'!$A$5:$A$1004,"&gt;="&amp;DATE(Settings!$B$14,1,1),'Job Costs'!$A$5:$A$1004,"&lt;="&amp;DATE(Settings!$B$14,12,31)))</f>
        <v/>
      </c>
      <c r="L51" s="39">
        <f>IF(A51="","",SUMIFS('Job Costs'!$I$5:$I$1004,'Job Costs'!$E$5:$E$1004,A51,'Job Costs'!$J$5:$J$1004,"No"))</f>
        <v/>
      </c>
      <c r="M51" s="9">
        <f>IF(A51="","",IF(AND(J51="Yes",K51&gt;=600),"Review for 1099",""))</f>
        <v/>
      </c>
      <c r="N51" s="9">
        <f>IF(A51="","",IF(COUNTIF('Vendors &amp; Crew'!$A$41:$A$140,A51)&gt;1,"Duplicate vendor",""))</f>
        <v/>
      </c>
      <c r="O51" s="35" t="n"/>
    </row>
    <row r="52">
      <c r="A52" s="35" t="n"/>
      <c r="B52" s="35" t="n"/>
      <c r="C52" s="35" t="n"/>
      <c r="D52" s="35" t="n"/>
      <c r="E52" s="35" t="n"/>
      <c r="F52" s="35" t="n"/>
      <c r="G52" s="40" t="n"/>
      <c r="H52" s="9">
        <f>IF(A52="","",IF(G52="","No expiry on file",IF(G52&lt;TODAY(),"EXPIRED",IF(G52-TODAY()&lt;=30,"Expiring soon","OK"))))</f>
        <v/>
      </c>
      <c r="I52" s="35" t="n"/>
      <c r="J52" s="35" t="n"/>
      <c r="K52" s="39">
        <f>IF(A52="","",SUMIFS('Job Costs'!$I$5:$I$1004,'Job Costs'!$E$5:$E$1004,A52,'Job Costs'!$A$5:$A$1004,"&gt;="&amp;DATE(Settings!$B$14,1,1),'Job Costs'!$A$5:$A$1004,"&lt;="&amp;DATE(Settings!$B$14,12,31)))</f>
        <v/>
      </c>
      <c r="L52" s="39">
        <f>IF(A52="","",SUMIFS('Job Costs'!$I$5:$I$1004,'Job Costs'!$E$5:$E$1004,A52,'Job Costs'!$J$5:$J$1004,"No"))</f>
        <v/>
      </c>
      <c r="M52" s="9">
        <f>IF(A52="","",IF(AND(J52="Yes",K52&gt;=600),"Review for 1099",""))</f>
        <v/>
      </c>
      <c r="N52" s="9">
        <f>IF(A52="","",IF(COUNTIF('Vendors &amp; Crew'!$A$41:$A$140,A52)&gt;1,"Duplicate vendor",""))</f>
        <v/>
      </c>
      <c r="O52" s="35" t="n"/>
    </row>
    <row r="53">
      <c r="A53" s="35" t="n"/>
      <c r="B53" s="35" t="n"/>
      <c r="C53" s="35" t="n"/>
      <c r="D53" s="35" t="n"/>
      <c r="E53" s="35" t="n"/>
      <c r="F53" s="35" t="n"/>
      <c r="G53" s="40" t="n"/>
      <c r="H53" s="9">
        <f>IF(A53="","",IF(G53="","No expiry on file",IF(G53&lt;TODAY(),"EXPIRED",IF(G53-TODAY()&lt;=30,"Expiring soon","OK"))))</f>
        <v/>
      </c>
      <c r="I53" s="35" t="n"/>
      <c r="J53" s="35" t="n"/>
      <c r="K53" s="39">
        <f>IF(A53="","",SUMIFS('Job Costs'!$I$5:$I$1004,'Job Costs'!$E$5:$E$1004,A53,'Job Costs'!$A$5:$A$1004,"&gt;="&amp;DATE(Settings!$B$14,1,1),'Job Costs'!$A$5:$A$1004,"&lt;="&amp;DATE(Settings!$B$14,12,31)))</f>
        <v/>
      </c>
      <c r="L53" s="39">
        <f>IF(A53="","",SUMIFS('Job Costs'!$I$5:$I$1004,'Job Costs'!$E$5:$E$1004,A53,'Job Costs'!$J$5:$J$1004,"No"))</f>
        <v/>
      </c>
      <c r="M53" s="9">
        <f>IF(A53="","",IF(AND(J53="Yes",K53&gt;=600),"Review for 1099",""))</f>
        <v/>
      </c>
      <c r="N53" s="9">
        <f>IF(A53="","",IF(COUNTIF('Vendors &amp; Crew'!$A$41:$A$140,A53)&gt;1,"Duplicate vendor",""))</f>
        <v/>
      </c>
      <c r="O53" s="35" t="n"/>
    </row>
    <row r="54">
      <c r="A54" s="35" t="n"/>
      <c r="B54" s="35" t="n"/>
      <c r="C54" s="35" t="n"/>
      <c r="D54" s="35" t="n"/>
      <c r="E54" s="35" t="n"/>
      <c r="F54" s="35" t="n"/>
      <c r="G54" s="40" t="n"/>
      <c r="H54" s="9">
        <f>IF(A54="","",IF(G54="","No expiry on file",IF(G54&lt;TODAY(),"EXPIRED",IF(G54-TODAY()&lt;=30,"Expiring soon","OK"))))</f>
        <v/>
      </c>
      <c r="I54" s="35" t="n"/>
      <c r="J54" s="35" t="n"/>
      <c r="K54" s="39">
        <f>IF(A54="","",SUMIFS('Job Costs'!$I$5:$I$1004,'Job Costs'!$E$5:$E$1004,A54,'Job Costs'!$A$5:$A$1004,"&gt;="&amp;DATE(Settings!$B$14,1,1),'Job Costs'!$A$5:$A$1004,"&lt;="&amp;DATE(Settings!$B$14,12,31)))</f>
        <v/>
      </c>
      <c r="L54" s="39">
        <f>IF(A54="","",SUMIFS('Job Costs'!$I$5:$I$1004,'Job Costs'!$E$5:$E$1004,A54,'Job Costs'!$J$5:$J$1004,"No"))</f>
        <v/>
      </c>
      <c r="M54" s="9">
        <f>IF(A54="","",IF(AND(J54="Yes",K54&gt;=600),"Review for 1099",""))</f>
        <v/>
      </c>
      <c r="N54" s="9">
        <f>IF(A54="","",IF(COUNTIF('Vendors &amp; Crew'!$A$41:$A$140,A54)&gt;1,"Duplicate vendor",""))</f>
        <v/>
      </c>
      <c r="O54" s="35" t="n"/>
    </row>
    <row r="55">
      <c r="A55" s="35" t="n"/>
      <c r="B55" s="35" t="n"/>
      <c r="C55" s="35" t="n"/>
      <c r="D55" s="35" t="n"/>
      <c r="E55" s="35" t="n"/>
      <c r="F55" s="35" t="n"/>
      <c r="G55" s="40" t="n"/>
      <c r="H55" s="9">
        <f>IF(A55="","",IF(G55="","No expiry on file",IF(G55&lt;TODAY(),"EXPIRED",IF(G55-TODAY()&lt;=30,"Expiring soon","OK"))))</f>
        <v/>
      </c>
      <c r="I55" s="35" t="n"/>
      <c r="J55" s="35" t="n"/>
      <c r="K55" s="39">
        <f>IF(A55="","",SUMIFS('Job Costs'!$I$5:$I$1004,'Job Costs'!$E$5:$E$1004,A55,'Job Costs'!$A$5:$A$1004,"&gt;="&amp;DATE(Settings!$B$14,1,1),'Job Costs'!$A$5:$A$1004,"&lt;="&amp;DATE(Settings!$B$14,12,31)))</f>
        <v/>
      </c>
      <c r="L55" s="39">
        <f>IF(A55="","",SUMIFS('Job Costs'!$I$5:$I$1004,'Job Costs'!$E$5:$E$1004,A55,'Job Costs'!$J$5:$J$1004,"No"))</f>
        <v/>
      </c>
      <c r="M55" s="9">
        <f>IF(A55="","",IF(AND(J55="Yes",K55&gt;=600),"Review for 1099",""))</f>
        <v/>
      </c>
      <c r="N55" s="9">
        <f>IF(A55="","",IF(COUNTIF('Vendors &amp; Crew'!$A$41:$A$140,A55)&gt;1,"Duplicate vendor",""))</f>
        <v/>
      </c>
      <c r="O55" s="35" t="n"/>
    </row>
    <row r="56">
      <c r="A56" s="35" t="n"/>
      <c r="B56" s="35" t="n"/>
      <c r="C56" s="35" t="n"/>
      <c r="D56" s="35" t="n"/>
      <c r="E56" s="35" t="n"/>
      <c r="F56" s="35" t="n"/>
      <c r="G56" s="40" t="n"/>
      <c r="H56" s="9">
        <f>IF(A56="","",IF(G56="","No expiry on file",IF(G56&lt;TODAY(),"EXPIRED",IF(G56-TODAY()&lt;=30,"Expiring soon","OK"))))</f>
        <v/>
      </c>
      <c r="I56" s="35" t="n"/>
      <c r="J56" s="35" t="n"/>
      <c r="K56" s="39">
        <f>IF(A56="","",SUMIFS('Job Costs'!$I$5:$I$1004,'Job Costs'!$E$5:$E$1004,A56,'Job Costs'!$A$5:$A$1004,"&gt;="&amp;DATE(Settings!$B$14,1,1),'Job Costs'!$A$5:$A$1004,"&lt;="&amp;DATE(Settings!$B$14,12,31)))</f>
        <v/>
      </c>
      <c r="L56" s="39">
        <f>IF(A56="","",SUMIFS('Job Costs'!$I$5:$I$1004,'Job Costs'!$E$5:$E$1004,A56,'Job Costs'!$J$5:$J$1004,"No"))</f>
        <v/>
      </c>
      <c r="M56" s="9">
        <f>IF(A56="","",IF(AND(J56="Yes",K56&gt;=600),"Review for 1099",""))</f>
        <v/>
      </c>
      <c r="N56" s="9">
        <f>IF(A56="","",IF(COUNTIF('Vendors &amp; Crew'!$A$41:$A$140,A56)&gt;1,"Duplicate vendor",""))</f>
        <v/>
      </c>
      <c r="O56" s="35" t="n"/>
    </row>
    <row r="57">
      <c r="A57" s="35" t="n"/>
      <c r="B57" s="35" t="n"/>
      <c r="C57" s="35" t="n"/>
      <c r="D57" s="35" t="n"/>
      <c r="E57" s="35" t="n"/>
      <c r="F57" s="35" t="n"/>
      <c r="G57" s="40" t="n"/>
      <c r="H57" s="9">
        <f>IF(A57="","",IF(G57="","No expiry on file",IF(G57&lt;TODAY(),"EXPIRED",IF(G57-TODAY()&lt;=30,"Expiring soon","OK"))))</f>
        <v/>
      </c>
      <c r="I57" s="35" t="n"/>
      <c r="J57" s="35" t="n"/>
      <c r="K57" s="39">
        <f>IF(A57="","",SUMIFS('Job Costs'!$I$5:$I$1004,'Job Costs'!$E$5:$E$1004,A57,'Job Costs'!$A$5:$A$1004,"&gt;="&amp;DATE(Settings!$B$14,1,1),'Job Costs'!$A$5:$A$1004,"&lt;="&amp;DATE(Settings!$B$14,12,31)))</f>
        <v/>
      </c>
      <c r="L57" s="39">
        <f>IF(A57="","",SUMIFS('Job Costs'!$I$5:$I$1004,'Job Costs'!$E$5:$E$1004,A57,'Job Costs'!$J$5:$J$1004,"No"))</f>
        <v/>
      </c>
      <c r="M57" s="9">
        <f>IF(A57="","",IF(AND(J57="Yes",K57&gt;=600),"Review for 1099",""))</f>
        <v/>
      </c>
      <c r="N57" s="9">
        <f>IF(A57="","",IF(COUNTIF('Vendors &amp; Crew'!$A$41:$A$140,A57)&gt;1,"Duplicate vendor",""))</f>
        <v/>
      </c>
      <c r="O57" s="35" t="n"/>
    </row>
    <row r="58">
      <c r="A58" s="35" t="n"/>
      <c r="B58" s="35" t="n"/>
      <c r="C58" s="35" t="n"/>
      <c r="D58" s="35" t="n"/>
      <c r="E58" s="35" t="n"/>
      <c r="F58" s="35" t="n"/>
      <c r="G58" s="40" t="n"/>
      <c r="H58" s="9">
        <f>IF(A58="","",IF(G58="","No expiry on file",IF(G58&lt;TODAY(),"EXPIRED",IF(G58-TODAY()&lt;=30,"Expiring soon","OK"))))</f>
        <v/>
      </c>
      <c r="I58" s="35" t="n"/>
      <c r="J58" s="35" t="n"/>
      <c r="K58" s="39">
        <f>IF(A58="","",SUMIFS('Job Costs'!$I$5:$I$1004,'Job Costs'!$E$5:$E$1004,A58,'Job Costs'!$A$5:$A$1004,"&gt;="&amp;DATE(Settings!$B$14,1,1),'Job Costs'!$A$5:$A$1004,"&lt;="&amp;DATE(Settings!$B$14,12,31)))</f>
        <v/>
      </c>
      <c r="L58" s="39">
        <f>IF(A58="","",SUMIFS('Job Costs'!$I$5:$I$1004,'Job Costs'!$E$5:$E$1004,A58,'Job Costs'!$J$5:$J$1004,"No"))</f>
        <v/>
      </c>
      <c r="M58" s="9">
        <f>IF(A58="","",IF(AND(J58="Yes",K58&gt;=600),"Review for 1099",""))</f>
        <v/>
      </c>
      <c r="N58" s="9">
        <f>IF(A58="","",IF(COUNTIF('Vendors &amp; Crew'!$A$41:$A$140,A58)&gt;1,"Duplicate vendor",""))</f>
        <v/>
      </c>
      <c r="O58" s="35" t="n"/>
    </row>
    <row r="59">
      <c r="A59" s="35" t="n"/>
      <c r="B59" s="35" t="n"/>
      <c r="C59" s="35" t="n"/>
      <c r="D59" s="35" t="n"/>
      <c r="E59" s="35" t="n"/>
      <c r="F59" s="35" t="n"/>
      <c r="G59" s="40" t="n"/>
      <c r="H59" s="9">
        <f>IF(A59="","",IF(G59="","No expiry on file",IF(G59&lt;TODAY(),"EXPIRED",IF(G59-TODAY()&lt;=30,"Expiring soon","OK"))))</f>
        <v/>
      </c>
      <c r="I59" s="35" t="n"/>
      <c r="J59" s="35" t="n"/>
      <c r="K59" s="39">
        <f>IF(A59="","",SUMIFS('Job Costs'!$I$5:$I$1004,'Job Costs'!$E$5:$E$1004,A59,'Job Costs'!$A$5:$A$1004,"&gt;="&amp;DATE(Settings!$B$14,1,1),'Job Costs'!$A$5:$A$1004,"&lt;="&amp;DATE(Settings!$B$14,12,31)))</f>
        <v/>
      </c>
      <c r="L59" s="39">
        <f>IF(A59="","",SUMIFS('Job Costs'!$I$5:$I$1004,'Job Costs'!$E$5:$E$1004,A59,'Job Costs'!$J$5:$J$1004,"No"))</f>
        <v/>
      </c>
      <c r="M59" s="9">
        <f>IF(A59="","",IF(AND(J59="Yes",K59&gt;=600),"Review for 1099",""))</f>
        <v/>
      </c>
      <c r="N59" s="9">
        <f>IF(A59="","",IF(COUNTIF('Vendors &amp; Crew'!$A$41:$A$140,A59)&gt;1,"Duplicate vendor",""))</f>
        <v/>
      </c>
      <c r="O59" s="35" t="n"/>
    </row>
    <row r="60">
      <c r="A60" s="35" t="n"/>
      <c r="B60" s="35" t="n"/>
      <c r="C60" s="35" t="n"/>
      <c r="D60" s="35" t="n"/>
      <c r="E60" s="35" t="n"/>
      <c r="F60" s="35" t="n"/>
      <c r="G60" s="40" t="n"/>
      <c r="H60" s="9">
        <f>IF(A60="","",IF(G60="","No expiry on file",IF(G60&lt;TODAY(),"EXPIRED",IF(G60-TODAY()&lt;=30,"Expiring soon","OK"))))</f>
        <v/>
      </c>
      <c r="I60" s="35" t="n"/>
      <c r="J60" s="35" t="n"/>
      <c r="K60" s="39">
        <f>IF(A60="","",SUMIFS('Job Costs'!$I$5:$I$1004,'Job Costs'!$E$5:$E$1004,A60,'Job Costs'!$A$5:$A$1004,"&gt;="&amp;DATE(Settings!$B$14,1,1),'Job Costs'!$A$5:$A$1004,"&lt;="&amp;DATE(Settings!$B$14,12,31)))</f>
        <v/>
      </c>
      <c r="L60" s="39">
        <f>IF(A60="","",SUMIFS('Job Costs'!$I$5:$I$1004,'Job Costs'!$E$5:$E$1004,A60,'Job Costs'!$J$5:$J$1004,"No"))</f>
        <v/>
      </c>
      <c r="M60" s="9">
        <f>IF(A60="","",IF(AND(J60="Yes",K60&gt;=600),"Review for 1099",""))</f>
        <v/>
      </c>
      <c r="N60" s="9">
        <f>IF(A60="","",IF(COUNTIF('Vendors &amp; Crew'!$A$41:$A$140,A60)&gt;1,"Duplicate vendor",""))</f>
        <v/>
      </c>
      <c r="O60" s="35" t="n"/>
    </row>
    <row r="61">
      <c r="A61" s="35" t="n"/>
      <c r="B61" s="35" t="n"/>
      <c r="C61" s="35" t="n"/>
      <c r="D61" s="35" t="n"/>
      <c r="E61" s="35" t="n"/>
      <c r="F61" s="35" t="n"/>
      <c r="G61" s="40" t="n"/>
      <c r="H61" s="9">
        <f>IF(A61="","",IF(G61="","No expiry on file",IF(G61&lt;TODAY(),"EXPIRED",IF(G61-TODAY()&lt;=30,"Expiring soon","OK"))))</f>
        <v/>
      </c>
      <c r="I61" s="35" t="n"/>
      <c r="J61" s="35" t="n"/>
      <c r="K61" s="39">
        <f>IF(A61="","",SUMIFS('Job Costs'!$I$5:$I$1004,'Job Costs'!$E$5:$E$1004,A61,'Job Costs'!$A$5:$A$1004,"&gt;="&amp;DATE(Settings!$B$14,1,1),'Job Costs'!$A$5:$A$1004,"&lt;="&amp;DATE(Settings!$B$14,12,31)))</f>
        <v/>
      </c>
      <c r="L61" s="39">
        <f>IF(A61="","",SUMIFS('Job Costs'!$I$5:$I$1004,'Job Costs'!$E$5:$E$1004,A61,'Job Costs'!$J$5:$J$1004,"No"))</f>
        <v/>
      </c>
      <c r="M61" s="9">
        <f>IF(A61="","",IF(AND(J61="Yes",K61&gt;=600),"Review for 1099",""))</f>
        <v/>
      </c>
      <c r="N61" s="9">
        <f>IF(A61="","",IF(COUNTIF('Vendors &amp; Crew'!$A$41:$A$140,A61)&gt;1,"Duplicate vendor",""))</f>
        <v/>
      </c>
      <c r="O61" s="35" t="n"/>
    </row>
    <row r="62">
      <c r="A62" s="35" t="n"/>
      <c r="B62" s="35" t="n"/>
      <c r="C62" s="35" t="n"/>
      <c r="D62" s="35" t="n"/>
      <c r="E62" s="35" t="n"/>
      <c r="F62" s="35" t="n"/>
      <c r="G62" s="40" t="n"/>
      <c r="H62" s="9">
        <f>IF(A62="","",IF(G62="","No expiry on file",IF(G62&lt;TODAY(),"EXPIRED",IF(G62-TODAY()&lt;=30,"Expiring soon","OK"))))</f>
        <v/>
      </c>
      <c r="I62" s="35" t="n"/>
      <c r="J62" s="35" t="n"/>
      <c r="K62" s="39">
        <f>IF(A62="","",SUMIFS('Job Costs'!$I$5:$I$1004,'Job Costs'!$E$5:$E$1004,A62,'Job Costs'!$A$5:$A$1004,"&gt;="&amp;DATE(Settings!$B$14,1,1),'Job Costs'!$A$5:$A$1004,"&lt;="&amp;DATE(Settings!$B$14,12,31)))</f>
        <v/>
      </c>
      <c r="L62" s="39">
        <f>IF(A62="","",SUMIFS('Job Costs'!$I$5:$I$1004,'Job Costs'!$E$5:$E$1004,A62,'Job Costs'!$J$5:$J$1004,"No"))</f>
        <v/>
      </c>
      <c r="M62" s="9">
        <f>IF(A62="","",IF(AND(J62="Yes",K62&gt;=600),"Review for 1099",""))</f>
        <v/>
      </c>
      <c r="N62" s="9">
        <f>IF(A62="","",IF(COUNTIF('Vendors &amp; Crew'!$A$41:$A$140,A62)&gt;1,"Duplicate vendor",""))</f>
        <v/>
      </c>
      <c r="O62" s="35" t="n"/>
    </row>
    <row r="63">
      <c r="A63" s="35" t="n"/>
      <c r="B63" s="35" t="n"/>
      <c r="C63" s="35" t="n"/>
      <c r="D63" s="35" t="n"/>
      <c r="E63" s="35" t="n"/>
      <c r="F63" s="35" t="n"/>
      <c r="G63" s="40" t="n"/>
      <c r="H63" s="9">
        <f>IF(A63="","",IF(G63="","No expiry on file",IF(G63&lt;TODAY(),"EXPIRED",IF(G63-TODAY()&lt;=30,"Expiring soon","OK"))))</f>
        <v/>
      </c>
      <c r="I63" s="35" t="n"/>
      <c r="J63" s="35" t="n"/>
      <c r="K63" s="39">
        <f>IF(A63="","",SUMIFS('Job Costs'!$I$5:$I$1004,'Job Costs'!$E$5:$E$1004,A63,'Job Costs'!$A$5:$A$1004,"&gt;="&amp;DATE(Settings!$B$14,1,1),'Job Costs'!$A$5:$A$1004,"&lt;="&amp;DATE(Settings!$B$14,12,31)))</f>
        <v/>
      </c>
      <c r="L63" s="39">
        <f>IF(A63="","",SUMIFS('Job Costs'!$I$5:$I$1004,'Job Costs'!$E$5:$E$1004,A63,'Job Costs'!$J$5:$J$1004,"No"))</f>
        <v/>
      </c>
      <c r="M63" s="9">
        <f>IF(A63="","",IF(AND(J63="Yes",K63&gt;=600),"Review for 1099",""))</f>
        <v/>
      </c>
      <c r="N63" s="9">
        <f>IF(A63="","",IF(COUNTIF('Vendors &amp; Crew'!$A$41:$A$140,A63)&gt;1,"Duplicate vendor",""))</f>
        <v/>
      </c>
      <c r="O63" s="35" t="n"/>
    </row>
    <row r="64">
      <c r="A64" s="35" t="n"/>
      <c r="B64" s="35" t="n"/>
      <c r="C64" s="35" t="n"/>
      <c r="D64" s="35" t="n"/>
      <c r="E64" s="35" t="n"/>
      <c r="F64" s="35" t="n"/>
      <c r="G64" s="40" t="n"/>
      <c r="H64" s="9">
        <f>IF(A64="","",IF(G64="","No expiry on file",IF(G64&lt;TODAY(),"EXPIRED",IF(G64-TODAY()&lt;=30,"Expiring soon","OK"))))</f>
        <v/>
      </c>
      <c r="I64" s="35" t="n"/>
      <c r="J64" s="35" t="n"/>
      <c r="K64" s="39">
        <f>IF(A64="","",SUMIFS('Job Costs'!$I$5:$I$1004,'Job Costs'!$E$5:$E$1004,A64,'Job Costs'!$A$5:$A$1004,"&gt;="&amp;DATE(Settings!$B$14,1,1),'Job Costs'!$A$5:$A$1004,"&lt;="&amp;DATE(Settings!$B$14,12,31)))</f>
        <v/>
      </c>
      <c r="L64" s="39">
        <f>IF(A64="","",SUMIFS('Job Costs'!$I$5:$I$1004,'Job Costs'!$E$5:$E$1004,A64,'Job Costs'!$J$5:$J$1004,"No"))</f>
        <v/>
      </c>
      <c r="M64" s="9">
        <f>IF(A64="","",IF(AND(J64="Yes",K64&gt;=600),"Review for 1099",""))</f>
        <v/>
      </c>
      <c r="N64" s="9">
        <f>IF(A64="","",IF(COUNTIF('Vendors &amp; Crew'!$A$41:$A$140,A64)&gt;1,"Duplicate vendor",""))</f>
        <v/>
      </c>
      <c r="O64" s="35" t="n"/>
    </row>
    <row r="65">
      <c r="A65" s="35" t="n"/>
      <c r="B65" s="35" t="n"/>
      <c r="C65" s="35" t="n"/>
      <c r="D65" s="35" t="n"/>
      <c r="E65" s="35" t="n"/>
      <c r="F65" s="35" t="n"/>
      <c r="G65" s="40" t="n"/>
      <c r="H65" s="9">
        <f>IF(A65="","",IF(G65="","No expiry on file",IF(G65&lt;TODAY(),"EXPIRED",IF(G65-TODAY()&lt;=30,"Expiring soon","OK"))))</f>
        <v/>
      </c>
      <c r="I65" s="35" t="n"/>
      <c r="J65" s="35" t="n"/>
      <c r="K65" s="39">
        <f>IF(A65="","",SUMIFS('Job Costs'!$I$5:$I$1004,'Job Costs'!$E$5:$E$1004,A65,'Job Costs'!$A$5:$A$1004,"&gt;="&amp;DATE(Settings!$B$14,1,1),'Job Costs'!$A$5:$A$1004,"&lt;="&amp;DATE(Settings!$B$14,12,31)))</f>
        <v/>
      </c>
      <c r="L65" s="39">
        <f>IF(A65="","",SUMIFS('Job Costs'!$I$5:$I$1004,'Job Costs'!$E$5:$E$1004,A65,'Job Costs'!$J$5:$J$1004,"No"))</f>
        <v/>
      </c>
      <c r="M65" s="9">
        <f>IF(A65="","",IF(AND(J65="Yes",K65&gt;=600),"Review for 1099",""))</f>
        <v/>
      </c>
      <c r="N65" s="9">
        <f>IF(A65="","",IF(COUNTIF('Vendors &amp; Crew'!$A$41:$A$140,A65)&gt;1,"Duplicate vendor",""))</f>
        <v/>
      </c>
      <c r="O65" s="35" t="n"/>
    </row>
    <row r="66">
      <c r="A66" s="35" t="n"/>
      <c r="B66" s="35" t="n"/>
      <c r="C66" s="35" t="n"/>
      <c r="D66" s="35" t="n"/>
      <c r="E66" s="35" t="n"/>
      <c r="F66" s="35" t="n"/>
      <c r="G66" s="40" t="n"/>
      <c r="H66" s="9">
        <f>IF(A66="","",IF(G66="","No expiry on file",IF(G66&lt;TODAY(),"EXPIRED",IF(G66-TODAY()&lt;=30,"Expiring soon","OK"))))</f>
        <v/>
      </c>
      <c r="I66" s="35" t="n"/>
      <c r="J66" s="35" t="n"/>
      <c r="K66" s="39">
        <f>IF(A66="","",SUMIFS('Job Costs'!$I$5:$I$1004,'Job Costs'!$E$5:$E$1004,A66,'Job Costs'!$A$5:$A$1004,"&gt;="&amp;DATE(Settings!$B$14,1,1),'Job Costs'!$A$5:$A$1004,"&lt;="&amp;DATE(Settings!$B$14,12,31)))</f>
        <v/>
      </c>
      <c r="L66" s="39">
        <f>IF(A66="","",SUMIFS('Job Costs'!$I$5:$I$1004,'Job Costs'!$E$5:$E$1004,A66,'Job Costs'!$J$5:$J$1004,"No"))</f>
        <v/>
      </c>
      <c r="M66" s="9">
        <f>IF(A66="","",IF(AND(J66="Yes",K66&gt;=600),"Review for 1099",""))</f>
        <v/>
      </c>
      <c r="N66" s="9">
        <f>IF(A66="","",IF(COUNTIF('Vendors &amp; Crew'!$A$41:$A$140,A66)&gt;1,"Duplicate vendor",""))</f>
        <v/>
      </c>
      <c r="O66" s="35" t="n"/>
    </row>
    <row r="67">
      <c r="A67" s="35" t="n"/>
      <c r="B67" s="35" t="n"/>
      <c r="C67" s="35" t="n"/>
      <c r="D67" s="35" t="n"/>
      <c r="E67" s="35" t="n"/>
      <c r="F67" s="35" t="n"/>
      <c r="G67" s="40" t="n"/>
      <c r="H67" s="9">
        <f>IF(A67="","",IF(G67="","No expiry on file",IF(G67&lt;TODAY(),"EXPIRED",IF(G67-TODAY()&lt;=30,"Expiring soon","OK"))))</f>
        <v/>
      </c>
      <c r="I67" s="35" t="n"/>
      <c r="J67" s="35" t="n"/>
      <c r="K67" s="39">
        <f>IF(A67="","",SUMIFS('Job Costs'!$I$5:$I$1004,'Job Costs'!$E$5:$E$1004,A67,'Job Costs'!$A$5:$A$1004,"&gt;="&amp;DATE(Settings!$B$14,1,1),'Job Costs'!$A$5:$A$1004,"&lt;="&amp;DATE(Settings!$B$14,12,31)))</f>
        <v/>
      </c>
      <c r="L67" s="39">
        <f>IF(A67="","",SUMIFS('Job Costs'!$I$5:$I$1004,'Job Costs'!$E$5:$E$1004,A67,'Job Costs'!$J$5:$J$1004,"No"))</f>
        <v/>
      </c>
      <c r="M67" s="9">
        <f>IF(A67="","",IF(AND(J67="Yes",K67&gt;=600),"Review for 1099",""))</f>
        <v/>
      </c>
      <c r="N67" s="9">
        <f>IF(A67="","",IF(COUNTIF('Vendors &amp; Crew'!$A$41:$A$140,A67)&gt;1,"Duplicate vendor",""))</f>
        <v/>
      </c>
      <c r="O67" s="35" t="n"/>
    </row>
    <row r="68">
      <c r="A68" s="35" t="n"/>
      <c r="B68" s="35" t="n"/>
      <c r="C68" s="35" t="n"/>
      <c r="D68" s="35" t="n"/>
      <c r="E68" s="35" t="n"/>
      <c r="F68" s="35" t="n"/>
      <c r="G68" s="40" t="n"/>
      <c r="H68" s="9">
        <f>IF(A68="","",IF(G68="","No expiry on file",IF(G68&lt;TODAY(),"EXPIRED",IF(G68-TODAY()&lt;=30,"Expiring soon","OK"))))</f>
        <v/>
      </c>
      <c r="I68" s="35" t="n"/>
      <c r="J68" s="35" t="n"/>
      <c r="K68" s="39">
        <f>IF(A68="","",SUMIFS('Job Costs'!$I$5:$I$1004,'Job Costs'!$E$5:$E$1004,A68,'Job Costs'!$A$5:$A$1004,"&gt;="&amp;DATE(Settings!$B$14,1,1),'Job Costs'!$A$5:$A$1004,"&lt;="&amp;DATE(Settings!$B$14,12,31)))</f>
        <v/>
      </c>
      <c r="L68" s="39">
        <f>IF(A68="","",SUMIFS('Job Costs'!$I$5:$I$1004,'Job Costs'!$E$5:$E$1004,A68,'Job Costs'!$J$5:$J$1004,"No"))</f>
        <v/>
      </c>
      <c r="M68" s="9">
        <f>IF(A68="","",IF(AND(J68="Yes",K68&gt;=600),"Review for 1099",""))</f>
        <v/>
      </c>
      <c r="N68" s="9">
        <f>IF(A68="","",IF(COUNTIF('Vendors &amp; Crew'!$A$41:$A$140,A68)&gt;1,"Duplicate vendor",""))</f>
        <v/>
      </c>
      <c r="O68" s="35" t="n"/>
    </row>
    <row r="69">
      <c r="A69" s="35" t="n"/>
      <c r="B69" s="35" t="n"/>
      <c r="C69" s="35" t="n"/>
      <c r="D69" s="35" t="n"/>
      <c r="E69" s="35" t="n"/>
      <c r="F69" s="35" t="n"/>
      <c r="G69" s="40" t="n"/>
      <c r="H69" s="9">
        <f>IF(A69="","",IF(G69="","No expiry on file",IF(G69&lt;TODAY(),"EXPIRED",IF(G69-TODAY()&lt;=30,"Expiring soon","OK"))))</f>
        <v/>
      </c>
      <c r="I69" s="35" t="n"/>
      <c r="J69" s="35" t="n"/>
      <c r="K69" s="39">
        <f>IF(A69="","",SUMIFS('Job Costs'!$I$5:$I$1004,'Job Costs'!$E$5:$E$1004,A69,'Job Costs'!$A$5:$A$1004,"&gt;="&amp;DATE(Settings!$B$14,1,1),'Job Costs'!$A$5:$A$1004,"&lt;="&amp;DATE(Settings!$B$14,12,31)))</f>
        <v/>
      </c>
      <c r="L69" s="39">
        <f>IF(A69="","",SUMIFS('Job Costs'!$I$5:$I$1004,'Job Costs'!$E$5:$E$1004,A69,'Job Costs'!$J$5:$J$1004,"No"))</f>
        <v/>
      </c>
      <c r="M69" s="9">
        <f>IF(A69="","",IF(AND(J69="Yes",K69&gt;=600),"Review for 1099",""))</f>
        <v/>
      </c>
      <c r="N69" s="9">
        <f>IF(A69="","",IF(COUNTIF('Vendors &amp; Crew'!$A$41:$A$140,A69)&gt;1,"Duplicate vendor",""))</f>
        <v/>
      </c>
      <c r="O69" s="35" t="n"/>
    </row>
    <row r="70">
      <c r="A70" s="35" t="n"/>
      <c r="B70" s="35" t="n"/>
      <c r="C70" s="35" t="n"/>
      <c r="D70" s="35" t="n"/>
      <c r="E70" s="35" t="n"/>
      <c r="F70" s="35" t="n"/>
      <c r="G70" s="40" t="n"/>
      <c r="H70" s="9">
        <f>IF(A70="","",IF(G70="","No expiry on file",IF(G70&lt;TODAY(),"EXPIRED",IF(G70-TODAY()&lt;=30,"Expiring soon","OK"))))</f>
        <v/>
      </c>
      <c r="I70" s="35" t="n"/>
      <c r="J70" s="35" t="n"/>
      <c r="K70" s="39">
        <f>IF(A70="","",SUMIFS('Job Costs'!$I$5:$I$1004,'Job Costs'!$E$5:$E$1004,A70,'Job Costs'!$A$5:$A$1004,"&gt;="&amp;DATE(Settings!$B$14,1,1),'Job Costs'!$A$5:$A$1004,"&lt;="&amp;DATE(Settings!$B$14,12,31)))</f>
        <v/>
      </c>
      <c r="L70" s="39">
        <f>IF(A70="","",SUMIFS('Job Costs'!$I$5:$I$1004,'Job Costs'!$E$5:$E$1004,A70,'Job Costs'!$J$5:$J$1004,"No"))</f>
        <v/>
      </c>
      <c r="M70" s="9">
        <f>IF(A70="","",IF(AND(J70="Yes",K70&gt;=600),"Review for 1099",""))</f>
        <v/>
      </c>
      <c r="N70" s="9">
        <f>IF(A70="","",IF(COUNTIF('Vendors &amp; Crew'!$A$41:$A$140,A70)&gt;1,"Duplicate vendor",""))</f>
        <v/>
      </c>
      <c r="O70" s="35" t="n"/>
    </row>
    <row r="71">
      <c r="A71" s="35" t="n"/>
      <c r="B71" s="35" t="n"/>
      <c r="C71" s="35" t="n"/>
      <c r="D71" s="35" t="n"/>
      <c r="E71" s="35" t="n"/>
      <c r="F71" s="35" t="n"/>
      <c r="G71" s="40" t="n"/>
      <c r="H71" s="9">
        <f>IF(A71="","",IF(G71="","No expiry on file",IF(G71&lt;TODAY(),"EXPIRED",IF(G71-TODAY()&lt;=30,"Expiring soon","OK"))))</f>
        <v/>
      </c>
      <c r="I71" s="35" t="n"/>
      <c r="J71" s="35" t="n"/>
      <c r="K71" s="39">
        <f>IF(A71="","",SUMIFS('Job Costs'!$I$5:$I$1004,'Job Costs'!$E$5:$E$1004,A71,'Job Costs'!$A$5:$A$1004,"&gt;="&amp;DATE(Settings!$B$14,1,1),'Job Costs'!$A$5:$A$1004,"&lt;="&amp;DATE(Settings!$B$14,12,31)))</f>
        <v/>
      </c>
      <c r="L71" s="39">
        <f>IF(A71="","",SUMIFS('Job Costs'!$I$5:$I$1004,'Job Costs'!$E$5:$E$1004,A71,'Job Costs'!$J$5:$J$1004,"No"))</f>
        <v/>
      </c>
      <c r="M71" s="9">
        <f>IF(A71="","",IF(AND(J71="Yes",K71&gt;=600),"Review for 1099",""))</f>
        <v/>
      </c>
      <c r="N71" s="9">
        <f>IF(A71="","",IF(COUNTIF('Vendors &amp; Crew'!$A$41:$A$140,A71)&gt;1,"Duplicate vendor",""))</f>
        <v/>
      </c>
      <c r="O71" s="35" t="n"/>
    </row>
    <row r="72">
      <c r="A72" s="35" t="n"/>
      <c r="B72" s="35" t="n"/>
      <c r="C72" s="35" t="n"/>
      <c r="D72" s="35" t="n"/>
      <c r="E72" s="35" t="n"/>
      <c r="F72" s="35" t="n"/>
      <c r="G72" s="40" t="n"/>
      <c r="H72" s="9">
        <f>IF(A72="","",IF(G72="","No expiry on file",IF(G72&lt;TODAY(),"EXPIRED",IF(G72-TODAY()&lt;=30,"Expiring soon","OK"))))</f>
        <v/>
      </c>
      <c r="I72" s="35" t="n"/>
      <c r="J72" s="35" t="n"/>
      <c r="K72" s="39">
        <f>IF(A72="","",SUMIFS('Job Costs'!$I$5:$I$1004,'Job Costs'!$E$5:$E$1004,A72,'Job Costs'!$A$5:$A$1004,"&gt;="&amp;DATE(Settings!$B$14,1,1),'Job Costs'!$A$5:$A$1004,"&lt;="&amp;DATE(Settings!$B$14,12,31)))</f>
        <v/>
      </c>
      <c r="L72" s="39">
        <f>IF(A72="","",SUMIFS('Job Costs'!$I$5:$I$1004,'Job Costs'!$E$5:$E$1004,A72,'Job Costs'!$J$5:$J$1004,"No"))</f>
        <v/>
      </c>
      <c r="M72" s="9">
        <f>IF(A72="","",IF(AND(J72="Yes",K72&gt;=600),"Review for 1099",""))</f>
        <v/>
      </c>
      <c r="N72" s="9">
        <f>IF(A72="","",IF(COUNTIF('Vendors &amp; Crew'!$A$41:$A$140,A72)&gt;1,"Duplicate vendor",""))</f>
        <v/>
      </c>
      <c r="O72" s="35" t="n"/>
    </row>
    <row r="73">
      <c r="A73" s="35" t="n"/>
      <c r="B73" s="35" t="n"/>
      <c r="C73" s="35" t="n"/>
      <c r="D73" s="35" t="n"/>
      <c r="E73" s="35" t="n"/>
      <c r="F73" s="35" t="n"/>
      <c r="G73" s="40" t="n"/>
      <c r="H73" s="9">
        <f>IF(A73="","",IF(G73="","No expiry on file",IF(G73&lt;TODAY(),"EXPIRED",IF(G73-TODAY()&lt;=30,"Expiring soon","OK"))))</f>
        <v/>
      </c>
      <c r="I73" s="35" t="n"/>
      <c r="J73" s="35" t="n"/>
      <c r="K73" s="39">
        <f>IF(A73="","",SUMIFS('Job Costs'!$I$5:$I$1004,'Job Costs'!$E$5:$E$1004,A73,'Job Costs'!$A$5:$A$1004,"&gt;="&amp;DATE(Settings!$B$14,1,1),'Job Costs'!$A$5:$A$1004,"&lt;="&amp;DATE(Settings!$B$14,12,31)))</f>
        <v/>
      </c>
      <c r="L73" s="39">
        <f>IF(A73="","",SUMIFS('Job Costs'!$I$5:$I$1004,'Job Costs'!$E$5:$E$1004,A73,'Job Costs'!$J$5:$J$1004,"No"))</f>
        <v/>
      </c>
      <c r="M73" s="9">
        <f>IF(A73="","",IF(AND(J73="Yes",K73&gt;=600),"Review for 1099",""))</f>
        <v/>
      </c>
      <c r="N73" s="9">
        <f>IF(A73="","",IF(COUNTIF('Vendors &amp; Crew'!$A$41:$A$140,A73)&gt;1,"Duplicate vendor",""))</f>
        <v/>
      </c>
      <c r="O73" s="35" t="n"/>
    </row>
    <row r="74">
      <c r="A74" s="35" t="n"/>
      <c r="B74" s="35" t="n"/>
      <c r="C74" s="35" t="n"/>
      <c r="D74" s="35" t="n"/>
      <c r="E74" s="35" t="n"/>
      <c r="F74" s="35" t="n"/>
      <c r="G74" s="40" t="n"/>
      <c r="H74" s="9">
        <f>IF(A74="","",IF(G74="","No expiry on file",IF(G74&lt;TODAY(),"EXPIRED",IF(G74-TODAY()&lt;=30,"Expiring soon","OK"))))</f>
        <v/>
      </c>
      <c r="I74" s="35" t="n"/>
      <c r="J74" s="35" t="n"/>
      <c r="K74" s="39">
        <f>IF(A74="","",SUMIFS('Job Costs'!$I$5:$I$1004,'Job Costs'!$E$5:$E$1004,A74,'Job Costs'!$A$5:$A$1004,"&gt;="&amp;DATE(Settings!$B$14,1,1),'Job Costs'!$A$5:$A$1004,"&lt;="&amp;DATE(Settings!$B$14,12,31)))</f>
        <v/>
      </c>
      <c r="L74" s="39">
        <f>IF(A74="","",SUMIFS('Job Costs'!$I$5:$I$1004,'Job Costs'!$E$5:$E$1004,A74,'Job Costs'!$J$5:$J$1004,"No"))</f>
        <v/>
      </c>
      <c r="M74" s="9">
        <f>IF(A74="","",IF(AND(J74="Yes",K74&gt;=600),"Review for 1099",""))</f>
        <v/>
      </c>
      <c r="N74" s="9">
        <f>IF(A74="","",IF(COUNTIF('Vendors &amp; Crew'!$A$41:$A$140,A74)&gt;1,"Duplicate vendor",""))</f>
        <v/>
      </c>
      <c r="O74" s="35" t="n"/>
    </row>
    <row r="75">
      <c r="A75" s="35" t="n"/>
      <c r="B75" s="35" t="n"/>
      <c r="C75" s="35" t="n"/>
      <c r="D75" s="35" t="n"/>
      <c r="E75" s="35" t="n"/>
      <c r="F75" s="35" t="n"/>
      <c r="G75" s="40" t="n"/>
      <c r="H75" s="9">
        <f>IF(A75="","",IF(G75="","No expiry on file",IF(G75&lt;TODAY(),"EXPIRED",IF(G75-TODAY()&lt;=30,"Expiring soon","OK"))))</f>
        <v/>
      </c>
      <c r="I75" s="35" t="n"/>
      <c r="J75" s="35" t="n"/>
      <c r="K75" s="39">
        <f>IF(A75="","",SUMIFS('Job Costs'!$I$5:$I$1004,'Job Costs'!$E$5:$E$1004,A75,'Job Costs'!$A$5:$A$1004,"&gt;="&amp;DATE(Settings!$B$14,1,1),'Job Costs'!$A$5:$A$1004,"&lt;="&amp;DATE(Settings!$B$14,12,31)))</f>
        <v/>
      </c>
      <c r="L75" s="39">
        <f>IF(A75="","",SUMIFS('Job Costs'!$I$5:$I$1004,'Job Costs'!$E$5:$E$1004,A75,'Job Costs'!$J$5:$J$1004,"No"))</f>
        <v/>
      </c>
      <c r="M75" s="9">
        <f>IF(A75="","",IF(AND(J75="Yes",K75&gt;=600),"Review for 1099",""))</f>
        <v/>
      </c>
      <c r="N75" s="9">
        <f>IF(A75="","",IF(COUNTIF('Vendors &amp; Crew'!$A$41:$A$140,A75)&gt;1,"Duplicate vendor",""))</f>
        <v/>
      </c>
      <c r="O75" s="35" t="n"/>
    </row>
    <row r="76">
      <c r="A76" s="35" t="n"/>
      <c r="B76" s="35" t="n"/>
      <c r="C76" s="35" t="n"/>
      <c r="D76" s="35" t="n"/>
      <c r="E76" s="35" t="n"/>
      <c r="F76" s="35" t="n"/>
      <c r="G76" s="40" t="n"/>
      <c r="H76" s="9">
        <f>IF(A76="","",IF(G76="","No expiry on file",IF(G76&lt;TODAY(),"EXPIRED",IF(G76-TODAY()&lt;=30,"Expiring soon","OK"))))</f>
        <v/>
      </c>
      <c r="I76" s="35" t="n"/>
      <c r="J76" s="35" t="n"/>
      <c r="K76" s="39">
        <f>IF(A76="","",SUMIFS('Job Costs'!$I$5:$I$1004,'Job Costs'!$E$5:$E$1004,A76,'Job Costs'!$A$5:$A$1004,"&gt;="&amp;DATE(Settings!$B$14,1,1),'Job Costs'!$A$5:$A$1004,"&lt;="&amp;DATE(Settings!$B$14,12,31)))</f>
        <v/>
      </c>
      <c r="L76" s="39">
        <f>IF(A76="","",SUMIFS('Job Costs'!$I$5:$I$1004,'Job Costs'!$E$5:$E$1004,A76,'Job Costs'!$J$5:$J$1004,"No"))</f>
        <v/>
      </c>
      <c r="M76" s="9">
        <f>IF(A76="","",IF(AND(J76="Yes",K76&gt;=600),"Review for 1099",""))</f>
        <v/>
      </c>
      <c r="N76" s="9">
        <f>IF(A76="","",IF(COUNTIF('Vendors &amp; Crew'!$A$41:$A$140,A76)&gt;1,"Duplicate vendor",""))</f>
        <v/>
      </c>
      <c r="O76" s="35" t="n"/>
    </row>
    <row r="77">
      <c r="A77" s="35" t="n"/>
      <c r="B77" s="35" t="n"/>
      <c r="C77" s="35" t="n"/>
      <c r="D77" s="35" t="n"/>
      <c r="E77" s="35" t="n"/>
      <c r="F77" s="35" t="n"/>
      <c r="G77" s="40" t="n"/>
      <c r="H77" s="9">
        <f>IF(A77="","",IF(G77="","No expiry on file",IF(G77&lt;TODAY(),"EXPIRED",IF(G77-TODAY()&lt;=30,"Expiring soon","OK"))))</f>
        <v/>
      </c>
      <c r="I77" s="35" t="n"/>
      <c r="J77" s="35" t="n"/>
      <c r="K77" s="39">
        <f>IF(A77="","",SUMIFS('Job Costs'!$I$5:$I$1004,'Job Costs'!$E$5:$E$1004,A77,'Job Costs'!$A$5:$A$1004,"&gt;="&amp;DATE(Settings!$B$14,1,1),'Job Costs'!$A$5:$A$1004,"&lt;="&amp;DATE(Settings!$B$14,12,31)))</f>
        <v/>
      </c>
      <c r="L77" s="39">
        <f>IF(A77="","",SUMIFS('Job Costs'!$I$5:$I$1004,'Job Costs'!$E$5:$E$1004,A77,'Job Costs'!$J$5:$J$1004,"No"))</f>
        <v/>
      </c>
      <c r="M77" s="9">
        <f>IF(A77="","",IF(AND(J77="Yes",K77&gt;=600),"Review for 1099",""))</f>
        <v/>
      </c>
      <c r="N77" s="9">
        <f>IF(A77="","",IF(COUNTIF('Vendors &amp; Crew'!$A$41:$A$140,A77)&gt;1,"Duplicate vendor",""))</f>
        <v/>
      </c>
      <c r="O77" s="35" t="n"/>
    </row>
    <row r="78">
      <c r="A78" s="35" t="n"/>
      <c r="B78" s="35" t="n"/>
      <c r="C78" s="35" t="n"/>
      <c r="D78" s="35" t="n"/>
      <c r="E78" s="35" t="n"/>
      <c r="F78" s="35" t="n"/>
      <c r="G78" s="40" t="n"/>
      <c r="H78" s="9">
        <f>IF(A78="","",IF(G78="","No expiry on file",IF(G78&lt;TODAY(),"EXPIRED",IF(G78-TODAY()&lt;=30,"Expiring soon","OK"))))</f>
        <v/>
      </c>
      <c r="I78" s="35" t="n"/>
      <c r="J78" s="35" t="n"/>
      <c r="K78" s="39">
        <f>IF(A78="","",SUMIFS('Job Costs'!$I$5:$I$1004,'Job Costs'!$E$5:$E$1004,A78,'Job Costs'!$A$5:$A$1004,"&gt;="&amp;DATE(Settings!$B$14,1,1),'Job Costs'!$A$5:$A$1004,"&lt;="&amp;DATE(Settings!$B$14,12,31)))</f>
        <v/>
      </c>
      <c r="L78" s="39">
        <f>IF(A78="","",SUMIFS('Job Costs'!$I$5:$I$1004,'Job Costs'!$E$5:$E$1004,A78,'Job Costs'!$J$5:$J$1004,"No"))</f>
        <v/>
      </c>
      <c r="M78" s="9">
        <f>IF(A78="","",IF(AND(J78="Yes",K78&gt;=600),"Review for 1099",""))</f>
        <v/>
      </c>
      <c r="N78" s="9">
        <f>IF(A78="","",IF(COUNTIF('Vendors &amp; Crew'!$A$41:$A$140,A78)&gt;1,"Duplicate vendor",""))</f>
        <v/>
      </c>
      <c r="O78" s="35" t="n"/>
    </row>
    <row r="79">
      <c r="A79" s="35" t="n"/>
      <c r="B79" s="35" t="n"/>
      <c r="C79" s="35" t="n"/>
      <c r="D79" s="35" t="n"/>
      <c r="E79" s="35" t="n"/>
      <c r="F79" s="35" t="n"/>
      <c r="G79" s="40" t="n"/>
      <c r="H79" s="9">
        <f>IF(A79="","",IF(G79="","No expiry on file",IF(G79&lt;TODAY(),"EXPIRED",IF(G79-TODAY()&lt;=30,"Expiring soon","OK"))))</f>
        <v/>
      </c>
      <c r="I79" s="35" t="n"/>
      <c r="J79" s="35" t="n"/>
      <c r="K79" s="39">
        <f>IF(A79="","",SUMIFS('Job Costs'!$I$5:$I$1004,'Job Costs'!$E$5:$E$1004,A79,'Job Costs'!$A$5:$A$1004,"&gt;="&amp;DATE(Settings!$B$14,1,1),'Job Costs'!$A$5:$A$1004,"&lt;="&amp;DATE(Settings!$B$14,12,31)))</f>
        <v/>
      </c>
      <c r="L79" s="39">
        <f>IF(A79="","",SUMIFS('Job Costs'!$I$5:$I$1004,'Job Costs'!$E$5:$E$1004,A79,'Job Costs'!$J$5:$J$1004,"No"))</f>
        <v/>
      </c>
      <c r="M79" s="9">
        <f>IF(A79="","",IF(AND(J79="Yes",K79&gt;=600),"Review for 1099",""))</f>
        <v/>
      </c>
      <c r="N79" s="9">
        <f>IF(A79="","",IF(COUNTIF('Vendors &amp; Crew'!$A$41:$A$140,A79)&gt;1,"Duplicate vendor",""))</f>
        <v/>
      </c>
      <c r="O79" s="35" t="n"/>
    </row>
    <row r="80">
      <c r="A80" s="35" t="n"/>
      <c r="B80" s="35" t="n"/>
      <c r="C80" s="35" t="n"/>
      <c r="D80" s="35" t="n"/>
      <c r="E80" s="35" t="n"/>
      <c r="F80" s="35" t="n"/>
      <c r="G80" s="40" t="n"/>
      <c r="H80" s="9">
        <f>IF(A80="","",IF(G80="","No expiry on file",IF(G80&lt;TODAY(),"EXPIRED",IF(G80-TODAY()&lt;=30,"Expiring soon","OK"))))</f>
        <v/>
      </c>
      <c r="I80" s="35" t="n"/>
      <c r="J80" s="35" t="n"/>
      <c r="K80" s="39">
        <f>IF(A80="","",SUMIFS('Job Costs'!$I$5:$I$1004,'Job Costs'!$E$5:$E$1004,A80,'Job Costs'!$A$5:$A$1004,"&gt;="&amp;DATE(Settings!$B$14,1,1),'Job Costs'!$A$5:$A$1004,"&lt;="&amp;DATE(Settings!$B$14,12,31)))</f>
        <v/>
      </c>
      <c r="L80" s="39">
        <f>IF(A80="","",SUMIFS('Job Costs'!$I$5:$I$1004,'Job Costs'!$E$5:$E$1004,A80,'Job Costs'!$J$5:$J$1004,"No"))</f>
        <v/>
      </c>
      <c r="M80" s="9">
        <f>IF(A80="","",IF(AND(J80="Yes",K80&gt;=600),"Review for 1099",""))</f>
        <v/>
      </c>
      <c r="N80" s="9">
        <f>IF(A80="","",IF(COUNTIF('Vendors &amp; Crew'!$A$41:$A$140,A80)&gt;1,"Duplicate vendor",""))</f>
        <v/>
      </c>
      <c r="O80" s="35" t="n"/>
    </row>
    <row r="81">
      <c r="A81" s="35" t="n"/>
      <c r="B81" s="35" t="n"/>
      <c r="C81" s="35" t="n"/>
      <c r="D81" s="35" t="n"/>
      <c r="E81" s="35" t="n"/>
      <c r="F81" s="35" t="n"/>
      <c r="G81" s="40" t="n"/>
      <c r="H81" s="9">
        <f>IF(A81="","",IF(G81="","No expiry on file",IF(G81&lt;TODAY(),"EXPIRED",IF(G81-TODAY()&lt;=30,"Expiring soon","OK"))))</f>
        <v/>
      </c>
      <c r="I81" s="35" t="n"/>
      <c r="J81" s="35" t="n"/>
      <c r="K81" s="39">
        <f>IF(A81="","",SUMIFS('Job Costs'!$I$5:$I$1004,'Job Costs'!$E$5:$E$1004,A81,'Job Costs'!$A$5:$A$1004,"&gt;="&amp;DATE(Settings!$B$14,1,1),'Job Costs'!$A$5:$A$1004,"&lt;="&amp;DATE(Settings!$B$14,12,31)))</f>
        <v/>
      </c>
      <c r="L81" s="39">
        <f>IF(A81="","",SUMIFS('Job Costs'!$I$5:$I$1004,'Job Costs'!$E$5:$E$1004,A81,'Job Costs'!$J$5:$J$1004,"No"))</f>
        <v/>
      </c>
      <c r="M81" s="9">
        <f>IF(A81="","",IF(AND(J81="Yes",K81&gt;=600),"Review for 1099",""))</f>
        <v/>
      </c>
      <c r="N81" s="9">
        <f>IF(A81="","",IF(COUNTIF('Vendors &amp; Crew'!$A$41:$A$140,A81)&gt;1,"Duplicate vendor",""))</f>
        <v/>
      </c>
      <c r="O81" s="35" t="n"/>
    </row>
    <row r="82">
      <c r="A82" s="35" t="n"/>
      <c r="B82" s="35" t="n"/>
      <c r="C82" s="35" t="n"/>
      <c r="D82" s="35" t="n"/>
      <c r="E82" s="35" t="n"/>
      <c r="F82" s="35" t="n"/>
      <c r="G82" s="40" t="n"/>
      <c r="H82" s="9">
        <f>IF(A82="","",IF(G82="","No expiry on file",IF(G82&lt;TODAY(),"EXPIRED",IF(G82-TODAY()&lt;=30,"Expiring soon","OK"))))</f>
        <v/>
      </c>
      <c r="I82" s="35" t="n"/>
      <c r="J82" s="35" t="n"/>
      <c r="K82" s="39">
        <f>IF(A82="","",SUMIFS('Job Costs'!$I$5:$I$1004,'Job Costs'!$E$5:$E$1004,A82,'Job Costs'!$A$5:$A$1004,"&gt;="&amp;DATE(Settings!$B$14,1,1),'Job Costs'!$A$5:$A$1004,"&lt;="&amp;DATE(Settings!$B$14,12,31)))</f>
        <v/>
      </c>
      <c r="L82" s="39">
        <f>IF(A82="","",SUMIFS('Job Costs'!$I$5:$I$1004,'Job Costs'!$E$5:$E$1004,A82,'Job Costs'!$J$5:$J$1004,"No"))</f>
        <v/>
      </c>
      <c r="M82" s="9">
        <f>IF(A82="","",IF(AND(J82="Yes",K82&gt;=600),"Review for 1099",""))</f>
        <v/>
      </c>
      <c r="N82" s="9">
        <f>IF(A82="","",IF(COUNTIF('Vendors &amp; Crew'!$A$41:$A$140,A82)&gt;1,"Duplicate vendor",""))</f>
        <v/>
      </c>
      <c r="O82" s="35" t="n"/>
    </row>
    <row r="83">
      <c r="A83" s="35" t="n"/>
      <c r="B83" s="35" t="n"/>
      <c r="C83" s="35" t="n"/>
      <c r="D83" s="35" t="n"/>
      <c r="E83" s="35" t="n"/>
      <c r="F83" s="35" t="n"/>
      <c r="G83" s="40" t="n"/>
      <c r="H83" s="9">
        <f>IF(A83="","",IF(G83="","No expiry on file",IF(G83&lt;TODAY(),"EXPIRED",IF(G83-TODAY()&lt;=30,"Expiring soon","OK"))))</f>
        <v/>
      </c>
      <c r="I83" s="35" t="n"/>
      <c r="J83" s="35" t="n"/>
      <c r="K83" s="39">
        <f>IF(A83="","",SUMIFS('Job Costs'!$I$5:$I$1004,'Job Costs'!$E$5:$E$1004,A83,'Job Costs'!$A$5:$A$1004,"&gt;="&amp;DATE(Settings!$B$14,1,1),'Job Costs'!$A$5:$A$1004,"&lt;="&amp;DATE(Settings!$B$14,12,31)))</f>
        <v/>
      </c>
      <c r="L83" s="39">
        <f>IF(A83="","",SUMIFS('Job Costs'!$I$5:$I$1004,'Job Costs'!$E$5:$E$1004,A83,'Job Costs'!$J$5:$J$1004,"No"))</f>
        <v/>
      </c>
      <c r="M83" s="9">
        <f>IF(A83="","",IF(AND(J83="Yes",K83&gt;=600),"Review for 1099",""))</f>
        <v/>
      </c>
      <c r="N83" s="9">
        <f>IF(A83="","",IF(COUNTIF('Vendors &amp; Crew'!$A$41:$A$140,A83)&gt;1,"Duplicate vendor",""))</f>
        <v/>
      </c>
      <c r="O83" s="35" t="n"/>
    </row>
    <row r="84">
      <c r="A84" s="35" t="n"/>
      <c r="B84" s="35" t="n"/>
      <c r="C84" s="35" t="n"/>
      <c r="D84" s="35" t="n"/>
      <c r="E84" s="35" t="n"/>
      <c r="F84" s="35" t="n"/>
      <c r="G84" s="40" t="n"/>
      <c r="H84" s="9">
        <f>IF(A84="","",IF(G84="","No expiry on file",IF(G84&lt;TODAY(),"EXPIRED",IF(G84-TODAY()&lt;=30,"Expiring soon","OK"))))</f>
        <v/>
      </c>
      <c r="I84" s="35" t="n"/>
      <c r="J84" s="35" t="n"/>
      <c r="K84" s="39">
        <f>IF(A84="","",SUMIFS('Job Costs'!$I$5:$I$1004,'Job Costs'!$E$5:$E$1004,A84,'Job Costs'!$A$5:$A$1004,"&gt;="&amp;DATE(Settings!$B$14,1,1),'Job Costs'!$A$5:$A$1004,"&lt;="&amp;DATE(Settings!$B$14,12,31)))</f>
        <v/>
      </c>
      <c r="L84" s="39">
        <f>IF(A84="","",SUMIFS('Job Costs'!$I$5:$I$1004,'Job Costs'!$E$5:$E$1004,A84,'Job Costs'!$J$5:$J$1004,"No"))</f>
        <v/>
      </c>
      <c r="M84" s="9">
        <f>IF(A84="","",IF(AND(J84="Yes",K84&gt;=600),"Review for 1099",""))</f>
        <v/>
      </c>
      <c r="N84" s="9">
        <f>IF(A84="","",IF(COUNTIF('Vendors &amp; Crew'!$A$41:$A$140,A84)&gt;1,"Duplicate vendor",""))</f>
        <v/>
      </c>
      <c r="O84" s="35" t="n"/>
    </row>
    <row r="85">
      <c r="A85" s="35" t="n"/>
      <c r="B85" s="35" t="n"/>
      <c r="C85" s="35" t="n"/>
      <c r="D85" s="35" t="n"/>
      <c r="E85" s="35" t="n"/>
      <c r="F85" s="35" t="n"/>
      <c r="G85" s="40" t="n"/>
      <c r="H85" s="9">
        <f>IF(A85="","",IF(G85="","No expiry on file",IF(G85&lt;TODAY(),"EXPIRED",IF(G85-TODAY()&lt;=30,"Expiring soon","OK"))))</f>
        <v/>
      </c>
      <c r="I85" s="35" t="n"/>
      <c r="J85" s="35" t="n"/>
      <c r="K85" s="39">
        <f>IF(A85="","",SUMIFS('Job Costs'!$I$5:$I$1004,'Job Costs'!$E$5:$E$1004,A85,'Job Costs'!$A$5:$A$1004,"&gt;="&amp;DATE(Settings!$B$14,1,1),'Job Costs'!$A$5:$A$1004,"&lt;="&amp;DATE(Settings!$B$14,12,31)))</f>
        <v/>
      </c>
      <c r="L85" s="39">
        <f>IF(A85="","",SUMIFS('Job Costs'!$I$5:$I$1004,'Job Costs'!$E$5:$E$1004,A85,'Job Costs'!$J$5:$J$1004,"No"))</f>
        <v/>
      </c>
      <c r="M85" s="9">
        <f>IF(A85="","",IF(AND(J85="Yes",K85&gt;=600),"Review for 1099",""))</f>
        <v/>
      </c>
      <c r="N85" s="9">
        <f>IF(A85="","",IF(COUNTIF('Vendors &amp; Crew'!$A$41:$A$140,A85)&gt;1,"Duplicate vendor",""))</f>
        <v/>
      </c>
      <c r="O85" s="35" t="n"/>
    </row>
    <row r="86">
      <c r="A86" s="35" t="n"/>
      <c r="B86" s="35" t="n"/>
      <c r="C86" s="35" t="n"/>
      <c r="D86" s="35" t="n"/>
      <c r="E86" s="35" t="n"/>
      <c r="F86" s="35" t="n"/>
      <c r="G86" s="40" t="n"/>
      <c r="H86" s="9">
        <f>IF(A86="","",IF(G86="","No expiry on file",IF(G86&lt;TODAY(),"EXPIRED",IF(G86-TODAY()&lt;=30,"Expiring soon","OK"))))</f>
        <v/>
      </c>
      <c r="I86" s="35" t="n"/>
      <c r="J86" s="35" t="n"/>
      <c r="K86" s="39">
        <f>IF(A86="","",SUMIFS('Job Costs'!$I$5:$I$1004,'Job Costs'!$E$5:$E$1004,A86,'Job Costs'!$A$5:$A$1004,"&gt;="&amp;DATE(Settings!$B$14,1,1),'Job Costs'!$A$5:$A$1004,"&lt;="&amp;DATE(Settings!$B$14,12,31)))</f>
        <v/>
      </c>
      <c r="L86" s="39">
        <f>IF(A86="","",SUMIFS('Job Costs'!$I$5:$I$1004,'Job Costs'!$E$5:$E$1004,A86,'Job Costs'!$J$5:$J$1004,"No"))</f>
        <v/>
      </c>
      <c r="M86" s="9">
        <f>IF(A86="","",IF(AND(J86="Yes",K86&gt;=600),"Review for 1099",""))</f>
        <v/>
      </c>
      <c r="N86" s="9">
        <f>IF(A86="","",IF(COUNTIF('Vendors &amp; Crew'!$A$41:$A$140,A86)&gt;1,"Duplicate vendor",""))</f>
        <v/>
      </c>
      <c r="O86" s="35" t="n"/>
    </row>
    <row r="87">
      <c r="A87" s="35" t="n"/>
      <c r="B87" s="35" t="n"/>
      <c r="C87" s="35" t="n"/>
      <c r="D87" s="35" t="n"/>
      <c r="E87" s="35" t="n"/>
      <c r="F87" s="35" t="n"/>
      <c r="G87" s="40" t="n"/>
      <c r="H87" s="9">
        <f>IF(A87="","",IF(G87="","No expiry on file",IF(G87&lt;TODAY(),"EXPIRED",IF(G87-TODAY()&lt;=30,"Expiring soon","OK"))))</f>
        <v/>
      </c>
      <c r="I87" s="35" t="n"/>
      <c r="J87" s="35" t="n"/>
      <c r="K87" s="39">
        <f>IF(A87="","",SUMIFS('Job Costs'!$I$5:$I$1004,'Job Costs'!$E$5:$E$1004,A87,'Job Costs'!$A$5:$A$1004,"&gt;="&amp;DATE(Settings!$B$14,1,1),'Job Costs'!$A$5:$A$1004,"&lt;="&amp;DATE(Settings!$B$14,12,31)))</f>
        <v/>
      </c>
      <c r="L87" s="39">
        <f>IF(A87="","",SUMIFS('Job Costs'!$I$5:$I$1004,'Job Costs'!$E$5:$E$1004,A87,'Job Costs'!$J$5:$J$1004,"No"))</f>
        <v/>
      </c>
      <c r="M87" s="9">
        <f>IF(A87="","",IF(AND(J87="Yes",K87&gt;=600),"Review for 1099",""))</f>
        <v/>
      </c>
      <c r="N87" s="9">
        <f>IF(A87="","",IF(COUNTIF('Vendors &amp; Crew'!$A$41:$A$140,A87)&gt;1,"Duplicate vendor",""))</f>
        <v/>
      </c>
      <c r="O87" s="35" t="n"/>
    </row>
    <row r="88">
      <c r="A88" s="35" t="n"/>
      <c r="B88" s="35" t="n"/>
      <c r="C88" s="35" t="n"/>
      <c r="D88" s="35" t="n"/>
      <c r="E88" s="35" t="n"/>
      <c r="F88" s="35" t="n"/>
      <c r="G88" s="40" t="n"/>
      <c r="H88" s="9">
        <f>IF(A88="","",IF(G88="","No expiry on file",IF(G88&lt;TODAY(),"EXPIRED",IF(G88-TODAY()&lt;=30,"Expiring soon","OK"))))</f>
        <v/>
      </c>
      <c r="I88" s="35" t="n"/>
      <c r="J88" s="35" t="n"/>
      <c r="K88" s="39">
        <f>IF(A88="","",SUMIFS('Job Costs'!$I$5:$I$1004,'Job Costs'!$E$5:$E$1004,A88,'Job Costs'!$A$5:$A$1004,"&gt;="&amp;DATE(Settings!$B$14,1,1),'Job Costs'!$A$5:$A$1004,"&lt;="&amp;DATE(Settings!$B$14,12,31)))</f>
        <v/>
      </c>
      <c r="L88" s="39">
        <f>IF(A88="","",SUMIFS('Job Costs'!$I$5:$I$1004,'Job Costs'!$E$5:$E$1004,A88,'Job Costs'!$J$5:$J$1004,"No"))</f>
        <v/>
      </c>
      <c r="M88" s="9">
        <f>IF(A88="","",IF(AND(J88="Yes",K88&gt;=600),"Review for 1099",""))</f>
        <v/>
      </c>
      <c r="N88" s="9">
        <f>IF(A88="","",IF(COUNTIF('Vendors &amp; Crew'!$A$41:$A$140,A88)&gt;1,"Duplicate vendor",""))</f>
        <v/>
      </c>
      <c r="O88" s="35" t="n"/>
    </row>
    <row r="89">
      <c r="A89" s="35" t="n"/>
      <c r="B89" s="35" t="n"/>
      <c r="C89" s="35" t="n"/>
      <c r="D89" s="35" t="n"/>
      <c r="E89" s="35" t="n"/>
      <c r="F89" s="35" t="n"/>
      <c r="G89" s="40" t="n"/>
      <c r="H89" s="9">
        <f>IF(A89="","",IF(G89="","No expiry on file",IF(G89&lt;TODAY(),"EXPIRED",IF(G89-TODAY()&lt;=30,"Expiring soon","OK"))))</f>
        <v/>
      </c>
      <c r="I89" s="35" t="n"/>
      <c r="J89" s="35" t="n"/>
      <c r="K89" s="39">
        <f>IF(A89="","",SUMIFS('Job Costs'!$I$5:$I$1004,'Job Costs'!$E$5:$E$1004,A89,'Job Costs'!$A$5:$A$1004,"&gt;="&amp;DATE(Settings!$B$14,1,1),'Job Costs'!$A$5:$A$1004,"&lt;="&amp;DATE(Settings!$B$14,12,31)))</f>
        <v/>
      </c>
      <c r="L89" s="39">
        <f>IF(A89="","",SUMIFS('Job Costs'!$I$5:$I$1004,'Job Costs'!$E$5:$E$1004,A89,'Job Costs'!$J$5:$J$1004,"No"))</f>
        <v/>
      </c>
      <c r="M89" s="9">
        <f>IF(A89="","",IF(AND(J89="Yes",K89&gt;=600),"Review for 1099",""))</f>
        <v/>
      </c>
      <c r="N89" s="9">
        <f>IF(A89="","",IF(COUNTIF('Vendors &amp; Crew'!$A$41:$A$140,A89)&gt;1,"Duplicate vendor",""))</f>
        <v/>
      </c>
      <c r="O89" s="35" t="n"/>
    </row>
    <row r="90">
      <c r="A90" s="35" t="n"/>
      <c r="B90" s="35" t="n"/>
      <c r="C90" s="35" t="n"/>
      <c r="D90" s="35" t="n"/>
      <c r="E90" s="35" t="n"/>
      <c r="F90" s="35" t="n"/>
      <c r="G90" s="40" t="n"/>
      <c r="H90" s="9">
        <f>IF(A90="","",IF(G90="","No expiry on file",IF(G90&lt;TODAY(),"EXPIRED",IF(G90-TODAY()&lt;=30,"Expiring soon","OK"))))</f>
        <v/>
      </c>
      <c r="I90" s="35" t="n"/>
      <c r="J90" s="35" t="n"/>
      <c r="K90" s="39">
        <f>IF(A90="","",SUMIFS('Job Costs'!$I$5:$I$1004,'Job Costs'!$E$5:$E$1004,A90,'Job Costs'!$A$5:$A$1004,"&gt;="&amp;DATE(Settings!$B$14,1,1),'Job Costs'!$A$5:$A$1004,"&lt;="&amp;DATE(Settings!$B$14,12,31)))</f>
        <v/>
      </c>
      <c r="L90" s="39">
        <f>IF(A90="","",SUMIFS('Job Costs'!$I$5:$I$1004,'Job Costs'!$E$5:$E$1004,A90,'Job Costs'!$J$5:$J$1004,"No"))</f>
        <v/>
      </c>
      <c r="M90" s="9">
        <f>IF(A90="","",IF(AND(J90="Yes",K90&gt;=600),"Review for 1099",""))</f>
        <v/>
      </c>
      <c r="N90" s="9">
        <f>IF(A90="","",IF(COUNTIF('Vendors &amp; Crew'!$A$41:$A$140,A90)&gt;1,"Duplicate vendor",""))</f>
        <v/>
      </c>
      <c r="O90" s="35" t="n"/>
    </row>
    <row r="91">
      <c r="A91" s="35" t="n"/>
      <c r="B91" s="35" t="n"/>
      <c r="C91" s="35" t="n"/>
      <c r="D91" s="35" t="n"/>
      <c r="E91" s="35" t="n"/>
      <c r="F91" s="35" t="n"/>
      <c r="G91" s="40" t="n"/>
      <c r="H91" s="9">
        <f>IF(A91="","",IF(G91="","No expiry on file",IF(G91&lt;TODAY(),"EXPIRED",IF(G91-TODAY()&lt;=30,"Expiring soon","OK"))))</f>
        <v/>
      </c>
      <c r="I91" s="35" t="n"/>
      <c r="J91" s="35" t="n"/>
      <c r="K91" s="39">
        <f>IF(A91="","",SUMIFS('Job Costs'!$I$5:$I$1004,'Job Costs'!$E$5:$E$1004,A91,'Job Costs'!$A$5:$A$1004,"&gt;="&amp;DATE(Settings!$B$14,1,1),'Job Costs'!$A$5:$A$1004,"&lt;="&amp;DATE(Settings!$B$14,12,31)))</f>
        <v/>
      </c>
      <c r="L91" s="39">
        <f>IF(A91="","",SUMIFS('Job Costs'!$I$5:$I$1004,'Job Costs'!$E$5:$E$1004,A91,'Job Costs'!$J$5:$J$1004,"No"))</f>
        <v/>
      </c>
      <c r="M91" s="9">
        <f>IF(A91="","",IF(AND(J91="Yes",K91&gt;=600),"Review for 1099",""))</f>
        <v/>
      </c>
      <c r="N91" s="9">
        <f>IF(A91="","",IF(COUNTIF('Vendors &amp; Crew'!$A$41:$A$140,A91)&gt;1,"Duplicate vendor",""))</f>
        <v/>
      </c>
      <c r="O91" s="35" t="n"/>
    </row>
    <row r="92">
      <c r="A92" s="35" t="n"/>
      <c r="B92" s="35" t="n"/>
      <c r="C92" s="35" t="n"/>
      <c r="D92" s="35" t="n"/>
      <c r="E92" s="35" t="n"/>
      <c r="F92" s="35" t="n"/>
      <c r="G92" s="40" t="n"/>
      <c r="H92" s="9">
        <f>IF(A92="","",IF(G92="","No expiry on file",IF(G92&lt;TODAY(),"EXPIRED",IF(G92-TODAY()&lt;=30,"Expiring soon","OK"))))</f>
        <v/>
      </c>
      <c r="I92" s="35" t="n"/>
      <c r="J92" s="35" t="n"/>
      <c r="K92" s="39">
        <f>IF(A92="","",SUMIFS('Job Costs'!$I$5:$I$1004,'Job Costs'!$E$5:$E$1004,A92,'Job Costs'!$A$5:$A$1004,"&gt;="&amp;DATE(Settings!$B$14,1,1),'Job Costs'!$A$5:$A$1004,"&lt;="&amp;DATE(Settings!$B$14,12,31)))</f>
        <v/>
      </c>
      <c r="L92" s="39">
        <f>IF(A92="","",SUMIFS('Job Costs'!$I$5:$I$1004,'Job Costs'!$E$5:$E$1004,A92,'Job Costs'!$J$5:$J$1004,"No"))</f>
        <v/>
      </c>
      <c r="M92" s="9">
        <f>IF(A92="","",IF(AND(J92="Yes",K92&gt;=600),"Review for 1099",""))</f>
        <v/>
      </c>
      <c r="N92" s="9">
        <f>IF(A92="","",IF(COUNTIF('Vendors &amp; Crew'!$A$41:$A$140,A92)&gt;1,"Duplicate vendor",""))</f>
        <v/>
      </c>
      <c r="O92" s="35" t="n"/>
    </row>
    <row r="93">
      <c r="A93" s="35" t="n"/>
      <c r="B93" s="35" t="n"/>
      <c r="C93" s="35" t="n"/>
      <c r="D93" s="35" t="n"/>
      <c r="E93" s="35" t="n"/>
      <c r="F93" s="35" t="n"/>
      <c r="G93" s="40" t="n"/>
      <c r="H93" s="9">
        <f>IF(A93="","",IF(G93="","No expiry on file",IF(G93&lt;TODAY(),"EXPIRED",IF(G93-TODAY()&lt;=30,"Expiring soon","OK"))))</f>
        <v/>
      </c>
      <c r="I93" s="35" t="n"/>
      <c r="J93" s="35" t="n"/>
      <c r="K93" s="39">
        <f>IF(A93="","",SUMIFS('Job Costs'!$I$5:$I$1004,'Job Costs'!$E$5:$E$1004,A93,'Job Costs'!$A$5:$A$1004,"&gt;="&amp;DATE(Settings!$B$14,1,1),'Job Costs'!$A$5:$A$1004,"&lt;="&amp;DATE(Settings!$B$14,12,31)))</f>
        <v/>
      </c>
      <c r="L93" s="39">
        <f>IF(A93="","",SUMIFS('Job Costs'!$I$5:$I$1004,'Job Costs'!$E$5:$E$1004,A93,'Job Costs'!$J$5:$J$1004,"No"))</f>
        <v/>
      </c>
      <c r="M93" s="9">
        <f>IF(A93="","",IF(AND(J93="Yes",K93&gt;=600),"Review for 1099",""))</f>
        <v/>
      </c>
      <c r="N93" s="9">
        <f>IF(A93="","",IF(COUNTIF('Vendors &amp; Crew'!$A$41:$A$140,A93)&gt;1,"Duplicate vendor",""))</f>
        <v/>
      </c>
      <c r="O93" s="35" t="n"/>
    </row>
    <row r="94">
      <c r="A94" s="35" t="n"/>
      <c r="B94" s="35" t="n"/>
      <c r="C94" s="35" t="n"/>
      <c r="D94" s="35" t="n"/>
      <c r="E94" s="35" t="n"/>
      <c r="F94" s="35" t="n"/>
      <c r="G94" s="40" t="n"/>
      <c r="H94" s="9">
        <f>IF(A94="","",IF(G94="","No expiry on file",IF(G94&lt;TODAY(),"EXPIRED",IF(G94-TODAY()&lt;=30,"Expiring soon","OK"))))</f>
        <v/>
      </c>
      <c r="I94" s="35" t="n"/>
      <c r="J94" s="35" t="n"/>
      <c r="K94" s="39">
        <f>IF(A94="","",SUMIFS('Job Costs'!$I$5:$I$1004,'Job Costs'!$E$5:$E$1004,A94,'Job Costs'!$A$5:$A$1004,"&gt;="&amp;DATE(Settings!$B$14,1,1),'Job Costs'!$A$5:$A$1004,"&lt;="&amp;DATE(Settings!$B$14,12,31)))</f>
        <v/>
      </c>
      <c r="L94" s="39">
        <f>IF(A94="","",SUMIFS('Job Costs'!$I$5:$I$1004,'Job Costs'!$E$5:$E$1004,A94,'Job Costs'!$J$5:$J$1004,"No"))</f>
        <v/>
      </c>
      <c r="M94" s="9">
        <f>IF(A94="","",IF(AND(J94="Yes",K94&gt;=600),"Review for 1099",""))</f>
        <v/>
      </c>
      <c r="N94" s="9">
        <f>IF(A94="","",IF(COUNTIF('Vendors &amp; Crew'!$A$41:$A$140,A94)&gt;1,"Duplicate vendor",""))</f>
        <v/>
      </c>
      <c r="O94" s="35" t="n"/>
    </row>
    <row r="95">
      <c r="A95" s="35" t="n"/>
      <c r="B95" s="35" t="n"/>
      <c r="C95" s="35" t="n"/>
      <c r="D95" s="35" t="n"/>
      <c r="E95" s="35" t="n"/>
      <c r="F95" s="35" t="n"/>
      <c r="G95" s="40" t="n"/>
      <c r="H95" s="9">
        <f>IF(A95="","",IF(G95="","No expiry on file",IF(G95&lt;TODAY(),"EXPIRED",IF(G95-TODAY()&lt;=30,"Expiring soon","OK"))))</f>
        <v/>
      </c>
      <c r="I95" s="35" t="n"/>
      <c r="J95" s="35" t="n"/>
      <c r="K95" s="39">
        <f>IF(A95="","",SUMIFS('Job Costs'!$I$5:$I$1004,'Job Costs'!$E$5:$E$1004,A95,'Job Costs'!$A$5:$A$1004,"&gt;="&amp;DATE(Settings!$B$14,1,1),'Job Costs'!$A$5:$A$1004,"&lt;="&amp;DATE(Settings!$B$14,12,31)))</f>
        <v/>
      </c>
      <c r="L95" s="39">
        <f>IF(A95="","",SUMIFS('Job Costs'!$I$5:$I$1004,'Job Costs'!$E$5:$E$1004,A95,'Job Costs'!$J$5:$J$1004,"No"))</f>
        <v/>
      </c>
      <c r="M95" s="9">
        <f>IF(A95="","",IF(AND(J95="Yes",K95&gt;=600),"Review for 1099",""))</f>
        <v/>
      </c>
      <c r="N95" s="9">
        <f>IF(A95="","",IF(COUNTIF('Vendors &amp; Crew'!$A$41:$A$140,A95)&gt;1,"Duplicate vendor",""))</f>
        <v/>
      </c>
      <c r="O95" s="35" t="n"/>
    </row>
    <row r="96">
      <c r="A96" s="35" t="n"/>
      <c r="B96" s="35" t="n"/>
      <c r="C96" s="35" t="n"/>
      <c r="D96" s="35" t="n"/>
      <c r="E96" s="35" t="n"/>
      <c r="F96" s="35" t="n"/>
      <c r="G96" s="40" t="n"/>
      <c r="H96" s="9">
        <f>IF(A96="","",IF(G96="","No expiry on file",IF(G96&lt;TODAY(),"EXPIRED",IF(G96-TODAY()&lt;=30,"Expiring soon","OK"))))</f>
        <v/>
      </c>
      <c r="I96" s="35" t="n"/>
      <c r="J96" s="35" t="n"/>
      <c r="K96" s="39">
        <f>IF(A96="","",SUMIFS('Job Costs'!$I$5:$I$1004,'Job Costs'!$E$5:$E$1004,A96,'Job Costs'!$A$5:$A$1004,"&gt;="&amp;DATE(Settings!$B$14,1,1),'Job Costs'!$A$5:$A$1004,"&lt;="&amp;DATE(Settings!$B$14,12,31)))</f>
        <v/>
      </c>
      <c r="L96" s="39">
        <f>IF(A96="","",SUMIFS('Job Costs'!$I$5:$I$1004,'Job Costs'!$E$5:$E$1004,A96,'Job Costs'!$J$5:$J$1004,"No"))</f>
        <v/>
      </c>
      <c r="M96" s="9">
        <f>IF(A96="","",IF(AND(J96="Yes",K96&gt;=600),"Review for 1099",""))</f>
        <v/>
      </c>
      <c r="N96" s="9">
        <f>IF(A96="","",IF(COUNTIF('Vendors &amp; Crew'!$A$41:$A$140,A96)&gt;1,"Duplicate vendor",""))</f>
        <v/>
      </c>
      <c r="O96" s="35" t="n"/>
    </row>
    <row r="97">
      <c r="A97" s="35" t="n"/>
      <c r="B97" s="35" t="n"/>
      <c r="C97" s="35" t="n"/>
      <c r="D97" s="35" t="n"/>
      <c r="E97" s="35" t="n"/>
      <c r="F97" s="35" t="n"/>
      <c r="G97" s="40" t="n"/>
      <c r="H97" s="9">
        <f>IF(A97="","",IF(G97="","No expiry on file",IF(G97&lt;TODAY(),"EXPIRED",IF(G97-TODAY()&lt;=30,"Expiring soon","OK"))))</f>
        <v/>
      </c>
      <c r="I97" s="35" t="n"/>
      <c r="J97" s="35" t="n"/>
      <c r="K97" s="39">
        <f>IF(A97="","",SUMIFS('Job Costs'!$I$5:$I$1004,'Job Costs'!$E$5:$E$1004,A97,'Job Costs'!$A$5:$A$1004,"&gt;="&amp;DATE(Settings!$B$14,1,1),'Job Costs'!$A$5:$A$1004,"&lt;="&amp;DATE(Settings!$B$14,12,31)))</f>
        <v/>
      </c>
      <c r="L97" s="39">
        <f>IF(A97="","",SUMIFS('Job Costs'!$I$5:$I$1004,'Job Costs'!$E$5:$E$1004,A97,'Job Costs'!$J$5:$J$1004,"No"))</f>
        <v/>
      </c>
      <c r="M97" s="9">
        <f>IF(A97="","",IF(AND(J97="Yes",K97&gt;=600),"Review for 1099",""))</f>
        <v/>
      </c>
      <c r="N97" s="9">
        <f>IF(A97="","",IF(COUNTIF('Vendors &amp; Crew'!$A$41:$A$140,A97)&gt;1,"Duplicate vendor",""))</f>
        <v/>
      </c>
      <c r="O97" s="35" t="n"/>
    </row>
    <row r="98">
      <c r="A98" s="35" t="n"/>
      <c r="B98" s="35" t="n"/>
      <c r="C98" s="35" t="n"/>
      <c r="D98" s="35" t="n"/>
      <c r="E98" s="35" t="n"/>
      <c r="F98" s="35" t="n"/>
      <c r="G98" s="40" t="n"/>
      <c r="H98" s="9">
        <f>IF(A98="","",IF(G98="","No expiry on file",IF(G98&lt;TODAY(),"EXPIRED",IF(G98-TODAY()&lt;=30,"Expiring soon","OK"))))</f>
        <v/>
      </c>
      <c r="I98" s="35" t="n"/>
      <c r="J98" s="35" t="n"/>
      <c r="K98" s="39">
        <f>IF(A98="","",SUMIFS('Job Costs'!$I$5:$I$1004,'Job Costs'!$E$5:$E$1004,A98,'Job Costs'!$A$5:$A$1004,"&gt;="&amp;DATE(Settings!$B$14,1,1),'Job Costs'!$A$5:$A$1004,"&lt;="&amp;DATE(Settings!$B$14,12,31)))</f>
        <v/>
      </c>
      <c r="L98" s="39">
        <f>IF(A98="","",SUMIFS('Job Costs'!$I$5:$I$1004,'Job Costs'!$E$5:$E$1004,A98,'Job Costs'!$J$5:$J$1004,"No"))</f>
        <v/>
      </c>
      <c r="M98" s="9">
        <f>IF(A98="","",IF(AND(J98="Yes",K98&gt;=600),"Review for 1099",""))</f>
        <v/>
      </c>
      <c r="N98" s="9">
        <f>IF(A98="","",IF(COUNTIF('Vendors &amp; Crew'!$A$41:$A$140,A98)&gt;1,"Duplicate vendor",""))</f>
        <v/>
      </c>
      <c r="O98" s="35" t="n"/>
    </row>
    <row r="99">
      <c r="A99" s="35" t="n"/>
      <c r="B99" s="35" t="n"/>
      <c r="C99" s="35" t="n"/>
      <c r="D99" s="35" t="n"/>
      <c r="E99" s="35" t="n"/>
      <c r="F99" s="35" t="n"/>
      <c r="G99" s="40" t="n"/>
      <c r="H99" s="9">
        <f>IF(A99="","",IF(G99="","No expiry on file",IF(G99&lt;TODAY(),"EXPIRED",IF(G99-TODAY()&lt;=30,"Expiring soon","OK"))))</f>
        <v/>
      </c>
      <c r="I99" s="35" t="n"/>
      <c r="J99" s="35" t="n"/>
      <c r="K99" s="39">
        <f>IF(A99="","",SUMIFS('Job Costs'!$I$5:$I$1004,'Job Costs'!$E$5:$E$1004,A99,'Job Costs'!$A$5:$A$1004,"&gt;="&amp;DATE(Settings!$B$14,1,1),'Job Costs'!$A$5:$A$1004,"&lt;="&amp;DATE(Settings!$B$14,12,31)))</f>
        <v/>
      </c>
      <c r="L99" s="39">
        <f>IF(A99="","",SUMIFS('Job Costs'!$I$5:$I$1004,'Job Costs'!$E$5:$E$1004,A99,'Job Costs'!$J$5:$J$1004,"No"))</f>
        <v/>
      </c>
      <c r="M99" s="9">
        <f>IF(A99="","",IF(AND(J99="Yes",K99&gt;=600),"Review for 1099",""))</f>
        <v/>
      </c>
      <c r="N99" s="9">
        <f>IF(A99="","",IF(COUNTIF('Vendors &amp; Crew'!$A$41:$A$140,A99)&gt;1,"Duplicate vendor",""))</f>
        <v/>
      </c>
      <c r="O99" s="35" t="n"/>
    </row>
    <row r="100">
      <c r="A100" s="35" t="n"/>
      <c r="B100" s="35" t="n"/>
      <c r="C100" s="35" t="n"/>
      <c r="D100" s="35" t="n"/>
      <c r="E100" s="35" t="n"/>
      <c r="F100" s="35" t="n"/>
      <c r="G100" s="40" t="n"/>
      <c r="H100" s="9">
        <f>IF(A100="","",IF(G100="","No expiry on file",IF(G100&lt;TODAY(),"EXPIRED",IF(G100-TODAY()&lt;=30,"Expiring soon","OK"))))</f>
        <v/>
      </c>
      <c r="I100" s="35" t="n"/>
      <c r="J100" s="35" t="n"/>
      <c r="K100" s="39">
        <f>IF(A100="","",SUMIFS('Job Costs'!$I$5:$I$1004,'Job Costs'!$E$5:$E$1004,A100,'Job Costs'!$A$5:$A$1004,"&gt;="&amp;DATE(Settings!$B$14,1,1),'Job Costs'!$A$5:$A$1004,"&lt;="&amp;DATE(Settings!$B$14,12,31)))</f>
        <v/>
      </c>
      <c r="L100" s="39">
        <f>IF(A100="","",SUMIFS('Job Costs'!$I$5:$I$1004,'Job Costs'!$E$5:$E$1004,A100,'Job Costs'!$J$5:$J$1004,"No"))</f>
        <v/>
      </c>
      <c r="M100" s="9">
        <f>IF(A100="","",IF(AND(J100="Yes",K100&gt;=600),"Review for 1099",""))</f>
        <v/>
      </c>
      <c r="N100" s="9">
        <f>IF(A100="","",IF(COUNTIF('Vendors &amp; Crew'!$A$41:$A$140,A100)&gt;1,"Duplicate vendor",""))</f>
        <v/>
      </c>
      <c r="O100" s="35" t="n"/>
    </row>
    <row r="101">
      <c r="A101" s="35" t="n"/>
      <c r="B101" s="35" t="n"/>
      <c r="C101" s="35" t="n"/>
      <c r="D101" s="35" t="n"/>
      <c r="E101" s="35" t="n"/>
      <c r="F101" s="35" t="n"/>
      <c r="G101" s="40" t="n"/>
      <c r="H101" s="9">
        <f>IF(A101="","",IF(G101="","No expiry on file",IF(G101&lt;TODAY(),"EXPIRED",IF(G101-TODAY()&lt;=30,"Expiring soon","OK"))))</f>
        <v/>
      </c>
      <c r="I101" s="35" t="n"/>
      <c r="J101" s="35" t="n"/>
      <c r="K101" s="39">
        <f>IF(A101="","",SUMIFS('Job Costs'!$I$5:$I$1004,'Job Costs'!$E$5:$E$1004,A101,'Job Costs'!$A$5:$A$1004,"&gt;="&amp;DATE(Settings!$B$14,1,1),'Job Costs'!$A$5:$A$1004,"&lt;="&amp;DATE(Settings!$B$14,12,31)))</f>
        <v/>
      </c>
      <c r="L101" s="39">
        <f>IF(A101="","",SUMIFS('Job Costs'!$I$5:$I$1004,'Job Costs'!$E$5:$E$1004,A101,'Job Costs'!$J$5:$J$1004,"No"))</f>
        <v/>
      </c>
      <c r="M101" s="9">
        <f>IF(A101="","",IF(AND(J101="Yes",K101&gt;=600),"Review for 1099",""))</f>
        <v/>
      </c>
      <c r="N101" s="9">
        <f>IF(A101="","",IF(COUNTIF('Vendors &amp; Crew'!$A$41:$A$140,A101)&gt;1,"Duplicate vendor",""))</f>
        <v/>
      </c>
      <c r="O101" s="35" t="n"/>
    </row>
    <row r="102">
      <c r="A102" s="35" t="n"/>
      <c r="B102" s="35" t="n"/>
      <c r="C102" s="35" t="n"/>
      <c r="D102" s="35" t="n"/>
      <c r="E102" s="35" t="n"/>
      <c r="F102" s="35" t="n"/>
      <c r="G102" s="40" t="n"/>
      <c r="H102" s="9">
        <f>IF(A102="","",IF(G102="","No expiry on file",IF(G102&lt;TODAY(),"EXPIRED",IF(G102-TODAY()&lt;=30,"Expiring soon","OK"))))</f>
        <v/>
      </c>
      <c r="I102" s="35" t="n"/>
      <c r="J102" s="35" t="n"/>
      <c r="K102" s="39">
        <f>IF(A102="","",SUMIFS('Job Costs'!$I$5:$I$1004,'Job Costs'!$E$5:$E$1004,A102,'Job Costs'!$A$5:$A$1004,"&gt;="&amp;DATE(Settings!$B$14,1,1),'Job Costs'!$A$5:$A$1004,"&lt;="&amp;DATE(Settings!$B$14,12,31)))</f>
        <v/>
      </c>
      <c r="L102" s="39">
        <f>IF(A102="","",SUMIFS('Job Costs'!$I$5:$I$1004,'Job Costs'!$E$5:$E$1004,A102,'Job Costs'!$J$5:$J$1004,"No"))</f>
        <v/>
      </c>
      <c r="M102" s="9">
        <f>IF(A102="","",IF(AND(J102="Yes",K102&gt;=600),"Review for 1099",""))</f>
        <v/>
      </c>
      <c r="N102" s="9">
        <f>IF(A102="","",IF(COUNTIF('Vendors &amp; Crew'!$A$41:$A$140,A102)&gt;1,"Duplicate vendor",""))</f>
        <v/>
      </c>
      <c r="O102" s="35" t="n"/>
    </row>
    <row r="103">
      <c r="A103" s="35" t="n"/>
      <c r="B103" s="35" t="n"/>
      <c r="C103" s="35" t="n"/>
      <c r="D103" s="35" t="n"/>
      <c r="E103" s="35" t="n"/>
      <c r="F103" s="35" t="n"/>
      <c r="G103" s="40" t="n"/>
      <c r="H103" s="9">
        <f>IF(A103="","",IF(G103="","No expiry on file",IF(G103&lt;TODAY(),"EXPIRED",IF(G103-TODAY()&lt;=30,"Expiring soon","OK"))))</f>
        <v/>
      </c>
      <c r="I103" s="35" t="n"/>
      <c r="J103" s="35" t="n"/>
      <c r="K103" s="39">
        <f>IF(A103="","",SUMIFS('Job Costs'!$I$5:$I$1004,'Job Costs'!$E$5:$E$1004,A103,'Job Costs'!$A$5:$A$1004,"&gt;="&amp;DATE(Settings!$B$14,1,1),'Job Costs'!$A$5:$A$1004,"&lt;="&amp;DATE(Settings!$B$14,12,31)))</f>
        <v/>
      </c>
      <c r="L103" s="39">
        <f>IF(A103="","",SUMIFS('Job Costs'!$I$5:$I$1004,'Job Costs'!$E$5:$E$1004,A103,'Job Costs'!$J$5:$J$1004,"No"))</f>
        <v/>
      </c>
      <c r="M103" s="9">
        <f>IF(A103="","",IF(AND(J103="Yes",K103&gt;=600),"Review for 1099",""))</f>
        <v/>
      </c>
      <c r="N103" s="9">
        <f>IF(A103="","",IF(COUNTIF('Vendors &amp; Crew'!$A$41:$A$140,A103)&gt;1,"Duplicate vendor",""))</f>
        <v/>
      </c>
      <c r="O103" s="35" t="n"/>
    </row>
    <row r="104">
      <c r="A104" s="35" t="n"/>
      <c r="B104" s="35" t="n"/>
      <c r="C104" s="35" t="n"/>
      <c r="D104" s="35" t="n"/>
      <c r="E104" s="35" t="n"/>
      <c r="F104" s="35" t="n"/>
      <c r="G104" s="40" t="n"/>
      <c r="H104" s="9">
        <f>IF(A104="","",IF(G104="","No expiry on file",IF(G104&lt;TODAY(),"EXPIRED",IF(G104-TODAY()&lt;=30,"Expiring soon","OK"))))</f>
        <v/>
      </c>
      <c r="I104" s="35" t="n"/>
      <c r="J104" s="35" t="n"/>
      <c r="K104" s="39">
        <f>IF(A104="","",SUMIFS('Job Costs'!$I$5:$I$1004,'Job Costs'!$E$5:$E$1004,A104,'Job Costs'!$A$5:$A$1004,"&gt;="&amp;DATE(Settings!$B$14,1,1),'Job Costs'!$A$5:$A$1004,"&lt;="&amp;DATE(Settings!$B$14,12,31)))</f>
        <v/>
      </c>
      <c r="L104" s="39">
        <f>IF(A104="","",SUMIFS('Job Costs'!$I$5:$I$1004,'Job Costs'!$E$5:$E$1004,A104,'Job Costs'!$J$5:$J$1004,"No"))</f>
        <v/>
      </c>
      <c r="M104" s="9">
        <f>IF(A104="","",IF(AND(J104="Yes",K104&gt;=600),"Review for 1099",""))</f>
        <v/>
      </c>
      <c r="N104" s="9">
        <f>IF(A104="","",IF(COUNTIF('Vendors &amp; Crew'!$A$41:$A$140,A104)&gt;1,"Duplicate vendor",""))</f>
        <v/>
      </c>
      <c r="O104" s="35" t="n"/>
    </row>
    <row r="105">
      <c r="A105" s="35" t="n"/>
      <c r="B105" s="35" t="n"/>
      <c r="C105" s="35" t="n"/>
      <c r="D105" s="35" t="n"/>
      <c r="E105" s="35" t="n"/>
      <c r="F105" s="35" t="n"/>
      <c r="G105" s="40" t="n"/>
      <c r="H105" s="9">
        <f>IF(A105="","",IF(G105="","No expiry on file",IF(G105&lt;TODAY(),"EXPIRED",IF(G105-TODAY()&lt;=30,"Expiring soon","OK"))))</f>
        <v/>
      </c>
      <c r="I105" s="35" t="n"/>
      <c r="J105" s="35" t="n"/>
      <c r="K105" s="39">
        <f>IF(A105="","",SUMIFS('Job Costs'!$I$5:$I$1004,'Job Costs'!$E$5:$E$1004,A105,'Job Costs'!$A$5:$A$1004,"&gt;="&amp;DATE(Settings!$B$14,1,1),'Job Costs'!$A$5:$A$1004,"&lt;="&amp;DATE(Settings!$B$14,12,31)))</f>
        <v/>
      </c>
      <c r="L105" s="39">
        <f>IF(A105="","",SUMIFS('Job Costs'!$I$5:$I$1004,'Job Costs'!$E$5:$E$1004,A105,'Job Costs'!$J$5:$J$1004,"No"))</f>
        <v/>
      </c>
      <c r="M105" s="9">
        <f>IF(A105="","",IF(AND(J105="Yes",K105&gt;=600),"Review for 1099",""))</f>
        <v/>
      </c>
      <c r="N105" s="9">
        <f>IF(A105="","",IF(COUNTIF('Vendors &amp; Crew'!$A$41:$A$140,A105)&gt;1,"Duplicate vendor",""))</f>
        <v/>
      </c>
      <c r="O105" s="35" t="n"/>
    </row>
    <row r="106">
      <c r="A106" s="35" t="n"/>
      <c r="B106" s="35" t="n"/>
      <c r="C106" s="35" t="n"/>
      <c r="D106" s="35" t="n"/>
      <c r="E106" s="35" t="n"/>
      <c r="F106" s="35" t="n"/>
      <c r="G106" s="40" t="n"/>
      <c r="H106" s="9">
        <f>IF(A106="","",IF(G106="","No expiry on file",IF(G106&lt;TODAY(),"EXPIRED",IF(G106-TODAY()&lt;=30,"Expiring soon","OK"))))</f>
        <v/>
      </c>
      <c r="I106" s="35" t="n"/>
      <c r="J106" s="35" t="n"/>
      <c r="K106" s="39">
        <f>IF(A106="","",SUMIFS('Job Costs'!$I$5:$I$1004,'Job Costs'!$E$5:$E$1004,A106,'Job Costs'!$A$5:$A$1004,"&gt;="&amp;DATE(Settings!$B$14,1,1),'Job Costs'!$A$5:$A$1004,"&lt;="&amp;DATE(Settings!$B$14,12,31)))</f>
        <v/>
      </c>
      <c r="L106" s="39">
        <f>IF(A106="","",SUMIFS('Job Costs'!$I$5:$I$1004,'Job Costs'!$E$5:$E$1004,A106,'Job Costs'!$J$5:$J$1004,"No"))</f>
        <v/>
      </c>
      <c r="M106" s="9">
        <f>IF(A106="","",IF(AND(J106="Yes",K106&gt;=600),"Review for 1099",""))</f>
        <v/>
      </c>
      <c r="N106" s="9">
        <f>IF(A106="","",IF(COUNTIF('Vendors &amp; Crew'!$A$41:$A$140,A106)&gt;1,"Duplicate vendor",""))</f>
        <v/>
      </c>
      <c r="O106" s="35" t="n"/>
    </row>
    <row r="107">
      <c r="A107" s="35" t="n"/>
      <c r="B107" s="35" t="n"/>
      <c r="C107" s="35" t="n"/>
      <c r="D107" s="35" t="n"/>
      <c r="E107" s="35" t="n"/>
      <c r="F107" s="35" t="n"/>
      <c r="G107" s="40" t="n"/>
      <c r="H107" s="9">
        <f>IF(A107="","",IF(G107="","No expiry on file",IF(G107&lt;TODAY(),"EXPIRED",IF(G107-TODAY()&lt;=30,"Expiring soon","OK"))))</f>
        <v/>
      </c>
      <c r="I107" s="35" t="n"/>
      <c r="J107" s="35" t="n"/>
      <c r="K107" s="39">
        <f>IF(A107="","",SUMIFS('Job Costs'!$I$5:$I$1004,'Job Costs'!$E$5:$E$1004,A107,'Job Costs'!$A$5:$A$1004,"&gt;="&amp;DATE(Settings!$B$14,1,1),'Job Costs'!$A$5:$A$1004,"&lt;="&amp;DATE(Settings!$B$14,12,31)))</f>
        <v/>
      </c>
      <c r="L107" s="39">
        <f>IF(A107="","",SUMIFS('Job Costs'!$I$5:$I$1004,'Job Costs'!$E$5:$E$1004,A107,'Job Costs'!$J$5:$J$1004,"No"))</f>
        <v/>
      </c>
      <c r="M107" s="9">
        <f>IF(A107="","",IF(AND(J107="Yes",K107&gt;=600),"Review for 1099",""))</f>
        <v/>
      </c>
      <c r="N107" s="9">
        <f>IF(A107="","",IF(COUNTIF('Vendors &amp; Crew'!$A$41:$A$140,A107)&gt;1,"Duplicate vendor",""))</f>
        <v/>
      </c>
      <c r="O107" s="35" t="n"/>
    </row>
    <row r="108">
      <c r="A108" s="35" t="n"/>
      <c r="B108" s="35" t="n"/>
      <c r="C108" s="35" t="n"/>
      <c r="D108" s="35" t="n"/>
      <c r="E108" s="35" t="n"/>
      <c r="F108" s="35" t="n"/>
      <c r="G108" s="40" t="n"/>
      <c r="H108" s="9">
        <f>IF(A108="","",IF(G108="","No expiry on file",IF(G108&lt;TODAY(),"EXPIRED",IF(G108-TODAY()&lt;=30,"Expiring soon","OK"))))</f>
        <v/>
      </c>
      <c r="I108" s="35" t="n"/>
      <c r="J108" s="35" t="n"/>
      <c r="K108" s="39">
        <f>IF(A108="","",SUMIFS('Job Costs'!$I$5:$I$1004,'Job Costs'!$E$5:$E$1004,A108,'Job Costs'!$A$5:$A$1004,"&gt;="&amp;DATE(Settings!$B$14,1,1),'Job Costs'!$A$5:$A$1004,"&lt;="&amp;DATE(Settings!$B$14,12,31)))</f>
        <v/>
      </c>
      <c r="L108" s="39">
        <f>IF(A108="","",SUMIFS('Job Costs'!$I$5:$I$1004,'Job Costs'!$E$5:$E$1004,A108,'Job Costs'!$J$5:$J$1004,"No"))</f>
        <v/>
      </c>
      <c r="M108" s="9">
        <f>IF(A108="","",IF(AND(J108="Yes",K108&gt;=600),"Review for 1099",""))</f>
        <v/>
      </c>
      <c r="N108" s="9">
        <f>IF(A108="","",IF(COUNTIF('Vendors &amp; Crew'!$A$41:$A$140,A108)&gt;1,"Duplicate vendor",""))</f>
        <v/>
      </c>
      <c r="O108" s="35" t="n"/>
    </row>
    <row r="109">
      <c r="A109" s="35" t="n"/>
      <c r="B109" s="35" t="n"/>
      <c r="C109" s="35" t="n"/>
      <c r="D109" s="35" t="n"/>
      <c r="E109" s="35" t="n"/>
      <c r="F109" s="35" t="n"/>
      <c r="G109" s="40" t="n"/>
      <c r="H109" s="9">
        <f>IF(A109="","",IF(G109="","No expiry on file",IF(G109&lt;TODAY(),"EXPIRED",IF(G109-TODAY()&lt;=30,"Expiring soon","OK"))))</f>
        <v/>
      </c>
      <c r="I109" s="35" t="n"/>
      <c r="J109" s="35" t="n"/>
      <c r="K109" s="39">
        <f>IF(A109="","",SUMIFS('Job Costs'!$I$5:$I$1004,'Job Costs'!$E$5:$E$1004,A109,'Job Costs'!$A$5:$A$1004,"&gt;="&amp;DATE(Settings!$B$14,1,1),'Job Costs'!$A$5:$A$1004,"&lt;="&amp;DATE(Settings!$B$14,12,31)))</f>
        <v/>
      </c>
      <c r="L109" s="39">
        <f>IF(A109="","",SUMIFS('Job Costs'!$I$5:$I$1004,'Job Costs'!$E$5:$E$1004,A109,'Job Costs'!$J$5:$J$1004,"No"))</f>
        <v/>
      </c>
      <c r="M109" s="9">
        <f>IF(A109="","",IF(AND(J109="Yes",K109&gt;=600),"Review for 1099",""))</f>
        <v/>
      </c>
      <c r="N109" s="9">
        <f>IF(A109="","",IF(COUNTIF('Vendors &amp; Crew'!$A$41:$A$140,A109)&gt;1,"Duplicate vendor",""))</f>
        <v/>
      </c>
      <c r="O109" s="35" t="n"/>
    </row>
    <row r="110">
      <c r="A110" s="35" t="n"/>
      <c r="B110" s="35" t="n"/>
      <c r="C110" s="35" t="n"/>
      <c r="D110" s="35" t="n"/>
      <c r="E110" s="35" t="n"/>
      <c r="F110" s="35" t="n"/>
      <c r="G110" s="40" t="n"/>
      <c r="H110" s="9">
        <f>IF(A110="","",IF(G110="","No expiry on file",IF(G110&lt;TODAY(),"EXPIRED",IF(G110-TODAY()&lt;=30,"Expiring soon","OK"))))</f>
        <v/>
      </c>
      <c r="I110" s="35" t="n"/>
      <c r="J110" s="35" t="n"/>
      <c r="K110" s="39">
        <f>IF(A110="","",SUMIFS('Job Costs'!$I$5:$I$1004,'Job Costs'!$E$5:$E$1004,A110,'Job Costs'!$A$5:$A$1004,"&gt;="&amp;DATE(Settings!$B$14,1,1),'Job Costs'!$A$5:$A$1004,"&lt;="&amp;DATE(Settings!$B$14,12,31)))</f>
        <v/>
      </c>
      <c r="L110" s="39">
        <f>IF(A110="","",SUMIFS('Job Costs'!$I$5:$I$1004,'Job Costs'!$E$5:$E$1004,A110,'Job Costs'!$J$5:$J$1004,"No"))</f>
        <v/>
      </c>
      <c r="M110" s="9">
        <f>IF(A110="","",IF(AND(J110="Yes",K110&gt;=600),"Review for 1099",""))</f>
        <v/>
      </c>
      <c r="N110" s="9">
        <f>IF(A110="","",IF(COUNTIF('Vendors &amp; Crew'!$A$41:$A$140,A110)&gt;1,"Duplicate vendor",""))</f>
        <v/>
      </c>
      <c r="O110" s="35" t="n"/>
    </row>
    <row r="111">
      <c r="A111" s="35" t="n"/>
      <c r="B111" s="35" t="n"/>
      <c r="C111" s="35" t="n"/>
      <c r="D111" s="35" t="n"/>
      <c r="E111" s="35" t="n"/>
      <c r="F111" s="35" t="n"/>
      <c r="G111" s="40" t="n"/>
      <c r="H111" s="9">
        <f>IF(A111="","",IF(G111="","No expiry on file",IF(G111&lt;TODAY(),"EXPIRED",IF(G111-TODAY()&lt;=30,"Expiring soon","OK"))))</f>
        <v/>
      </c>
      <c r="I111" s="35" t="n"/>
      <c r="J111" s="35" t="n"/>
      <c r="K111" s="39">
        <f>IF(A111="","",SUMIFS('Job Costs'!$I$5:$I$1004,'Job Costs'!$E$5:$E$1004,A111,'Job Costs'!$A$5:$A$1004,"&gt;="&amp;DATE(Settings!$B$14,1,1),'Job Costs'!$A$5:$A$1004,"&lt;="&amp;DATE(Settings!$B$14,12,31)))</f>
        <v/>
      </c>
      <c r="L111" s="39">
        <f>IF(A111="","",SUMIFS('Job Costs'!$I$5:$I$1004,'Job Costs'!$E$5:$E$1004,A111,'Job Costs'!$J$5:$J$1004,"No"))</f>
        <v/>
      </c>
      <c r="M111" s="9">
        <f>IF(A111="","",IF(AND(J111="Yes",K111&gt;=600),"Review for 1099",""))</f>
        <v/>
      </c>
      <c r="N111" s="9">
        <f>IF(A111="","",IF(COUNTIF('Vendors &amp; Crew'!$A$41:$A$140,A111)&gt;1,"Duplicate vendor",""))</f>
        <v/>
      </c>
      <c r="O111" s="35" t="n"/>
    </row>
    <row r="112">
      <c r="A112" s="35" t="n"/>
      <c r="B112" s="35" t="n"/>
      <c r="C112" s="35" t="n"/>
      <c r="D112" s="35" t="n"/>
      <c r="E112" s="35" t="n"/>
      <c r="F112" s="35" t="n"/>
      <c r="G112" s="40" t="n"/>
      <c r="H112" s="9">
        <f>IF(A112="","",IF(G112="","No expiry on file",IF(G112&lt;TODAY(),"EXPIRED",IF(G112-TODAY()&lt;=30,"Expiring soon","OK"))))</f>
        <v/>
      </c>
      <c r="I112" s="35" t="n"/>
      <c r="J112" s="35" t="n"/>
      <c r="K112" s="39">
        <f>IF(A112="","",SUMIFS('Job Costs'!$I$5:$I$1004,'Job Costs'!$E$5:$E$1004,A112,'Job Costs'!$A$5:$A$1004,"&gt;="&amp;DATE(Settings!$B$14,1,1),'Job Costs'!$A$5:$A$1004,"&lt;="&amp;DATE(Settings!$B$14,12,31)))</f>
        <v/>
      </c>
      <c r="L112" s="39">
        <f>IF(A112="","",SUMIFS('Job Costs'!$I$5:$I$1004,'Job Costs'!$E$5:$E$1004,A112,'Job Costs'!$J$5:$J$1004,"No"))</f>
        <v/>
      </c>
      <c r="M112" s="9">
        <f>IF(A112="","",IF(AND(J112="Yes",K112&gt;=600),"Review for 1099",""))</f>
        <v/>
      </c>
      <c r="N112" s="9">
        <f>IF(A112="","",IF(COUNTIF('Vendors &amp; Crew'!$A$41:$A$140,A112)&gt;1,"Duplicate vendor",""))</f>
        <v/>
      </c>
      <c r="O112" s="35" t="n"/>
    </row>
    <row r="113">
      <c r="A113" s="35" t="n"/>
      <c r="B113" s="35" t="n"/>
      <c r="C113" s="35" t="n"/>
      <c r="D113" s="35" t="n"/>
      <c r="E113" s="35" t="n"/>
      <c r="F113" s="35" t="n"/>
      <c r="G113" s="40" t="n"/>
      <c r="H113" s="9">
        <f>IF(A113="","",IF(G113="","No expiry on file",IF(G113&lt;TODAY(),"EXPIRED",IF(G113-TODAY()&lt;=30,"Expiring soon","OK"))))</f>
        <v/>
      </c>
      <c r="I113" s="35" t="n"/>
      <c r="J113" s="35" t="n"/>
      <c r="K113" s="39">
        <f>IF(A113="","",SUMIFS('Job Costs'!$I$5:$I$1004,'Job Costs'!$E$5:$E$1004,A113,'Job Costs'!$A$5:$A$1004,"&gt;="&amp;DATE(Settings!$B$14,1,1),'Job Costs'!$A$5:$A$1004,"&lt;="&amp;DATE(Settings!$B$14,12,31)))</f>
        <v/>
      </c>
      <c r="L113" s="39">
        <f>IF(A113="","",SUMIFS('Job Costs'!$I$5:$I$1004,'Job Costs'!$E$5:$E$1004,A113,'Job Costs'!$J$5:$J$1004,"No"))</f>
        <v/>
      </c>
      <c r="M113" s="9">
        <f>IF(A113="","",IF(AND(J113="Yes",K113&gt;=600),"Review for 1099",""))</f>
        <v/>
      </c>
      <c r="N113" s="9">
        <f>IF(A113="","",IF(COUNTIF('Vendors &amp; Crew'!$A$41:$A$140,A113)&gt;1,"Duplicate vendor",""))</f>
        <v/>
      </c>
      <c r="O113" s="35" t="n"/>
    </row>
    <row r="114">
      <c r="A114" s="35" t="n"/>
      <c r="B114" s="35" t="n"/>
      <c r="C114" s="35" t="n"/>
      <c r="D114" s="35" t="n"/>
      <c r="E114" s="35" t="n"/>
      <c r="F114" s="35" t="n"/>
      <c r="G114" s="40" t="n"/>
      <c r="H114" s="9">
        <f>IF(A114="","",IF(G114="","No expiry on file",IF(G114&lt;TODAY(),"EXPIRED",IF(G114-TODAY()&lt;=30,"Expiring soon","OK"))))</f>
        <v/>
      </c>
      <c r="I114" s="35" t="n"/>
      <c r="J114" s="35" t="n"/>
      <c r="K114" s="39">
        <f>IF(A114="","",SUMIFS('Job Costs'!$I$5:$I$1004,'Job Costs'!$E$5:$E$1004,A114,'Job Costs'!$A$5:$A$1004,"&gt;="&amp;DATE(Settings!$B$14,1,1),'Job Costs'!$A$5:$A$1004,"&lt;="&amp;DATE(Settings!$B$14,12,31)))</f>
        <v/>
      </c>
      <c r="L114" s="39">
        <f>IF(A114="","",SUMIFS('Job Costs'!$I$5:$I$1004,'Job Costs'!$E$5:$E$1004,A114,'Job Costs'!$J$5:$J$1004,"No"))</f>
        <v/>
      </c>
      <c r="M114" s="9">
        <f>IF(A114="","",IF(AND(J114="Yes",K114&gt;=600),"Review for 1099",""))</f>
        <v/>
      </c>
      <c r="N114" s="9">
        <f>IF(A114="","",IF(COUNTIF('Vendors &amp; Crew'!$A$41:$A$140,A114)&gt;1,"Duplicate vendor",""))</f>
        <v/>
      </c>
      <c r="O114" s="35" t="n"/>
    </row>
    <row r="115">
      <c r="A115" s="35" t="n"/>
      <c r="B115" s="35" t="n"/>
      <c r="C115" s="35" t="n"/>
      <c r="D115" s="35" t="n"/>
      <c r="E115" s="35" t="n"/>
      <c r="F115" s="35" t="n"/>
      <c r="G115" s="40" t="n"/>
      <c r="H115" s="9">
        <f>IF(A115="","",IF(G115="","No expiry on file",IF(G115&lt;TODAY(),"EXPIRED",IF(G115-TODAY()&lt;=30,"Expiring soon","OK"))))</f>
        <v/>
      </c>
      <c r="I115" s="35" t="n"/>
      <c r="J115" s="35" t="n"/>
      <c r="K115" s="39">
        <f>IF(A115="","",SUMIFS('Job Costs'!$I$5:$I$1004,'Job Costs'!$E$5:$E$1004,A115,'Job Costs'!$A$5:$A$1004,"&gt;="&amp;DATE(Settings!$B$14,1,1),'Job Costs'!$A$5:$A$1004,"&lt;="&amp;DATE(Settings!$B$14,12,31)))</f>
        <v/>
      </c>
      <c r="L115" s="39">
        <f>IF(A115="","",SUMIFS('Job Costs'!$I$5:$I$1004,'Job Costs'!$E$5:$E$1004,A115,'Job Costs'!$J$5:$J$1004,"No"))</f>
        <v/>
      </c>
      <c r="M115" s="9">
        <f>IF(A115="","",IF(AND(J115="Yes",K115&gt;=600),"Review for 1099",""))</f>
        <v/>
      </c>
      <c r="N115" s="9">
        <f>IF(A115="","",IF(COUNTIF('Vendors &amp; Crew'!$A$41:$A$140,A115)&gt;1,"Duplicate vendor",""))</f>
        <v/>
      </c>
      <c r="O115" s="35" t="n"/>
    </row>
    <row r="116">
      <c r="A116" s="35" t="n"/>
      <c r="B116" s="35" t="n"/>
      <c r="C116" s="35" t="n"/>
      <c r="D116" s="35" t="n"/>
      <c r="E116" s="35" t="n"/>
      <c r="F116" s="35" t="n"/>
      <c r="G116" s="40" t="n"/>
      <c r="H116" s="9">
        <f>IF(A116="","",IF(G116="","No expiry on file",IF(G116&lt;TODAY(),"EXPIRED",IF(G116-TODAY()&lt;=30,"Expiring soon","OK"))))</f>
        <v/>
      </c>
      <c r="I116" s="35" t="n"/>
      <c r="J116" s="35" t="n"/>
      <c r="K116" s="39">
        <f>IF(A116="","",SUMIFS('Job Costs'!$I$5:$I$1004,'Job Costs'!$E$5:$E$1004,A116,'Job Costs'!$A$5:$A$1004,"&gt;="&amp;DATE(Settings!$B$14,1,1),'Job Costs'!$A$5:$A$1004,"&lt;="&amp;DATE(Settings!$B$14,12,31)))</f>
        <v/>
      </c>
      <c r="L116" s="39">
        <f>IF(A116="","",SUMIFS('Job Costs'!$I$5:$I$1004,'Job Costs'!$E$5:$E$1004,A116,'Job Costs'!$J$5:$J$1004,"No"))</f>
        <v/>
      </c>
      <c r="M116" s="9">
        <f>IF(A116="","",IF(AND(J116="Yes",K116&gt;=600),"Review for 1099",""))</f>
        <v/>
      </c>
      <c r="N116" s="9">
        <f>IF(A116="","",IF(COUNTIF('Vendors &amp; Crew'!$A$41:$A$140,A116)&gt;1,"Duplicate vendor",""))</f>
        <v/>
      </c>
      <c r="O116" s="35" t="n"/>
    </row>
    <row r="117">
      <c r="A117" s="35" t="n"/>
      <c r="B117" s="35" t="n"/>
      <c r="C117" s="35" t="n"/>
      <c r="D117" s="35" t="n"/>
      <c r="E117" s="35" t="n"/>
      <c r="F117" s="35" t="n"/>
      <c r="G117" s="40" t="n"/>
      <c r="H117" s="9">
        <f>IF(A117="","",IF(G117="","No expiry on file",IF(G117&lt;TODAY(),"EXPIRED",IF(G117-TODAY()&lt;=30,"Expiring soon","OK"))))</f>
        <v/>
      </c>
      <c r="I117" s="35" t="n"/>
      <c r="J117" s="35" t="n"/>
      <c r="K117" s="39">
        <f>IF(A117="","",SUMIFS('Job Costs'!$I$5:$I$1004,'Job Costs'!$E$5:$E$1004,A117,'Job Costs'!$A$5:$A$1004,"&gt;="&amp;DATE(Settings!$B$14,1,1),'Job Costs'!$A$5:$A$1004,"&lt;="&amp;DATE(Settings!$B$14,12,31)))</f>
        <v/>
      </c>
      <c r="L117" s="39">
        <f>IF(A117="","",SUMIFS('Job Costs'!$I$5:$I$1004,'Job Costs'!$E$5:$E$1004,A117,'Job Costs'!$J$5:$J$1004,"No"))</f>
        <v/>
      </c>
      <c r="M117" s="9">
        <f>IF(A117="","",IF(AND(J117="Yes",K117&gt;=600),"Review for 1099",""))</f>
        <v/>
      </c>
      <c r="N117" s="9">
        <f>IF(A117="","",IF(COUNTIF('Vendors &amp; Crew'!$A$41:$A$140,A117)&gt;1,"Duplicate vendor",""))</f>
        <v/>
      </c>
      <c r="O117" s="35" t="n"/>
    </row>
    <row r="118">
      <c r="A118" s="35" t="n"/>
      <c r="B118" s="35" t="n"/>
      <c r="C118" s="35" t="n"/>
      <c r="D118" s="35" t="n"/>
      <c r="E118" s="35" t="n"/>
      <c r="F118" s="35" t="n"/>
      <c r="G118" s="40" t="n"/>
      <c r="H118" s="9">
        <f>IF(A118="","",IF(G118="","No expiry on file",IF(G118&lt;TODAY(),"EXPIRED",IF(G118-TODAY()&lt;=30,"Expiring soon","OK"))))</f>
        <v/>
      </c>
      <c r="I118" s="35" t="n"/>
      <c r="J118" s="35" t="n"/>
      <c r="K118" s="39">
        <f>IF(A118="","",SUMIFS('Job Costs'!$I$5:$I$1004,'Job Costs'!$E$5:$E$1004,A118,'Job Costs'!$A$5:$A$1004,"&gt;="&amp;DATE(Settings!$B$14,1,1),'Job Costs'!$A$5:$A$1004,"&lt;="&amp;DATE(Settings!$B$14,12,31)))</f>
        <v/>
      </c>
      <c r="L118" s="39">
        <f>IF(A118="","",SUMIFS('Job Costs'!$I$5:$I$1004,'Job Costs'!$E$5:$E$1004,A118,'Job Costs'!$J$5:$J$1004,"No"))</f>
        <v/>
      </c>
      <c r="M118" s="9">
        <f>IF(A118="","",IF(AND(J118="Yes",K118&gt;=600),"Review for 1099",""))</f>
        <v/>
      </c>
      <c r="N118" s="9">
        <f>IF(A118="","",IF(COUNTIF('Vendors &amp; Crew'!$A$41:$A$140,A118)&gt;1,"Duplicate vendor",""))</f>
        <v/>
      </c>
      <c r="O118" s="35" t="n"/>
    </row>
    <row r="119">
      <c r="A119" s="35" t="n"/>
      <c r="B119" s="35" t="n"/>
      <c r="C119" s="35" t="n"/>
      <c r="D119" s="35" t="n"/>
      <c r="E119" s="35" t="n"/>
      <c r="F119" s="35" t="n"/>
      <c r="G119" s="40" t="n"/>
      <c r="H119" s="9">
        <f>IF(A119="","",IF(G119="","No expiry on file",IF(G119&lt;TODAY(),"EXPIRED",IF(G119-TODAY()&lt;=30,"Expiring soon","OK"))))</f>
        <v/>
      </c>
      <c r="I119" s="35" t="n"/>
      <c r="J119" s="35" t="n"/>
      <c r="K119" s="39">
        <f>IF(A119="","",SUMIFS('Job Costs'!$I$5:$I$1004,'Job Costs'!$E$5:$E$1004,A119,'Job Costs'!$A$5:$A$1004,"&gt;="&amp;DATE(Settings!$B$14,1,1),'Job Costs'!$A$5:$A$1004,"&lt;="&amp;DATE(Settings!$B$14,12,31)))</f>
        <v/>
      </c>
      <c r="L119" s="39">
        <f>IF(A119="","",SUMIFS('Job Costs'!$I$5:$I$1004,'Job Costs'!$E$5:$E$1004,A119,'Job Costs'!$J$5:$J$1004,"No"))</f>
        <v/>
      </c>
      <c r="M119" s="9">
        <f>IF(A119="","",IF(AND(J119="Yes",K119&gt;=600),"Review for 1099",""))</f>
        <v/>
      </c>
      <c r="N119" s="9">
        <f>IF(A119="","",IF(COUNTIF('Vendors &amp; Crew'!$A$41:$A$140,A119)&gt;1,"Duplicate vendor",""))</f>
        <v/>
      </c>
      <c r="O119" s="35" t="n"/>
    </row>
    <row r="120">
      <c r="A120" s="35" t="n"/>
      <c r="B120" s="35" t="n"/>
      <c r="C120" s="35" t="n"/>
      <c r="D120" s="35" t="n"/>
      <c r="E120" s="35" t="n"/>
      <c r="F120" s="35" t="n"/>
      <c r="G120" s="40" t="n"/>
      <c r="H120" s="9">
        <f>IF(A120="","",IF(G120="","No expiry on file",IF(G120&lt;TODAY(),"EXPIRED",IF(G120-TODAY()&lt;=30,"Expiring soon","OK"))))</f>
        <v/>
      </c>
      <c r="I120" s="35" t="n"/>
      <c r="J120" s="35" t="n"/>
      <c r="K120" s="39">
        <f>IF(A120="","",SUMIFS('Job Costs'!$I$5:$I$1004,'Job Costs'!$E$5:$E$1004,A120,'Job Costs'!$A$5:$A$1004,"&gt;="&amp;DATE(Settings!$B$14,1,1),'Job Costs'!$A$5:$A$1004,"&lt;="&amp;DATE(Settings!$B$14,12,31)))</f>
        <v/>
      </c>
      <c r="L120" s="39">
        <f>IF(A120="","",SUMIFS('Job Costs'!$I$5:$I$1004,'Job Costs'!$E$5:$E$1004,A120,'Job Costs'!$J$5:$J$1004,"No"))</f>
        <v/>
      </c>
      <c r="M120" s="9">
        <f>IF(A120="","",IF(AND(J120="Yes",K120&gt;=600),"Review for 1099",""))</f>
        <v/>
      </c>
      <c r="N120" s="9">
        <f>IF(A120="","",IF(COUNTIF('Vendors &amp; Crew'!$A$41:$A$140,A120)&gt;1,"Duplicate vendor",""))</f>
        <v/>
      </c>
      <c r="O120" s="35" t="n"/>
    </row>
    <row r="121">
      <c r="A121" s="35" t="n"/>
      <c r="B121" s="35" t="n"/>
      <c r="C121" s="35" t="n"/>
      <c r="D121" s="35" t="n"/>
      <c r="E121" s="35" t="n"/>
      <c r="F121" s="35" t="n"/>
      <c r="G121" s="40" t="n"/>
      <c r="H121" s="9">
        <f>IF(A121="","",IF(G121="","No expiry on file",IF(G121&lt;TODAY(),"EXPIRED",IF(G121-TODAY()&lt;=30,"Expiring soon","OK"))))</f>
        <v/>
      </c>
      <c r="I121" s="35" t="n"/>
      <c r="J121" s="35" t="n"/>
      <c r="K121" s="39">
        <f>IF(A121="","",SUMIFS('Job Costs'!$I$5:$I$1004,'Job Costs'!$E$5:$E$1004,A121,'Job Costs'!$A$5:$A$1004,"&gt;="&amp;DATE(Settings!$B$14,1,1),'Job Costs'!$A$5:$A$1004,"&lt;="&amp;DATE(Settings!$B$14,12,31)))</f>
        <v/>
      </c>
      <c r="L121" s="39">
        <f>IF(A121="","",SUMIFS('Job Costs'!$I$5:$I$1004,'Job Costs'!$E$5:$E$1004,A121,'Job Costs'!$J$5:$J$1004,"No"))</f>
        <v/>
      </c>
      <c r="M121" s="9">
        <f>IF(A121="","",IF(AND(J121="Yes",K121&gt;=600),"Review for 1099",""))</f>
        <v/>
      </c>
      <c r="N121" s="9">
        <f>IF(A121="","",IF(COUNTIF('Vendors &amp; Crew'!$A$41:$A$140,A121)&gt;1,"Duplicate vendor",""))</f>
        <v/>
      </c>
      <c r="O121" s="35" t="n"/>
    </row>
    <row r="122">
      <c r="A122" s="35" t="n"/>
      <c r="B122" s="35" t="n"/>
      <c r="C122" s="35" t="n"/>
      <c r="D122" s="35" t="n"/>
      <c r="E122" s="35" t="n"/>
      <c r="F122" s="35" t="n"/>
      <c r="G122" s="40" t="n"/>
      <c r="H122" s="9">
        <f>IF(A122="","",IF(G122="","No expiry on file",IF(G122&lt;TODAY(),"EXPIRED",IF(G122-TODAY()&lt;=30,"Expiring soon","OK"))))</f>
        <v/>
      </c>
      <c r="I122" s="35" t="n"/>
      <c r="J122" s="35" t="n"/>
      <c r="K122" s="39">
        <f>IF(A122="","",SUMIFS('Job Costs'!$I$5:$I$1004,'Job Costs'!$E$5:$E$1004,A122,'Job Costs'!$A$5:$A$1004,"&gt;="&amp;DATE(Settings!$B$14,1,1),'Job Costs'!$A$5:$A$1004,"&lt;="&amp;DATE(Settings!$B$14,12,31)))</f>
        <v/>
      </c>
      <c r="L122" s="39">
        <f>IF(A122="","",SUMIFS('Job Costs'!$I$5:$I$1004,'Job Costs'!$E$5:$E$1004,A122,'Job Costs'!$J$5:$J$1004,"No"))</f>
        <v/>
      </c>
      <c r="M122" s="9">
        <f>IF(A122="","",IF(AND(J122="Yes",K122&gt;=600),"Review for 1099",""))</f>
        <v/>
      </c>
      <c r="N122" s="9">
        <f>IF(A122="","",IF(COUNTIF('Vendors &amp; Crew'!$A$41:$A$140,A122)&gt;1,"Duplicate vendor",""))</f>
        <v/>
      </c>
      <c r="O122" s="35" t="n"/>
    </row>
    <row r="123">
      <c r="A123" s="35" t="n"/>
      <c r="B123" s="35" t="n"/>
      <c r="C123" s="35" t="n"/>
      <c r="D123" s="35" t="n"/>
      <c r="E123" s="35" t="n"/>
      <c r="F123" s="35" t="n"/>
      <c r="G123" s="40" t="n"/>
      <c r="H123" s="9">
        <f>IF(A123="","",IF(G123="","No expiry on file",IF(G123&lt;TODAY(),"EXPIRED",IF(G123-TODAY()&lt;=30,"Expiring soon","OK"))))</f>
        <v/>
      </c>
      <c r="I123" s="35" t="n"/>
      <c r="J123" s="35" t="n"/>
      <c r="K123" s="39">
        <f>IF(A123="","",SUMIFS('Job Costs'!$I$5:$I$1004,'Job Costs'!$E$5:$E$1004,A123,'Job Costs'!$A$5:$A$1004,"&gt;="&amp;DATE(Settings!$B$14,1,1),'Job Costs'!$A$5:$A$1004,"&lt;="&amp;DATE(Settings!$B$14,12,31)))</f>
        <v/>
      </c>
      <c r="L123" s="39">
        <f>IF(A123="","",SUMIFS('Job Costs'!$I$5:$I$1004,'Job Costs'!$E$5:$E$1004,A123,'Job Costs'!$J$5:$J$1004,"No"))</f>
        <v/>
      </c>
      <c r="M123" s="9">
        <f>IF(A123="","",IF(AND(J123="Yes",K123&gt;=600),"Review for 1099",""))</f>
        <v/>
      </c>
      <c r="N123" s="9">
        <f>IF(A123="","",IF(COUNTIF('Vendors &amp; Crew'!$A$41:$A$140,A123)&gt;1,"Duplicate vendor",""))</f>
        <v/>
      </c>
      <c r="O123" s="35" t="n"/>
    </row>
    <row r="124">
      <c r="A124" s="35" t="n"/>
      <c r="B124" s="35" t="n"/>
      <c r="C124" s="35" t="n"/>
      <c r="D124" s="35" t="n"/>
      <c r="E124" s="35" t="n"/>
      <c r="F124" s="35" t="n"/>
      <c r="G124" s="40" t="n"/>
      <c r="H124" s="9">
        <f>IF(A124="","",IF(G124="","No expiry on file",IF(G124&lt;TODAY(),"EXPIRED",IF(G124-TODAY()&lt;=30,"Expiring soon","OK"))))</f>
        <v/>
      </c>
      <c r="I124" s="35" t="n"/>
      <c r="J124" s="35" t="n"/>
      <c r="K124" s="39">
        <f>IF(A124="","",SUMIFS('Job Costs'!$I$5:$I$1004,'Job Costs'!$E$5:$E$1004,A124,'Job Costs'!$A$5:$A$1004,"&gt;="&amp;DATE(Settings!$B$14,1,1),'Job Costs'!$A$5:$A$1004,"&lt;="&amp;DATE(Settings!$B$14,12,31)))</f>
        <v/>
      </c>
      <c r="L124" s="39">
        <f>IF(A124="","",SUMIFS('Job Costs'!$I$5:$I$1004,'Job Costs'!$E$5:$E$1004,A124,'Job Costs'!$J$5:$J$1004,"No"))</f>
        <v/>
      </c>
      <c r="M124" s="9">
        <f>IF(A124="","",IF(AND(J124="Yes",K124&gt;=600),"Review for 1099",""))</f>
        <v/>
      </c>
      <c r="N124" s="9">
        <f>IF(A124="","",IF(COUNTIF('Vendors &amp; Crew'!$A$41:$A$140,A124)&gt;1,"Duplicate vendor",""))</f>
        <v/>
      </c>
      <c r="O124" s="35" t="n"/>
    </row>
    <row r="125">
      <c r="A125" s="35" t="n"/>
      <c r="B125" s="35" t="n"/>
      <c r="C125" s="35" t="n"/>
      <c r="D125" s="35" t="n"/>
      <c r="E125" s="35" t="n"/>
      <c r="F125" s="35" t="n"/>
      <c r="G125" s="40" t="n"/>
      <c r="H125" s="9">
        <f>IF(A125="","",IF(G125="","No expiry on file",IF(G125&lt;TODAY(),"EXPIRED",IF(G125-TODAY()&lt;=30,"Expiring soon","OK"))))</f>
        <v/>
      </c>
      <c r="I125" s="35" t="n"/>
      <c r="J125" s="35" t="n"/>
      <c r="K125" s="39">
        <f>IF(A125="","",SUMIFS('Job Costs'!$I$5:$I$1004,'Job Costs'!$E$5:$E$1004,A125,'Job Costs'!$A$5:$A$1004,"&gt;="&amp;DATE(Settings!$B$14,1,1),'Job Costs'!$A$5:$A$1004,"&lt;="&amp;DATE(Settings!$B$14,12,31)))</f>
        <v/>
      </c>
      <c r="L125" s="39">
        <f>IF(A125="","",SUMIFS('Job Costs'!$I$5:$I$1004,'Job Costs'!$E$5:$E$1004,A125,'Job Costs'!$J$5:$J$1004,"No"))</f>
        <v/>
      </c>
      <c r="M125" s="9">
        <f>IF(A125="","",IF(AND(J125="Yes",K125&gt;=600),"Review for 1099",""))</f>
        <v/>
      </c>
      <c r="N125" s="9">
        <f>IF(A125="","",IF(COUNTIF('Vendors &amp; Crew'!$A$41:$A$140,A125)&gt;1,"Duplicate vendor",""))</f>
        <v/>
      </c>
      <c r="O125" s="35" t="n"/>
    </row>
    <row r="126">
      <c r="A126" s="35" t="n"/>
      <c r="B126" s="35" t="n"/>
      <c r="C126" s="35" t="n"/>
      <c r="D126" s="35" t="n"/>
      <c r="E126" s="35" t="n"/>
      <c r="F126" s="35" t="n"/>
      <c r="G126" s="40" t="n"/>
      <c r="H126" s="9">
        <f>IF(A126="","",IF(G126="","No expiry on file",IF(G126&lt;TODAY(),"EXPIRED",IF(G126-TODAY()&lt;=30,"Expiring soon","OK"))))</f>
        <v/>
      </c>
      <c r="I126" s="35" t="n"/>
      <c r="J126" s="35" t="n"/>
      <c r="K126" s="39">
        <f>IF(A126="","",SUMIFS('Job Costs'!$I$5:$I$1004,'Job Costs'!$E$5:$E$1004,A126,'Job Costs'!$A$5:$A$1004,"&gt;="&amp;DATE(Settings!$B$14,1,1),'Job Costs'!$A$5:$A$1004,"&lt;="&amp;DATE(Settings!$B$14,12,31)))</f>
        <v/>
      </c>
      <c r="L126" s="39">
        <f>IF(A126="","",SUMIFS('Job Costs'!$I$5:$I$1004,'Job Costs'!$E$5:$E$1004,A126,'Job Costs'!$J$5:$J$1004,"No"))</f>
        <v/>
      </c>
      <c r="M126" s="9">
        <f>IF(A126="","",IF(AND(J126="Yes",K126&gt;=600),"Review for 1099",""))</f>
        <v/>
      </c>
      <c r="N126" s="9">
        <f>IF(A126="","",IF(COUNTIF('Vendors &amp; Crew'!$A$41:$A$140,A126)&gt;1,"Duplicate vendor",""))</f>
        <v/>
      </c>
      <c r="O126" s="35" t="n"/>
    </row>
    <row r="127">
      <c r="A127" s="35" t="n"/>
      <c r="B127" s="35" t="n"/>
      <c r="C127" s="35" t="n"/>
      <c r="D127" s="35" t="n"/>
      <c r="E127" s="35" t="n"/>
      <c r="F127" s="35" t="n"/>
      <c r="G127" s="40" t="n"/>
      <c r="H127" s="9">
        <f>IF(A127="","",IF(G127="","No expiry on file",IF(G127&lt;TODAY(),"EXPIRED",IF(G127-TODAY()&lt;=30,"Expiring soon","OK"))))</f>
        <v/>
      </c>
      <c r="I127" s="35" t="n"/>
      <c r="J127" s="35" t="n"/>
      <c r="K127" s="39">
        <f>IF(A127="","",SUMIFS('Job Costs'!$I$5:$I$1004,'Job Costs'!$E$5:$E$1004,A127,'Job Costs'!$A$5:$A$1004,"&gt;="&amp;DATE(Settings!$B$14,1,1),'Job Costs'!$A$5:$A$1004,"&lt;="&amp;DATE(Settings!$B$14,12,31)))</f>
        <v/>
      </c>
      <c r="L127" s="39">
        <f>IF(A127="","",SUMIFS('Job Costs'!$I$5:$I$1004,'Job Costs'!$E$5:$E$1004,A127,'Job Costs'!$J$5:$J$1004,"No"))</f>
        <v/>
      </c>
      <c r="M127" s="9">
        <f>IF(A127="","",IF(AND(J127="Yes",K127&gt;=600),"Review for 1099",""))</f>
        <v/>
      </c>
      <c r="N127" s="9">
        <f>IF(A127="","",IF(COUNTIF('Vendors &amp; Crew'!$A$41:$A$140,A127)&gt;1,"Duplicate vendor",""))</f>
        <v/>
      </c>
      <c r="O127" s="35" t="n"/>
    </row>
    <row r="128">
      <c r="A128" s="35" t="n"/>
      <c r="B128" s="35" t="n"/>
      <c r="C128" s="35" t="n"/>
      <c r="D128" s="35" t="n"/>
      <c r="E128" s="35" t="n"/>
      <c r="F128" s="35" t="n"/>
      <c r="G128" s="40" t="n"/>
      <c r="H128" s="9">
        <f>IF(A128="","",IF(G128="","No expiry on file",IF(G128&lt;TODAY(),"EXPIRED",IF(G128-TODAY()&lt;=30,"Expiring soon","OK"))))</f>
        <v/>
      </c>
      <c r="I128" s="35" t="n"/>
      <c r="J128" s="35" t="n"/>
      <c r="K128" s="39">
        <f>IF(A128="","",SUMIFS('Job Costs'!$I$5:$I$1004,'Job Costs'!$E$5:$E$1004,A128,'Job Costs'!$A$5:$A$1004,"&gt;="&amp;DATE(Settings!$B$14,1,1),'Job Costs'!$A$5:$A$1004,"&lt;="&amp;DATE(Settings!$B$14,12,31)))</f>
        <v/>
      </c>
      <c r="L128" s="39">
        <f>IF(A128="","",SUMIFS('Job Costs'!$I$5:$I$1004,'Job Costs'!$E$5:$E$1004,A128,'Job Costs'!$J$5:$J$1004,"No"))</f>
        <v/>
      </c>
      <c r="M128" s="9">
        <f>IF(A128="","",IF(AND(J128="Yes",K128&gt;=600),"Review for 1099",""))</f>
        <v/>
      </c>
      <c r="N128" s="9">
        <f>IF(A128="","",IF(COUNTIF('Vendors &amp; Crew'!$A$41:$A$140,A128)&gt;1,"Duplicate vendor",""))</f>
        <v/>
      </c>
      <c r="O128" s="35" t="n"/>
    </row>
    <row r="129">
      <c r="A129" s="35" t="n"/>
      <c r="B129" s="35" t="n"/>
      <c r="C129" s="35" t="n"/>
      <c r="D129" s="35" t="n"/>
      <c r="E129" s="35" t="n"/>
      <c r="F129" s="35" t="n"/>
      <c r="G129" s="40" t="n"/>
      <c r="H129" s="9">
        <f>IF(A129="","",IF(G129="","No expiry on file",IF(G129&lt;TODAY(),"EXPIRED",IF(G129-TODAY()&lt;=30,"Expiring soon","OK"))))</f>
        <v/>
      </c>
      <c r="I129" s="35" t="n"/>
      <c r="J129" s="35" t="n"/>
      <c r="K129" s="39">
        <f>IF(A129="","",SUMIFS('Job Costs'!$I$5:$I$1004,'Job Costs'!$E$5:$E$1004,A129,'Job Costs'!$A$5:$A$1004,"&gt;="&amp;DATE(Settings!$B$14,1,1),'Job Costs'!$A$5:$A$1004,"&lt;="&amp;DATE(Settings!$B$14,12,31)))</f>
        <v/>
      </c>
      <c r="L129" s="39">
        <f>IF(A129="","",SUMIFS('Job Costs'!$I$5:$I$1004,'Job Costs'!$E$5:$E$1004,A129,'Job Costs'!$J$5:$J$1004,"No"))</f>
        <v/>
      </c>
      <c r="M129" s="9">
        <f>IF(A129="","",IF(AND(J129="Yes",K129&gt;=600),"Review for 1099",""))</f>
        <v/>
      </c>
      <c r="N129" s="9">
        <f>IF(A129="","",IF(COUNTIF('Vendors &amp; Crew'!$A$41:$A$140,A129)&gt;1,"Duplicate vendor",""))</f>
        <v/>
      </c>
      <c r="O129" s="35" t="n"/>
    </row>
    <row r="130">
      <c r="A130" s="35" t="n"/>
      <c r="B130" s="35" t="n"/>
      <c r="C130" s="35" t="n"/>
      <c r="D130" s="35" t="n"/>
      <c r="E130" s="35" t="n"/>
      <c r="F130" s="35" t="n"/>
      <c r="G130" s="40" t="n"/>
      <c r="H130" s="9">
        <f>IF(A130="","",IF(G130="","No expiry on file",IF(G130&lt;TODAY(),"EXPIRED",IF(G130-TODAY()&lt;=30,"Expiring soon","OK"))))</f>
        <v/>
      </c>
      <c r="I130" s="35" t="n"/>
      <c r="J130" s="35" t="n"/>
      <c r="K130" s="39">
        <f>IF(A130="","",SUMIFS('Job Costs'!$I$5:$I$1004,'Job Costs'!$E$5:$E$1004,A130,'Job Costs'!$A$5:$A$1004,"&gt;="&amp;DATE(Settings!$B$14,1,1),'Job Costs'!$A$5:$A$1004,"&lt;="&amp;DATE(Settings!$B$14,12,31)))</f>
        <v/>
      </c>
      <c r="L130" s="39">
        <f>IF(A130="","",SUMIFS('Job Costs'!$I$5:$I$1004,'Job Costs'!$E$5:$E$1004,A130,'Job Costs'!$J$5:$J$1004,"No"))</f>
        <v/>
      </c>
      <c r="M130" s="9">
        <f>IF(A130="","",IF(AND(J130="Yes",K130&gt;=600),"Review for 1099",""))</f>
        <v/>
      </c>
      <c r="N130" s="9">
        <f>IF(A130="","",IF(COUNTIF('Vendors &amp; Crew'!$A$41:$A$140,A130)&gt;1,"Duplicate vendor",""))</f>
        <v/>
      </c>
      <c r="O130" s="35" t="n"/>
    </row>
    <row r="131">
      <c r="A131" s="35" t="n"/>
      <c r="B131" s="35" t="n"/>
      <c r="C131" s="35" t="n"/>
      <c r="D131" s="35" t="n"/>
      <c r="E131" s="35" t="n"/>
      <c r="F131" s="35" t="n"/>
      <c r="G131" s="40" t="n"/>
      <c r="H131" s="9">
        <f>IF(A131="","",IF(G131="","No expiry on file",IF(G131&lt;TODAY(),"EXPIRED",IF(G131-TODAY()&lt;=30,"Expiring soon","OK"))))</f>
        <v/>
      </c>
      <c r="I131" s="35" t="n"/>
      <c r="J131" s="35" t="n"/>
      <c r="K131" s="39">
        <f>IF(A131="","",SUMIFS('Job Costs'!$I$5:$I$1004,'Job Costs'!$E$5:$E$1004,A131,'Job Costs'!$A$5:$A$1004,"&gt;="&amp;DATE(Settings!$B$14,1,1),'Job Costs'!$A$5:$A$1004,"&lt;="&amp;DATE(Settings!$B$14,12,31)))</f>
        <v/>
      </c>
      <c r="L131" s="39">
        <f>IF(A131="","",SUMIFS('Job Costs'!$I$5:$I$1004,'Job Costs'!$E$5:$E$1004,A131,'Job Costs'!$J$5:$J$1004,"No"))</f>
        <v/>
      </c>
      <c r="M131" s="9">
        <f>IF(A131="","",IF(AND(J131="Yes",K131&gt;=600),"Review for 1099",""))</f>
        <v/>
      </c>
      <c r="N131" s="9">
        <f>IF(A131="","",IF(COUNTIF('Vendors &amp; Crew'!$A$41:$A$140,A131)&gt;1,"Duplicate vendor",""))</f>
        <v/>
      </c>
      <c r="O131" s="35" t="n"/>
    </row>
    <row r="132">
      <c r="A132" s="35" t="n"/>
      <c r="B132" s="35" t="n"/>
      <c r="C132" s="35" t="n"/>
      <c r="D132" s="35" t="n"/>
      <c r="E132" s="35" t="n"/>
      <c r="F132" s="35" t="n"/>
      <c r="G132" s="40" t="n"/>
      <c r="H132" s="9">
        <f>IF(A132="","",IF(G132="","No expiry on file",IF(G132&lt;TODAY(),"EXPIRED",IF(G132-TODAY()&lt;=30,"Expiring soon","OK"))))</f>
        <v/>
      </c>
      <c r="I132" s="35" t="n"/>
      <c r="J132" s="35" t="n"/>
      <c r="K132" s="39">
        <f>IF(A132="","",SUMIFS('Job Costs'!$I$5:$I$1004,'Job Costs'!$E$5:$E$1004,A132,'Job Costs'!$A$5:$A$1004,"&gt;="&amp;DATE(Settings!$B$14,1,1),'Job Costs'!$A$5:$A$1004,"&lt;="&amp;DATE(Settings!$B$14,12,31)))</f>
        <v/>
      </c>
      <c r="L132" s="39">
        <f>IF(A132="","",SUMIFS('Job Costs'!$I$5:$I$1004,'Job Costs'!$E$5:$E$1004,A132,'Job Costs'!$J$5:$J$1004,"No"))</f>
        <v/>
      </c>
      <c r="M132" s="9">
        <f>IF(A132="","",IF(AND(J132="Yes",K132&gt;=600),"Review for 1099",""))</f>
        <v/>
      </c>
      <c r="N132" s="9">
        <f>IF(A132="","",IF(COUNTIF('Vendors &amp; Crew'!$A$41:$A$140,A132)&gt;1,"Duplicate vendor",""))</f>
        <v/>
      </c>
      <c r="O132" s="35" t="n"/>
    </row>
    <row r="133">
      <c r="A133" s="35" t="n"/>
      <c r="B133" s="35" t="n"/>
      <c r="C133" s="35" t="n"/>
      <c r="D133" s="35" t="n"/>
      <c r="E133" s="35" t="n"/>
      <c r="F133" s="35" t="n"/>
      <c r="G133" s="40" t="n"/>
      <c r="H133" s="9">
        <f>IF(A133="","",IF(G133="","No expiry on file",IF(G133&lt;TODAY(),"EXPIRED",IF(G133-TODAY()&lt;=30,"Expiring soon","OK"))))</f>
        <v/>
      </c>
      <c r="I133" s="35" t="n"/>
      <c r="J133" s="35" t="n"/>
      <c r="K133" s="39">
        <f>IF(A133="","",SUMIFS('Job Costs'!$I$5:$I$1004,'Job Costs'!$E$5:$E$1004,A133,'Job Costs'!$A$5:$A$1004,"&gt;="&amp;DATE(Settings!$B$14,1,1),'Job Costs'!$A$5:$A$1004,"&lt;="&amp;DATE(Settings!$B$14,12,31)))</f>
        <v/>
      </c>
      <c r="L133" s="39">
        <f>IF(A133="","",SUMIFS('Job Costs'!$I$5:$I$1004,'Job Costs'!$E$5:$E$1004,A133,'Job Costs'!$J$5:$J$1004,"No"))</f>
        <v/>
      </c>
      <c r="M133" s="9">
        <f>IF(A133="","",IF(AND(J133="Yes",K133&gt;=600),"Review for 1099",""))</f>
        <v/>
      </c>
      <c r="N133" s="9">
        <f>IF(A133="","",IF(COUNTIF('Vendors &amp; Crew'!$A$41:$A$140,A133)&gt;1,"Duplicate vendor",""))</f>
        <v/>
      </c>
      <c r="O133" s="35" t="n"/>
    </row>
    <row r="134">
      <c r="A134" s="35" t="n"/>
      <c r="B134" s="35" t="n"/>
      <c r="C134" s="35" t="n"/>
      <c r="D134" s="35" t="n"/>
      <c r="E134" s="35" t="n"/>
      <c r="F134" s="35" t="n"/>
      <c r="G134" s="40" t="n"/>
      <c r="H134" s="9">
        <f>IF(A134="","",IF(G134="","No expiry on file",IF(G134&lt;TODAY(),"EXPIRED",IF(G134-TODAY()&lt;=30,"Expiring soon","OK"))))</f>
        <v/>
      </c>
      <c r="I134" s="35" t="n"/>
      <c r="J134" s="35" t="n"/>
      <c r="K134" s="39">
        <f>IF(A134="","",SUMIFS('Job Costs'!$I$5:$I$1004,'Job Costs'!$E$5:$E$1004,A134,'Job Costs'!$A$5:$A$1004,"&gt;="&amp;DATE(Settings!$B$14,1,1),'Job Costs'!$A$5:$A$1004,"&lt;="&amp;DATE(Settings!$B$14,12,31)))</f>
        <v/>
      </c>
      <c r="L134" s="39">
        <f>IF(A134="","",SUMIFS('Job Costs'!$I$5:$I$1004,'Job Costs'!$E$5:$E$1004,A134,'Job Costs'!$J$5:$J$1004,"No"))</f>
        <v/>
      </c>
      <c r="M134" s="9">
        <f>IF(A134="","",IF(AND(J134="Yes",K134&gt;=600),"Review for 1099",""))</f>
        <v/>
      </c>
      <c r="N134" s="9">
        <f>IF(A134="","",IF(COUNTIF('Vendors &amp; Crew'!$A$41:$A$140,A134)&gt;1,"Duplicate vendor",""))</f>
        <v/>
      </c>
      <c r="O134" s="35" t="n"/>
    </row>
    <row r="135">
      <c r="A135" s="35" t="n"/>
      <c r="B135" s="35" t="n"/>
      <c r="C135" s="35" t="n"/>
      <c r="D135" s="35" t="n"/>
      <c r="E135" s="35" t="n"/>
      <c r="F135" s="35" t="n"/>
      <c r="G135" s="40" t="n"/>
      <c r="H135" s="9">
        <f>IF(A135="","",IF(G135="","No expiry on file",IF(G135&lt;TODAY(),"EXPIRED",IF(G135-TODAY()&lt;=30,"Expiring soon","OK"))))</f>
        <v/>
      </c>
      <c r="I135" s="35" t="n"/>
      <c r="J135" s="35" t="n"/>
      <c r="K135" s="39">
        <f>IF(A135="","",SUMIFS('Job Costs'!$I$5:$I$1004,'Job Costs'!$E$5:$E$1004,A135,'Job Costs'!$A$5:$A$1004,"&gt;="&amp;DATE(Settings!$B$14,1,1),'Job Costs'!$A$5:$A$1004,"&lt;="&amp;DATE(Settings!$B$14,12,31)))</f>
        <v/>
      </c>
      <c r="L135" s="39">
        <f>IF(A135="","",SUMIFS('Job Costs'!$I$5:$I$1004,'Job Costs'!$E$5:$E$1004,A135,'Job Costs'!$J$5:$J$1004,"No"))</f>
        <v/>
      </c>
      <c r="M135" s="9">
        <f>IF(A135="","",IF(AND(J135="Yes",K135&gt;=600),"Review for 1099",""))</f>
        <v/>
      </c>
      <c r="N135" s="9">
        <f>IF(A135="","",IF(COUNTIF('Vendors &amp; Crew'!$A$41:$A$140,A135)&gt;1,"Duplicate vendor",""))</f>
        <v/>
      </c>
      <c r="O135" s="35" t="n"/>
    </row>
    <row r="136">
      <c r="A136" s="35" t="n"/>
      <c r="B136" s="35" t="n"/>
      <c r="C136" s="35" t="n"/>
      <c r="D136" s="35" t="n"/>
      <c r="E136" s="35" t="n"/>
      <c r="F136" s="35" t="n"/>
      <c r="G136" s="40" t="n"/>
      <c r="H136" s="9">
        <f>IF(A136="","",IF(G136="","No expiry on file",IF(G136&lt;TODAY(),"EXPIRED",IF(G136-TODAY()&lt;=30,"Expiring soon","OK"))))</f>
        <v/>
      </c>
      <c r="I136" s="35" t="n"/>
      <c r="J136" s="35" t="n"/>
      <c r="K136" s="39">
        <f>IF(A136="","",SUMIFS('Job Costs'!$I$5:$I$1004,'Job Costs'!$E$5:$E$1004,A136,'Job Costs'!$A$5:$A$1004,"&gt;="&amp;DATE(Settings!$B$14,1,1),'Job Costs'!$A$5:$A$1004,"&lt;="&amp;DATE(Settings!$B$14,12,31)))</f>
        <v/>
      </c>
      <c r="L136" s="39">
        <f>IF(A136="","",SUMIFS('Job Costs'!$I$5:$I$1004,'Job Costs'!$E$5:$E$1004,A136,'Job Costs'!$J$5:$J$1004,"No"))</f>
        <v/>
      </c>
      <c r="M136" s="9">
        <f>IF(A136="","",IF(AND(J136="Yes",K136&gt;=600),"Review for 1099",""))</f>
        <v/>
      </c>
      <c r="N136" s="9">
        <f>IF(A136="","",IF(COUNTIF('Vendors &amp; Crew'!$A$41:$A$140,A136)&gt;1,"Duplicate vendor",""))</f>
        <v/>
      </c>
      <c r="O136" s="35" t="n"/>
    </row>
    <row r="137">
      <c r="A137" s="35" t="n"/>
      <c r="B137" s="35" t="n"/>
      <c r="C137" s="35" t="n"/>
      <c r="D137" s="35" t="n"/>
      <c r="E137" s="35" t="n"/>
      <c r="F137" s="35" t="n"/>
      <c r="G137" s="40" t="n"/>
      <c r="H137" s="9">
        <f>IF(A137="","",IF(G137="","No expiry on file",IF(G137&lt;TODAY(),"EXPIRED",IF(G137-TODAY()&lt;=30,"Expiring soon","OK"))))</f>
        <v/>
      </c>
      <c r="I137" s="35" t="n"/>
      <c r="J137" s="35" t="n"/>
      <c r="K137" s="39">
        <f>IF(A137="","",SUMIFS('Job Costs'!$I$5:$I$1004,'Job Costs'!$E$5:$E$1004,A137,'Job Costs'!$A$5:$A$1004,"&gt;="&amp;DATE(Settings!$B$14,1,1),'Job Costs'!$A$5:$A$1004,"&lt;="&amp;DATE(Settings!$B$14,12,31)))</f>
        <v/>
      </c>
      <c r="L137" s="39">
        <f>IF(A137="","",SUMIFS('Job Costs'!$I$5:$I$1004,'Job Costs'!$E$5:$E$1004,A137,'Job Costs'!$J$5:$J$1004,"No"))</f>
        <v/>
      </c>
      <c r="M137" s="9">
        <f>IF(A137="","",IF(AND(J137="Yes",K137&gt;=600),"Review for 1099",""))</f>
        <v/>
      </c>
      <c r="N137" s="9">
        <f>IF(A137="","",IF(COUNTIF('Vendors &amp; Crew'!$A$41:$A$140,A137)&gt;1,"Duplicate vendor",""))</f>
        <v/>
      </c>
      <c r="O137" s="35" t="n"/>
    </row>
    <row r="138">
      <c r="A138" s="35" t="n"/>
      <c r="B138" s="35" t="n"/>
      <c r="C138" s="35" t="n"/>
      <c r="D138" s="35" t="n"/>
      <c r="E138" s="35" t="n"/>
      <c r="F138" s="35" t="n"/>
      <c r="G138" s="40" t="n"/>
      <c r="H138" s="9">
        <f>IF(A138="","",IF(G138="","No expiry on file",IF(G138&lt;TODAY(),"EXPIRED",IF(G138-TODAY()&lt;=30,"Expiring soon","OK"))))</f>
        <v/>
      </c>
      <c r="I138" s="35" t="n"/>
      <c r="J138" s="35" t="n"/>
      <c r="K138" s="39">
        <f>IF(A138="","",SUMIFS('Job Costs'!$I$5:$I$1004,'Job Costs'!$E$5:$E$1004,A138,'Job Costs'!$A$5:$A$1004,"&gt;="&amp;DATE(Settings!$B$14,1,1),'Job Costs'!$A$5:$A$1004,"&lt;="&amp;DATE(Settings!$B$14,12,31)))</f>
        <v/>
      </c>
      <c r="L138" s="39">
        <f>IF(A138="","",SUMIFS('Job Costs'!$I$5:$I$1004,'Job Costs'!$E$5:$E$1004,A138,'Job Costs'!$J$5:$J$1004,"No"))</f>
        <v/>
      </c>
      <c r="M138" s="9">
        <f>IF(A138="","",IF(AND(J138="Yes",K138&gt;=600),"Review for 1099",""))</f>
        <v/>
      </c>
      <c r="N138" s="9">
        <f>IF(A138="","",IF(COUNTIF('Vendors &amp; Crew'!$A$41:$A$140,A138)&gt;1,"Duplicate vendor",""))</f>
        <v/>
      </c>
      <c r="O138" s="35" t="n"/>
    </row>
    <row r="139">
      <c r="A139" s="35" t="n"/>
      <c r="B139" s="35" t="n"/>
      <c r="C139" s="35" t="n"/>
      <c r="D139" s="35" t="n"/>
      <c r="E139" s="35" t="n"/>
      <c r="F139" s="35" t="n"/>
      <c r="G139" s="40" t="n"/>
      <c r="H139" s="9">
        <f>IF(A139="","",IF(G139="","No expiry on file",IF(G139&lt;TODAY(),"EXPIRED",IF(G139-TODAY()&lt;=30,"Expiring soon","OK"))))</f>
        <v/>
      </c>
      <c r="I139" s="35" t="n"/>
      <c r="J139" s="35" t="n"/>
      <c r="K139" s="39">
        <f>IF(A139="","",SUMIFS('Job Costs'!$I$5:$I$1004,'Job Costs'!$E$5:$E$1004,A139,'Job Costs'!$A$5:$A$1004,"&gt;="&amp;DATE(Settings!$B$14,1,1),'Job Costs'!$A$5:$A$1004,"&lt;="&amp;DATE(Settings!$B$14,12,31)))</f>
        <v/>
      </c>
      <c r="L139" s="39">
        <f>IF(A139="","",SUMIFS('Job Costs'!$I$5:$I$1004,'Job Costs'!$E$5:$E$1004,A139,'Job Costs'!$J$5:$J$1004,"No"))</f>
        <v/>
      </c>
      <c r="M139" s="9">
        <f>IF(A139="","",IF(AND(J139="Yes",K139&gt;=600),"Review for 1099",""))</f>
        <v/>
      </c>
      <c r="N139" s="9">
        <f>IF(A139="","",IF(COUNTIF('Vendors &amp; Crew'!$A$41:$A$140,A139)&gt;1,"Duplicate vendor",""))</f>
        <v/>
      </c>
      <c r="O139" s="35" t="n"/>
    </row>
    <row r="140">
      <c r="A140" s="35" t="n"/>
      <c r="B140" s="35" t="n"/>
      <c r="C140" s="35" t="n"/>
      <c r="D140" s="35" t="n"/>
      <c r="E140" s="35" t="n"/>
      <c r="F140" s="35" t="n"/>
      <c r="G140" s="40" t="n"/>
      <c r="H140" s="9">
        <f>IF(A140="","",IF(G140="","No expiry on file",IF(G140&lt;TODAY(),"EXPIRED",IF(G140-TODAY()&lt;=30,"Expiring soon","OK"))))</f>
        <v/>
      </c>
      <c r="I140" s="35" t="n"/>
      <c r="J140" s="35" t="n"/>
      <c r="K140" s="39">
        <f>IF(A140="","",SUMIFS('Job Costs'!$I$5:$I$1004,'Job Costs'!$E$5:$E$1004,A140,'Job Costs'!$A$5:$A$1004,"&gt;="&amp;DATE(Settings!$B$14,1,1),'Job Costs'!$A$5:$A$1004,"&lt;="&amp;DATE(Settings!$B$14,12,31)))</f>
        <v/>
      </c>
      <c r="L140" s="39">
        <f>IF(A140="","",SUMIFS('Job Costs'!$I$5:$I$1004,'Job Costs'!$E$5:$E$1004,A140,'Job Costs'!$J$5:$J$1004,"No"))</f>
        <v/>
      </c>
      <c r="M140" s="9">
        <f>IF(A140="","",IF(AND(J140="Yes",K140&gt;=600),"Review for 1099",""))</f>
        <v/>
      </c>
      <c r="N140" s="9">
        <f>IF(A140="","",IF(COUNTIF('Vendors &amp; Crew'!$A$41:$A$140,A140)&gt;1,"Duplicate vendor",""))</f>
        <v/>
      </c>
      <c r="O140" s="35" t="n"/>
    </row>
    <row r="142">
      <c r="A142" s="14" t="inlineStr">
        <is>
          <t>1099 flag is informational only (US vendors paid $600+ in the year and marked eligible). Confirm requirements with your tax professional.</t>
        </is>
      </c>
    </row>
  </sheetData>
  <conditionalFormatting sqref="H41:H140">
    <cfRule type="cellIs" priority="1" operator="equal" dxfId="1">
      <formula>"EXPIRED"</formula>
    </cfRule>
    <cfRule type="cellIs" priority="2" operator="equal" dxfId="0">
      <formula>"Expiring soon"</formula>
    </cfRule>
    <cfRule type="cellIs" priority="3" operator="equal" dxfId="2">
      <formula>"OK"</formula>
    </cfRule>
  </conditionalFormatting>
  <conditionalFormatting sqref="M41:M140">
    <cfRule type="cellIs" priority="4" operator="equal" dxfId="0">
      <formula>"Review for 1099"</formula>
    </cfRule>
  </conditionalFormatting>
  <conditionalFormatting sqref="L41:L140">
    <cfRule type="expression" priority="5" dxfId="0">
      <formula>AND(L41&lt;&gt;"",L41&gt;0)</formula>
    </cfRule>
  </conditionalFormatting>
  <dataValidations count="3">
    <dataValidation sqref="B41:B140" showDropDown="0" showInputMessage="0" showErrorMessage="0" allowBlank="1" type="list">
      <formula1>=Settings!$L$5:$L$8</formula1>
    </dataValidation>
    <dataValidation sqref="I41:I140" showDropDown="0" showInputMessage="0" showErrorMessage="0" allowBlank="1" type="list">
      <formula1>"Yes,No"</formula1>
    </dataValidation>
    <dataValidation sqref="J41:J140" showDropDown="0" showInputMessage="0" showErrorMessage="0" allowBlank="1" type="list">
      <formula1>"Yes,No"</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6.xml><?xml version="1.0" encoding="utf-8"?>
<worksheet xmlns="http://schemas.openxmlformats.org/spreadsheetml/2006/main">
  <sheetPr>
    <tabColor rgb="004A86C8"/>
    <outlinePr summaryBelow="1" summaryRight="1"/>
    <pageSetUpPr fitToPage="1"/>
  </sheetPr>
  <dimension ref="A1:G204"/>
  <sheetViews>
    <sheetView showGridLines="0" tabSelected="0" workbookViewId="0">
      <pane xSplit="1" ySplit="4" topLeftCell="B5" activePane="bottomRight" state="frozen"/>
      <selection pane="topRight"/>
      <selection pane="bottomLeft"/>
      <selection pane="bottomRight" activeCell="A5" sqref="A5"/>
    </sheetView>
  </sheetViews>
  <sheetFormatPr baseColWidth="8" defaultRowHeight="15"/>
  <cols>
    <col width="40" customWidth="1" min="1" max="1"/>
    <col width="10" customWidth="1" min="2" max="2"/>
    <col width="8" customWidth="1" min="3" max="3"/>
    <col width="14" customWidth="1" min="4" max="4"/>
    <col width="14" customWidth="1" min="5" max="5"/>
    <col width="12" customWidth="1" min="6" max="6"/>
    <col width="30" customWidth="1" min="7" max="7"/>
  </cols>
  <sheetData>
    <row r="1">
      <c r="A1" s="13" t="inlineStr">
        <is>
          <t>Cost Library (price book)</t>
        </is>
      </c>
    </row>
    <row r="2">
      <c r="A2" s="14" t="inlineStr">
        <is>
          <t>Save the items you estimate repeatedly. On the Estimate sheet, pick a Library Item and the unit and unit cost fill in unless you type your own.</t>
        </is>
      </c>
    </row>
    <row r="4" ht="30" customHeight="1">
      <c r="A4" s="24" t="inlineStr">
        <is>
          <t>Item</t>
        </is>
      </c>
      <c r="B4" s="24" t="inlineStr">
        <is>
          <t>Cost Code</t>
        </is>
      </c>
      <c r="C4" s="24" t="inlineStr">
        <is>
          <t>Unit</t>
        </is>
      </c>
      <c r="D4" s="24" t="inlineStr">
        <is>
          <t>Unit Cost</t>
        </is>
      </c>
      <c r="E4" s="24" t="inlineStr">
        <is>
          <t>Category</t>
        </is>
      </c>
      <c r="F4" s="24" t="inlineStr">
        <is>
          <t>Used in estimates</t>
        </is>
      </c>
      <c r="G4" s="24" t="inlineStr">
        <is>
          <t>Notes</t>
        </is>
      </c>
    </row>
    <row r="5">
      <c r="A5" s="35" t="n"/>
      <c r="B5" s="35" t="n"/>
      <c r="C5" s="35" t="n"/>
      <c r="D5" s="37" t="n"/>
      <c r="E5" s="9">
        <f>IF(B5="","",IFERROR(VLOOKUP(B5,Settings!$E$5:$G$28,3,FALSE),"Other"))</f>
        <v/>
      </c>
      <c r="F5" s="9">
        <f>IF(A5="","",COUNTIF(Estimate!$C$5:$C$404,A5))</f>
        <v/>
      </c>
      <c r="G5" s="35" t="n"/>
    </row>
    <row r="6">
      <c r="A6" s="35" t="n"/>
      <c r="B6" s="35" t="n"/>
      <c r="C6" s="35" t="n"/>
      <c r="D6" s="37" t="n"/>
      <c r="E6" s="9">
        <f>IF(B6="","",IFERROR(VLOOKUP(B6,Settings!$E$5:$G$28,3,FALSE),"Other"))</f>
        <v/>
      </c>
      <c r="F6" s="9">
        <f>IF(A6="","",COUNTIF(Estimate!$C$5:$C$404,A6))</f>
        <v/>
      </c>
      <c r="G6" s="35" t="n"/>
    </row>
    <row r="7">
      <c r="A7" s="35" t="n"/>
      <c r="B7" s="35" t="n"/>
      <c r="C7" s="35" t="n"/>
      <c r="D7" s="37" t="n"/>
      <c r="E7" s="9">
        <f>IF(B7="","",IFERROR(VLOOKUP(B7,Settings!$E$5:$G$28,3,FALSE),"Other"))</f>
        <v/>
      </c>
      <c r="F7" s="9">
        <f>IF(A7="","",COUNTIF(Estimate!$C$5:$C$404,A7))</f>
        <v/>
      </c>
      <c r="G7" s="35" t="n"/>
    </row>
    <row r="8">
      <c r="A8" s="35" t="n"/>
      <c r="B8" s="35" t="n"/>
      <c r="C8" s="35" t="n"/>
      <c r="D8" s="37" t="n"/>
      <c r="E8" s="9">
        <f>IF(B8="","",IFERROR(VLOOKUP(B8,Settings!$E$5:$G$28,3,FALSE),"Other"))</f>
        <v/>
      </c>
      <c r="F8" s="9">
        <f>IF(A8="","",COUNTIF(Estimate!$C$5:$C$404,A8))</f>
        <v/>
      </c>
      <c r="G8" s="35" t="n"/>
    </row>
    <row r="9">
      <c r="A9" s="35" t="n"/>
      <c r="B9" s="35" t="n"/>
      <c r="C9" s="35" t="n"/>
      <c r="D9" s="37" t="n"/>
      <c r="E9" s="9">
        <f>IF(B9="","",IFERROR(VLOOKUP(B9,Settings!$E$5:$G$28,3,FALSE),"Other"))</f>
        <v/>
      </c>
      <c r="F9" s="9">
        <f>IF(A9="","",COUNTIF(Estimate!$C$5:$C$404,A9))</f>
        <v/>
      </c>
      <c r="G9" s="35" t="n"/>
    </row>
    <row r="10">
      <c r="A10" s="35" t="n"/>
      <c r="B10" s="35" t="n"/>
      <c r="C10" s="35" t="n"/>
      <c r="D10" s="37" t="n"/>
      <c r="E10" s="9">
        <f>IF(B10="","",IFERROR(VLOOKUP(B10,Settings!$E$5:$G$28,3,FALSE),"Other"))</f>
        <v/>
      </c>
      <c r="F10" s="9">
        <f>IF(A10="","",COUNTIF(Estimate!$C$5:$C$404,A10))</f>
        <v/>
      </c>
      <c r="G10" s="35" t="n"/>
    </row>
    <row r="11">
      <c r="A11" s="35" t="n"/>
      <c r="B11" s="35" t="n"/>
      <c r="C11" s="35" t="n"/>
      <c r="D11" s="37" t="n"/>
      <c r="E11" s="9">
        <f>IF(B11="","",IFERROR(VLOOKUP(B11,Settings!$E$5:$G$28,3,FALSE),"Other"))</f>
        <v/>
      </c>
      <c r="F11" s="9">
        <f>IF(A11="","",COUNTIF(Estimate!$C$5:$C$404,A11))</f>
        <v/>
      </c>
      <c r="G11" s="35" t="n"/>
    </row>
    <row r="12">
      <c r="A12" s="35" t="n"/>
      <c r="B12" s="35" t="n"/>
      <c r="C12" s="35" t="n"/>
      <c r="D12" s="37" t="n"/>
      <c r="E12" s="9">
        <f>IF(B12="","",IFERROR(VLOOKUP(B12,Settings!$E$5:$G$28,3,FALSE),"Other"))</f>
        <v/>
      </c>
      <c r="F12" s="9">
        <f>IF(A12="","",COUNTIF(Estimate!$C$5:$C$404,A12))</f>
        <v/>
      </c>
      <c r="G12" s="35" t="n"/>
    </row>
    <row r="13">
      <c r="A13" s="35" t="n"/>
      <c r="B13" s="35" t="n"/>
      <c r="C13" s="35" t="n"/>
      <c r="D13" s="37" t="n"/>
      <c r="E13" s="9">
        <f>IF(B13="","",IFERROR(VLOOKUP(B13,Settings!$E$5:$G$28,3,FALSE),"Other"))</f>
        <v/>
      </c>
      <c r="F13" s="9">
        <f>IF(A13="","",COUNTIF(Estimate!$C$5:$C$404,A13))</f>
        <v/>
      </c>
      <c r="G13" s="35" t="n"/>
    </row>
    <row r="14">
      <c r="A14" s="35" t="n"/>
      <c r="B14" s="35" t="n"/>
      <c r="C14" s="35" t="n"/>
      <c r="D14" s="37" t="n"/>
      <c r="E14" s="9">
        <f>IF(B14="","",IFERROR(VLOOKUP(B14,Settings!$E$5:$G$28,3,FALSE),"Other"))</f>
        <v/>
      </c>
      <c r="F14" s="9">
        <f>IF(A14="","",COUNTIF(Estimate!$C$5:$C$404,A14))</f>
        <v/>
      </c>
      <c r="G14" s="35" t="n"/>
    </row>
    <row r="15">
      <c r="A15" s="35" t="n"/>
      <c r="B15" s="35" t="n"/>
      <c r="C15" s="35" t="n"/>
      <c r="D15" s="37" t="n"/>
      <c r="E15" s="9">
        <f>IF(B15="","",IFERROR(VLOOKUP(B15,Settings!$E$5:$G$28,3,FALSE),"Other"))</f>
        <v/>
      </c>
      <c r="F15" s="9">
        <f>IF(A15="","",COUNTIF(Estimate!$C$5:$C$404,A15))</f>
        <v/>
      </c>
      <c r="G15" s="35" t="n"/>
    </row>
    <row r="16">
      <c r="A16" s="35" t="n"/>
      <c r="B16" s="35" t="n"/>
      <c r="C16" s="35" t="n"/>
      <c r="D16" s="37" t="n"/>
      <c r="E16" s="9">
        <f>IF(B16="","",IFERROR(VLOOKUP(B16,Settings!$E$5:$G$28,3,FALSE),"Other"))</f>
        <v/>
      </c>
      <c r="F16" s="9">
        <f>IF(A16="","",COUNTIF(Estimate!$C$5:$C$404,A16))</f>
        <v/>
      </c>
      <c r="G16" s="35" t="n"/>
    </row>
    <row r="17">
      <c r="A17" s="35" t="n"/>
      <c r="B17" s="35" t="n"/>
      <c r="C17" s="35" t="n"/>
      <c r="D17" s="37" t="n"/>
      <c r="E17" s="9">
        <f>IF(B17="","",IFERROR(VLOOKUP(B17,Settings!$E$5:$G$28,3,FALSE),"Other"))</f>
        <v/>
      </c>
      <c r="F17" s="9">
        <f>IF(A17="","",COUNTIF(Estimate!$C$5:$C$404,A17))</f>
        <v/>
      </c>
      <c r="G17" s="35" t="n"/>
    </row>
    <row r="18">
      <c r="A18" s="35" t="n"/>
      <c r="B18" s="35" t="n"/>
      <c r="C18" s="35" t="n"/>
      <c r="D18" s="37" t="n"/>
      <c r="E18" s="9">
        <f>IF(B18="","",IFERROR(VLOOKUP(B18,Settings!$E$5:$G$28,3,FALSE),"Other"))</f>
        <v/>
      </c>
      <c r="F18" s="9">
        <f>IF(A18="","",COUNTIF(Estimate!$C$5:$C$404,A18))</f>
        <v/>
      </c>
      <c r="G18" s="35" t="n"/>
    </row>
    <row r="19">
      <c r="A19" s="35" t="n"/>
      <c r="B19" s="35" t="n"/>
      <c r="C19" s="35" t="n"/>
      <c r="D19" s="37" t="n"/>
      <c r="E19" s="9">
        <f>IF(B19="","",IFERROR(VLOOKUP(B19,Settings!$E$5:$G$28,3,FALSE),"Other"))</f>
        <v/>
      </c>
      <c r="F19" s="9">
        <f>IF(A19="","",COUNTIF(Estimate!$C$5:$C$404,A19))</f>
        <v/>
      </c>
      <c r="G19" s="35" t="n"/>
    </row>
    <row r="20">
      <c r="A20" s="35" t="n"/>
      <c r="B20" s="35" t="n"/>
      <c r="C20" s="35" t="n"/>
      <c r="D20" s="37" t="n"/>
      <c r="E20" s="9">
        <f>IF(B20="","",IFERROR(VLOOKUP(B20,Settings!$E$5:$G$28,3,FALSE),"Other"))</f>
        <v/>
      </c>
      <c r="F20" s="9">
        <f>IF(A20="","",COUNTIF(Estimate!$C$5:$C$404,A20))</f>
        <v/>
      </c>
      <c r="G20" s="35" t="n"/>
    </row>
    <row r="21">
      <c r="A21" s="35" t="n"/>
      <c r="B21" s="35" t="n"/>
      <c r="C21" s="35" t="n"/>
      <c r="D21" s="37" t="n"/>
      <c r="E21" s="9">
        <f>IF(B21="","",IFERROR(VLOOKUP(B21,Settings!$E$5:$G$28,3,FALSE),"Other"))</f>
        <v/>
      </c>
      <c r="F21" s="9">
        <f>IF(A21="","",COUNTIF(Estimate!$C$5:$C$404,A21))</f>
        <v/>
      </c>
      <c r="G21" s="35" t="n"/>
    </row>
    <row r="22">
      <c r="A22" s="35" t="n"/>
      <c r="B22" s="35" t="n"/>
      <c r="C22" s="35" t="n"/>
      <c r="D22" s="37" t="n"/>
      <c r="E22" s="9">
        <f>IF(B22="","",IFERROR(VLOOKUP(B22,Settings!$E$5:$G$28,3,FALSE),"Other"))</f>
        <v/>
      </c>
      <c r="F22" s="9">
        <f>IF(A22="","",COUNTIF(Estimate!$C$5:$C$404,A22))</f>
        <v/>
      </c>
      <c r="G22" s="35" t="n"/>
    </row>
    <row r="23">
      <c r="A23" s="35" t="n"/>
      <c r="B23" s="35" t="n"/>
      <c r="C23" s="35" t="n"/>
      <c r="D23" s="37" t="n"/>
      <c r="E23" s="9">
        <f>IF(B23="","",IFERROR(VLOOKUP(B23,Settings!$E$5:$G$28,3,FALSE),"Other"))</f>
        <v/>
      </c>
      <c r="F23" s="9">
        <f>IF(A23="","",COUNTIF(Estimate!$C$5:$C$404,A23))</f>
        <v/>
      </c>
      <c r="G23" s="35" t="n"/>
    </row>
    <row r="24">
      <c r="A24" s="35" t="n"/>
      <c r="B24" s="35" t="n"/>
      <c r="C24" s="35" t="n"/>
      <c r="D24" s="37" t="n"/>
      <c r="E24" s="9">
        <f>IF(B24="","",IFERROR(VLOOKUP(B24,Settings!$E$5:$G$28,3,FALSE),"Other"))</f>
        <v/>
      </c>
      <c r="F24" s="9">
        <f>IF(A24="","",COUNTIF(Estimate!$C$5:$C$404,A24))</f>
        <v/>
      </c>
      <c r="G24" s="35" t="n"/>
    </row>
    <row r="25">
      <c r="A25" s="35" t="n"/>
      <c r="B25" s="35" t="n"/>
      <c r="C25" s="35" t="n"/>
      <c r="D25" s="37" t="n"/>
      <c r="E25" s="9">
        <f>IF(B25="","",IFERROR(VLOOKUP(B25,Settings!$E$5:$G$28,3,FALSE),"Other"))</f>
        <v/>
      </c>
      <c r="F25" s="9">
        <f>IF(A25="","",COUNTIF(Estimate!$C$5:$C$404,A25))</f>
        <v/>
      </c>
      <c r="G25" s="35" t="n"/>
    </row>
    <row r="26">
      <c r="A26" s="35" t="n"/>
      <c r="B26" s="35" t="n"/>
      <c r="C26" s="35" t="n"/>
      <c r="D26" s="37" t="n"/>
      <c r="E26" s="9">
        <f>IF(B26="","",IFERROR(VLOOKUP(B26,Settings!$E$5:$G$28,3,FALSE),"Other"))</f>
        <v/>
      </c>
      <c r="F26" s="9">
        <f>IF(A26="","",COUNTIF(Estimate!$C$5:$C$404,A26))</f>
        <v/>
      </c>
      <c r="G26" s="35" t="n"/>
    </row>
    <row r="27">
      <c r="A27" s="35" t="n"/>
      <c r="B27" s="35" t="n"/>
      <c r="C27" s="35" t="n"/>
      <c r="D27" s="37" t="n"/>
      <c r="E27" s="9">
        <f>IF(B27="","",IFERROR(VLOOKUP(B27,Settings!$E$5:$G$28,3,FALSE),"Other"))</f>
        <v/>
      </c>
      <c r="F27" s="9">
        <f>IF(A27="","",COUNTIF(Estimate!$C$5:$C$404,A27))</f>
        <v/>
      </c>
      <c r="G27" s="35" t="n"/>
    </row>
    <row r="28">
      <c r="A28" s="35" t="n"/>
      <c r="B28" s="35" t="n"/>
      <c r="C28" s="35" t="n"/>
      <c r="D28" s="37" t="n"/>
      <c r="E28" s="9">
        <f>IF(B28="","",IFERROR(VLOOKUP(B28,Settings!$E$5:$G$28,3,FALSE),"Other"))</f>
        <v/>
      </c>
      <c r="F28" s="9">
        <f>IF(A28="","",COUNTIF(Estimate!$C$5:$C$404,A28))</f>
        <v/>
      </c>
      <c r="G28" s="35" t="n"/>
    </row>
    <row r="29">
      <c r="A29" s="35" t="n"/>
      <c r="B29" s="35" t="n"/>
      <c r="C29" s="35" t="n"/>
      <c r="D29" s="37" t="n"/>
      <c r="E29" s="9">
        <f>IF(B29="","",IFERROR(VLOOKUP(B29,Settings!$E$5:$G$28,3,FALSE),"Other"))</f>
        <v/>
      </c>
      <c r="F29" s="9">
        <f>IF(A29="","",COUNTIF(Estimate!$C$5:$C$404,A29))</f>
        <v/>
      </c>
      <c r="G29" s="35" t="n"/>
    </row>
    <row r="30">
      <c r="A30" s="35" t="n"/>
      <c r="B30" s="35" t="n"/>
      <c r="C30" s="35" t="n"/>
      <c r="D30" s="37" t="n"/>
      <c r="E30" s="9">
        <f>IF(B30="","",IFERROR(VLOOKUP(B30,Settings!$E$5:$G$28,3,FALSE),"Other"))</f>
        <v/>
      </c>
      <c r="F30" s="9">
        <f>IF(A30="","",COUNTIF(Estimate!$C$5:$C$404,A30))</f>
        <v/>
      </c>
      <c r="G30" s="35" t="n"/>
    </row>
    <row r="31">
      <c r="A31" s="35" t="n"/>
      <c r="B31" s="35" t="n"/>
      <c r="C31" s="35" t="n"/>
      <c r="D31" s="37" t="n"/>
      <c r="E31" s="9">
        <f>IF(B31="","",IFERROR(VLOOKUP(B31,Settings!$E$5:$G$28,3,FALSE),"Other"))</f>
        <v/>
      </c>
      <c r="F31" s="9">
        <f>IF(A31="","",COUNTIF(Estimate!$C$5:$C$404,A31))</f>
        <v/>
      </c>
      <c r="G31" s="35" t="n"/>
    </row>
    <row r="32">
      <c r="A32" s="35" t="n"/>
      <c r="B32" s="35" t="n"/>
      <c r="C32" s="35" t="n"/>
      <c r="D32" s="37" t="n"/>
      <c r="E32" s="9">
        <f>IF(B32="","",IFERROR(VLOOKUP(B32,Settings!$E$5:$G$28,3,FALSE),"Other"))</f>
        <v/>
      </c>
      <c r="F32" s="9">
        <f>IF(A32="","",COUNTIF(Estimate!$C$5:$C$404,A32))</f>
        <v/>
      </c>
      <c r="G32" s="35" t="n"/>
    </row>
    <row r="33">
      <c r="A33" s="35" t="n"/>
      <c r="B33" s="35" t="n"/>
      <c r="C33" s="35" t="n"/>
      <c r="D33" s="37" t="n"/>
      <c r="E33" s="9">
        <f>IF(B33="","",IFERROR(VLOOKUP(B33,Settings!$E$5:$G$28,3,FALSE),"Other"))</f>
        <v/>
      </c>
      <c r="F33" s="9">
        <f>IF(A33="","",COUNTIF(Estimate!$C$5:$C$404,A33))</f>
        <v/>
      </c>
      <c r="G33" s="35" t="n"/>
    </row>
    <row r="34">
      <c r="A34" s="35" t="n"/>
      <c r="B34" s="35" t="n"/>
      <c r="C34" s="35" t="n"/>
      <c r="D34" s="37" t="n"/>
      <c r="E34" s="9">
        <f>IF(B34="","",IFERROR(VLOOKUP(B34,Settings!$E$5:$G$28,3,FALSE),"Other"))</f>
        <v/>
      </c>
      <c r="F34" s="9">
        <f>IF(A34="","",COUNTIF(Estimate!$C$5:$C$404,A34))</f>
        <v/>
      </c>
      <c r="G34" s="35" t="n"/>
    </row>
    <row r="35">
      <c r="A35" s="35" t="n"/>
      <c r="B35" s="35" t="n"/>
      <c r="C35" s="35" t="n"/>
      <c r="D35" s="37" t="n"/>
      <c r="E35" s="9">
        <f>IF(B35="","",IFERROR(VLOOKUP(B35,Settings!$E$5:$G$28,3,FALSE),"Other"))</f>
        <v/>
      </c>
      <c r="F35" s="9">
        <f>IF(A35="","",COUNTIF(Estimate!$C$5:$C$404,A35))</f>
        <v/>
      </c>
      <c r="G35" s="35" t="n"/>
    </row>
    <row r="36">
      <c r="A36" s="35" t="n"/>
      <c r="B36" s="35" t="n"/>
      <c r="C36" s="35" t="n"/>
      <c r="D36" s="37" t="n"/>
      <c r="E36" s="9">
        <f>IF(B36="","",IFERROR(VLOOKUP(B36,Settings!$E$5:$G$28,3,FALSE),"Other"))</f>
        <v/>
      </c>
      <c r="F36" s="9">
        <f>IF(A36="","",COUNTIF(Estimate!$C$5:$C$404,A36))</f>
        <v/>
      </c>
      <c r="G36" s="35" t="n"/>
    </row>
    <row r="37">
      <c r="A37" s="35" t="n"/>
      <c r="B37" s="35" t="n"/>
      <c r="C37" s="35" t="n"/>
      <c r="D37" s="37" t="n"/>
      <c r="E37" s="9">
        <f>IF(B37="","",IFERROR(VLOOKUP(B37,Settings!$E$5:$G$28,3,FALSE),"Other"))</f>
        <v/>
      </c>
      <c r="F37" s="9">
        <f>IF(A37="","",COUNTIF(Estimate!$C$5:$C$404,A37))</f>
        <v/>
      </c>
      <c r="G37" s="35" t="n"/>
    </row>
    <row r="38">
      <c r="A38" s="35" t="n"/>
      <c r="B38" s="35" t="n"/>
      <c r="C38" s="35" t="n"/>
      <c r="D38" s="37" t="n"/>
      <c r="E38" s="9">
        <f>IF(B38="","",IFERROR(VLOOKUP(B38,Settings!$E$5:$G$28,3,FALSE),"Other"))</f>
        <v/>
      </c>
      <c r="F38" s="9">
        <f>IF(A38="","",COUNTIF(Estimate!$C$5:$C$404,A38))</f>
        <v/>
      </c>
      <c r="G38" s="35" t="n"/>
    </row>
    <row r="39">
      <c r="A39" s="35" t="n"/>
      <c r="B39" s="35" t="n"/>
      <c r="C39" s="35" t="n"/>
      <c r="D39" s="37" t="n"/>
      <c r="E39" s="9">
        <f>IF(B39="","",IFERROR(VLOOKUP(B39,Settings!$E$5:$G$28,3,FALSE),"Other"))</f>
        <v/>
      </c>
      <c r="F39" s="9">
        <f>IF(A39="","",COUNTIF(Estimate!$C$5:$C$404,A39))</f>
        <v/>
      </c>
      <c r="G39" s="35" t="n"/>
    </row>
    <row r="40">
      <c r="A40" s="35" t="n"/>
      <c r="B40" s="35" t="n"/>
      <c r="C40" s="35" t="n"/>
      <c r="D40" s="37" t="n"/>
      <c r="E40" s="9">
        <f>IF(B40="","",IFERROR(VLOOKUP(B40,Settings!$E$5:$G$28,3,FALSE),"Other"))</f>
        <v/>
      </c>
      <c r="F40" s="9">
        <f>IF(A40="","",COUNTIF(Estimate!$C$5:$C$404,A40))</f>
        <v/>
      </c>
      <c r="G40" s="35" t="n"/>
    </row>
    <row r="41">
      <c r="A41" s="35" t="n"/>
      <c r="B41" s="35" t="n"/>
      <c r="C41" s="35" t="n"/>
      <c r="D41" s="37" t="n"/>
      <c r="E41" s="9">
        <f>IF(B41="","",IFERROR(VLOOKUP(B41,Settings!$E$5:$G$28,3,FALSE),"Other"))</f>
        <v/>
      </c>
      <c r="F41" s="9">
        <f>IF(A41="","",COUNTIF(Estimate!$C$5:$C$404,A41))</f>
        <v/>
      </c>
      <c r="G41" s="35" t="n"/>
    </row>
    <row r="42">
      <c r="A42" s="35" t="n"/>
      <c r="B42" s="35" t="n"/>
      <c r="C42" s="35" t="n"/>
      <c r="D42" s="37" t="n"/>
      <c r="E42" s="9">
        <f>IF(B42="","",IFERROR(VLOOKUP(B42,Settings!$E$5:$G$28,3,FALSE),"Other"))</f>
        <v/>
      </c>
      <c r="F42" s="9">
        <f>IF(A42="","",COUNTIF(Estimate!$C$5:$C$404,A42))</f>
        <v/>
      </c>
      <c r="G42" s="35" t="n"/>
    </row>
    <row r="43">
      <c r="A43" s="35" t="n"/>
      <c r="B43" s="35" t="n"/>
      <c r="C43" s="35" t="n"/>
      <c r="D43" s="37" t="n"/>
      <c r="E43" s="9">
        <f>IF(B43="","",IFERROR(VLOOKUP(B43,Settings!$E$5:$G$28,3,FALSE),"Other"))</f>
        <v/>
      </c>
      <c r="F43" s="9">
        <f>IF(A43="","",COUNTIF(Estimate!$C$5:$C$404,A43))</f>
        <v/>
      </c>
      <c r="G43" s="35" t="n"/>
    </row>
    <row r="44">
      <c r="A44" s="35" t="n"/>
      <c r="B44" s="35" t="n"/>
      <c r="C44" s="35" t="n"/>
      <c r="D44" s="37" t="n"/>
      <c r="E44" s="9">
        <f>IF(B44="","",IFERROR(VLOOKUP(B44,Settings!$E$5:$G$28,3,FALSE),"Other"))</f>
        <v/>
      </c>
      <c r="F44" s="9">
        <f>IF(A44="","",COUNTIF(Estimate!$C$5:$C$404,A44))</f>
        <v/>
      </c>
      <c r="G44" s="35" t="n"/>
    </row>
    <row r="45">
      <c r="A45" s="35" t="n"/>
      <c r="B45" s="35" t="n"/>
      <c r="C45" s="35" t="n"/>
      <c r="D45" s="37" t="n"/>
      <c r="E45" s="9">
        <f>IF(B45="","",IFERROR(VLOOKUP(B45,Settings!$E$5:$G$28,3,FALSE),"Other"))</f>
        <v/>
      </c>
      <c r="F45" s="9">
        <f>IF(A45="","",COUNTIF(Estimate!$C$5:$C$404,A45))</f>
        <v/>
      </c>
      <c r="G45" s="35" t="n"/>
    </row>
    <row r="46">
      <c r="A46" s="35" t="n"/>
      <c r="B46" s="35" t="n"/>
      <c r="C46" s="35" t="n"/>
      <c r="D46" s="37" t="n"/>
      <c r="E46" s="9">
        <f>IF(B46="","",IFERROR(VLOOKUP(B46,Settings!$E$5:$G$28,3,FALSE),"Other"))</f>
        <v/>
      </c>
      <c r="F46" s="9">
        <f>IF(A46="","",COUNTIF(Estimate!$C$5:$C$404,A46))</f>
        <v/>
      </c>
      <c r="G46" s="35" t="n"/>
    </row>
    <row r="47">
      <c r="A47" s="35" t="n"/>
      <c r="B47" s="35" t="n"/>
      <c r="C47" s="35" t="n"/>
      <c r="D47" s="37" t="n"/>
      <c r="E47" s="9">
        <f>IF(B47="","",IFERROR(VLOOKUP(B47,Settings!$E$5:$G$28,3,FALSE),"Other"))</f>
        <v/>
      </c>
      <c r="F47" s="9">
        <f>IF(A47="","",COUNTIF(Estimate!$C$5:$C$404,A47))</f>
        <v/>
      </c>
      <c r="G47" s="35" t="n"/>
    </row>
    <row r="48">
      <c r="A48" s="35" t="n"/>
      <c r="B48" s="35" t="n"/>
      <c r="C48" s="35" t="n"/>
      <c r="D48" s="37" t="n"/>
      <c r="E48" s="9">
        <f>IF(B48="","",IFERROR(VLOOKUP(B48,Settings!$E$5:$G$28,3,FALSE),"Other"))</f>
        <v/>
      </c>
      <c r="F48" s="9">
        <f>IF(A48="","",COUNTIF(Estimate!$C$5:$C$404,A48))</f>
        <v/>
      </c>
      <c r="G48" s="35" t="n"/>
    </row>
    <row r="49">
      <c r="A49" s="35" t="n"/>
      <c r="B49" s="35" t="n"/>
      <c r="C49" s="35" t="n"/>
      <c r="D49" s="37" t="n"/>
      <c r="E49" s="9">
        <f>IF(B49="","",IFERROR(VLOOKUP(B49,Settings!$E$5:$G$28,3,FALSE),"Other"))</f>
        <v/>
      </c>
      <c r="F49" s="9">
        <f>IF(A49="","",COUNTIF(Estimate!$C$5:$C$404,A49))</f>
        <v/>
      </c>
      <c r="G49" s="35" t="n"/>
    </row>
    <row r="50">
      <c r="A50" s="35" t="n"/>
      <c r="B50" s="35" t="n"/>
      <c r="C50" s="35" t="n"/>
      <c r="D50" s="37" t="n"/>
      <c r="E50" s="9">
        <f>IF(B50="","",IFERROR(VLOOKUP(B50,Settings!$E$5:$G$28,3,FALSE),"Other"))</f>
        <v/>
      </c>
      <c r="F50" s="9">
        <f>IF(A50="","",COUNTIF(Estimate!$C$5:$C$404,A50))</f>
        <v/>
      </c>
      <c r="G50" s="35" t="n"/>
    </row>
    <row r="51">
      <c r="A51" s="35" t="n"/>
      <c r="B51" s="35" t="n"/>
      <c r="C51" s="35" t="n"/>
      <c r="D51" s="37" t="n"/>
      <c r="E51" s="9">
        <f>IF(B51="","",IFERROR(VLOOKUP(B51,Settings!$E$5:$G$28,3,FALSE),"Other"))</f>
        <v/>
      </c>
      <c r="F51" s="9">
        <f>IF(A51="","",COUNTIF(Estimate!$C$5:$C$404,A51))</f>
        <v/>
      </c>
      <c r="G51" s="35" t="n"/>
    </row>
    <row r="52">
      <c r="A52" s="35" t="n"/>
      <c r="B52" s="35" t="n"/>
      <c r="C52" s="35" t="n"/>
      <c r="D52" s="37" t="n"/>
      <c r="E52" s="9">
        <f>IF(B52="","",IFERROR(VLOOKUP(B52,Settings!$E$5:$G$28,3,FALSE),"Other"))</f>
        <v/>
      </c>
      <c r="F52" s="9">
        <f>IF(A52="","",COUNTIF(Estimate!$C$5:$C$404,A52))</f>
        <v/>
      </c>
      <c r="G52" s="35" t="n"/>
    </row>
    <row r="53">
      <c r="A53" s="35" t="n"/>
      <c r="B53" s="35" t="n"/>
      <c r="C53" s="35" t="n"/>
      <c r="D53" s="37" t="n"/>
      <c r="E53" s="9">
        <f>IF(B53="","",IFERROR(VLOOKUP(B53,Settings!$E$5:$G$28,3,FALSE),"Other"))</f>
        <v/>
      </c>
      <c r="F53" s="9">
        <f>IF(A53="","",COUNTIF(Estimate!$C$5:$C$404,A53))</f>
        <v/>
      </c>
      <c r="G53" s="35" t="n"/>
    </row>
    <row r="54">
      <c r="A54" s="35" t="n"/>
      <c r="B54" s="35" t="n"/>
      <c r="C54" s="35" t="n"/>
      <c r="D54" s="37" t="n"/>
      <c r="E54" s="9">
        <f>IF(B54="","",IFERROR(VLOOKUP(B54,Settings!$E$5:$G$28,3,FALSE),"Other"))</f>
        <v/>
      </c>
      <c r="F54" s="9">
        <f>IF(A54="","",COUNTIF(Estimate!$C$5:$C$404,A54))</f>
        <v/>
      </c>
      <c r="G54" s="35" t="n"/>
    </row>
    <row r="55">
      <c r="A55" s="35" t="n"/>
      <c r="B55" s="35" t="n"/>
      <c r="C55" s="35" t="n"/>
      <c r="D55" s="37" t="n"/>
      <c r="E55" s="9">
        <f>IF(B55="","",IFERROR(VLOOKUP(B55,Settings!$E$5:$G$28,3,FALSE),"Other"))</f>
        <v/>
      </c>
      <c r="F55" s="9">
        <f>IF(A55="","",COUNTIF(Estimate!$C$5:$C$404,A55))</f>
        <v/>
      </c>
      <c r="G55" s="35" t="n"/>
    </row>
    <row r="56">
      <c r="A56" s="35" t="n"/>
      <c r="B56" s="35" t="n"/>
      <c r="C56" s="35" t="n"/>
      <c r="D56" s="37" t="n"/>
      <c r="E56" s="9">
        <f>IF(B56="","",IFERROR(VLOOKUP(B56,Settings!$E$5:$G$28,3,FALSE),"Other"))</f>
        <v/>
      </c>
      <c r="F56" s="9">
        <f>IF(A56="","",COUNTIF(Estimate!$C$5:$C$404,A56))</f>
        <v/>
      </c>
      <c r="G56" s="35" t="n"/>
    </row>
    <row r="57">
      <c r="A57" s="35" t="n"/>
      <c r="B57" s="35" t="n"/>
      <c r="C57" s="35" t="n"/>
      <c r="D57" s="37" t="n"/>
      <c r="E57" s="9">
        <f>IF(B57="","",IFERROR(VLOOKUP(B57,Settings!$E$5:$G$28,3,FALSE),"Other"))</f>
        <v/>
      </c>
      <c r="F57" s="9">
        <f>IF(A57="","",COUNTIF(Estimate!$C$5:$C$404,A57))</f>
        <v/>
      </c>
      <c r="G57" s="35" t="n"/>
    </row>
    <row r="58">
      <c r="A58" s="35" t="n"/>
      <c r="B58" s="35" t="n"/>
      <c r="C58" s="35" t="n"/>
      <c r="D58" s="37" t="n"/>
      <c r="E58" s="9">
        <f>IF(B58="","",IFERROR(VLOOKUP(B58,Settings!$E$5:$G$28,3,FALSE),"Other"))</f>
        <v/>
      </c>
      <c r="F58" s="9">
        <f>IF(A58="","",COUNTIF(Estimate!$C$5:$C$404,A58))</f>
        <v/>
      </c>
      <c r="G58" s="35" t="n"/>
    </row>
    <row r="59">
      <c r="A59" s="35" t="n"/>
      <c r="B59" s="35" t="n"/>
      <c r="C59" s="35" t="n"/>
      <c r="D59" s="37" t="n"/>
      <c r="E59" s="9">
        <f>IF(B59="","",IFERROR(VLOOKUP(B59,Settings!$E$5:$G$28,3,FALSE),"Other"))</f>
        <v/>
      </c>
      <c r="F59" s="9">
        <f>IF(A59="","",COUNTIF(Estimate!$C$5:$C$404,A59))</f>
        <v/>
      </c>
      <c r="G59" s="35" t="n"/>
    </row>
    <row r="60">
      <c r="A60" s="35" t="n"/>
      <c r="B60" s="35" t="n"/>
      <c r="C60" s="35" t="n"/>
      <c r="D60" s="37" t="n"/>
      <c r="E60" s="9">
        <f>IF(B60="","",IFERROR(VLOOKUP(B60,Settings!$E$5:$G$28,3,FALSE),"Other"))</f>
        <v/>
      </c>
      <c r="F60" s="9">
        <f>IF(A60="","",COUNTIF(Estimate!$C$5:$C$404,A60))</f>
        <v/>
      </c>
      <c r="G60" s="35" t="n"/>
    </row>
    <row r="61">
      <c r="A61" s="35" t="n"/>
      <c r="B61" s="35" t="n"/>
      <c r="C61" s="35" t="n"/>
      <c r="D61" s="37" t="n"/>
      <c r="E61" s="9">
        <f>IF(B61="","",IFERROR(VLOOKUP(B61,Settings!$E$5:$G$28,3,FALSE),"Other"))</f>
        <v/>
      </c>
      <c r="F61" s="9">
        <f>IF(A61="","",COUNTIF(Estimate!$C$5:$C$404,A61))</f>
        <v/>
      </c>
      <c r="G61" s="35" t="n"/>
    </row>
    <row r="62">
      <c r="A62" s="35" t="n"/>
      <c r="B62" s="35" t="n"/>
      <c r="C62" s="35" t="n"/>
      <c r="D62" s="37" t="n"/>
      <c r="E62" s="9">
        <f>IF(B62="","",IFERROR(VLOOKUP(B62,Settings!$E$5:$G$28,3,FALSE),"Other"))</f>
        <v/>
      </c>
      <c r="F62" s="9">
        <f>IF(A62="","",COUNTIF(Estimate!$C$5:$C$404,A62))</f>
        <v/>
      </c>
      <c r="G62" s="35" t="n"/>
    </row>
    <row r="63">
      <c r="A63" s="35" t="n"/>
      <c r="B63" s="35" t="n"/>
      <c r="C63" s="35" t="n"/>
      <c r="D63" s="37" t="n"/>
      <c r="E63" s="9">
        <f>IF(B63="","",IFERROR(VLOOKUP(B63,Settings!$E$5:$G$28,3,FALSE),"Other"))</f>
        <v/>
      </c>
      <c r="F63" s="9">
        <f>IF(A63="","",COUNTIF(Estimate!$C$5:$C$404,A63))</f>
        <v/>
      </c>
      <c r="G63" s="35" t="n"/>
    </row>
    <row r="64">
      <c r="A64" s="35" t="n"/>
      <c r="B64" s="35" t="n"/>
      <c r="C64" s="35" t="n"/>
      <c r="D64" s="37" t="n"/>
      <c r="E64" s="9">
        <f>IF(B64="","",IFERROR(VLOOKUP(B64,Settings!$E$5:$G$28,3,FALSE),"Other"))</f>
        <v/>
      </c>
      <c r="F64" s="9">
        <f>IF(A64="","",COUNTIF(Estimate!$C$5:$C$404,A64))</f>
        <v/>
      </c>
      <c r="G64" s="35" t="n"/>
    </row>
    <row r="65">
      <c r="A65" s="35" t="n"/>
      <c r="B65" s="35" t="n"/>
      <c r="C65" s="35" t="n"/>
      <c r="D65" s="37" t="n"/>
      <c r="E65" s="9">
        <f>IF(B65="","",IFERROR(VLOOKUP(B65,Settings!$E$5:$G$28,3,FALSE),"Other"))</f>
        <v/>
      </c>
      <c r="F65" s="9">
        <f>IF(A65="","",COUNTIF(Estimate!$C$5:$C$404,A65))</f>
        <v/>
      </c>
      <c r="G65" s="35" t="n"/>
    </row>
    <row r="66">
      <c r="A66" s="35" t="n"/>
      <c r="B66" s="35" t="n"/>
      <c r="C66" s="35" t="n"/>
      <c r="D66" s="37" t="n"/>
      <c r="E66" s="9">
        <f>IF(B66="","",IFERROR(VLOOKUP(B66,Settings!$E$5:$G$28,3,FALSE),"Other"))</f>
        <v/>
      </c>
      <c r="F66" s="9">
        <f>IF(A66="","",COUNTIF(Estimate!$C$5:$C$404,A66))</f>
        <v/>
      </c>
      <c r="G66" s="35" t="n"/>
    </row>
    <row r="67">
      <c r="A67" s="35" t="n"/>
      <c r="B67" s="35" t="n"/>
      <c r="C67" s="35" t="n"/>
      <c r="D67" s="37" t="n"/>
      <c r="E67" s="9">
        <f>IF(B67="","",IFERROR(VLOOKUP(B67,Settings!$E$5:$G$28,3,FALSE),"Other"))</f>
        <v/>
      </c>
      <c r="F67" s="9">
        <f>IF(A67="","",COUNTIF(Estimate!$C$5:$C$404,A67))</f>
        <v/>
      </c>
      <c r="G67" s="35" t="n"/>
    </row>
    <row r="68">
      <c r="A68" s="35" t="n"/>
      <c r="B68" s="35" t="n"/>
      <c r="C68" s="35" t="n"/>
      <c r="D68" s="37" t="n"/>
      <c r="E68" s="9">
        <f>IF(B68="","",IFERROR(VLOOKUP(B68,Settings!$E$5:$G$28,3,FALSE),"Other"))</f>
        <v/>
      </c>
      <c r="F68" s="9">
        <f>IF(A68="","",COUNTIF(Estimate!$C$5:$C$404,A68))</f>
        <v/>
      </c>
      <c r="G68" s="35" t="n"/>
    </row>
    <row r="69">
      <c r="A69" s="35" t="n"/>
      <c r="B69" s="35" t="n"/>
      <c r="C69" s="35" t="n"/>
      <c r="D69" s="37" t="n"/>
      <c r="E69" s="9">
        <f>IF(B69="","",IFERROR(VLOOKUP(B69,Settings!$E$5:$G$28,3,FALSE),"Other"))</f>
        <v/>
      </c>
      <c r="F69" s="9">
        <f>IF(A69="","",COUNTIF(Estimate!$C$5:$C$404,A69))</f>
        <v/>
      </c>
      <c r="G69" s="35" t="n"/>
    </row>
    <row r="70">
      <c r="A70" s="35" t="n"/>
      <c r="B70" s="35" t="n"/>
      <c r="C70" s="35" t="n"/>
      <c r="D70" s="37" t="n"/>
      <c r="E70" s="9">
        <f>IF(B70="","",IFERROR(VLOOKUP(B70,Settings!$E$5:$G$28,3,FALSE),"Other"))</f>
        <v/>
      </c>
      <c r="F70" s="9">
        <f>IF(A70="","",COUNTIF(Estimate!$C$5:$C$404,A70))</f>
        <v/>
      </c>
      <c r="G70" s="35" t="n"/>
    </row>
    <row r="71">
      <c r="A71" s="35" t="n"/>
      <c r="B71" s="35" t="n"/>
      <c r="C71" s="35" t="n"/>
      <c r="D71" s="37" t="n"/>
      <c r="E71" s="9">
        <f>IF(B71="","",IFERROR(VLOOKUP(B71,Settings!$E$5:$G$28,3,FALSE),"Other"))</f>
        <v/>
      </c>
      <c r="F71" s="9">
        <f>IF(A71="","",COUNTIF(Estimate!$C$5:$C$404,A71))</f>
        <v/>
      </c>
      <c r="G71" s="35" t="n"/>
    </row>
    <row r="72">
      <c r="A72" s="35" t="n"/>
      <c r="B72" s="35" t="n"/>
      <c r="C72" s="35" t="n"/>
      <c r="D72" s="37" t="n"/>
      <c r="E72" s="9">
        <f>IF(B72="","",IFERROR(VLOOKUP(B72,Settings!$E$5:$G$28,3,FALSE),"Other"))</f>
        <v/>
      </c>
      <c r="F72" s="9">
        <f>IF(A72="","",COUNTIF(Estimate!$C$5:$C$404,A72))</f>
        <v/>
      </c>
      <c r="G72" s="35" t="n"/>
    </row>
    <row r="73">
      <c r="A73" s="35" t="n"/>
      <c r="B73" s="35" t="n"/>
      <c r="C73" s="35" t="n"/>
      <c r="D73" s="37" t="n"/>
      <c r="E73" s="9">
        <f>IF(B73="","",IFERROR(VLOOKUP(B73,Settings!$E$5:$G$28,3,FALSE),"Other"))</f>
        <v/>
      </c>
      <c r="F73" s="9">
        <f>IF(A73="","",COUNTIF(Estimate!$C$5:$C$404,A73))</f>
        <v/>
      </c>
      <c r="G73" s="35" t="n"/>
    </row>
    <row r="74">
      <c r="A74" s="35" t="n"/>
      <c r="B74" s="35" t="n"/>
      <c r="C74" s="35" t="n"/>
      <c r="D74" s="37" t="n"/>
      <c r="E74" s="9">
        <f>IF(B74="","",IFERROR(VLOOKUP(B74,Settings!$E$5:$G$28,3,FALSE),"Other"))</f>
        <v/>
      </c>
      <c r="F74" s="9">
        <f>IF(A74="","",COUNTIF(Estimate!$C$5:$C$404,A74))</f>
        <v/>
      </c>
      <c r="G74" s="35" t="n"/>
    </row>
    <row r="75">
      <c r="A75" s="35" t="n"/>
      <c r="B75" s="35" t="n"/>
      <c r="C75" s="35" t="n"/>
      <c r="D75" s="37" t="n"/>
      <c r="E75" s="9">
        <f>IF(B75="","",IFERROR(VLOOKUP(B75,Settings!$E$5:$G$28,3,FALSE),"Other"))</f>
        <v/>
      </c>
      <c r="F75" s="9">
        <f>IF(A75="","",COUNTIF(Estimate!$C$5:$C$404,A75))</f>
        <v/>
      </c>
      <c r="G75" s="35" t="n"/>
    </row>
    <row r="76">
      <c r="A76" s="35" t="n"/>
      <c r="B76" s="35" t="n"/>
      <c r="C76" s="35" t="n"/>
      <c r="D76" s="37" t="n"/>
      <c r="E76" s="9">
        <f>IF(B76="","",IFERROR(VLOOKUP(B76,Settings!$E$5:$G$28,3,FALSE),"Other"))</f>
        <v/>
      </c>
      <c r="F76" s="9">
        <f>IF(A76="","",COUNTIF(Estimate!$C$5:$C$404,A76))</f>
        <v/>
      </c>
      <c r="G76" s="35" t="n"/>
    </row>
    <row r="77">
      <c r="A77" s="35" t="n"/>
      <c r="B77" s="35" t="n"/>
      <c r="C77" s="35" t="n"/>
      <c r="D77" s="37" t="n"/>
      <c r="E77" s="9">
        <f>IF(B77="","",IFERROR(VLOOKUP(B77,Settings!$E$5:$G$28,3,FALSE),"Other"))</f>
        <v/>
      </c>
      <c r="F77" s="9">
        <f>IF(A77="","",COUNTIF(Estimate!$C$5:$C$404,A77))</f>
        <v/>
      </c>
      <c r="G77" s="35" t="n"/>
    </row>
    <row r="78">
      <c r="A78" s="35" t="n"/>
      <c r="B78" s="35" t="n"/>
      <c r="C78" s="35" t="n"/>
      <c r="D78" s="37" t="n"/>
      <c r="E78" s="9">
        <f>IF(B78="","",IFERROR(VLOOKUP(B78,Settings!$E$5:$G$28,3,FALSE),"Other"))</f>
        <v/>
      </c>
      <c r="F78" s="9">
        <f>IF(A78="","",COUNTIF(Estimate!$C$5:$C$404,A78))</f>
        <v/>
      </c>
      <c r="G78" s="35" t="n"/>
    </row>
    <row r="79">
      <c r="A79" s="35" t="n"/>
      <c r="B79" s="35" t="n"/>
      <c r="C79" s="35" t="n"/>
      <c r="D79" s="37" t="n"/>
      <c r="E79" s="9">
        <f>IF(B79="","",IFERROR(VLOOKUP(B79,Settings!$E$5:$G$28,3,FALSE),"Other"))</f>
        <v/>
      </c>
      <c r="F79" s="9">
        <f>IF(A79="","",COUNTIF(Estimate!$C$5:$C$404,A79))</f>
        <v/>
      </c>
      <c r="G79" s="35" t="n"/>
    </row>
    <row r="80">
      <c r="A80" s="35" t="n"/>
      <c r="B80" s="35" t="n"/>
      <c r="C80" s="35" t="n"/>
      <c r="D80" s="37" t="n"/>
      <c r="E80" s="9">
        <f>IF(B80="","",IFERROR(VLOOKUP(B80,Settings!$E$5:$G$28,3,FALSE),"Other"))</f>
        <v/>
      </c>
      <c r="F80" s="9">
        <f>IF(A80="","",COUNTIF(Estimate!$C$5:$C$404,A80))</f>
        <v/>
      </c>
      <c r="G80" s="35" t="n"/>
    </row>
    <row r="81">
      <c r="A81" s="35" t="n"/>
      <c r="B81" s="35" t="n"/>
      <c r="C81" s="35" t="n"/>
      <c r="D81" s="37" t="n"/>
      <c r="E81" s="9">
        <f>IF(B81="","",IFERROR(VLOOKUP(B81,Settings!$E$5:$G$28,3,FALSE),"Other"))</f>
        <v/>
      </c>
      <c r="F81" s="9">
        <f>IF(A81="","",COUNTIF(Estimate!$C$5:$C$404,A81))</f>
        <v/>
      </c>
      <c r="G81" s="35" t="n"/>
    </row>
    <row r="82">
      <c r="A82" s="35" t="n"/>
      <c r="B82" s="35" t="n"/>
      <c r="C82" s="35" t="n"/>
      <c r="D82" s="37" t="n"/>
      <c r="E82" s="9">
        <f>IF(B82="","",IFERROR(VLOOKUP(B82,Settings!$E$5:$G$28,3,FALSE),"Other"))</f>
        <v/>
      </c>
      <c r="F82" s="9">
        <f>IF(A82="","",COUNTIF(Estimate!$C$5:$C$404,A82))</f>
        <v/>
      </c>
      <c r="G82" s="35" t="n"/>
    </row>
    <row r="83">
      <c r="A83" s="35" t="n"/>
      <c r="B83" s="35" t="n"/>
      <c r="C83" s="35" t="n"/>
      <c r="D83" s="37" t="n"/>
      <c r="E83" s="9">
        <f>IF(B83="","",IFERROR(VLOOKUP(B83,Settings!$E$5:$G$28,3,FALSE),"Other"))</f>
        <v/>
      </c>
      <c r="F83" s="9">
        <f>IF(A83="","",COUNTIF(Estimate!$C$5:$C$404,A83))</f>
        <v/>
      </c>
      <c r="G83" s="35" t="n"/>
    </row>
    <row r="84">
      <c r="A84" s="35" t="n"/>
      <c r="B84" s="35" t="n"/>
      <c r="C84" s="35" t="n"/>
      <c r="D84" s="37" t="n"/>
      <c r="E84" s="9">
        <f>IF(B84="","",IFERROR(VLOOKUP(B84,Settings!$E$5:$G$28,3,FALSE),"Other"))</f>
        <v/>
      </c>
      <c r="F84" s="9">
        <f>IF(A84="","",COUNTIF(Estimate!$C$5:$C$404,A84))</f>
        <v/>
      </c>
      <c r="G84" s="35" t="n"/>
    </row>
    <row r="85">
      <c r="A85" s="35" t="n"/>
      <c r="B85" s="35" t="n"/>
      <c r="C85" s="35" t="n"/>
      <c r="D85" s="37" t="n"/>
      <c r="E85" s="9">
        <f>IF(B85="","",IFERROR(VLOOKUP(B85,Settings!$E$5:$G$28,3,FALSE),"Other"))</f>
        <v/>
      </c>
      <c r="F85" s="9">
        <f>IF(A85="","",COUNTIF(Estimate!$C$5:$C$404,A85))</f>
        <v/>
      </c>
      <c r="G85" s="35" t="n"/>
    </row>
    <row r="86">
      <c r="A86" s="35" t="n"/>
      <c r="B86" s="35" t="n"/>
      <c r="C86" s="35" t="n"/>
      <c r="D86" s="37" t="n"/>
      <c r="E86" s="9">
        <f>IF(B86="","",IFERROR(VLOOKUP(B86,Settings!$E$5:$G$28,3,FALSE),"Other"))</f>
        <v/>
      </c>
      <c r="F86" s="9">
        <f>IF(A86="","",COUNTIF(Estimate!$C$5:$C$404,A86))</f>
        <v/>
      </c>
      <c r="G86" s="35" t="n"/>
    </row>
    <row r="87">
      <c r="A87" s="35" t="n"/>
      <c r="B87" s="35" t="n"/>
      <c r="C87" s="35" t="n"/>
      <c r="D87" s="37" t="n"/>
      <c r="E87" s="9">
        <f>IF(B87="","",IFERROR(VLOOKUP(B87,Settings!$E$5:$G$28,3,FALSE),"Other"))</f>
        <v/>
      </c>
      <c r="F87" s="9">
        <f>IF(A87="","",COUNTIF(Estimate!$C$5:$C$404,A87))</f>
        <v/>
      </c>
      <c r="G87" s="35" t="n"/>
    </row>
    <row r="88">
      <c r="A88" s="35" t="n"/>
      <c r="B88" s="35" t="n"/>
      <c r="C88" s="35" t="n"/>
      <c r="D88" s="37" t="n"/>
      <c r="E88" s="9">
        <f>IF(B88="","",IFERROR(VLOOKUP(B88,Settings!$E$5:$G$28,3,FALSE),"Other"))</f>
        <v/>
      </c>
      <c r="F88" s="9">
        <f>IF(A88="","",COUNTIF(Estimate!$C$5:$C$404,A88))</f>
        <v/>
      </c>
      <c r="G88" s="35" t="n"/>
    </row>
    <row r="89">
      <c r="A89" s="35" t="n"/>
      <c r="B89" s="35" t="n"/>
      <c r="C89" s="35" t="n"/>
      <c r="D89" s="37" t="n"/>
      <c r="E89" s="9">
        <f>IF(B89="","",IFERROR(VLOOKUP(B89,Settings!$E$5:$G$28,3,FALSE),"Other"))</f>
        <v/>
      </c>
      <c r="F89" s="9">
        <f>IF(A89="","",COUNTIF(Estimate!$C$5:$C$404,A89))</f>
        <v/>
      </c>
      <c r="G89" s="35" t="n"/>
    </row>
    <row r="90">
      <c r="A90" s="35" t="n"/>
      <c r="B90" s="35" t="n"/>
      <c r="C90" s="35" t="n"/>
      <c r="D90" s="37" t="n"/>
      <c r="E90" s="9">
        <f>IF(B90="","",IFERROR(VLOOKUP(B90,Settings!$E$5:$G$28,3,FALSE),"Other"))</f>
        <v/>
      </c>
      <c r="F90" s="9">
        <f>IF(A90="","",COUNTIF(Estimate!$C$5:$C$404,A90))</f>
        <v/>
      </c>
      <c r="G90" s="35" t="n"/>
    </row>
    <row r="91">
      <c r="A91" s="35" t="n"/>
      <c r="B91" s="35" t="n"/>
      <c r="C91" s="35" t="n"/>
      <c r="D91" s="37" t="n"/>
      <c r="E91" s="9">
        <f>IF(B91="","",IFERROR(VLOOKUP(B91,Settings!$E$5:$G$28,3,FALSE),"Other"))</f>
        <v/>
      </c>
      <c r="F91" s="9">
        <f>IF(A91="","",COUNTIF(Estimate!$C$5:$C$404,A91))</f>
        <v/>
      </c>
      <c r="G91" s="35" t="n"/>
    </row>
    <row r="92">
      <c r="A92" s="35" t="n"/>
      <c r="B92" s="35" t="n"/>
      <c r="C92" s="35" t="n"/>
      <c r="D92" s="37" t="n"/>
      <c r="E92" s="9">
        <f>IF(B92="","",IFERROR(VLOOKUP(B92,Settings!$E$5:$G$28,3,FALSE),"Other"))</f>
        <v/>
      </c>
      <c r="F92" s="9">
        <f>IF(A92="","",COUNTIF(Estimate!$C$5:$C$404,A92))</f>
        <v/>
      </c>
      <c r="G92" s="35" t="n"/>
    </row>
    <row r="93">
      <c r="A93" s="35" t="n"/>
      <c r="B93" s="35" t="n"/>
      <c r="C93" s="35" t="n"/>
      <c r="D93" s="37" t="n"/>
      <c r="E93" s="9">
        <f>IF(B93="","",IFERROR(VLOOKUP(B93,Settings!$E$5:$G$28,3,FALSE),"Other"))</f>
        <v/>
      </c>
      <c r="F93" s="9">
        <f>IF(A93="","",COUNTIF(Estimate!$C$5:$C$404,A93))</f>
        <v/>
      </c>
      <c r="G93" s="35" t="n"/>
    </row>
    <row r="94">
      <c r="A94" s="35" t="n"/>
      <c r="B94" s="35" t="n"/>
      <c r="C94" s="35" t="n"/>
      <c r="D94" s="37" t="n"/>
      <c r="E94" s="9">
        <f>IF(B94="","",IFERROR(VLOOKUP(B94,Settings!$E$5:$G$28,3,FALSE),"Other"))</f>
        <v/>
      </c>
      <c r="F94" s="9">
        <f>IF(A94="","",COUNTIF(Estimate!$C$5:$C$404,A94))</f>
        <v/>
      </c>
      <c r="G94" s="35" t="n"/>
    </row>
    <row r="95">
      <c r="A95" s="35" t="n"/>
      <c r="B95" s="35" t="n"/>
      <c r="C95" s="35" t="n"/>
      <c r="D95" s="37" t="n"/>
      <c r="E95" s="9">
        <f>IF(B95="","",IFERROR(VLOOKUP(B95,Settings!$E$5:$G$28,3,FALSE),"Other"))</f>
        <v/>
      </c>
      <c r="F95" s="9">
        <f>IF(A95="","",COUNTIF(Estimate!$C$5:$C$404,A95))</f>
        <v/>
      </c>
      <c r="G95" s="35" t="n"/>
    </row>
    <row r="96">
      <c r="A96" s="35" t="n"/>
      <c r="B96" s="35" t="n"/>
      <c r="C96" s="35" t="n"/>
      <c r="D96" s="37" t="n"/>
      <c r="E96" s="9">
        <f>IF(B96="","",IFERROR(VLOOKUP(B96,Settings!$E$5:$G$28,3,FALSE),"Other"))</f>
        <v/>
      </c>
      <c r="F96" s="9">
        <f>IF(A96="","",COUNTIF(Estimate!$C$5:$C$404,A96))</f>
        <v/>
      </c>
      <c r="G96" s="35" t="n"/>
    </row>
    <row r="97">
      <c r="A97" s="35" t="n"/>
      <c r="B97" s="35" t="n"/>
      <c r="C97" s="35" t="n"/>
      <c r="D97" s="37" t="n"/>
      <c r="E97" s="9">
        <f>IF(B97="","",IFERROR(VLOOKUP(B97,Settings!$E$5:$G$28,3,FALSE),"Other"))</f>
        <v/>
      </c>
      <c r="F97" s="9">
        <f>IF(A97="","",COUNTIF(Estimate!$C$5:$C$404,A97))</f>
        <v/>
      </c>
      <c r="G97" s="35" t="n"/>
    </row>
    <row r="98">
      <c r="A98" s="35" t="n"/>
      <c r="B98" s="35" t="n"/>
      <c r="C98" s="35" t="n"/>
      <c r="D98" s="37" t="n"/>
      <c r="E98" s="9">
        <f>IF(B98="","",IFERROR(VLOOKUP(B98,Settings!$E$5:$G$28,3,FALSE),"Other"))</f>
        <v/>
      </c>
      <c r="F98" s="9">
        <f>IF(A98="","",COUNTIF(Estimate!$C$5:$C$404,A98))</f>
        <v/>
      </c>
      <c r="G98" s="35" t="n"/>
    </row>
    <row r="99">
      <c r="A99" s="35" t="n"/>
      <c r="B99" s="35" t="n"/>
      <c r="C99" s="35" t="n"/>
      <c r="D99" s="37" t="n"/>
      <c r="E99" s="9">
        <f>IF(B99="","",IFERROR(VLOOKUP(B99,Settings!$E$5:$G$28,3,FALSE),"Other"))</f>
        <v/>
      </c>
      <c r="F99" s="9">
        <f>IF(A99="","",COUNTIF(Estimate!$C$5:$C$404,A99))</f>
        <v/>
      </c>
      <c r="G99" s="35" t="n"/>
    </row>
    <row r="100">
      <c r="A100" s="35" t="n"/>
      <c r="B100" s="35" t="n"/>
      <c r="C100" s="35" t="n"/>
      <c r="D100" s="37" t="n"/>
      <c r="E100" s="9">
        <f>IF(B100="","",IFERROR(VLOOKUP(B100,Settings!$E$5:$G$28,3,FALSE),"Other"))</f>
        <v/>
      </c>
      <c r="F100" s="9">
        <f>IF(A100="","",COUNTIF(Estimate!$C$5:$C$404,A100))</f>
        <v/>
      </c>
      <c r="G100" s="35" t="n"/>
    </row>
    <row r="101">
      <c r="A101" s="35" t="n"/>
      <c r="B101" s="35" t="n"/>
      <c r="C101" s="35" t="n"/>
      <c r="D101" s="37" t="n"/>
      <c r="E101" s="9">
        <f>IF(B101="","",IFERROR(VLOOKUP(B101,Settings!$E$5:$G$28,3,FALSE),"Other"))</f>
        <v/>
      </c>
      <c r="F101" s="9">
        <f>IF(A101="","",COUNTIF(Estimate!$C$5:$C$404,A101))</f>
        <v/>
      </c>
      <c r="G101" s="35" t="n"/>
    </row>
    <row r="102">
      <c r="A102" s="35" t="n"/>
      <c r="B102" s="35" t="n"/>
      <c r="C102" s="35" t="n"/>
      <c r="D102" s="37" t="n"/>
      <c r="E102" s="9">
        <f>IF(B102="","",IFERROR(VLOOKUP(B102,Settings!$E$5:$G$28,3,FALSE),"Other"))</f>
        <v/>
      </c>
      <c r="F102" s="9">
        <f>IF(A102="","",COUNTIF(Estimate!$C$5:$C$404,A102))</f>
        <v/>
      </c>
      <c r="G102" s="35" t="n"/>
    </row>
    <row r="103">
      <c r="A103" s="35" t="n"/>
      <c r="B103" s="35" t="n"/>
      <c r="C103" s="35" t="n"/>
      <c r="D103" s="37" t="n"/>
      <c r="E103" s="9">
        <f>IF(B103="","",IFERROR(VLOOKUP(B103,Settings!$E$5:$G$28,3,FALSE),"Other"))</f>
        <v/>
      </c>
      <c r="F103" s="9">
        <f>IF(A103="","",COUNTIF(Estimate!$C$5:$C$404,A103))</f>
        <v/>
      </c>
      <c r="G103" s="35" t="n"/>
    </row>
    <row r="104">
      <c r="A104" s="35" t="n"/>
      <c r="B104" s="35" t="n"/>
      <c r="C104" s="35" t="n"/>
      <c r="D104" s="37" t="n"/>
      <c r="E104" s="9">
        <f>IF(B104="","",IFERROR(VLOOKUP(B104,Settings!$E$5:$G$28,3,FALSE),"Other"))</f>
        <v/>
      </c>
      <c r="F104" s="9">
        <f>IF(A104="","",COUNTIF(Estimate!$C$5:$C$404,A104))</f>
        <v/>
      </c>
      <c r="G104" s="35" t="n"/>
    </row>
    <row r="105">
      <c r="A105" s="35" t="n"/>
      <c r="B105" s="35" t="n"/>
      <c r="C105" s="35" t="n"/>
      <c r="D105" s="37" t="n"/>
      <c r="E105" s="9">
        <f>IF(B105="","",IFERROR(VLOOKUP(B105,Settings!$E$5:$G$28,3,FALSE),"Other"))</f>
        <v/>
      </c>
      <c r="F105" s="9">
        <f>IF(A105="","",COUNTIF(Estimate!$C$5:$C$404,A105))</f>
        <v/>
      </c>
      <c r="G105" s="35" t="n"/>
    </row>
    <row r="106">
      <c r="A106" s="35" t="n"/>
      <c r="B106" s="35" t="n"/>
      <c r="C106" s="35" t="n"/>
      <c r="D106" s="37" t="n"/>
      <c r="E106" s="9">
        <f>IF(B106="","",IFERROR(VLOOKUP(B106,Settings!$E$5:$G$28,3,FALSE),"Other"))</f>
        <v/>
      </c>
      <c r="F106" s="9">
        <f>IF(A106="","",COUNTIF(Estimate!$C$5:$C$404,A106))</f>
        <v/>
      </c>
      <c r="G106" s="35" t="n"/>
    </row>
    <row r="107">
      <c r="A107" s="35" t="n"/>
      <c r="B107" s="35" t="n"/>
      <c r="C107" s="35" t="n"/>
      <c r="D107" s="37" t="n"/>
      <c r="E107" s="9">
        <f>IF(B107="","",IFERROR(VLOOKUP(B107,Settings!$E$5:$G$28,3,FALSE),"Other"))</f>
        <v/>
      </c>
      <c r="F107" s="9">
        <f>IF(A107="","",COUNTIF(Estimate!$C$5:$C$404,A107))</f>
        <v/>
      </c>
      <c r="G107" s="35" t="n"/>
    </row>
    <row r="108">
      <c r="A108" s="35" t="n"/>
      <c r="B108" s="35" t="n"/>
      <c r="C108" s="35" t="n"/>
      <c r="D108" s="37" t="n"/>
      <c r="E108" s="9">
        <f>IF(B108="","",IFERROR(VLOOKUP(B108,Settings!$E$5:$G$28,3,FALSE),"Other"))</f>
        <v/>
      </c>
      <c r="F108" s="9">
        <f>IF(A108="","",COUNTIF(Estimate!$C$5:$C$404,A108))</f>
        <v/>
      </c>
      <c r="G108" s="35" t="n"/>
    </row>
    <row r="109">
      <c r="A109" s="35" t="n"/>
      <c r="B109" s="35" t="n"/>
      <c r="C109" s="35" t="n"/>
      <c r="D109" s="37" t="n"/>
      <c r="E109" s="9">
        <f>IF(B109="","",IFERROR(VLOOKUP(B109,Settings!$E$5:$G$28,3,FALSE),"Other"))</f>
        <v/>
      </c>
      <c r="F109" s="9">
        <f>IF(A109="","",COUNTIF(Estimate!$C$5:$C$404,A109))</f>
        <v/>
      </c>
      <c r="G109" s="35" t="n"/>
    </row>
    <row r="110">
      <c r="A110" s="35" t="n"/>
      <c r="B110" s="35" t="n"/>
      <c r="C110" s="35" t="n"/>
      <c r="D110" s="37" t="n"/>
      <c r="E110" s="9">
        <f>IF(B110="","",IFERROR(VLOOKUP(B110,Settings!$E$5:$G$28,3,FALSE),"Other"))</f>
        <v/>
      </c>
      <c r="F110" s="9">
        <f>IF(A110="","",COUNTIF(Estimate!$C$5:$C$404,A110))</f>
        <v/>
      </c>
      <c r="G110" s="35" t="n"/>
    </row>
    <row r="111">
      <c r="A111" s="35" t="n"/>
      <c r="B111" s="35" t="n"/>
      <c r="C111" s="35" t="n"/>
      <c r="D111" s="37" t="n"/>
      <c r="E111" s="9">
        <f>IF(B111="","",IFERROR(VLOOKUP(B111,Settings!$E$5:$G$28,3,FALSE),"Other"))</f>
        <v/>
      </c>
      <c r="F111" s="9">
        <f>IF(A111="","",COUNTIF(Estimate!$C$5:$C$404,A111))</f>
        <v/>
      </c>
      <c r="G111" s="35" t="n"/>
    </row>
    <row r="112">
      <c r="A112" s="35" t="n"/>
      <c r="B112" s="35" t="n"/>
      <c r="C112" s="35" t="n"/>
      <c r="D112" s="37" t="n"/>
      <c r="E112" s="9">
        <f>IF(B112="","",IFERROR(VLOOKUP(B112,Settings!$E$5:$G$28,3,FALSE),"Other"))</f>
        <v/>
      </c>
      <c r="F112" s="9">
        <f>IF(A112="","",COUNTIF(Estimate!$C$5:$C$404,A112))</f>
        <v/>
      </c>
      <c r="G112" s="35" t="n"/>
    </row>
    <row r="113">
      <c r="A113" s="35" t="n"/>
      <c r="B113" s="35" t="n"/>
      <c r="C113" s="35" t="n"/>
      <c r="D113" s="37" t="n"/>
      <c r="E113" s="9">
        <f>IF(B113="","",IFERROR(VLOOKUP(B113,Settings!$E$5:$G$28,3,FALSE),"Other"))</f>
        <v/>
      </c>
      <c r="F113" s="9">
        <f>IF(A113="","",COUNTIF(Estimate!$C$5:$C$404,A113))</f>
        <v/>
      </c>
      <c r="G113" s="35" t="n"/>
    </row>
    <row r="114">
      <c r="A114" s="35" t="n"/>
      <c r="B114" s="35" t="n"/>
      <c r="C114" s="35" t="n"/>
      <c r="D114" s="37" t="n"/>
      <c r="E114" s="9">
        <f>IF(B114="","",IFERROR(VLOOKUP(B114,Settings!$E$5:$G$28,3,FALSE),"Other"))</f>
        <v/>
      </c>
      <c r="F114" s="9">
        <f>IF(A114="","",COUNTIF(Estimate!$C$5:$C$404,A114))</f>
        <v/>
      </c>
      <c r="G114" s="35" t="n"/>
    </row>
    <row r="115">
      <c r="A115" s="35" t="n"/>
      <c r="B115" s="35" t="n"/>
      <c r="C115" s="35" t="n"/>
      <c r="D115" s="37" t="n"/>
      <c r="E115" s="9">
        <f>IF(B115="","",IFERROR(VLOOKUP(B115,Settings!$E$5:$G$28,3,FALSE),"Other"))</f>
        <v/>
      </c>
      <c r="F115" s="9">
        <f>IF(A115="","",COUNTIF(Estimate!$C$5:$C$404,A115))</f>
        <v/>
      </c>
      <c r="G115" s="35" t="n"/>
    </row>
    <row r="116">
      <c r="A116" s="35" t="n"/>
      <c r="B116" s="35" t="n"/>
      <c r="C116" s="35" t="n"/>
      <c r="D116" s="37" t="n"/>
      <c r="E116" s="9">
        <f>IF(B116="","",IFERROR(VLOOKUP(B116,Settings!$E$5:$G$28,3,FALSE),"Other"))</f>
        <v/>
      </c>
      <c r="F116" s="9">
        <f>IF(A116="","",COUNTIF(Estimate!$C$5:$C$404,A116))</f>
        <v/>
      </c>
      <c r="G116" s="35" t="n"/>
    </row>
    <row r="117">
      <c r="A117" s="35" t="n"/>
      <c r="B117" s="35" t="n"/>
      <c r="C117" s="35" t="n"/>
      <c r="D117" s="37" t="n"/>
      <c r="E117" s="9">
        <f>IF(B117="","",IFERROR(VLOOKUP(B117,Settings!$E$5:$G$28,3,FALSE),"Other"))</f>
        <v/>
      </c>
      <c r="F117" s="9">
        <f>IF(A117="","",COUNTIF(Estimate!$C$5:$C$404,A117))</f>
        <v/>
      </c>
      <c r="G117" s="35" t="n"/>
    </row>
    <row r="118">
      <c r="A118" s="35" t="n"/>
      <c r="B118" s="35" t="n"/>
      <c r="C118" s="35" t="n"/>
      <c r="D118" s="37" t="n"/>
      <c r="E118" s="9">
        <f>IF(B118="","",IFERROR(VLOOKUP(B118,Settings!$E$5:$G$28,3,FALSE),"Other"))</f>
        <v/>
      </c>
      <c r="F118" s="9">
        <f>IF(A118="","",COUNTIF(Estimate!$C$5:$C$404,A118))</f>
        <v/>
      </c>
      <c r="G118" s="35" t="n"/>
    </row>
    <row r="119">
      <c r="A119" s="35" t="n"/>
      <c r="B119" s="35" t="n"/>
      <c r="C119" s="35" t="n"/>
      <c r="D119" s="37" t="n"/>
      <c r="E119" s="9">
        <f>IF(B119="","",IFERROR(VLOOKUP(B119,Settings!$E$5:$G$28,3,FALSE),"Other"))</f>
        <v/>
      </c>
      <c r="F119" s="9">
        <f>IF(A119="","",COUNTIF(Estimate!$C$5:$C$404,A119))</f>
        <v/>
      </c>
      <c r="G119" s="35" t="n"/>
    </row>
    <row r="120">
      <c r="A120" s="35" t="n"/>
      <c r="B120" s="35" t="n"/>
      <c r="C120" s="35" t="n"/>
      <c r="D120" s="37" t="n"/>
      <c r="E120" s="9">
        <f>IF(B120="","",IFERROR(VLOOKUP(B120,Settings!$E$5:$G$28,3,FALSE),"Other"))</f>
        <v/>
      </c>
      <c r="F120" s="9">
        <f>IF(A120="","",COUNTIF(Estimate!$C$5:$C$404,A120))</f>
        <v/>
      </c>
      <c r="G120" s="35" t="n"/>
    </row>
    <row r="121">
      <c r="A121" s="35" t="n"/>
      <c r="B121" s="35" t="n"/>
      <c r="C121" s="35" t="n"/>
      <c r="D121" s="37" t="n"/>
      <c r="E121" s="9">
        <f>IF(B121="","",IFERROR(VLOOKUP(B121,Settings!$E$5:$G$28,3,FALSE),"Other"))</f>
        <v/>
      </c>
      <c r="F121" s="9">
        <f>IF(A121="","",COUNTIF(Estimate!$C$5:$C$404,A121))</f>
        <v/>
      </c>
      <c r="G121" s="35" t="n"/>
    </row>
    <row r="122">
      <c r="A122" s="35" t="n"/>
      <c r="B122" s="35" t="n"/>
      <c r="C122" s="35" t="n"/>
      <c r="D122" s="37" t="n"/>
      <c r="E122" s="9">
        <f>IF(B122="","",IFERROR(VLOOKUP(B122,Settings!$E$5:$G$28,3,FALSE),"Other"))</f>
        <v/>
      </c>
      <c r="F122" s="9">
        <f>IF(A122="","",COUNTIF(Estimate!$C$5:$C$404,A122))</f>
        <v/>
      </c>
      <c r="G122" s="35" t="n"/>
    </row>
    <row r="123">
      <c r="A123" s="35" t="n"/>
      <c r="B123" s="35" t="n"/>
      <c r="C123" s="35" t="n"/>
      <c r="D123" s="37" t="n"/>
      <c r="E123" s="9">
        <f>IF(B123="","",IFERROR(VLOOKUP(B123,Settings!$E$5:$G$28,3,FALSE),"Other"))</f>
        <v/>
      </c>
      <c r="F123" s="9">
        <f>IF(A123="","",COUNTIF(Estimate!$C$5:$C$404,A123))</f>
        <v/>
      </c>
      <c r="G123" s="35" t="n"/>
    </row>
    <row r="124">
      <c r="A124" s="35" t="n"/>
      <c r="B124" s="35" t="n"/>
      <c r="C124" s="35" t="n"/>
      <c r="D124" s="37" t="n"/>
      <c r="E124" s="9">
        <f>IF(B124="","",IFERROR(VLOOKUP(B124,Settings!$E$5:$G$28,3,FALSE),"Other"))</f>
        <v/>
      </c>
      <c r="F124" s="9">
        <f>IF(A124="","",COUNTIF(Estimate!$C$5:$C$404,A124))</f>
        <v/>
      </c>
      <c r="G124" s="35" t="n"/>
    </row>
    <row r="125">
      <c r="A125" s="35" t="n"/>
      <c r="B125" s="35" t="n"/>
      <c r="C125" s="35" t="n"/>
      <c r="D125" s="37" t="n"/>
      <c r="E125" s="9">
        <f>IF(B125="","",IFERROR(VLOOKUP(B125,Settings!$E$5:$G$28,3,FALSE),"Other"))</f>
        <v/>
      </c>
      <c r="F125" s="9">
        <f>IF(A125="","",COUNTIF(Estimate!$C$5:$C$404,A125))</f>
        <v/>
      </c>
      <c r="G125" s="35" t="n"/>
    </row>
    <row r="126">
      <c r="A126" s="35" t="n"/>
      <c r="B126" s="35" t="n"/>
      <c r="C126" s="35" t="n"/>
      <c r="D126" s="37" t="n"/>
      <c r="E126" s="9">
        <f>IF(B126="","",IFERROR(VLOOKUP(B126,Settings!$E$5:$G$28,3,FALSE),"Other"))</f>
        <v/>
      </c>
      <c r="F126" s="9">
        <f>IF(A126="","",COUNTIF(Estimate!$C$5:$C$404,A126))</f>
        <v/>
      </c>
      <c r="G126" s="35" t="n"/>
    </row>
    <row r="127">
      <c r="A127" s="35" t="n"/>
      <c r="B127" s="35" t="n"/>
      <c r="C127" s="35" t="n"/>
      <c r="D127" s="37" t="n"/>
      <c r="E127" s="9">
        <f>IF(B127="","",IFERROR(VLOOKUP(B127,Settings!$E$5:$G$28,3,FALSE),"Other"))</f>
        <v/>
      </c>
      <c r="F127" s="9">
        <f>IF(A127="","",COUNTIF(Estimate!$C$5:$C$404,A127))</f>
        <v/>
      </c>
      <c r="G127" s="35" t="n"/>
    </row>
    <row r="128">
      <c r="A128" s="35" t="n"/>
      <c r="B128" s="35" t="n"/>
      <c r="C128" s="35" t="n"/>
      <c r="D128" s="37" t="n"/>
      <c r="E128" s="9">
        <f>IF(B128="","",IFERROR(VLOOKUP(B128,Settings!$E$5:$G$28,3,FALSE),"Other"))</f>
        <v/>
      </c>
      <c r="F128" s="9">
        <f>IF(A128="","",COUNTIF(Estimate!$C$5:$C$404,A128))</f>
        <v/>
      </c>
      <c r="G128" s="35" t="n"/>
    </row>
    <row r="129">
      <c r="A129" s="35" t="n"/>
      <c r="B129" s="35" t="n"/>
      <c r="C129" s="35" t="n"/>
      <c r="D129" s="37" t="n"/>
      <c r="E129" s="9">
        <f>IF(B129="","",IFERROR(VLOOKUP(B129,Settings!$E$5:$G$28,3,FALSE),"Other"))</f>
        <v/>
      </c>
      <c r="F129" s="9">
        <f>IF(A129="","",COUNTIF(Estimate!$C$5:$C$404,A129))</f>
        <v/>
      </c>
      <c r="G129" s="35" t="n"/>
    </row>
    <row r="130">
      <c r="A130" s="35" t="n"/>
      <c r="B130" s="35" t="n"/>
      <c r="C130" s="35" t="n"/>
      <c r="D130" s="37" t="n"/>
      <c r="E130" s="9">
        <f>IF(B130="","",IFERROR(VLOOKUP(B130,Settings!$E$5:$G$28,3,FALSE),"Other"))</f>
        <v/>
      </c>
      <c r="F130" s="9">
        <f>IF(A130="","",COUNTIF(Estimate!$C$5:$C$404,A130))</f>
        <v/>
      </c>
      <c r="G130" s="35" t="n"/>
    </row>
    <row r="131">
      <c r="A131" s="35" t="n"/>
      <c r="B131" s="35" t="n"/>
      <c r="C131" s="35" t="n"/>
      <c r="D131" s="37" t="n"/>
      <c r="E131" s="9">
        <f>IF(B131="","",IFERROR(VLOOKUP(B131,Settings!$E$5:$G$28,3,FALSE),"Other"))</f>
        <v/>
      </c>
      <c r="F131" s="9">
        <f>IF(A131="","",COUNTIF(Estimate!$C$5:$C$404,A131))</f>
        <v/>
      </c>
      <c r="G131" s="35" t="n"/>
    </row>
    <row r="132">
      <c r="A132" s="35" t="n"/>
      <c r="B132" s="35" t="n"/>
      <c r="C132" s="35" t="n"/>
      <c r="D132" s="37" t="n"/>
      <c r="E132" s="9">
        <f>IF(B132="","",IFERROR(VLOOKUP(B132,Settings!$E$5:$G$28,3,FALSE),"Other"))</f>
        <v/>
      </c>
      <c r="F132" s="9">
        <f>IF(A132="","",COUNTIF(Estimate!$C$5:$C$404,A132))</f>
        <v/>
      </c>
      <c r="G132" s="35" t="n"/>
    </row>
    <row r="133">
      <c r="A133" s="35" t="n"/>
      <c r="B133" s="35" t="n"/>
      <c r="C133" s="35" t="n"/>
      <c r="D133" s="37" t="n"/>
      <c r="E133" s="9">
        <f>IF(B133="","",IFERROR(VLOOKUP(B133,Settings!$E$5:$G$28,3,FALSE),"Other"))</f>
        <v/>
      </c>
      <c r="F133" s="9">
        <f>IF(A133="","",COUNTIF(Estimate!$C$5:$C$404,A133))</f>
        <v/>
      </c>
      <c r="G133" s="35" t="n"/>
    </row>
    <row r="134">
      <c r="A134" s="35" t="n"/>
      <c r="B134" s="35" t="n"/>
      <c r="C134" s="35" t="n"/>
      <c r="D134" s="37" t="n"/>
      <c r="E134" s="9">
        <f>IF(B134="","",IFERROR(VLOOKUP(B134,Settings!$E$5:$G$28,3,FALSE),"Other"))</f>
        <v/>
      </c>
      <c r="F134" s="9">
        <f>IF(A134="","",COUNTIF(Estimate!$C$5:$C$404,A134))</f>
        <v/>
      </c>
      <c r="G134" s="35" t="n"/>
    </row>
    <row r="135">
      <c r="A135" s="35" t="n"/>
      <c r="B135" s="35" t="n"/>
      <c r="C135" s="35" t="n"/>
      <c r="D135" s="37" t="n"/>
      <c r="E135" s="9">
        <f>IF(B135="","",IFERROR(VLOOKUP(B135,Settings!$E$5:$G$28,3,FALSE),"Other"))</f>
        <v/>
      </c>
      <c r="F135" s="9">
        <f>IF(A135="","",COUNTIF(Estimate!$C$5:$C$404,A135))</f>
        <v/>
      </c>
      <c r="G135" s="35" t="n"/>
    </row>
    <row r="136">
      <c r="A136" s="35" t="n"/>
      <c r="B136" s="35" t="n"/>
      <c r="C136" s="35" t="n"/>
      <c r="D136" s="37" t="n"/>
      <c r="E136" s="9">
        <f>IF(B136="","",IFERROR(VLOOKUP(B136,Settings!$E$5:$G$28,3,FALSE),"Other"))</f>
        <v/>
      </c>
      <c r="F136" s="9">
        <f>IF(A136="","",COUNTIF(Estimate!$C$5:$C$404,A136))</f>
        <v/>
      </c>
      <c r="G136" s="35" t="n"/>
    </row>
    <row r="137">
      <c r="A137" s="35" t="n"/>
      <c r="B137" s="35" t="n"/>
      <c r="C137" s="35" t="n"/>
      <c r="D137" s="37" t="n"/>
      <c r="E137" s="9">
        <f>IF(B137="","",IFERROR(VLOOKUP(B137,Settings!$E$5:$G$28,3,FALSE),"Other"))</f>
        <v/>
      </c>
      <c r="F137" s="9">
        <f>IF(A137="","",COUNTIF(Estimate!$C$5:$C$404,A137))</f>
        <v/>
      </c>
      <c r="G137" s="35" t="n"/>
    </row>
    <row r="138">
      <c r="A138" s="35" t="n"/>
      <c r="B138" s="35" t="n"/>
      <c r="C138" s="35" t="n"/>
      <c r="D138" s="37" t="n"/>
      <c r="E138" s="9">
        <f>IF(B138="","",IFERROR(VLOOKUP(B138,Settings!$E$5:$G$28,3,FALSE),"Other"))</f>
        <v/>
      </c>
      <c r="F138" s="9">
        <f>IF(A138="","",COUNTIF(Estimate!$C$5:$C$404,A138))</f>
        <v/>
      </c>
      <c r="G138" s="35" t="n"/>
    </row>
    <row r="139">
      <c r="A139" s="35" t="n"/>
      <c r="B139" s="35" t="n"/>
      <c r="C139" s="35" t="n"/>
      <c r="D139" s="37" t="n"/>
      <c r="E139" s="9">
        <f>IF(B139="","",IFERROR(VLOOKUP(B139,Settings!$E$5:$G$28,3,FALSE),"Other"))</f>
        <v/>
      </c>
      <c r="F139" s="9">
        <f>IF(A139="","",COUNTIF(Estimate!$C$5:$C$404,A139))</f>
        <v/>
      </c>
      <c r="G139" s="35" t="n"/>
    </row>
    <row r="140">
      <c r="A140" s="35" t="n"/>
      <c r="B140" s="35" t="n"/>
      <c r="C140" s="35" t="n"/>
      <c r="D140" s="37" t="n"/>
      <c r="E140" s="9">
        <f>IF(B140="","",IFERROR(VLOOKUP(B140,Settings!$E$5:$G$28,3,FALSE),"Other"))</f>
        <v/>
      </c>
      <c r="F140" s="9">
        <f>IF(A140="","",COUNTIF(Estimate!$C$5:$C$404,A140))</f>
        <v/>
      </c>
      <c r="G140" s="35" t="n"/>
    </row>
    <row r="141">
      <c r="A141" s="35" t="n"/>
      <c r="B141" s="35" t="n"/>
      <c r="C141" s="35" t="n"/>
      <c r="D141" s="37" t="n"/>
      <c r="E141" s="9">
        <f>IF(B141="","",IFERROR(VLOOKUP(B141,Settings!$E$5:$G$28,3,FALSE),"Other"))</f>
        <v/>
      </c>
      <c r="F141" s="9">
        <f>IF(A141="","",COUNTIF(Estimate!$C$5:$C$404,A141))</f>
        <v/>
      </c>
      <c r="G141" s="35" t="n"/>
    </row>
    <row r="142">
      <c r="A142" s="35" t="n"/>
      <c r="B142" s="35" t="n"/>
      <c r="C142" s="35" t="n"/>
      <c r="D142" s="37" t="n"/>
      <c r="E142" s="9">
        <f>IF(B142="","",IFERROR(VLOOKUP(B142,Settings!$E$5:$G$28,3,FALSE),"Other"))</f>
        <v/>
      </c>
      <c r="F142" s="9">
        <f>IF(A142="","",COUNTIF(Estimate!$C$5:$C$404,A142))</f>
        <v/>
      </c>
      <c r="G142" s="35" t="n"/>
    </row>
    <row r="143">
      <c r="A143" s="35" t="n"/>
      <c r="B143" s="35" t="n"/>
      <c r="C143" s="35" t="n"/>
      <c r="D143" s="37" t="n"/>
      <c r="E143" s="9">
        <f>IF(B143="","",IFERROR(VLOOKUP(B143,Settings!$E$5:$G$28,3,FALSE),"Other"))</f>
        <v/>
      </c>
      <c r="F143" s="9">
        <f>IF(A143="","",COUNTIF(Estimate!$C$5:$C$404,A143))</f>
        <v/>
      </c>
      <c r="G143" s="35" t="n"/>
    </row>
    <row r="144">
      <c r="A144" s="35" t="n"/>
      <c r="B144" s="35" t="n"/>
      <c r="C144" s="35" t="n"/>
      <c r="D144" s="37" t="n"/>
      <c r="E144" s="9">
        <f>IF(B144="","",IFERROR(VLOOKUP(B144,Settings!$E$5:$G$28,3,FALSE),"Other"))</f>
        <v/>
      </c>
      <c r="F144" s="9">
        <f>IF(A144="","",COUNTIF(Estimate!$C$5:$C$404,A144))</f>
        <v/>
      </c>
      <c r="G144" s="35" t="n"/>
    </row>
    <row r="145">
      <c r="A145" s="35" t="n"/>
      <c r="B145" s="35" t="n"/>
      <c r="C145" s="35" t="n"/>
      <c r="D145" s="37" t="n"/>
      <c r="E145" s="9">
        <f>IF(B145="","",IFERROR(VLOOKUP(B145,Settings!$E$5:$G$28,3,FALSE),"Other"))</f>
        <v/>
      </c>
      <c r="F145" s="9">
        <f>IF(A145="","",COUNTIF(Estimate!$C$5:$C$404,A145))</f>
        <v/>
      </c>
      <c r="G145" s="35" t="n"/>
    </row>
    <row r="146">
      <c r="A146" s="35" t="n"/>
      <c r="B146" s="35" t="n"/>
      <c r="C146" s="35" t="n"/>
      <c r="D146" s="37" t="n"/>
      <c r="E146" s="9">
        <f>IF(B146="","",IFERROR(VLOOKUP(B146,Settings!$E$5:$G$28,3,FALSE),"Other"))</f>
        <v/>
      </c>
      <c r="F146" s="9">
        <f>IF(A146="","",COUNTIF(Estimate!$C$5:$C$404,A146))</f>
        <v/>
      </c>
      <c r="G146" s="35" t="n"/>
    </row>
    <row r="147">
      <c r="A147" s="35" t="n"/>
      <c r="B147" s="35" t="n"/>
      <c r="C147" s="35" t="n"/>
      <c r="D147" s="37" t="n"/>
      <c r="E147" s="9">
        <f>IF(B147="","",IFERROR(VLOOKUP(B147,Settings!$E$5:$G$28,3,FALSE),"Other"))</f>
        <v/>
      </c>
      <c r="F147" s="9">
        <f>IF(A147="","",COUNTIF(Estimate!$C$5:$C$404,A147))</f>
        <v/>
      </c>
      <c r="G147" s="35" t="n"/>
    </row>
    <row r="148">
      <c r="A148" s="35" t="n"/>
      <c r="B148" s="35" t="n"/>
      <c r="C148" s="35" t="n"/>
      <c r="D148" s="37" t="n"/>
      <c r="E148" s="9">
        <f>IF(B148="","",IFERROR(VLOOKUP(B148,Settings!$E$5:$G$28,3,FALSE),"Other"))</f>
        <v/>
      </c>
      <c r="F148" s="9">
        <f>IF(A148="","",COUNTIF(Estimate!$C$5:$C$404,A148))</f>
        <v/>
      </c>
      <c r="G148" s="35" t="n"/>
    </row>
    <row r="149">
      <c r="A149" s="35" t="n"/>
      <c r="B149" s="35" t="n"/>
      <c r="C149" s="35" t="n"/>
      <c r="D149" s="37" t="n"/>
      <c r="E149" s="9">
        <f>IF(B149="","",IFERROR(VLOOKUP(B149,Settings!$E$5:$G$28,3,FALSE),"Other"))</f>
        <v/>
      </c>
      <c r="F149" s="9">
        <f>IF(A149="","",COUNTIF(Estimate!$C$5:$C$404,A149))</f>
        <v/>
      </c>
      <c r="G149" s="35" t="n"/>
    </row>
    <row r="150">
      <c r="A150" s="35" t="n"/>
      <c r="B150" s="35" t="n"/>
      <c r="C150" s="35" t="n"/>
      <c r="D150" s="37" t="n"/>
      <c r="E150" s="9">
        <f>IF(B150="","",IFERROR(VLOOKUP(B150,Settings!$E$5:$G$28,3,FALSE),"Other"))</f>
        <v/>
      </c>
      <c r="F150" s="9">
        <f>IF(A150="","",COUNTIF(Estimate!$C$5:$C$404,A150))</f>
        <v/>
      </c>
      <c r="G150" s="35" t="n"/>
    </row>
    <row r="151">
      <c r="A151" s="35" t="n"/>
      <c r="B151" s="35" t="n"/>
      <c r="C151" s="35" t="n"/>
      <c r="D151" s="37" t="n"/>
      <c r="E151" s="9">
        <f>IF(B151="","",IFERROR(VLOOKUP(B151,Settings!$E$5:$G$28,3,FALSE),"Other"))</f>
        <v/>
      </c>
      <c r="F151" s="9">
        <f>IF(A151="","",COUNTIF(Estimate!$C$5:$C$404,A151))</f>
        <v/>
      </c>
      <c r="G151" s="35" t="n"/>
    </row>
    <row r="152">
      <c r="A152" s="35" t="n"/>
      <c r="B152" s="35" t="n"/>
      <c r="C152" s="35" t="n"/>
      <c r="D152" s="37" t="n"/>
      <c r="E152" s="9">
        <f>IF(B152="","",IFERROR(VLOOKUP(B152,Settings!$E$5:$G$28,3,FALSE),"Other"))</f>
        <v/>
      </c>
      <c r="F152" s="9">
        <f>IF(A152="","",COUNTIF(Estimate!$C$5:$C$404,A152))</f>
        <v/>
      </c>
      <c r="G152" s="35" t="n"/>
    </row>
    <row r="153">
      <c r="A153" s="35" t="n"/>
      <c r="B153" s="35" t="n"/>
      <c r="C153" s="35" t="n"/>
      <c r="D153" s="37" t="n"/>
      <c r="E153" s="9">
        <f>IF(B153="","",IFERROR(VLOOKUP(B153,Settings!$E$5:$G$28,3,FALSE),"Other"))</f>
        <v/>
      </c>
      <c r="F153" s="9">
        <f>IF(A153="","",COUNTIF(Estimate!$C$5:$C$404,A153))</f>
        <v/>
      </c>
      <c r="G153" s="35" t="n"/>
    </row>
    <row r="154">
      <c r="A154" s="35" t="n"/>
      <c r="B154" s="35" t="n"/>
      <c r="C154" s="35" t="n"/>
      <c r="D154" s="37" t="n"/>
      <c r="E154" s="9">
        <f>IF(B154="","",IFERROR(VLOOKUP(B154,Settings!$E$5:$G$28,3,FALSE),"Other"))</f>
        <v/>
      </c>
      <c r="F154" s="9">
        <f>IF(A154="","",COUNTIF(Estimate!$C$5:$C$404,A154))</f>
        <v/>
      </c>
      <c r="G154" s="35" t="n"/>
    </row>
    <row r="155">
      <c r="A155" s="35" t="n"/>
      <c r="B155" s="35" t="n"/>
      <c r="C155" s="35" t="n"/>
      <c r="D155" s="37" t="n"/>
      <c r="E155" s="9">
        <f>IF(B155="","",IFERROR(VLOOKUP(B155,Settings!$E$5:$G$28,3,FALSE),"Other"))</f>
        <v/>
      </c>
      <c r="F155" s="9">
        <f>IF(A155="","",COUNTIF(Estimate!$C$5:$C$404,A155))</f>
        <v/>
      </c>
      <c r="G155" s="35" t="n"/>
    </row>
    <row r="156">
      <c r="A156" s="35" t="n"/>
      <c r="B156" s="35" t="n"/>
      <c r="C156" s="35" t="n"/>
      <c r="D156" s="37" t="n"/>
      <c r="E156" s="9">
        <f>IF(B156="","",IFERROR(VLOOKUP(B156,Settings!$E$5:$G$28,3,FALSE),"Other"))</f>
        <v/>
      </c>
      <c r="F156" s="9">
        <f>IF(A156="","",COUNTIF(Estimate!$C$5:$C$404,A156))</f>
        <v/>
      </c>
      <c r="G156" s="35" t="n"/>
    </row>
    <row r="157">
      <c r="A157" s="35" t="n"/>
      <c r="B157" s="35" t="n"/>
      <c r="C157" s="35" t="n"/>
      <c r="D157" s="37" t="n"/>
      <c r="E157" s="9">
        <f>IF(B157="","",IFERROR(VLOOKUP(B157,Settings!$E$5:$G$28,3,FALSE),"Other"))</f>
        <v/>
      </c>
      <c r="F157" s="9">
        <f>IF(A157="","",COUNTIF(Estimate!$C$5:$C$404,A157))</f>
        <v/>
      </c>
      <c r="G157" s="35" t="n"/>
    </row>
    <row r="158">
      <c r="A158" s="35" t="n"/>
      <c r="B158" s="35" t="n"/>
      <c r="C158" s="35" t="n"/>
      <c r="D158" s="37" t="n"/>
      <c r="E158" s="9">
        <f>IF(B158="","",IFERROR(VLOOKUP(B158,Settings!$E$5:$G$28,3,FALSE),"Other"))</f>
        <v/>
      </c>
      <c r="F158" s="9">
        <f>IF(A158="","",COUNTIF(Estimate!$C$5:$C$404,A158))</f>
        <v/>
      </c>
      <c r="G158" s="35" t="n"/>
    </row>
    <row r="159">
      <c r="A159" s="35" t="n"/>
      <c r="B159" s="35" t="n"/>
      <c r="C159" s="35" t="n"/>
      <c r="D159" s="37" t="n"/>
      <c r="E159" s="9">
        <f>IF(B159="","",IFERROR(VLOOKUP(B159,Settings!$E$5:$G$28,3,FALSE),"Other"))</f>
        <v/>
      </c>
      <c r="F159" s="9">
        <f>IF(A159="","",COUNTIF(Estimate!$C$5:$C$404,A159))</f>
        <v/>
      </c>
      <c r="G159" s="35" t="n"/>
    </row>
    <row r="160">
      <c r="A160" s="35" t="n"/>
      <c r="B160" s="35" t="n"/>
      <c r="C160" s="35" t="n"/>
      <c r="D160" s="37" t="n"/>
      <c r="E160" s="9">
        <f>IF(B160="","",IFERROR(VLOOKUP(B160,Settings!$E$5:$G$28,3,FALSE),"Other"))</f>
        <v/>
      </c>
      <c r="F160" s="9">
        <f>IF(A160="","",COUNTIF(Estimate!$C$5:$C$404,A160))</f>
        <v/>
      </c>
      <c r="G160" s="35" t="n"/>
    </row>
    <row r="161">
      <c r="A161" s="35" t="n"/>
      <c r="B161" s="35" t="n"/>
      <c r="C161" s="35" t="n"/>
      <c r="D161" s="37" t="n"/>
      <c r="E161" s="9">
        <f>IF(B161="","",IFERROR(VLOOKUP(B161,Settings!$E$5:$G$28,3,FALSE),"Other"))</f>
        <v/>
      </c>
      <c r="F161" s="9">
        <f>IF(A161="","",COUNTIF(Estimate!$C$5:$C$404,A161))</f>
        <v/>
      </c>
      <c r="G161" s="35" t="n"/>
    </row>
    <row r="162">
      <c r="A162" s="35" t="n"/>
      <c r="B162" s="35" t="n"/>
      <c r="C162" s="35" t="n"/>
      <c r="D162" s="37" t="n"/>
      <c r="E162" s="9">
        <f>IF(B162="","",IFERROR(VLOOKUP(B162,Settings!$E$5:$G$28,3,FALSE),"Other"))</f>
        <v/>
      </c>
      <c r="F162" s="9">
        <f>IF(A162="","",COUNTIF(Estimate!$C$5:$C$404,A162))</f>
        <v/>
      </c>
      <c r="G162" s="35" t="n"/>
    </row>
    <row r="163">
      <c r="A163" s="35" t="n"/>
      <c r="B163" s="35" t="n"/>
      <c r="C163" s="35" t="n"/>
      <c r="D163" s="37" t="n"/>
      <c r="E163" s="9">
        <f>IF(B163="","",IFERROR(VLOOKUP(B163,Settings!$E$5:$G$28,3,FALSE),"Other"))</f>
        <v/>
      </c>
      <c r="F163" s="9">
        <f>IF(A163="","",COUNTIF(Estimate!$C$5:$C$404,A163))</f>
        <v/>
      </c>
      <c r="G163" s="35" t="n"/>
    </row>
    <row r="164">
      <c r="A164" s="35" t="n"/>
      <c r="B164" s="35" t="n"/>
      <c r="C164" s="35" t="n"/>
      <c r="D164" s="37" t="n"/>
      <c r="E164" s="9">
        <f>IF(B164="","",IFERROR(VLOOKUP(B164,Settings!$E$5:$G$28,3,FALSE),"Other"))</f>
        <v/>
      </c>
      <c r="F164" s="9">
        <f>IF(A164="","",COUNTIF(Estimate!$C$5:$C$404,A164))</f>
        <v/>
      </c>
      <c r="G164" s="35" t="n"/>
    </row>
    <row r="165">
      <c r="A165" s="35" t="n"/>
      <c r="B165" s="35" t="n"/>
      <c r="C165" s="35" t="n"/>
      <c r="D165" s="37" t="n"/>
      <c r="E165" s="9">
        <f>IF(B165="","",IFERROR(VLOOKUP(B165,Settings!$E$5:$G$28,3,FALSE),"Other"))</f>
        <v/>
      </c>
      <c r="F165" s="9">
        <f>IF(A165="","",COUNTIF(Estimate!$C$5:$C$404,A165))</f>
        <v/>
      </c>
      <c r="G165" s="35" t="n"/>
    </row>
    <row r="166">
      <c r="A166" s="35" t="n"/>
      <c r="B166" s="35" t="n"/>
      <c r="C166" s="35" t="n"/>
      <c r="D166" s="37" t="n"/>
      <c r="E166" s="9">
        <f>IF(B166="","",IFERROR(VLOOKUP(B166,Settings!$E$5:$G$28,3,FALSE),"Other"))</f>
        <v/>
      </c>
      <c r="F166" s="9">
        <f>IF(A166="","",COUNTIF(Estimate!$C$5:$C$404,A166))</f>
        <v/>
      </c>
      <c r="G166" s="35" t="n"/>
    </row>
    <row r="167">
      <c r="A167" s="35" t="n"/>
      <c r="B167" s="35" t="n"/>
      <c r="C167" s="35" t="n"/>
      <c r="D167" s="37" t="n"/>
      <c r="E167" s="9">
        <f>IF(B167="","",IFERROR(VLOOKUP(B167,Settings!$E$5:$G$28,3,FALSE),"Other"))</f>
        <v/>
      </c>
      <c r="F167" s="9">
        <f>IF(A167="","",COUNTIF(Estimate!$C$5:$C$404,A167))</f>
        <v/>
      </c>
      <c r="G167" s="35" t="n"/>
    </row>
    <row r="168">
      <c r="A168" s="35" t="n"/>
      <c r="B168" s="35" t="n"/>
      <c r="C168" s="35" t="n"/>
      <c r="D168" s="37" t="n"/>
      <c r="E168" s="9">
        <f>IF(B168="","",IFERROR(VLOOKUP(B168,Settings!$E$5:$G$28,3,FALSE),"Other"))</f>
        <v/>
      </c>
      <c r="F168" s="9">
        <f>IF(A168="","",COUNTIF(Estimate!$C$5:$C$404,A168))</f>
        <v/>
      </c>
      <c r="G168" s="35" t="n"/>
    </row>
    <row r="169">
      <c r="A169" s="35" t="n"/>
      <c r="B169" s="35" t="n"/>
      <c r="C169" s="35" t="n"/>
      <c r="D169" s="37" t="n"/>
      <c r="E169" s="9">
        <f>IF(B169="","",IFERROR(VLOOKUP(B169,Settings!$E$5:$G$28,3,FALSE),"Other"))</f>
        <v/>
      </c>
      <c r="F169" s="9">
        <f>IF(A169="","",COUNTIF(Estimate!$C$5:$C$404,A169))</f>
        <v/>
      </c>
      <c r="G169" s="35" t="n"/>
    </row>
    <row r="170">
      <c r="A170" s="35" t="n"/>
      <c r="B170" s="35" t="n"/>
      <c r="C170" s="35" t="n"/>
      <c r="D170" s="37" t="n"/>
      <c r="E170" s="9">
        <f>IF(B170="","",IFERROR(VLOOKUP(B170,Settings!$E$5:$G$28,3,FALSE),"Other"))</f>
        <v/>
      </c>
      <c r="F170" s="9">
        <f>IF(A170="","",COUNTIF(Estimate!$C$5:$C$404,A170))</f>
        <v/>
      </c>
      <c r="G170" s="35" t="n"/>
    </row>
    <row r="171">
      <c r="A171" s="35" t="n"/>
      <c r="B171" s="35" t="n"/>
      <c r="C171" s="35" t="n"/>
      <c r="D171" s="37" t="n"/>
      <c r="E171" s="9">
        <f>IF(B171="","",IFERROR(VLOOKUP(B171,Settings!$E$5:$G$28,3,FALSE),"Other"))</f>
        <v/>
      </c>
      <c r="F171" s="9">
        <f>IF(A171="","",COUNTIF(Estimate!$C$5:$C$404,A171))</f>
        <v/>
      </c>
      <c r="G171" s="35" t="n"/>
    </row>
    <row r="172">
      <c r="A172" s="35" t="n"/>
      <c r="B172" s="35" t="n"/>
      <c r="C172" s="35" t="n"/>
      <c r="D172" s="37" t="n"/>
      <c r="E172" s="9">
        <f>IF(B172="","",IFERROR(VLOOKUP(B172,Settings!$E$5:$G$28,3,FALSE),"Other"))</f>
        <v/>
      </c>
      <c r="F172" s="9">
        <f>IF(A172="","",COUNTIF(Estimate!$C$5:$C$404,A172))</f>
        <v/>
      </c>
      <c r="G172" s="35" t="n"/>
    </row>
    <row r="173">
      <c r="A173" s="35" t="n"/>
      <c r="B173" s="35" t="n"/>
      <c r="C173" s="35" t="n"/>
      <c r="D173" s="37" t="n"/>
      <c r="E173" s="9">
        <f>IF(B173="","",IFERROR(VLOOKUP(B173,Settings!$E$5:$G$28,3,FALSE),"Other"))</f>
        <v/>
      </c>
      <c r="F173" s="9">
        <f>IF(A173="","",COUNTIF(Estimate!$C$5:$C$404,A173))</f>
        <v/>
      </c>
      <c r="G173" s="35" t="n"/>
    </row>
    <row r="174">
      <c r="A174" s="35" t="n"/>
      <c r="B174" s="35" t="n"/>
      <c r="C174" s="35" t="n"/>
      <c r="D174" s="37" t="n"/>
      <c r="E174" s="9">
        <f>IF(B174="","",IFERROR(VLOOKUP(B174,Settings!$E$5:$G$28,3,FALSE),"Other"))</f>
        <v/>
      </c>
      <c r="F174" s="9">
        <f>IF(A174="","",COUNTIF(Estimate!$C$5:$C$404,A174))</f>
        <v/>
      </c>
      <c r="G174" s="35" t="n"/>
    </row>
    <row r="175">
      <c r="A175" s="35" t="n"/>
      <c r="B175" s="35" t="n"/>
      <c r="C175" s="35" t="n"/>
      <c r="D175" s="37" t="n"/>
      <c r="E175" s="9">
        <f>IF(B175="","",IFERROR(VLOOKUP(B175,Settings!$E$5:$G$28,3,FALSE),"Other"))</f>
        <v/>
      </c>
      <c r="F175" s="9">
        <f>IF(A175="","",COUNTIF(Estimate!$C$5:$C$404,A175))</f>
        <v/>
      </c>
      <c r="G175" s="35" t="n"/>
    </row>
    <row r="176">
      <c r="A176" s="35" t="n"/>
      <c r="B176" s="35" t="n"/>
      <c r="C176" s="35" t="n"/>
      <c r="D176" s="37" t="n"/>
      <c r="E176" s="9">
        <f>IF(B176="","",IFERROR(VLOOKUP(B176,Settings!$E$5:$G$28,3,FALSE),"Other"))</f>
        <v/>
      </c>
      <c r="F176" s="9">
        <f>IF(A176="","",COUNTIF(Estimate!$C$5:$C$404,A176))</f>
        <v/>
      </c>
      <c r="G176" s="35" t="n"/>
    </row>
    <row r="177">
      <c r="A177" s="35" t="n"/>
      <c r="B177" s="35" t="n"/>
      <c r="C177" s="35" t="n"/>
      <c r="D177" s="37" t="n"/>
      <c r="E177" s="9">
        <f>IF(B177="","",IFERROR(VLOOKUP(B177,Settings!$E$5:$G$28,3,FALSE),"Other"))</f>
        <v/>
      </c>
      <c r="F177" s="9">
        <f>IF(A177="","",COUNTIF(Estimate!$C$5:$C$404,A177))</f>
        <v/>
      </c>
      <c r="G177" s="35" t="n"/>
    </row>
    <row r="178">
      <c r="A178" s="35" t="n"/>
      <c r="B178" s="35" t="n"/>
      <c r="C178" s="35" t="n"/>
      <c r="D178" s="37" t="n"/>
      <c r="E178" s="9">
        <f>IF(B178="","",IFERROR(VLOOKUP(B178,Settings!$E$5:$G$28,3,FALSE),"Other"))</f>
        <v/>
      </c>
      <c r="F178" s="9">
        <f>IF(A178="","",COUNTIF(Estimate!$C$5:$C$404,A178))</f>
        <v/>
      </c>
      <c r="G178" s="35" t="n"/>
    </row>
    <row r="179">
      <c r="A179" s="35" t="n"/>
      <c r="B179" s="35" t="n"/>
      <c r="C179" s="35" t="n"/>
      <c r="D179" s="37" t="n"/>
      <c r="E179" s="9">
        <f>IF(B179="","",IFERROR(VLOOKUP(B179,Settings!$E$5:$G$28,3,FALSE),"Other"))</f>
        <v/>
      </c>
      <c r="F179" s="9">
        <f>IF(A179="","",COUNTIF(Estimate!$C$5:$C$404,A179))</f>
        <v/>
      </c>
      <c r="G179" s="35" t="n"/>
    </row>
    <row r="180">
      <c r="A180" s="35" t="n"/>
      <c r="B180" s="35" t="n"/>
      <c r="C180" s="35" t="n"/>
      <c r="D180" s="37" t="n"/>
      <c r="E180" s="9">
        <f>IF(B180="","",IFERROR(VLOOKUP(B180,Settings!$E$5:$G$28,3,FALSE),"Other"))</f>
        <v/>
      </c>
      <c r="F180" s="9">
        <f>IF(A180="","",COUNTIF(Estimate!$C$5:$C$404,A180))</f>
        <v/>
      </c>
      <c r="G180" s="35" t="n"/>
    </row>
    <row r="181">
      <c r="A181" s="35" t="n"/>
      <c r="B181" s="35" t="n"/>
      <c r="C181" s="35" t="n"/>
      <c r="D181" s="37" t="n"/>
      <c r="E181" s="9">
        <f>IF(B181="","",IFERROR(VLOOKUP(B181,Settings!$E$5:$G$28,3,FALSE),"Other"))</f>
        <v/>
      </c>
      <c r="F181" s="9">
        <f>IF(A181="","",COUNTIF(Estimate!$C$5:$C$404,A181))</f>
        <v/>
      </c>
      <c r="G181" s="35" t="n"/>
    </row>
    <row r="182">
      <c r="A182" s="35" t="n"/>
      <c r="B182" s="35" t="n"/>
      <c r="C182" s="35" t="n"/>
      <c r="D182" s="37" t="n"/>
      <c r="E182" s="9">
        <f>IF(B182="","",IFERROR(VLOOKUP(B182,Settings!$E$5:$G$28,3,FALSE),"Other"))</f>
        <v/>
      </c>
      <c r="F182" s="9">
        <f>IF(A182="","",COUNTIF(Estimate!$C$5:$C$404,A182))</f>
        <v/>
      </c>
      <c r="G182" s="35" t="n"/>
    </row>
    <row r="183">
      <c r="A183" s="35" t="n"/>
      <c r="B183" s="35" t="n"/>
      <c r="C183" s="35" t="n"/>
      <c r="D183" s="37" t="n"/>
      <c r="E183" s="9">
        <f>IF(B183="","",IFERROR(VLOOKUP(B183,Settings!$E$5:$G$28,3,FALSE),"Other"))</f>
        <v/>
      </c>
      <c r="F183" s="9">
        <f>IF(A183="","",COUNTIF(Estimate!$C$5:$C$404,A183))</f>
        <v/>
      </c>
      <c r="G183" s="35" t="n"/>
    </row>
    <row r="184">
      <c r="A184" s="35" t="n"/>
      <c r="B184" s="35" t="n"/>
      <c r="C184" s="35" t="n"/>
      <c r="D184" s="37" t="n"/>
      <c r="E184" s="9">
        <f>IF(B184="","",IFERROR(VLOOKUP(B184,Settings!$E$5:$G$28,3,FALSE),"Other"))</f>
        <v/>
      </c>
      <c r="F184" s="9">
        <f>IF(A184="","",COUNTIF(Estimate!$C$5:$C$404,A184))</f>
        <v/>
      </c>
      <c r="G184" s="35" t="n"/>
    </row>
    <row r="185">
      <c r="A185" s="35" t="n"/>
      <c r="B185" s="35" t="n"/>
      <c r="C185" s="35" t="n"/>
      <c r="D185" s="37" t="n"/>
      <c r="E185" s="9">
        <f>IF(B185="","",IFERROR(VLOOKUP(B185,Settings!$E$5:$G$28,3,FALSE),"Other"))</f>
        <v/>
      </c>
      <c r="F185" s="9">
        <f>IF(A185="","",COUNTIF(Estimate!$C$5:$C$404,A185))</f>
        <v/>
      </c>
      <c r="G185" s="35" t="n"/>
    </row>
    <row r="186">
      <c r="A186" s="35" t="n"/>
      <c r="B186" s="35" t="n"/>
      <c r="C186" s="35" t="n"/>
      <c r="D186" s="37" t="n"/>
      <c r="E186" s="9">
        <f>IF(B186="","",IFERROR(VLOOKUP(B186,Settings!$E$5:$G$28,3,FALSE),"Other"))</f>
        <v/>
      </c>
      <c r="F186" s="9">
        <f>IF(A186="","",COUNTIF(Estimate!$C$5:$C$404,A186))</f>
        <v/>
      </c>
      <c r="G186" s="35" t="n"/>
    </row>
    <row r="187">
      <c r="A187" s="35" t="n"/>
      <c r="B187" s="35" t="n"/>
      <c r="C187" s="35" t="n"/>
      <c r="D187" s="37" t="n"/>
      <c r="E187" s="9">
        <f>IF(B187="","",IFERROR(VLOOKUP(B187,Settings!$E$5:$G$28,3,FALSE),"Other"))</f>
        <v/>
      </c>
      <c r="F187" s="9">
        <f>IF(A187="","",COUNTIF(Estimate!$C$5:$C$404,A187))</f>
        <v/>
      </c>
      <c r="G187" s="35" t="n"/>
    </row>
    <row r="188">
      <c r="A188" s="35" t="n"/>
      <c r="B188" s="35" t="n"/>
      <c r="C188" s="35" t="n"/>
      <c r="D188" s="37" t="n"/>
      <c r="E188" s="9">
        <f>IF(B188="","",IFERROR(VLOOKUP(B188,Settings!$E$5:$G$28,3,FALSE),"Other"))</f>
        <v/>
      </c>
      <c r="F188" s="9">
        <f>IF(A188="","",COUNTIF(Estimate!$C$5:$C$404,A188))</f>
        <v/>
      </c>
      <c r="G188" s="35" t="n"/>
    </row>
    <row r="189">
      <c r="A189" s="35" t="n"/>
      <c r="B189" s="35" t="n"/>
      <c r="C189" s="35" t="n"/>
      <c r="D189" s="37" t="n"/>
      <c r="E189" s="9">
        <f>IF(B189="","",IFERROR(VLOOKUP(B189,Settings!$E$5:$G$28,3,FALSE),"Other"))</f>
        <v/>
      </c>
      <c r="F189" s="9">
        <f>IF(A189="","",COUNTIF(Estimate!$C$5:$C$404,A189))</f>
        <v/>
      </c>
      <c r="G189" s="35" t="n"/>
    </row>
    <row r="190">
      <c r="A190" s="35" t="n"/>
      <c r="B190" s="35" t="n"/>
      <c r="C190" s="35" t="n"/>
      <c r="D190" s="37" t="n"/>
      <c r="E190" s="9">
        <f>IF(B190="","",IFERROR(VLOOKUP(B190,Settings!$E$5:$G$28,3,FALSE),"Other"))</f>
        <v/>
      </c>
      <c r="F190" s="9">
        <f>IF(A190="","",COUNTIF(Estimate!$C$5:$C$404,A190))</f>
        <v/>
      </c>
      <c r="G190" s="35" t="n"/>
    </row>
    <row r="191">
      <c r="A191" s="35" t="n"/>
      <c r="B191" s="35" t="n"/>
      <c r="C191" s="35" t="n"/>
      <c r="D191" s="37" t="n"/>
      <c r="E191" s="9">
        <f>IF(B191="","",IFERROR(VLOOKUP(B191,Settings!$E$5:$G$28,3,FALSE),"Other"))</f>
        <v/>
      </c>
      <c r="F191" s="9">
        <f>IF(A191="","",COUNTIF(Estimate!$C$5:$C$404,A191))</f>
        <v/>
      </c>
      <c r="G191" s="35" t="n"/>
    </row>
    <row r="192">
      <c r="A192" s="35" t="n"/>
      <c r="B192" s="35" t="n"/>
      <c r="C192" s="35" t="n"/>
      <c r="D192" s="37" t="n"/>
      <c r="E192" s="9">
        <f>IF(B192="","",IFERROR(VLOOKUP(B192,Settings!$E$5:$G$28,3,FALSE),"Other"))</f>
        <v/>
      </c>
      <c r="F192" s="9">
        <f>IF(A192="","",COUNTIF(Estimate!$C$5:$C$404,A192))</f>
        <v/>
      </c>
      <c r="G192" s="35" t="n"/>
    </row>
    <row r="193">
      <c r="A193" s="35" t="n"/>
      <c r="B193" s="35" t="n"/>
      <c r="C193" s="35" t="n"/>
      <c r="D193" s="37" t="n"/>
      <c r="E193" s="9">
        <f>IF(B193="","",IFERROR(VLOOKUP(B193,Settings!$E$5:$G$28,3,FALSE),"Other"))</f>
        <v/>
      </c>
      <c r="F193" s="9">
        <f>IF(A193="","",COUNTIF(Estimate!$C$5:$C$404,A193))</f>
        <v/>
      </c>
      <c r="G193" s="35" t="n"/>
    </row>
    <row r="194">
      <c r="A194" s="35" t="n"/>
      <c r="B194" s="35" t="n"/>
      <c r="C194" s="35" t="n"/>
      <c r="D194" s="37" t="n"/>
      <c r="E194" s="9">
        <f>IF(B194="","",IFERROR(VLOOKUP(B194,Settings!$E$5:$G$28,3,FALSE),"Other"))</f>
        <v/>
      </c>
      <c r="F194" s="9">
        <f>IF(A194="","",COUNTIF(Estimate!$C$5:$C$404,A194))</f>
        <v/>
      </c>
      <c r="G194" s="35" t="n"/>
    </row>
    <row r="195">
      <c r="A195" s="35" t="n"/>
      <c r="B195" s="35" t="n"/>
      <c r="C195" s="35" t="n"/>
      <c r="D195" s="37" t="n"/>
      <c r="E195" s="9">
        <f>IF(B195="","",IFERROR(VLOOKUP(B195,Settings!$E$5:$G$28,3,FALSE),"Other"))</f>
        <v/>
      </c>
      <c r="F195" s="9">
        <f>IF(A195="","",COUNTIF(Estimate!$C$5:$C$404,A195))</f>
        <v/>
      </c>
      <c r="G195" s="35" t="n"/>
    </row>
    <row r="196">
      <c r="A196" s="35" t="n"/>
      <c r="B196" s="35" t="n"/>
      <c r="C196" s="35" t="n"/>
      <c r="D196" s="37" t="n"/>
      <c r="E196" s="9">
        <f>IF(B196="","",IFERROR(VLOOKUP(B196,Settings!$E$5:$G$28,3,FALSE),"Other"))</f>
        <v/>
      </c>
      <c r="F196" s="9">
        <f>IF(A196="","",COUNTIF(Estimate!$C$5:$C$404,A196))</f>
        <v/>
      </c>
      <c r="G196" s="35" t="n"/>
    </row>
    <row r="197">
      <c r="A197" s="35" t="n"/>
      <c r="B197" s="35" t="n"/>
      <c r="C197" s="35" t="n"/>
      <c r="D197" s="37" t="n"/>
      <c r="E197" s="9">
        <f>IF(B197="","",IFERROR(VLOOKUP(B197,Settings!$E$5:$G$28,3,FALSE),"Other"))</f>
        <v/>
      </c>
      <c r="F197" s="9">
        <f>IF(A197="","",COUNTIF(Estimate!$C$5:$C$404,A197))</f>
        <v/>
      </c>
      <c r="G197" s="35" t="n"/>
    </row>
    <row r="198">
      <c r="A198" s="35" t="n"/>
      <c r="B198" s="35" t="n"/>
      <c r="C198" s="35" t="n"/>
      <c r="D198" s="37" t="n"/>
      <c r="E198" s="9">
        <f>IF(B198="","",IFERROR(VLOOKUP(B198,Settings!$E$5:$G$28,3,FALSE),"Other"))</f>
        <v/>
      </c>
      <c r="F198" s="9">
        <f>IF(A198="","",COUNTIF(Estimate!$C$5:$C$404,A198))</f>
        <v/>
      </c>
      <c r="G198" s="35" t="n"/>
    </row>
    <row r="199">
      <c r="A199" s="35" t="n"/>
      <c r="B199" s="35" t="n"/>
      <c r="C199" s="35" t="n"/>
      <c r="D199" s="37" t="n"/>
      <c r="E199" s="9">
        <f>IF(B199="","",IFERROR(VLOOKUP(B199,Settings!$E$5:$G$28,3,FALSE),"Other"))</f>
        <v/>
      </c>
      <c r="F199" s="9">
        <f>IF(A199="","",COUNTIF(Estimate!$C$5:$C$404,A199))</f>
        <v/>
      </c>
      <c r="G199" s="35" t="n"/>
    </row>
    <row r="200">
      <c r="A200" s="35" t="n"/>
      <c r="B200" s="35" t="n"/>
      <c r="C200" s="35" t="n"/>
      <c r="D200" s="37" t="n"/>
      <c r="E200" s="9">
        <f>IF(B200="","",IFERROR(VLOOKUP(B200,Settings!$E$5:$G$28,3,FALSE),"Other"))</f>
        <v/>
      </c>
      <c r="F200" s="9">
        <f>IF(A200="","",COUNTIF(Estimate!$C$5:$C$404,A200))</f>
        <v/>
      </c>
      <c r="G200" s="35" t="n"/>
    </row>
    <row r="201">
      <c r="A201" s="35" t="n"/>
      <c r="B201" s="35" t="n"/>
      <c r="C201" s="35" t="n"/>
      <c r="D201" s="37" t="n"/>
      <c r="E201" s="9">
        <f>IF(B201="","",IFERROR(VLOOKUP(B201,Settings!$E$5:$G$28,3,FALSE),"Other"))</f>
        <v/>
      </c>
      <c r="F201" s="9">
        <f>IF(A201="","",COUNTIF(Estimate!$C$5:$C$404,A201))</f>
        <v/>
      </c>
      <c r="G201" s="35" t="n"/>
    </row>
    <row r="202">
      <c r="A202" s="35" t="n"/>
      <c r="B202" s="35" t="n"/>
      <c r="C202" s="35" t="n"/>
      <c r="D202" s="37" t="n"/>
      <c r="E202" s="9">
        <f>IF(B202="","",IFERROR(VLOOKUP(B202,Settings!$E$5:$G$28,3,FALSE),"Other"))</f>
        <v/>
      </c>
      <c r="F202" s="9">
        <f>IF(A202="","",COUNTIF(Estimate!$C$5:$C$404,A202))</f>
        <v/>
      </c>
      <c r="G202" s="35" t="n"/>
    </row>
    <row r="203">
      <c r="A203" s="35" t="n"/>
      <c r="B203" s="35" t="n"/>
      <c r="C203" s="35" t="n"/>
      <c r="D203" s="37" t="n"/>
      <c r="E203" s="9">
        <f>IF(B203="","",IFERROR(VLOOKUP(B203,Settings!$E$5:$G$28,3,FALSE),"Other"))</f>
        <v/>
      </c>
      <c r="F203" s="9">
        <f>IF(A203="","",COUNTIF(Estimate!$C$5:$C$404,A203))</f>
        <v/>
      </c>
      <c r="G203" s="35" t="n"/>
    </row>
    <row r="204">
      <c r="A204" s="35" t="n"/>
      <c r="B204" s="35" t="n"/>
      <c r="C204" s="35" t="n"/>
      <c r="D204" s="37" t="n"/>
      <c r="E204" s="9">
        <f>IF(B204="","",IFERROR(VLOOKUP(B204,Settings!$E$5:$G$28,3,FALSE),"Other"))</f>
        <v/>
      </c>
      <c r="F204" s="9">
        <f>IF(A204="","",COUNTIF(Estimate!$C$5:$C$404,A204))</f>
        <v/>
      </c>
      <c r="G204" s="35" t="n"/>
    </row>
  </sheetData>
  <dataValidations count="2">
    <dataValidation sqref="B5:B204" showDropDown="0" showInputMessage="1" showErrorMessage="0" allowBlank="1" promptTitle="Pick from the list" prompt="Cost codes are defined on Settings." type="list">
      <formula1>=Settings!$E$5:$E$28</formula1>
    </dataValidation>
    <dataValidation sqref="C5:C204" showDropDown="0" showInputMessage="0" showErrorMessage="0" allowBlank="1" type="list">
      <formula1>=Settings!$J$5:$J$14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7.xml><?xml version="1.0" encoding="utf-8"?>
<worksheet xmlns="http://schemas.openxmlformats.org/spreadsheetml/2006/main">
  <sheetPr>
    <tabColor rgb="004A86C8"/>
    <outlinePr summaryBelow="1" summaryRight="1"/>
    <pageSetUpPr fitToPage="1"/>
  </sheetPr>
  <dimension ref="A1:Y4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22" customWidth="1" min="2" max="2"/>
    <col width="34" customWidth="1" min="3" max="3"/>
    <col width="12" customWidth="1" min="4" max="4"/>
    <col width="12" customWidth="1" min="5" max="5"/>
    <col width="12"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1" customWidth="1" min="15" max="15"/>
    <col width="10" customWidth="1" min="16" max="16"/>
    <col width="14" customWidth="1" min="17" max="17"/>
    <col width="14" customWidth="1" min="18" max="18"/>
    <col width="14" customWidth="1" min="19" max="19"/>
    <col width="14" customWidth="1" min="20" max="20"/>
    <col width="11" customWidth="1" min="21" max="21"/>
    <col width="11" customWidth="1" min="22" max="22"/>
    <col width="10" customWidth="1" min="23" max="23"/>
    <col width="26" customWidth="1" min="24" max="24"/>
    <col width="30" customWidth="1" min="25" max="25"/>
  </cols>
  <sheetData>
    <row r="1">
      <c r="A1" s="13" t="inlineStr">
        <is>
          <t>Jobs</t>
        </is>
      </c>
    </row>
    <row r="2">
      <c r="A2" s="14" t="inlineStr">
        <is>
          <t>One row per job. Costs, hours, invoices and payments flow in from the other sheets. Contract Value is optional: leave blank to use the Estimate Price.</t>
        </is>
      </c>
    </row>
    <row r="3">
      <c r="A3" s="14">
        <f>"Suggested next Job ID: J-"&amp;(1000+COUNTA(A5:A44)+1)</f>
        <v/>
      </c>
    </row>
    <row r="4" ht="30" customHeight="1">
      <c r="A4" s="24" t="inlineStr">
        <is>
          <t>Job ID</t>
        </is>
      </c>
      <c r="B4" s="24" t="inlineStr">
        <is>
          <t>Client</t>
        </is>
      </c>
      <c r="C4" s="24" t="inlineStr">
        <is>
          <t>Job address / description</t>
        </is>
      </c>
      <c r="D4" s="24" t="inlineStr">
        <is>
          <t>Status</t>
        </is>
      </c>
      <c r="E4" s="24" t="inlineStr">
        <is>
          <t>Start date</t>
        </is>
      </c>
      <c r="F4" s="24" t="inlineStr">
        <is>
          <t>Target end</t>
        </is>
      </c>
      <c r="G4" s="24" t="inlineStr">
        <is>
          <t>% Complete (manual)</t>
        </is>
      </c>
      <c r="H4" s="24" t="inlineStr">
        <is>
          <t>Estimate Price</t>
        </is>
      </c>
      <c r="I4" s="24" t="inlineStr">
        <is>
          <t>Contract Value (signed)</t>
        </is>
      </c>
      <c r="J4" s="24" t="inlineStr">
        <is>
          <t>Approved Change Orders</t>
        </is>
      </c>
      <c r="K4" s="24" t="inlineStr">
        <is>
          <t>Revised Contract</t>
        </is>
      </c>
      <c r="L4" s="24" t="inlineStr">
        <is>
          <t>Estimated Cost</t>
        </is>
      </c>
      <c r="M4" s="24" t="inlineStr">
        <is>
          <t>Actual Cost to Date</t>
        </is>
      </c>
      <c r="N4" s="24" t="inlineStr">
        <is>
          <t>Cost Variance</t>
        </is>
      </c>
      <c r="O4" s="24" t="inlineStr">
        <is>
          <t>% of Budget Used</t>
        </is>
      </c>
      <c r="P4" s="24" t="inlineStr">
        <is>
          <t>Labor Hours</t>
        </is>
      </c>
      <c r="Q4" s="24" t="inlineStr">
        <is>
          <t>Invoiced</t>
        </is>
      </c>
      <c r="R4" s="24" t="inlineStr">
        <is>
          <t>Collected</t>
        </is>
      </c>
      <c r="S4" s="24" t="inlineStr">
        <is>
          <t>Balance Due</t>
        </is>
      </c>
      <c r="T4" s="24" t="inlineStr">
        <is>
          <t>Projected Gross Profit</t>
        </is>
      </c>
      <c r="U4" s="24" t="inlineStr">
        <is>
          <t>Projected Margin %</t>
        </is>
      </c>
      <c r="V4" s="24" t="inlineStr">
        <is>
          <t>Estimated Margin %</t>
        </is>
      </c>
      <c r="W4" s="24" t="inlineStr">
        <is>
          <t>Days to Target</t>
        </is>
      </c>
      <c r="X4" s="24" t="inlineStr">
        <is>
          <t>Check</t>
        </is>
      </c>
      <c r="Y4" s="24" t="inlineStr">
        <is>
          <t>Notes</t>
        </is>
      </c>
    </row>
    <row r="5">
      <c r="A5" s="35" t="n"/>
      <c r="B5" s="35" t="n"/>
      <c r="C5" s="35" t="n"/>
      <c r="D5" s="35" t="n"/>
      <c r="E5" s="40" t="n"/>
      <c r="F5" s="40" t="n"/>
      <c r="G5" s="36" t="n"/>
      <c r="H5" s="39">
        <f>IF($A5="","",SUMIFS(Estimate!$M$5:$M$404,Estimate!$A$5:$A$404,$A5))</f>
        <v/>
      </c>
      <c r="I5" s="37" t="n"/>
      <c r="J5" s="39">
        <f>IF($A5="","",SUMIFS('Change Orders'!$H$5:$H$104,'Change Orders'!$B$5:$B$104,$A5,'Change Orders'!$E$5:$E$104,"Approved"))</f>
        <v/>
      </c>
      <c r="K5" s="39">
        <f>IF($A5="","",IF(I5="",H5,I5)+J5)</f>
        <v/>
      </c>
      <c r="L5" s="39">
        <f>IF($A5="","",SUMIFS(Estimate!$K$5:$K$404,Estimate!$A$5:$A$404,$A5)+SUMIFS('Change Orders'!$G$5:$G$104,'Change Orders'!$B$5:$B$104,$A5,'Change Orders'!$E$5:$E$104,"Approved"))</f>
        <v/>
      </c>
      <c r="M5" s="39">
        <f>IF($A5="","",SUMIFS('Job Costs'!$I$5:$I$1004,'Job Costs'!$B$5:$B$1004,$A5)+SUMIFS(Timesheet!$H$5:$H$1004,Timesheet!$C$5:$C$1004,$A5)+SUMIFS(Mileage!$I$5:$I$304,Mileage!$B$5:$B$304,$A5))</f>
        <v/>
      </c>
      <c r="N5" s="39">
        <f>IF($A5="","",L5-M5)</f>
        <v/>
      </c>
      <c r="O5" s="26">
        <f>IF($A5="","",IF(L5=0,0,M5/L5))</f>
        <v/>
      </c>
      <c r="P5" s="28">
        <f>IF($A5="","",SUMIFS(Timesheet!$E$5:$E$1004,Timesheet!$C$5:$C$1004,$A5)+SUMIFS('Job Costs'!$G$5:$G$1004,'Job Costs'!$B$5:$B$1004,$A5,'Job Costs'!$D$5:$D$1004,"Labor"))</f>
        <v/>
      </c>
      <c r="Q5" s="39">
        <f>IF($A5="","",SUMIFS(Invoices!$E$5:$E$204,Invoices!$B$5:$B$204,$A5))</f>
        <v/>
      </c>
      <c r="R5" s="39">
        <f>IF($A5="","",SUMIFS(Payments!$D$5:$D$304,Payments!$B$5:$B$304,$A5))</f>
        <v/>
      </c>
      <c r="S5" s="39">
        <f>IF($A5="","",Q5-R5)</f>
        <v/>
      </c>
      <c r="T5" s="39">
        <f>IF($A5="","",K5-MAX(L5,M5))</f>
        <v/>
      </c>
      <c r="U5" s="26">
        <f>IF($A5="","",IF(K5=0,0,T5/K5))</f>
        <v/>
      </c>
      <c r="V5" s="26">
        <f>IF($A5="","",IF(K5=0,0,(K5-L5)/K5))</f>
        <v/>
      </c>
      <c r="W5" s="9">
        <f>IF(OR($A5="",F5="",D5="Complete",D5="Closed",D5="Lost"),"",F5-TODAY())</f>
        <v/>
      </c>
      <c r="X5" s="9">
        <f>IF($A5="","",IF(COUNTIF(Jobs!$A$5:$A$44,$A5)&gt;1,"Duplicate Job ID",IF(AND(B5&lt;&gt;"",COUNTIF(Clients!$A$5:$A$104,B5)=0),"Client not in Clients sheet",IF(D5="","Missing status",IF(AND(OR(D5="Approved",D5="In Progress"),H5=0,I5=""),"Active job with no estimate or contract value","")))))</f>
        <v/>
      </c>
      <c r="Y5" s="35" t="n"/>
    </row>
    <row r="6">
      <c r="A6" s="35" t="n"/>
      <c r="B6" s="35" t="n"/>
      <c r="C6" s="35" t="n"/>
      <c r="D6" s="35" t="n"/>
      <c r="E6" s="40" t="n"/>
      <c r="F6" s="40" t="n"/>
      <c r="G6" s="36" t="n"/>
      <c r="H6" s="39">
        <f>IF($A6="","",SUMIFS(Estimate!$M$5:$M$404,Estimate!$A$5:$A$404,$A6))</f>
        <v/>
      </c>
      <c r="I6" s="37" t="n"/>
      <c r="J6" s="39">
        <f>IF($A6="","",SUMIFS('Change Orders'!$H$5:$H$104,'Change Orders'!$B$5:$B$104,$A6,'Change Orders'!$E$5:$E$104,"Approved"))</f>
        <v/>
      </c>
      <c r="K6" s="39">
        <f>IF($A6="","",IF(I6="",H6,I6)+J6)</f>
        <v/>
      </c>
      <c r="L6" s="39">
        <f>IF($A6="","",SUMIFS(Estimate!$K$5:$K$404,Estimate!$A$5:$A$404,$A6)+SUMIFS('Change Orders'!$G$5:$G$104,'Change Orders'!$B$5:$B$104,$A6,'Change Orders'!$E$5:$E$104,"Approved"))</f>
        <v/>
      </c>
      <c r="M6" s="39">
        <f>IF($A6="","",SUMIFS('Job Costs'!$I$5:$I$1004,'Job Costs'!$B$5:$B$1004,$A6)+SUMIFS(Timesheet!$H$5:$H$1004,Timesheet!$C$5:$C$1004,$A6)+SUMIFS(Mileage!$I$5:$I$304,Mileage!$B$5:$B$304,$A6))</f>
        <v/>
      </c>
      <c r="N6" s="39">
        <f>IF($A6="","",L6-M6)</f>
        <v/>
      </c>
      <c r="O6" s="26">
        <f>IF($A6="","",IF(L6=0,0,M6/L6))</f>
        <v/>
      </c>
      <c r="P6" s="28">
        <f>IF($A6="","",SUMIFS(Timesheet!$E$5:$E$1004,Timesheet!$C$5:$C$1004,$A6)+SUMIFS('Job Costs'!$G$5:$G$1004,'Job Costs'!$B$5:$B$1004,$A6,'Job Costs'!$D$5:$D$1004,"Labor"))</f>
        <v/>
      </c>
      <c r="Q6" s="39">
        <f>IF($A6="","",SUMIFS(Invoices!$E$5:$E$204,Invoices!$B$5:$B$204,$A6))</f>
        <v/>
      </c>
      <c r="R6" s="39">
        <f>IF($A6="","",SUMIFS(Payments!$D$5:$D$304,Payments!$B$5:$B$304,$A6))</f>
        <v/>
      </c>
      <c r="S6" s="39">
        <f>IF($A6="","",Q6-R6)</f>
        <v/>
      </c>
      <c r="T6" s="39">
        <f>IF($A6="","",K6-MAX(L6,M6))</f>
        <v/>
      </c>
      <c r="U6" s="26">
        <f>IF($A6="","",IF(K6=0,0,T6/K6))</f>
        <v/>
      </c>
      <c r="V6" s="26">
        <f>IF($A6="","",IF(K6=0,0,(K6-L6)/K6))</f>
        <v/>
      </c>
      <c r="W6" s="9">
        <f>IF(OR($A6="",F6="",D6="Complete",D6="Closed",D6="Lost"),"",F6-TODAY())</f>
        <v/>
      </c>
      <c r="X6" s="9">
        <f>IF($A6="","",IF(COUNTIF(Jobs!$A$5:$A$44,$A6)&gt;1,"Duplicate Job ID",IF(AND(B6&lt;&gt;"",COUNTIF(Clients!$A$5:$A$104,B6)=0),"Client not in Clients sheet",IF(D6="","Missing status",IF(AND(OR(D6="Approved",D6="In Progress"),H6=0,I6=""),"Active job with no estimate or contract value","")))))</f>
        <v/>
      </c>
      <c r="Y6" s="35" t="n"/>
    </row>
    <row r="7">
      <c r="A7" s="35" t="n"/>
      <c r="B7" s="35" t="n"/>
      <c r="C7" s="35" t="n"/>
      <c r="D7" s="35" t="n"/>
      <c r="E7" s="40" t="n"/>
      <c r="F7" s="40" t="n"/>
      <c r="G7" s="36" t="n"/>
      <c r="H7" s="39">
        <f>IF($A7="","",SUMIFS(Estimate!$M$5:$M$404,Estimate!$A$5:$A$404,$A7))</f>
        <v/>
      </c>
      <c r="I7" s="37" t="n"/>
      <c r="J7" s="39">
        <f>IF($A7="","",SUMIFS('Change Orders'!$H$5:$H$104,'Change Orders'!$B$5:$B$104,$A7,'Change Orders'!$E$5:$E$104,"Approved"))</f>
        <v/>
      </c>
      <c r="K7" s="39">
        <f>IF($A7="","",IF(I7="",H7,I7)+J7)</f>
        <v/>
      </c>
      <c r="L7" s="39">
        <f>IF($A7="","",SUMIFS(Estimate!$K$5:$K$404,Estimate!$A$5:$A$404,$A7)+SUMIFS('Change Orders'!$G$5:$G$104,'Change Orders'!$B$5:$B$104,$A7,'Change Orders'!$E$5:$E$104,"Approved"))</f>
        <v/>
      </c>
      <c r="M7" s="39">
        <f>IF($A7="","",SUMIFS('Job Costs'!$I$5:$I$1004,'Job Costs'!$B$5:$B$1004,$A7)+SUMIFS(Timesheet!$H$5:$H$1004,Timesheet!$C$5:$C$1004,$A7)+SUMIFS(Mileage!$I$5:$I$304,Mileage!$B$5:$B$304,$A7))</f>
        <v/>
      </c>
      <c r="N7" s="39">
        <f>IF($A7="","",L7-M7)</f>
        <v/>
      </c>
      <c r="O7" s="26">
        <f>IF($A7="","",IF(L7=0,0,M7/L7))</f>
        <v/>
      </c>
      <c r="P7" s="28">
        <f>IF($A7="","",SUMIFS(Timesheet!$E$5:$E$1004,Timesheet!$C$5:$C$1004,$A7)+SUMIFS('Job Costs'!$G$5:$G$1004,'Job Costs'!$B$5:$B$1004,$A7,'Job Costs'!$D$5:$D$1004,"Labor"))</f>
        <v/>
      </c>
      <c r="Q7" s="39">
        <f>IF($A7="","",SUMIFS(Invoices!$E$5:$E$204,Invoices!$B$5:$B$204,$A7))</f>
        <v/>
      </c>
      <c r="R7" s="39">
        <f>IF($A7="","",SUMIFS(Payments!$D$5:$D$304,Payments!$B$5:$B$304,$A7))</f>
        <v/>
      </c>
      <c r="S7" s="39">
        <f>IF($A7="","",Q7-R7)</f>
        <v/>
      </c>
      <c r="T7" s="39">
        <f>IF($A7="","",K7-MAX(L7,M7))</f>
        <v/>
      </c>
      <c r="U7" s="26">
        <f>IF($A7="","",IF(K7=0,0,T7/K7))</f>
        <v/>
      </c>
      <c r="V7" s="26">
        <f>IF($A7="","",IF(K7=0,0,(K7-L7)/K7))</f>
        <v/>
      </c>
      <c r="W7" s="9">
        <f>IF(OR($A7="",F7="",D7="Complete",D7="Closed",D7="Lost"),"",F7-TODAY())</f>
        <v/>
      </c>
      <c r="X7" s="9">
        <f>IF($A7="","",IF(COUNTIF(Jobs!$A$5:$A$44,$A7)&gt;1,"Duplicate Job ID",IF(AND(B7&lt;&gt;"",COUNTIF(Clients!$A$5:$A$104,B7)=0),"Client not in Clients sheet",IF(D7="","Missing status",IF(AND(OR(D7="Approved",D7="In Progress"),H7=0,I7=""),"Active job with no estimate or contract value","")))))</f>
        <v/>
      </c>
      <c r="Y7" s="35" t="n"/>
    </row>
    <row r="8">
      <c r="A8" s="35" t="n"/>
      <c r="B8" s="35" t="n"/>
      <c r="C8" s="35" t="n"/>
      <c r="D8" s="35" t="n"/>
      <c r="E8" s="40" t="n"/>
      <c r="F8" s="40" t="n"/>
      <c r="G8" s="36" t="n"/>
      <c r="H8" s="39">
        <f>IF($A8="","",SUMIFS(Estimate!$M$5:$M$404,Estimate!$A$5:$A$404,$A8))</f>
        <v/>
      </c>
      <c r="I8" s="37" t="n"/>
      <c r="J8" s="39">
        <f>IF($A8="","",SUMIFS('Change Orders'!$H$5:$H$104,'Change Orders'!$B$5:$B$104,$A8,'Change Orders'!$E$5:$E$104,"Approved"))</f>
        <v/>
      </c>
      <c r="K8" s="39">
        <f>IF($A8="","",IF(I8="",H8,I8)+J8)</f>
        <v/>
      </c>
      <c r="L8" s="39">
        <f>IF($A8="","",SUMIFS(Estimate!$K$5:$K$404,Estimate!$A$5:$A$404,$A8)+SUMIFS('Change Orders'!$G$5:$G$104,'Change Orders'!$B$5:$B$104,$A8,'Change Orders'!$E$5:$E$104,"Approved"))</f>
        <v/>
      </c>
      <c r="M8" s="39">
        <f>IF($A8="","",SUMIFS('Job Costs'!$I$5:$I$1004,'Job Costs'!$B$5:$B$1004,$A8)+SUMIFS(Timesheet!$H$5:$H$1004,Timesheet!$C$5:$C$1004,$A8)+SUMIFS(Mileage!$I$5:$I$304,Mileage!$B$5:$B$304,$A8))</f>
        <v/>
      </c>
      <c r="N8" s="39">
        <f>IF($A8="","",L8-M8)</f>
        <v/>
      </c>
      <c r="O8" s="26">
        <f>IF($A8="","",IF(L8=0,0,M8/L8))</f>
        <v/>
      </c>
      <c r="P8" s="28">
        <f>IF($A8="","",SUMIFS(Timesheet!$E$5:$E$1004,Timesheet!$C$5:$C$1004,$A8)+SUMIFS('Job Costs'!$G$5:$G$1004,'Job Costs'!$B$5:$B$1004,$A8,'Job Costs'!$D$5:$D$1004,"Labor"))</f>
        <v/>
      </c>
      <c r="Q8" s="39">
        <f>IF($A8="","",SUMIFS(Invoices!$E$5:$E$204,Invoices!$B$5:$B$204,$A8))</f>
        <v/>
      </c>
      <c r="R8" s="39">
        <f>IF($A8="","",SUMIFS(Payments!$D$5:$D$304,Payments!$B$5:$B$304,$A8))</f>
        <v/>
      </c>
      <c r="S8" s="39">
        <f>IF($A8="","",Q8-R8)</f>
        <v/>
      </c>
      <c r="T8" s="39">
        <f>IF($A8="","",K8-MAX(L8,M8))</f>
        <v/>
      </c>
      <c r="U8" s="26">
        <f>IF($A8="","",IF(K8=0,0,T8/K8))</f>
        <v/>
      </c>
      <c r="V8" s="26">
        <f>IF($A8="","",IF(K8=0,0,(K8-L8)/K8))</f>
        <v/>
      </c>
      <c r="W8" s="9">
        <f>IF(OR($A8="",F8="",D8="Complete",D8="Closed",D8="Lost"),"",F8-TODAY())</f>
        <v/>
      </c>
      <c r="X8" s="9">
        <f>IF($A8="","",IF(COUNTIF(Jobs!$A$5:$A$44,$A8)&gt;1,"Duplicate Job ID",IF(AND(B8&lt;&gt;"",COUNTIF(Clients!$A$5:$A$104,B8)=0),"Client not in Clients sheet",IF(D8="","Missing status",IF(AND(OR(D8="Approved",D8="In Progress"),H8=0,I8=""),"Active job with no estimate or contract value","")))))</f>
        <v/>
      </c>
      <c r="Y8" s="35" t="n"/>
    </row>
    <row r="9">
      <c r="A9" s="35" t="n"/>
      <c r="B9" s="35" t="n"/>
      <c r="C9" s="35" t="n"/>
      <c r="D9" s="35" t="n"/>
      <c r="E9" s="40" t="n"/>
      <c r="F9" s="40" t="n"/>
      <c r="G9" s="36" t="n"/>
      <c r="H9" s="39">
        <f>IF($A9="","",SUMIFS(Estimate!$M$5:$M$404,Estimate!$A$5:$A$404,$A9))</f>
        <v/>
      </c>
      <c r="I9" s="37" t="n"/>
      <c r="J9" s="39">
        <f>IF($A9="","",SUMIFS('Change Orders'!$H$5:$H$104,'Change Orders'!$B$5:$B$104,$A9,'Change Orders'!$E$5:$E$104,"Approved"))</f>
        <v/>
      </c>
      <c r="K9" s="39">
        <f>IF($A9="","",IF(I9="",H9,I9)+J9)</f>
        <v/>
      </c>
      <c r="L9" s="39">
        <f>IF($A9="","",SUMIFS(Estimate!$K$5:$K$404,Estimate!$A$5:$A$404,$A9)+SUMIFS('Change Orders'!$G$5:$G$104,'Change Orders'!$B$5:$B$104,$A9,'Change Orders'!$E$5:$E$104,"Approved"))</f>
        <v/>
      </c>
      <c r="M9" s="39">
        <f>IF($A9="","",SUMIFS('Job Costs'!$I$5:$I$1004,'Job Costs'!$B$5:$B$1004,$A9)+SUMIFS(Timesheet!$H$5:$H$1004,Timesheet!$C$5:$C$1004,$A9)+SUMIFS(Mileage!$I$5:$I$304,Mileage!$B$5:$B$304,$A9))</f>
        <v/>
      </c>
      <c r="N9" s="39">
        <f>IF($A9="","",L9-M9)</f>
        <v/>
      </c>
      <c r="O9" s="26">
        <f>IF($A9="","",IF(L9=0,0,M9/L9))</f>
        <v/>
      </c>
      <c r="P9" s="28">
        <f>IF($A9="","",SUMIFS(Timesheet!$E$5:$E$1004,Timesheet!$C$5:$C$1004,$A9)+SUMIFS('Job Costs'!$G$5:$G$1004,'Job Costs'!$B$5:$B$1004,$A9,'Job Costs'!$D$5:$D$1004,"Labor"))</f>
        <v/>
      </c>
      <c r="Q9" s="39">
        <f>IF($A9="","",SUMIFS(Invoices!$E$5:$E$204,Invoices!$B$5:$B$204,$A9))</f>
        <v/>
      </c>
      <c r="R9" s="39">
        <f>IF($A9="","",SUMIFS(Payments!$D$5:$D$304,Payments!$B$5:$B$304,$A9))</f>
        <v/>
      </c>
      <c r="S9" s="39">
        <f>IF($A9="","",Q9-R9)</f>
        <v/>
      </c>
      <c r="T9" s="39">
        <f>IF($A9="","",K9-MAX(L9,M9))</f>
        <v/>
      </c>
      <c r="U9" s="26">
        <f>IF($A9="","",IF(K9=0,0,T9/K9))</f>
        <v/>
      </c>
      <c r="V9" s="26">
        <f>IF($A9="","",IF(K9=0,0,(K9-L9)/K9))</f>
        <v/>
      </c>
      <c r="W9" s="9">
        <f>IF(OR($A9="",F9="",D9="Complete",D9="Closed",D9="Lost"),"",F9-TODAY())</f>
        <v/>
      </c>
      <c r="X9" s="9">
        <f>IF($A9="","",IF(COUNTIF(Jobs!$A$5:$A$44,$A9)&gt;1,"Duplicate Job ID",IF(AND(B9&lt;&gt;"",COUNTIF(Clients!$A$5:$A$104,B9)=0),"Client not in Clients sheet",IF(D9="","Missing status",IF(AND(OR(D9="Approved",D9="In Progress"),H9=0,I9=""),"Active job with no estimate or contract value","")))))</f>
        <v/>
      </c>
      <c r="Y9" s="35" t="n"/>
    </row>
    <row r="10">
      <c r="A10" s="35" t="n"/>
      <c r="B10" s="35" t="n"/>
      <c r="C10" s="35" t="n"/>
      <c r="D10" s="35" t="n"/>
      <c r="E10" s="40" t="n"/>
      <c r="F10" s="40" t="n"/>
      <c r="G10" s="36" t="n"/>
      <c r="H10" s="39">
        <f>IF($A10="","",SUMIFS(Estimate!$M$5:$M$404,Estimate!$A$5:$A$404,$A10))</f>
        <v/>
      </c>
      <c r="I10" s="37" t="n"/>
      <c r="J10" s="39">
        <f>IF($A10="","",SUMIFS('Change Orders'!$H$5:$H$104,'Change Orders'!$B$5:$B$104,$A10,'Change Orders'!$E$5:$E$104,"Approved"))</f>
        <v/>
      </c>
      <c r="K10" s="39">
        <f>IF($A10="","",IF(I10="",H10,I10)+J10)</f>
        <v/>
      </c>
      <c r="L10" s="39">
        <f>IF($A10="","",SUMIFS(Estimate!$K$5:$K$404,Estimate!$A$5:$A$404,$A10)+SUMIFS('Change Orders'!$G$5:$G$104,'Change Orders'!$B$5:$B$104,$A10,'Change Orders'!$E$5:$E$104,"Approved"))</f>
        <v/>
      </c>
      <c r="M10" s="39">
        <f>IF($A10="","",SUMIFS('Job Costs'!$I$5:$I$1004,'Job Costs'!$B$5:$B$1004,$A10)+SUMIFS(Timesheet!$H$5:$H$1004,Timesheet!$C$5:$C$1004,$A10)+SUMIFS(Mileage!$I$5:$I$304,Mileage!$B$5:$B$304,$A10))</f>
        <v/>
      </c>
      <c r="N10" s="39">
        <f>IF($A10="","",L10-M10)</f>
        <v/>
      </c>
      <c r="O10" s="26">
        <f>IF($A10="","",IF(L10=0,0,M10/L10))</f>
        <v/>
      </c>
      <c r="P10" s="28">
        <f>IF($A10="","",SUMIFS(Timesheet!$E$5:$E$1004,Timesheet!$C$5:$C$1004,$A10)+SUMIFS('Job Costs'!$G$5:$G$1004,'Job Costs'!$B$5:$B$1004,$A10,'Job Costs'!$D$5:$D$1004,"Labor"))</f>
        <v/>
      </c>
      <c r="Q10" s="39">
        <f>IF($A10="","",SUMIFS(Invoices!$E$5:$E$204,Invoices!$B$5:$B$204,$A10))</f>
        <v/>
      </c>
      <c r="R10" s="39">
        <f>IF($A10="","",SUMIFS(Payments!$D$5:$D$304,Payments!$B$5:$B$304,$A10))</f>
        <v/>
      </c>
      <c r="S10" s="39">
        <f>IF($A10="","",Q10-R10)</f>
        <v/>
      </c>
      <c r="T10" s="39">
        <f>IF($A10="","",K10-MAX(L10,M10))</f>
        <v/>
      </c>
      <c r="U10" s="26">
        <f>IF($A10="","",IF(K10=0,0,T10/K10))</f>
        <v/>
      </c>
      <c r="V10" s="26">
        <f>IF($A10="","",IF(K10=0,0,(K10-L10)/K10))</f>
        <v/>
      </c>
      <c r="W10" s="9">
        <f>IF(OR($A10="",F10="",D10="Complete",D10="Closed",D10="Lost"),"",F10-TODAY())</f>
        <v/>
      </c>
      <c r="X10" s="9">
        <f>IF($A10="","",IF(COUNTIF(Jobs!$A$5:$A$44,$A10)&gt;1,"Duplicate Job ID",IF(AND(B10&lt;&gt;"",COUNTIF(Clients!$A$5:$A$104,B10)=0),"Client not in Clients sheet",IF(D10="","Missing status",IF(AND(OR(D10="Approved",D10="In Progress"),H10=0,I10=""),"Active job with no estimate or contract value","")))))</f>
        <v/>
      </c>
      <c r="Y10" s="35" t="n"/>
    </row>
    <row r="11">
      <c r="A11" s="35" t="n"/>
      <c r="B11" s="35" t="n"/>
      <c r="C11" s="35" t="n"/>
      <c r="D11" s="35" t="n"/>
      <c r="E11" s="40" t="n"/>
      <c r="F11" s="40" t="n"/>
      <c r="G11" s="36" t="n"/>
      <c r="H11" s="39">
        <f>IF($A11="","",SUMIFS(Estimate!$M$5:$M$404,Estimate!$A$5:$A$404,$A11))</f>
        <v/>
      </c>
      <c r="I11" s="37" t="n"/>
      <c r="J11" s="39">
        <f>IF($A11="","",SUMIFS('Change Orders'!$H$5:$H$104,'Change Orders'!$B$5:$B$104,$A11,'Change Orders'!$E$5:$E$104,"Approved"))</f>
        <v/>
      </c>
      <c r="K11" s="39">
        <f>IF($A11="","",IF(I11="",H11,I11)+J11)</f>
        <v/>
      </c>
      <c r="L11" s="39">
        <f>IF($A11="","",SUMIFS(Estimate!$K$5:$K$404,Estimate!$A$5:$A$404,$A11)+SUMIFS('Change Orders'!$G$5:$G$104,'Change Orders'!$B$5:$B$104,$A11,'Change Orders'!$E$5:$E$104,"Approved"))</f>
        <v/>
      </c>
      <c r="M11" s="39">
        <f>IF($A11="","",SUMIFS('Job Costs'!$I$5:$I$1004,'Job Costs'!$B$5:$B$1004,$A11)+SUMIFS(Timesheet!$H$5:$H$1004,Timesheet!$C$5:$C$1004,$A11)+SUMIFS(Mileage!$I$5:$I$304,Mileage!$B$5:$B$304,$A11))</f>
        <v/>
      </c>
      <c r="N11" s="39">
        <f>IF($A11="","",L11-M11)</f>
        <v/>
      </c>
      <c r="O11" s="26">
        <f>IF($A11="","",IF(L11=0,0,M11/L11))</f>
        <v/>
      </c>
      <c r="P11" s="28">
        <f>IF($A11="","",SUMIFS(Timesheet!$E$5:$E$1004,Timesheet!$C$5:$C$1004,$A11)+SUMIFS('Job Costs'!$G$5:$G$1004,'Job Costs'!$B$5:$B$1004,$A11,'Job Costs'!$D$5:$D$1004,"Labor"))</f>
        <v/>
      </c>
      <c r="Q11" s="39">
        <f>IF($A11="","",SUMIFS(Invoices!$E$5:$E$204,Invoices!$B$5:$B$204,$A11))</f>
        <v/>
      </c>
      <c r="R11" s="39">
        <f>IF($A11="","",SUMIFS(Payments!$D$5:$D$304,Payments!$B$5:$B$304,$A11))</f>
        <v/>
      </c>
      <c r="S11" s="39">
        <f>IF($A11="","",Q11-R11)</f>
        <v/>
      </c>
      <c r="T11" s="39">
        <f>IF($A11="","",K11-MAX(L11,M11))</f>
        <v/>
      </c>
      <c r="U11" s="26">
        <f>IF($A11="","",IF(K11=0,0,T11/K11))</f>
        <v/>
      </c>
      <c r="V11" s="26">
        <f>IF($A11="","",IF(K11=0,0,(K11-L11)/K11))</f>
        <v/>
      </c>
      <c r="W11" s="9">
        <f>IF(OR($A11="",F11="",D11="Complete",D11="Closed",D11="Lost"),"",F11-TODAY())</f>
        <v/>
      </c>
      <c r="X11" s="9">
        <f>IF($A11="","",IF(COUNTIF(Jobs!$A$5:$A$44,$A11)&gt;1,"Duplicate Job ID",IF(AND(B11&lt;&gt;"",COUNTIF(Clients!$A$5:$A$104,B11)=0),"Client not in Clients sheet",IF(D11="","Missing status",IF(AND(OR(D11="Approved",D11="In Progress"),H11=0,I11=""),"Active job with no estimate or contract value","")))))</f>
        <v/>
      </c>
      <c r="Y11" s="35" t="n"/>
    </row>
    <row r="12">
      <c r="A12" s="35" t="n"/>
      <c r="B12" s="35" t="n"/>
      <c r="C12" s="35" t="n"/>
      <c r="D12" s="35" t="n"/>
      <c r="E12" s="40" t="n"/>
      <c r="F12" s="40" t="n"/>
      <c r="G12" s="36" t="n"/>
      <c r="H12" s="39">
        <f>IF($A12="","",SUMIFS(Estimate!$M$5:$M$404,Estimate!$A$5:$A$404,$A12))</f>
        <v/>
      </c>
      <c r="I12" s="37" t="n"/>
      <c r="J12" s="39">
        <f>IF($A12="","",SUMIFS('Change Orders'!$H$5:$H$104,'Change Orders'!$B$5:$B$104,$A12,'Change Orders'!$E$5:$E$104,"Approved"))</f>
        <v/>
      </c>
      <c r="K12" s="39">
        <f>IF($A12="","",IF(I12="",H12,I12)+J12)</f>
        <v/>
      </c>
      <c r="L12" s="39">
        <f>IF($A12="","",SUMIFS(Estimate!$K$5:$K$404,Estimate!$A$5:$A$404,$A12)+SUMIFS('Change Orders'!$G$5:$G$104,'Change Orders'!$B$5:$B$104,$A12,'Change Orders'!$E$5:$E$104,"Approved"))</f>
        <v/>
      </c>
      <c r="M12" s="39">
        <f>IF($A12="","",SUMIFS('Job Costs'!$I$5:$I$1004,'Job Costs'!$B$5:$B$1004,$A12)+SUMIFS(Timesheet!$H$5:$H$1004,Timesheet!$C$5:$C$1004,$A12)+SUMIFS(Mileage!$I$5:$I$304,Mileage!$B$5:$B$304,$A12))</f>
        <v/>
      </c>
      <c r="N12" s="39">
        <f>IF($A12="","",L12-M12)</f>
        <v/>
      </c>
      <c r="O12" s="26">
        <f>IF($A12="","",IF(L12=0,0,M12/L12))</f>
        <v/>
      </c>
      <c r="P12" s="28">
        <f>IF($A12="","",SUMIFS(Timesheet!$E$5:$E$1004,Timesheet!$C$5:$C$1004,$A12)+SUMIFS('Job Costs'!$G$5:$G$1004,'Job Costs'!$B$5:$B$1004,$A12,'Job Costs'!$D$5:$D$1004,"Labor"))</f>
        <v/>
      </c>
      <c r="Q12" s="39">
        <f>IF($A12="","",SUMIFS(Invoices!$E$5:$E$204,Invoices!$B$5:$B$204,$A12))</f>
        <v/>
      </c>
      <c r="R12" s="39">
        <f>IF($A12="","",SUMIFS(Payments!$D$5:$D$304,Payments!$B$5:$B$304,$A12))</f>
        <v/>
      </c>
      <c r="S12" s="39">
        <f>IF($A12="","",Q12-R12)</f>
        <v/>
      </c>
      <c r="T12" s="39">
        <f>IF($A12="","",K12-MAX(L12,M12))</f>
        <v/>
      </c>
      <c r="U12" s="26">
        <f>IF($A12="","",IF(K12=0,0,T12/K12))</f>
        <v/>
      </c>
      <c r="V12" s="26">
        <f>IF($A12="","",IF(K12=0,0,(K12-L12)/K12))</f>
        <v/>
      </c>
      <c r="W12" s="9">
        <f>IF(OR($A12="",F12="",D12="Complete",D12="Closed",D12="Lost"),"",F12-TODAY())</f>
        <v/>
      </c>
      <c r="X12" s="9">
        <f>IF($A12="","",IF(COUNTIF(Jobs!$A$5:$A$44,$A12)&gt;1,"Duplicate Job ID",IF(AND(B12&lt;&gt;"",COUNTIF(Clients!$A$5:$A$104,B12)=0),"Client not in Clients sheet",IF(D12="","Missing status",IF(AND(OR(D12="Approved",D12="In Progress"),H12=0,I12=""),"Active job with no estimate or contract value","")))))</f>
        <v/>
      </c>
      <c r="Y12" s="35" t="n"/>
    </row>
    <row r="13">
      <c r="A13" s="35" t="n"/>
      <c r="B13" s="35" t="n"/>
      <c r="C13" s="35" t="n"/>
      <c r="D13" s="35" t="n"/>
      <c r="E13" s="40" t="n"/>
      <c r="F13" s="40" t="n"/>
      <c r="G13" s="36" t="n"/>
      <c r="H13" s="39">
        <f>IF($A13="","",SUMIFS(Estimate!$M$5:$M$404,Estimate!$A$5:$A$404,$A13))</f>
        <v/>
      </c>
      <c r="I13" s="37" t="n"/>
      <c r="J13" s="39">
        <f>IF($A13="","",SUMIFS('Change Orders'!$H$5:$H$104,'Change Orders'!$B$5:$B$104,$A13,'Change Orders'!$E$5:$E$104,"Approved"))</f>
        <v/>
      </c>
      <c r="K13" s="39">
        <f>IF($A13="","",IF(I13="",H13,I13)+J13)</f>
        <v/>
      </c>
      <c r="L13" s="39">
        <f>IF($A13="","",SUMIFS(Estimate!$K$5:$K$404,Estimate!$A$5:$A$404,$A13)+SUMIFS('Change Orders'!$G$5:$G$104,'Change Orders'!$B$5:$B$104,$A13,'Change Orders'!$E$5:$E$104,"Approved"))</f>
        <v/>
      </c>
      <c r="M13" s="39">
        <f>IF($A13="","",SUMIFS('Job Costs'!$I$5:$I$1004,'Job Costs'!$B$5:$B$1004,$A13)+SUMIFS(Timesheet!$H$5:$H$1004,Timesheet!$C$5:$C$1004,$A13)+SUMIFS(Mileage!$I$5:$I$304,Mileage!$B$5:$B$304,$A13))</f>
        <v/>
      </c>
      <c r="N13" s="39">
        <f>IF($A13="","",L13-M13)</f>
        <v/>
      </c>
      <c r="O13" s="26">
        <f>IF($A13="","",IF(L13=0,0,M13/L13))</f>
        <v/>
      </c>
      <c r="P13" s="28">
        <f>IF($A13="","",SUMIFS(Timesheet!$E$5:$E$1004,Timesheet!$C$5:$C$1004,$A13)+SUMIFS('Job Costs'!$G$5:$G$1004,'Job Costs'!$B$5:$B$1004,$A13,'Job Costs'!$D$5:$D$1004,"Labor"))</f>
        <v/>
      </c>
      <c r="Q13" s="39">
        <f>IF($A13="","",SUMIFS(Invoices!$E$5:$E$204,Invoices!$B$5:$B$204,$A13))</f>
        <v/>
      </c>
      <c r="R13" s="39">
        <f>IF($A13="","",SUMIFS(Payments!$D$5:$D$304,Payments!$B$5:$B$304,$A13))</f>
        <v/>
      </c>
      <c r="S13" s="39">
        <f>IF($A13="","",Q13-R13)</f>
        <v/>
      </c>
      <c r="T13" s="39">
        <f>IF($A13="","",K13-MAX(L13,M13))</f>
        <v/>
      </c>
      <c r="U13" s="26">
        <f>IF($A13="","",IF(K13=0,0,T13/K13))</f>
        <v/>
      </c>
      <c r="V13" s="26">
        <f>IF($A13="","",IF(K13=0,0,(K13-L13)/K13))</f>
        <v/>
      </c>
      <c r="W13" s="9">
        <f>IF(OR($A13="",F13="",D13="Complete",D13="Closed",D13="Lost"),"",F13-TODAY())</f>
        <v/>
      </c>
      <c r="X13" s="9">
        <f>IF($A13="","",IF(COUNTIF(Jobs!$A$5:$A$44,$A13)&gt;1,"Duplicate Job ID",IF(AND(B13&lt;&gt;"",COUNTIF(Clients!$A$5:$A$104,B13)=0),"Client not in Clients sheet",IF(D13="","Missing status",IF(AND(OR(D13="Approved",D13="In Progress"),H13=0,I13=""),"Active job with no estimate or contract value","")))))</f>
        <v/>
      </c>
      <c r="Y13" s="35" t="n"/>
    </row>
    <row r="14">
      <c r="A14" s="35" t="n"/>
      <c r="B14" s="35" t="n"/>
      <c r="C14" s="35" t="n"/>
      <c r="D14" s="35" t="n"/>
      <c r="E14" s="40" t="n"/>
      <c r="F14" s="40" t="n"/>
      <c r="G14" s="36" t="n"/>
      <c r="H14" s="39">
        <f>IF($A14="","",SUMIFS(Estimate!$M$5:$M$404,Estimate!$A$5:$A$404,$A14))</f>
        <v/>
      </c>
      <c r="I14" s="37" t="n"/>
      <c r="J14" s="39">
        <f>IF($A14="","",SUMIFS('Change Orders'!$H$5:$H$104,'Change Orders'!$B$5:$B$104,$A14,'Change Orders'!$E$5:$E$104,"Approved"))</f>
        <v/>
      </c>
      <c r="K14" s="39">
        <f>IF($A14="","",IF(I14="",H14,I14)+J14)</f>
        <v/>
      </c>
      <c r="L14" s="39">
        <f>IF($A14="","",SUMIFS(Estimate!$K$5:$K$404,Estimate!$A$5:$A$404,$A14)+SUMIFS('Change Orders'!$G$5:$G$104,'Change Orders'!$B$5:$B$104,$A14,'Change Orders'!$E$5:$E$104,"Approved"))</f>
        <v/>
      </c>
      <c r="M14" s="39">
        <f>IF($A14="","",SUMIFS('Job Costs'!$I$5:$I$1004,'Job Costs'!$B$5:$B$1004,$A14)+SUMIFS(Timesheet!$H$5:$H$1004,Timesheet!$C$5:$C$1004,$A14)+SUMIFS(Mileage!$I$5:$I$304,Mileage!$B$5:$B$304,$A14))</f>
        <v/>
      </c>
      <c r="N14" s="39">
        <f>IF($A14="","",L14-M14)</f>
        <v/>
      </c>
      <c r="O14" s="26">
        <f>IF($A14="","",IF(L14=0,0,M14/L14))</f>
        <v/>
      </c>
      <c r="P14" s="28">
        <f>IF($A14="","",SUMIFS(Timesheet!$E$5:$E$1004,Timesheet!$C$5:$C$1004,$A14)+SUMIFS('Job Costs'!$G$5:$G$1004,'Job Costs'!$B$5:$B$1004,$A14,'Job Costs'!$D$5:$D$1004,"Labor"))</f>
        <v/>
      </c>
      <c r="Q14" s="39">
        <f>IF($A14="","",SUMIFS(Invoices!$E$5:$E$204,Invoices!$B$5:$B$204,$A14))</f>
        <v/>
      </c>
      <c r="R14" s="39">
        <f>IF($A14="","",SUMIFS(Payments!$D$5:$D$304,Payments!$B$5:$B$304,$A14))</f>
        <v/>
      </c>
      <c r="S14" s="39">
        <f>IF($A14="","",Q14-R14)</f>
        <v/>
      </c>
      <c r="T14" s="39">
        <f>IF($A14="","",K14-MAX(L14,M14))</f>
        <v/>
      </c>
      <c r="U14" s="26">
        <f>IF($A14="","",IF(K14=0,0,T14/K14))</f>
        <v/>
      </c>
      <c r="V14" s="26">
        <f>IF($A14="","",IF(K14=0,0,(K14-L14)/K14))</f>
        <v/>
      </c>
      <c r="W14" s="9">
        <f>IF(OR($A14="",F14="",D14="Complete",D14="Closed",D14="Lost"),"",F14-TODAY())</f>
        <v/>
      </c>
      <c r="X14" s="9">
        <f>IF($A14="","",IF(COUNTIF(Jobs!$A$5:$A$44,$A14)&gt;1,"Duplicate Job ID",IF(AND(B14&lt;&gt;"",COUNTIF(Clients!$A$5:$A$104,B14)=0),"Client not in Clients sheet",IF(D14="","Missing status",IF(AND(OR(D14="Approved",D14="In Progress"),H14=0,I14=""),"Active job with no estimate or contract value","")))))</f>
        <v/>
      </c>
      <c r="Y14" s="35" t="n"/>
    </row>
    <row r="15">
      <c r="A15" s="35" t="n"/>
      <c r="B15" s="35" t="n"/>
      <c r="C15" s="35" t="n"/>
      <c r="D15" s="35" t="n"/>
      <c r="E15" s="40" t="n"/>
      <c r="F15" s="40" t="n"/>
      <c r="G15" s="36" t="n"/>
      <c r="H15" s="39">
        <f>IF($A15="","",SUMIFS(Estimate!$M$5:$M$404,Estimate!$A$5:$A$404,$A15))</f>
        <v/>
      </c>
      <c r="I15" s="37" t="n"/>
      <c r="J15" s="39">
        <f>IF($A15="","",SUMIFS('Change Orders'!$H$5:$H$104,'Change Orders'!$B$5:$B$104,$A15,'Change Orders'!$E$5:$E$104,"Approved"))</f>
        <v/>
      </c>
      <c r="K15" s="39">
        <f>IF($A15="","",IF(I15="",H15,I15)+J15)</f>
        <v/>
      </c>
      <c r="L15" s="39">
        <f>IF($A15="","",SUMIFS(Estimate!$K$5:$K$404,Estimate!$A$5:$A$404,$A15)+SUMIFS('Change Orders'!$G$5:$G$104,'Change Orders'!$B$5:$B$104,$A15,'Change Orders'!$E$5:$E$104,"Approved"))</f>
        <v/>
      </c>
      <c r="M15" s="39">
        <f>IF($A15="","",SUMIFS('Job Costs'!$I$5:$I$1004,'Job Costs'!$B$5:$B$1004,$A15)+SUMIFS(Timesheet!$H$5:$H$1004,Timesheet!$C$5:$C$1004,$A15)+SUMIFS(Mileage!$I$5:$I$304,Mileage!$B$5:$B$304,$A15))</f>
        <v/>
      </c>
      <c r="N15" s="39">
        <f>IF($A15="","",L15-M15)</f>
        <v/>
      </c>
      <c r="O15" s="26">
        <f>IF($A15="","",IF(L15=0,0,M15/L15))</f>
        <v/>
      </c>
      <c r="P15" s="28">
        <f>IF($A15="","",SUMIFS(Timesheet!$E$5:$E$1004,Timesheet!$C$5:$C$1004,$A15)+SUMIFS('Job Costs'!$G$5:$G$1004,'Job Costs'!$B$5:$B$1004,$A15,'Job Costs'!$D$5:$D$1004,"Labor"))</f>
        <v/>
      </c>
      <c r="Q15" s="39">
        <f>IF($A15="","",SUMIFS(Invoices!$E$5:$E$204,Invoices!$B$5:$B$204,$A15))</f>
        <v/>
      </c>
      <c r="R15" s="39">
        <f>IF($A15="","",SUMIFS(Payments!$D$5:$D$304,Payments!$B$5:$B$304,$A15))</f>
        <v/>
      </c>
      <c r="S15" s="39">
        <f>IF($A15="","",Q15-R15)</f>
        <v/>
      </c>
      <c r="T15" s="39">
        <f>IF($A15="","",K15-MAX(L15,M15))</f>
        <v/>
      </c>
      <c r="U15" s="26">
        <f>IF($A15="","",IF(K15=0,0,T15/K15))</f>
        <v/>
      </c>
      <c r="V15" s="26">
        <f>IF($A15="","",IF(K15=0,0,(K15-L15)/K15))</f>
        <v/>
      </c>
      <c r="W15" s="9">
        <f>IF(OR($A15="",F15="",D15="Complete",D15="Closed",D15="Lost"),"",F15-TODAY())</f>
        <v/>
      </c>
      <c r="X15" s="9">
        <f>IF($A15="","",IF(COUNTIF(Jobs!$A$5:$A$44,$A15)&gt;1,"Duplicate Job ID",IF(AND(B15&lt;&gt;"",COUNTIF(Clients!$A$5:$A$104,B15)=0),"Client not in Clients sheet",IF(D15="","Missing status",IF(AND(OR(D15="Approved",D15="In Progress"),H15=0,I15=""),"Active job with no estimate or contract value","")))))</f>
        <v/>
      </c>
      <c r="Y15" s="35" t="n"/>
    </row>
    <row r="16">
      <c r="A16" s="35" t="n"/>
      <c r="B16" s="35" t="n"/>
      <c r="C16" s="35" t="n"/>
      <c r="D16" s="35" t="n"/>
      <c r="E16" s="40" t="n"/>
      <c r="F16" s="40" t="n"/>
      <c r="G16" s="36" t="n"/>
      <c r="H16" s="39">
        <f>IF($A16="","",SUMIFS(Estimate!$M$5:$M$404,Estimate!$A$5:$A$404,$A16))</f>
        <v/>
      </c>
      <c r="I16" s="37" t="n"/>
      <c r="J16" s="39">
        <f>IF($A16="","",SUMIFS('Change Orders'!$H$5:$H$104,'Change Orders'!$B$5:$B$104,$A16,'Change Orders'!$E$5:$E$104,"Approved"))</f>
        <v/>
      </c>
      <c r="K16" s="39">
        <f>IF($A16="","",IF(I16="",H16,I16)+J16)</f>
        <v/>
      </c>
      <c r="L16" s="39">
        <f>IF($A16="","",SUMIFS(Estimate!$K$5:$K$404,Estimate!$A$5:$A$404,$A16)+SUMIFS('Change Orders'!$G$5:$G$104,'Change Orders'!$B$5:$B$104,$A16,'Change Orders'!$E$5:$E$104,"Approved"))</f>
        <v/>
      </c>
      <c r="M16" s="39">
        <f>IF($A16="","",SUMIFS('Job Costs'!$I$5:$I$1004,'Job Costs'!$B$5:$B$1004,$A16)+SUMIFS(Timesheet!$H$5:$H$1004,Timesheet!$C$5:$C$1004,$A16)+SUMIFS(Mileage!$I$5:$I$304,Mileage!$B$5:$B$304,$A16))</f>
        <v/>
      </c>
      <c r="N16" s="39">
        <f>IF($A16="","",L16-M16)</f>
        <v/>
      </c>
      <c r="O16" s="26">
        <f>IF($A16="","",IF(L16=0,0,M16/L16))</f>
        <v/>
      </c>
      <c r="P16" s="28">
        <f>IF($A16="","",SUMIFS(Timesheet!$E$5:$E$1004,Timesheet!$C$5:$C$1004,$A16)+SUMIFS('Job Costs'!$G$5:$G$1004,'Job Costs'!$B$5:$B$1004,$A16,'Job Costs'!$D$5:$D$1004,"Labor"))</f>
        <v/>
      </c>
      <c r="Q16" s="39">
        <f>IF($A16="","",SUMIFS(Invoices!$E$5:$E$204,Invoices!$B$5:$B$204,$A16))</f>
        <v/>
      </c>
      <c r="R16" s="39">
        <f>IF($A16="","",SUMIFS(Payments!$D$5:$D$304,Payments!$B$5:$B$304,$A16))</f>
        <v/>
      </c>
      <c r="S16" s="39">
        <f>IF($A16="","",Q16-R16)</f>
        <v/>
      </c>
      <c r="T16" s="39">
        <f>IF($A16="","",K16-MAX(L16,M16))</f>
        <v/>
      </c>
      <c r="U16" s="26">
        <f>IF($A16="","",IF(K16=0,0,T16/K16))</f>
        <v/>
      </c>
      <c r="V16" s="26">
        <f>IF($A16="","",IF(K16=0,0,(K16-L16)/K16))</f>
        <v/>
      </c>
      <c r="W16" s="9">
        <f>IF(OR($A16="",F16="",D16="Complete",D16="Closed",D16="Lost"),"",F16-TODAY())</f>
        <v/>
      </c>
      <c r="X16" s="9">
        <f>IF($A16="","",IF(COUNTIF(Jobs!$A$5:$A$44,$A16)&gt;1,"Duplicate Job ID",IF(AND(B16&lt;&gt;"",COUNTIF(Clients!$A$5:$A$104,B16)=0),"Client not in Clients sheet",IF(D16="","Missing status",IF(AND(OR(D16="Approved",D16="In Progress"),H16=0,I16=""),"Active job with no estimate or contract value","")))))</f>
        <v/>
      </c>
      <c r="Y16" s="35" t="n"/>
    </row>
    <row r="17">
      <c r="A17" s="35" t="n"/>
      <c r="B17" s="35" t="n"/>
      <c r="C17" s="35" t="n"/>
      <c r="D17" s="35" t="n"/>
      <c r="E17" s="40" t="n"/>
      <c r="F17" s="40" t="n"/>
      <c r="G17" s="36" t="n"/>
      <c r="H17" s="39">
        <f>IF($A17="","",SUMIFS(Estimate!$M$5:$M$404,Estimate!$A$5:$A$404,$A17))</f>
        <v/>
      </c>
      <c r="I17" s="37" t="n"/>
      <c r="J17" s="39">
        <f>IF($A17="","",SUMIFS('Change Orders'!$H$5:$H$104,'Change Orders'!$B$5:$B$104,$A17,'Change Orders'!$E$5:$E$104,"Approved"))</f>
        <v/>
      </c>
      <c r="K17" s="39">
        <f>IF($A17="","",IF(I17="",H17,I17)+J17)</f>
        <v/>
      </c>
      <c r="L17" s="39">
        <f>IF($A17="","",SUMIFS(Estimate!$K$5:$K$404,Estimate!$A$5:$A$404,$A17)+SUMIFS('Change Orders'!$G$5:$G$104,'Change Orders'!$B$5:$B$104,$A17,'Change Orders'!$E$5:$E$104,"Approved"))</f>
        <v/>
      </c>
      <c r="M17" s="39">
        <f>IF($A17="","",SUMIFS('Job Costs'!$I$5:$I$1004,'Job Costs'!$B$5:$B$1004,$A17)+SUMIFS(Timesheet!$H$5:$H$1004,Timesheet!$C$5:$C$1004,$A17)+SUMIFS(Mileage!$I$5:$I$304,Mileage!$B$5:$B$304,$A17))</f>
        <v/>
      </c>
      <c r="N17" s="39">
        <f>IF($A17="","",L17-M17)</f>
        <v/>
      </c>
      <c r="O17" s="26">
        <f>IF($A17="","",IF(L17=0,0,M17/L17))</f>
        <v/>
      </c>
      <c r="P17" s="28">
        <f>IF($A17="","",SUMIFS(Timesheet!$E$5:$E$1004,Timesheet!$C$5:$C$1004,$A17)+SUMIFS('Job Costs'!$G$5:$G$1004,'Job Costs'!$B$5:$B$1004,$A17,'Job Costs'!$D$5:$D$1004,"Labor"))</f>
        <v/>
      </c>
      <c r="Q17" s="39">
        <f>IF($A17="","",SUMIFS(Invoices!$E$5:$E$204,Invoices!$B$5:$B$204,$A17))</f>
        <v/>
      </c>
      <c r="R17" s="39">
        <f>IF($A17="","",SUMIFS(Payments!$D$5:$D$304,Payments!$B$5:$B$304,$A17))</f>
        <v/>
      </c>
      <c r="S17" s="39">
        <f>IF($A17="","",Q17-R17)</f>
        <v/>
      </c>
      <c r="T17" s="39">
        <f>IF($A17="","",K17-MAX(L17,M17))</f>
        <v/>
      </c>
      <c r="U17" s="26">
        <f>IF($A17="","",IF(K17=0,0,T17/K17))</f>
        <v/>
      </c>
      <c r="V17" s="26">
        <f>IF($A17="","",IF(K17=0,0,(K17-L17)/K17))</f>
        <v/>
      </c>
      <c r="W17" s="9">
        <f>IF(OR($A17="",F17="",D17="Complete",D17="Closed",D17="Lost"),"",F17-TODAY())</f>
        <v/>
      </c>
      <c r="X17" s="9">
        <f>IF($A17="","",IF(COUNTIF(Jobs!$A$5:$A$44,$A17)&gt;1,"Duplicate Job ID",IF(AND(B17&lt;&gt;"",COUNTIF(Clients!$A$5:$A$104,B17)=0),"Client not in Clients sheet",IF(D17="","Missing status",IF(AND(OR(D17="Approved",D17="In Progress"),H17=0,I17=""),"Active job with no estimate or contract value","")))))</f>
        <v/>
      </c>
      <c r="Y17" s="35" t="n"/>
    </row>
    <row r="18">
      <c r="A18" s="35" t="n"/>
      <c r="B18" s="35" t="n"/>
      <c r="C18" s="35" t="n"/>
      <c r="D18" s="35" t="n"/>
      <c r="E18" s="40" t="n"/>
      <c r="F18" s="40" t="n"/>
      <c r="G18" s="36" t="n"/>
      <c r="H18" s="39">
        <f>IF($A18="","",SUMIFS(Estimate!$M$5:$M$404,Estimate!$A$5:$A$404,$A18))</f>
        <v/>
      </c>
      <c r="I18" s="37" t="n"/>
      <c r="J18" s="39">
        <f>IF($A18="","",SUMIFS('Change Orders'!$H$5:$H$104,'Change Orders'!$B$5:$B$104,$A18,'Change Orders'!$E$5:$E$104,"Approved"))</f>
        <v/>
      </c>
      <c r="K18" s="39">
        <f>IF($A18="","",IF(I18="",H18,I18)+J18)</f>
        <v/>
      </c>
      <c r="L18" s="39">
        <f>IF($A18="","",SUMIFS(Estimate!$K$5:$K$404,Estimate!$A$5:$A$404,$A18)+SUMIFS('Change Orders'!$G$5:$G$104,'Change Orders'!$B$5:$B$104,$A18,'Change Orders'!$E$5:$E$104,"Approved"))</f>
        <v/>
      </c>
      <c r="M18" s="39">
        <f>IF($A18="","",SUMIFS('Job Costs'!$I$5:$I$1004,'Job Costs'!$B$5:$B$1004,$A18)+SUMIFS(Timesheet!$H$5:$H$1004,Timesheet!$C$5:$C$1004,$A18)+SUMIFS(Mileage!$I$5:$I$304,Mileage!$B$5:$B$304,$A18))</f>
        <v/>
      </c>
      <c r="N18" s="39">
        <f>IF($A18="","",L18-M18)</f>
        <v/>
      </c>
      <c r="O18" s="26">
        <f>IF($A18="","",IF(L18=0,0,M18/L18))</f>
        <v/>
      </c>
      <c r="P18" s="28">
        <f>IF($A18="","",SUMIFS(Timesheet!$E$5:$E$1004,Timesheet!$C$5:$C$1004,$A18)+SUMIFS('Job Costs'!$G$5:$G$1004,'Job Costs'!$B$5:$B$1004,$A18,'Job Costs'!$D$5:$D$1004,"Labor"))</f>
        <v/>
      </c>
      <c r="Q18" s="39">
        <f>IF($A18="","",SUMIFS(Invoices!$E$5:$E$204,Invoices!$B$5:$B$204,$A18))</f>
        <v/>
      </c>
      <c r="R18" s="39">
        <f>IF($A18="","",SUMIFS(Payments!$D$5:$D$304,Payments!$B$5:$B$304,$A18))</f>
        <v/>
      </c>
      <c r="S18" s="39">
        <f>IF($A18="","",Q18-R18)</f>
        <v/>
      </c>
      <c r="T18" s="39">
        <f>IF($A18="","",K18-MAX(L18,M18))</f>
        <v/>
      </c>
      <c r="U18" s="26">
        <f>IF($A18="","",IF(K18=0,0,T18/K18))</f>
        <v/>
      </c>
      <c r="V18" s="26">
        <f>IF($A18="","",IF(K18=0,0,(K18-L18)/K18))</f>
        <v/>
      </c>
      <c r="W18" s="9">
        <f>IF(OR($A18="",F18="",D18="Complete",D18="Closed",D18="Lost"),"",F18-TODAY())</f>
        <v/>
      </c>
      <c r="X18" s="9">
        <f>IF($A18="","",IF(COUNTIF(Jobs!$A$5:$A$44,$A18)&gt;1,"Duplicate Job ID",IF(AND(B18&lt;&gt;"",COUNTIF(Clients!$A$5:$A$104,B18)=0),"Client not in Clients sheet",IF(D18="","Missing status",IF(AND(OR(D18="Approved",D18="In Progress"),H18=0,I18=""),"Active job with no estimate or contract value","")))))</f>
        <v/>
      </c>
      <c r="Y18" s="35" t="n"/>
    </row>
    <row r="19">
      <c r="A19" s="35" t="n"/>
      <c r="B19" s="35" t="n"/>
      <c r="C19" s="35" t="n"/>
      <c r="D19" s="35" t="n"/>
      <c r="E19" s="40" t="n"/>
      <c r="F19" s="40" t="n"/>
      <c r="G19" s="36" t="n"/>
      <c r="H19" s="39">
        <f>IF($A19="","",SUMIFS(Estimate!$M$5:$M$404,Estimate!$A$5:$A$404,$A19))</f>
        <v/>
      </c>
      <c r="I19" s="37" t="n"/>
      <c r="J19" s="39">
        <f>IF($A19="","",SUMIFS('Change Orders'!$H$5:$H$104,'Change Orders'!$B$5:$B$104,$A19,'Change Orders'!$E$5:$E$104,"Approved"))</f>
        <v/>
      </c>
      <c r="K19" s="39">
        <f>IF($A19="","",IF(I19="",H19,I19)+J19)</f>
        <v/>
      </c>
      <c r="L19" s="39">
        <f>IF($A19="","",SUMIFS(Estimate!$K$5:$K$404,Estimate!$A$5:$A$404,$A19)+SUMIFS('Change Orders'!$G$5:$G$104,'Change Orders'!$B$5:$B$104,$A19,'Change Orders'!$E$5:$E$104,"Approved"))</f>
        <v/>
      </c>
      <c r="M19" s="39">
        <f>IF($A19="","",SUMIFS('Job Costs'!$I$5:$I$1004,'Job Costs'!$B$5:$B$1004,$A19)+SUMIFS(Timesheet!$H$5:$H$1004,Timesheet!$C$5:$C$1004,$A19)+SUMIFS(Mileage!$I$5:$I$304,Mileage!$B$5:$B$304,$A19))</f>
        <v/>
      </c>
      <c r="N19" s="39">
        <f>IF($A19="","",L19-M19)</f>
        <v/>
      </c>
      <c r="O19" s="26">
        <f>IF($A19="","",IF(L19=0,0,M19/L19))</f>
        <v/>
      </c>
      <c r="P19" s="28">
        <f>IF($A19="","",SUMIFS(Timesheet!$E$5:$E$1004,Timesheet!$C$5:$C$1004,$A19)+SUMIFS('Job Costs'!$G$5:$G$1004,'Job Costs'!$B$5:$B$1004,$A19,'Job Costs'!$D$5:$D$1004,"Labor"))</f>
        <v/>
      </c>
      <c r="Q19" s="39">
        <f>IF($A19="","",SUMIFS(Invoices!$E$5:$E$204,Invoices!$B$5:$B$204,$A19))</f>
        <v/>
      </c>
      <c r="R19" s="39">
        <f>IF($A19="","",SUMIFS(Payments!$D$5:$D$304,Payments!$B$5:$B$304,$A19))</f>
        <v/>
      </c>
      <c r="S19" s="39">
        <f>IF($A19="","",Q19-R19)</f>
        <v/>
      </c>
      <c r="T19" s="39">
        <f>IF($A19="","",K19-MAX(L19,M19))</f>
        <v/>
      </c>
      <c r="U19" s="26">
        <f>IF($A19="","",IF(K19=0,0,T19/K19))</f>
        <v/>
      </c>
      <c r="V19" s="26">
        <f>IF($A19="","",IF(K19=0,0,(K19-L19)/K19))</f>
        <v/>
      </c>
      <c r="W19" s="9">
        <f>IF(OR($A19="",F19="",D19="Complete",D19="Closed",D19="Lost"),"",F19-TODAY())</f>
        <v/>
      </c>
      <c r="X19" s="9">
        <f>IF($A19="","",IF(COUNTIF(Jobs!$A$5:$A$44,$A19)&gt;1,"Duplicate Job ID",IF(AND(B19&lt;&gt;"",COUNTIF(Clients!$A$5:$A$104,B19)=0),"Client not in Clients sheet",IF(D19="","Missing status",IF(AND(OR(D19="Approved",D19="In Progress"),H19=0,I19=""),"Active job with no estimate or contract value","")))))</f>
        <v/>
      </c>
      <c r="Y19" s="35" t="n"/>
    </row>
    <row r="20">
      <c r="A20" s="35" t="n"/>
      <c r="B20" s="35" t="n"/>
      <c r="C20" s="35" t="n"/>
      <c r="D20" s="35" t="n"/>
      <c r="E20" s="40" t="n"/>
      <c r="F20" s="40" t="n"/>
      <c r="G20" s="36" t="n"/>
      <c r="H20" s="39">
        <f>IF($A20="","",SUMIFS(Estimate!$M$5:$M$404,Estimate!$A$5:$A$404,$A20))</f>
        <v/>
      </c>
      <c r="I20" s="37" t="n"/>
      <c r="J20" s="39">
        <f>IF($A20="","",SUMIFS('Change Orders'!$H$5:$H$104,'Change Orders'!$B$5:$B$104,$A20,'Change Orders'!$E$5:$E$104,"Approved"))</f>
        <v/>
      </c>
      <c r="K20" s="39">
        <f>IF($A20="","",IF(I20="",H20,I20)+J20)</f>
        <v/>
      </c>
      <c r="L20" s="39">
        <f>IF($A20="","",SUMIFS(Estimate!$K$5:$K$404,Estimate!$A$5:$A$404,$A20)+SUMIFS('Change Orders'!$G$5:$G$104,'Change Orders'!$B$5:$B$104,$A20,'Change Orders'!$E$5:$E$104,"Approved"))</f>
        <v/>
      </c>
      <c r="M20" s="39">
        <f>IF($A20="","",SUMIFS('Job Costs'!$I$5:$I$1004,'Job Costs'!$B$5:$B$1004,$A20)+SUMIFS(Timesheet!$H$5:$H$1004,Timesheet!$C$5:$C$1004,$A20)+SUMIFS(Mileage!$I$5:$I$304,Mileage!$B$5:$B$304,$A20))</f>
        <v/>
      </c>
      <c r="N20" s="39">
        <f>IF($A20="","",L20-M20)</f>
        <v/>
      </c>
      <c r="O20" s="26">
        <f>IF($A20="","",IF(L20=0,0,M20/L20))</f>
        <v/>
      </c>
      <c r="P20" s="28">
        <f>IF($A20="","",SUMIFS(Timesheet!$E$5:$E$1004,Timesheet!$C$5:$C$1004,$A20)+SUMIFS('Job Costs'!$G$5:$G$1004,'Job Costs'!$B$5:$B$1004,$A20,'Job Costs'!$D$5:$D$1004,"Labor"))</f>
        <v/>
      </c>
      <c r="Q20" s="39">
        <f>IF($A20="","",SUMIFS(Invoices!$E$5:$E$204,Invoices!$B$5:$B$204,$A20))</f>
        <v/>
      </c>
      <c r="R20" s="39">
        <f>IF($A20="","",SUMIFS(Payments!$D$5:$D$304,Payments!$B$5:$B$304,$A20))</f>
        <v/>
      </c>
      <c r="S20" s="39">
        <f>IF($A20="","",Q20-R20)</f>
        <v/>
      </c>
      <c r="T20" s="39">
        <f>IF($A20="","",K20-MAX(L20,M20))</f>
        <v/>
      </c>
      <c r="U20" s="26">
        <f>IF($A20="","",IF(K20=0,0,T20/K20))</f>
        <v/>
      </c>
      <c r="V20" s="26">
        <f>IF($A20="","",IF(K20=0,0,(K20-L20)/K20))</f>
        <v/>
      </c>
      <c r="W20" s="9">
        <f>IF(OR($A20="",F20="",D20="Complete",D20="Closed",D20="Lost"),"",F20-TODAY())</f>
        <v/>
      </c>
      <c r="X20" s="9">
        <f>IF($A20="","",IF(COUNTIF(Jobs!$A$5:$A$44,$A20)&gt;1,"Duplicate Job ID",IF(AND(B20&lt;&gt;"",COUNTIF(Clients!$A$5:$A$104,B20)=0),"Client not in Clients sheet",IF(D20="","Missing status",IF(AND(OR(D20="Approved",D20="In Progress"),H20=0,I20=""),"Active job with no estimate or contract value","")))))</f>
        <v/>
      </c>
      <c r="Y20" s="35" t="n"/>
    </row>
    <row r="21">
      <c r="A21" s="35" t="n"/>
      <c r="B21" s="35" t="n"/>
      <c r="C21" s="35" t="n"/>
      <c r="D21" s="35" t="n"/>
      <c r="E21" s="40" t="n"/>
      <c r="F21" s="40" t="n"/>
      <c r="G21" s="36" t="n"/>
      <c r="H21" s="39">
        <f>IF($A21="","",SUMIFS(Estimate!$M$5:$M$404,Estimate!$A$5:$A$404,$A21))</f>
        <v/>
      </c>
      <c r="I21" s="37" t="n"/>
      <c r="J21" s="39">
        <f>IF($A21="","",SUMIFS('Change Orders'!$H$5:$H$104,'Change Orders'!$B$5:$B$104,$A21,'Change Orders'!$E$5:$E$104,"Approved"))</f>
        <v/>
      </c>
      <c r="K21" s="39">
        <f>IF($A21="","",IF(I21="",H21,I21)+J21)</f>
        <v/>
      </c>
      <c r="L21" s="39">
        <f>IF($A21="","",SUMIFS(Estimate!$K$5:$K$404,Estimate!$A$5:$A$404,$A21)+SUMIFS('Change Orders'!$G$5:$G$104,'Change Orders'!$B$5:$B$104,$A21,'Change Orders'!$E$5:$E$104,"Approved"))</f>
        <v/>
      </c>
      <c r="M21" s="39">
        <f>IF($A21="","",SUMIFS('Job Costs'!$I$5:$I$1004,'Job Costs'!$B$5:$B$1004,$A21)+SUMIFS(Timesheet!$H$5:$H$1004,Timesheet!$C$5:$C$1004,$A21)+SUMIFS(Mileage!$I$5:$I$304,Mileage!$B$5:$B$304,$A21))</f>
        <v/>
      </c>
      <c r="N21" s="39">
        <f>IF($A21="","",L21-M21)</f>
        <v/>
      </c>
      <c r="O21" s="26">
        <f>IF($A21="","",IF(L21=0,0,M21/L21))</f>
        <v/>
      </c>
      <c r="P21" s="28">
        <f>IF($A21="","",SUMIFS(Timesheet!$E$5:$E$1004,Timesheet!$C$5:$C$1004,$A21)+SUMIFS('Job Costs'!$G$5:$G$1004,'Job Costs'!$B$5:$B$1004,$A21,'Job Costs'!$D$5:$D$1004,"Labor"))</f>
        <v/>
      </c>
      <c r="Q21" s="39">
        <f>IF($A21="","",SUMIFS(Invoices!$E$5:$E$204,Invoices!$B$5:$B$204,$A21))</f>
        <v/>
      </c>
      <c r="R21" s="39">
        <f>IF($A21="","",SUMIFS(Payments!$D$5:$D$304,Payments!$B$5:$B$304,$A21))</f>
        <v/>
      </c>
      <c r="S21" s="39">
        <f>IF($A21="","",Q21-R21)</f>
        <v/>
      </c>
      <c r="T21" s="39">
        <f>IF($A21="","",K21-MAX(L21,M21))</f>
        <v/>
      </c>
      <c r="U21" s="26">
        <f>IF($A21="","",IF(K21=0,0,T21/K21))</f>
        <v/>
      </c>
      <c r="V21" s="26">
        <f>IF($A21="","",IF(K21=0,0,(K21-L21)/K21))</f>
        <v/>
      </c>
      <c r="W21" s="9">
        <f>IF(OR($A21="",F21="",D21="Complete",D21="Closed",D21="Lost"),"",F21-TODAY())</f>
        <v/>
      </c>
      <c r="X21" s="9">
        <f>IF($A21="","",IF(COUNTIF(Jobs!$A$5:$A$44,$A21)&gt;1,"Duplicate Job ID",IF(AND(B21&lt;&gt;"",COUNTIF(Clients!$A$5:$A$104,B21)=0),"Client not in Clients sheet",IF(D21="","Missing status",IF(AND(OR(D21="Approved",D21="In Progress"),H21=0,I21=""),"Active job with no estimate or contract value","")))))</f>
        <v/>
      </c>
      <c r="Y21" s="35" t="n"/>
    </row>
    <row r="22">
      <c r="A22" s="35" t="n"/>
      <c r="B22" s="35" t="n"/>
      <c r="C22" s="35" t="n"/>
      <c r="D22" s="35" t="n"/>
      <c r="E22" s="40" t="n"/>
      <c r="F22" s="40" t="n"/>
      <c r="G22" s="36" t="n"/>
      <c r="H22" s="39">
        <f>IF($A22="","",SUMIFS(Estimate!$M$5:$M$404,Estimate!$A$5:$A$404,$A22))</f>
        <v/>
      </c>
      <c r="I22" s="37" t="n"/>
      <c r="J22" s="39">
        <f>IF($A22="","",SUMIFS('Change Orders'!$H$5:$H$104,'Change Orders'!$B$5:$B$104,$A22,'Change Orders'!$E$5:$E$104,"Approved"))</f>
        <v/>
      </c>
      <c r="K22" s="39">
        <f>IF($A22="","",IF(I22="",H22,I22)+J22)</f>
        <v/>
      </c>
      <c r="L22" s="39">
        <f>IF($A22="","",SUMIFS(Estimate!$K$5:$K$404,Estimate!$A$5:$A$404,$A22)+SUMIFS('Change Orders'!$G$5:$G$104,'Change Orders'!$B$5:$B$104,$A22,'Change Orders'!$E$5:$E$104,"Approved"))</f>
        <v/>
      </c>
      <c r="M22" s="39">
        <f>IF($A22="","",SUMIFS('Job Costs'!$I$5:$I$1004,'Job Costs'!$B$5:$B$1004,$A22)+SUMIFS(Timesheet!$H$5:$H$1004,Timesheet!$C$5:$C$1004,$A22)+SUMIFS(Mileage!$I$5:$I$304,Mileage!$B$5:$B$304,$A22))</f>
        <v/>
      </c>
      <c r="N22" s="39">
        <f>IF($A22="","",L22-M22)</f>
        <v/>
      </c>
      <c r="O22" s="26">
        <f>IF($A22="","",IF(L22=0,0,M22/L22))</f>
        <v/>
      </c>
      <c r="P22" s="28">
        <f>IF($A22="","",SUMIFS(Timesheet!$E$5:$E$1004,Timesheet!$C$5:$C$1004,$A22)+SUMIFS('Job Costs'!$G$5:$G$1004,'Job Costs'!$B$5:$B$1004,$A22,'Job Costs'!$D$5:$D$1004,"Labor"))</f>
        <v/>
      </c>
      <c r="Q22" s="39">
        <f>IF($A22="","",SUMIFS(Invoices!$E$5:$E$204,Invoices!$B$5:$B$204,$A22))</f>
        <v/>
      </c>
      <c r="R22" s="39">
        <f>IF($A22="","",SUMIFS(Payments!$D$5:$D$304,Payments!$B$5:$B$304,$A22))</f>
        <v/>
      </c>
      <c r="S22" s="39">
        <f>IF($A22="","",Q22-R22)</f>
        <v/>
      </c>
      <c r="T22" s="39">
        <f>IF($A22="","",K22-MAX(L22,M22))</f>
        <v/>
      </c>
      <c r="U22" s="26">
        <f>IF($A22="","",IF(K22=0,0,T22/K22))</f>
        <v/>
      </c>
      <c r="V22" s="26">
        <f>IF($A22="","",IF(K22=0,0,(K22-L22)/K22))</f>
        <v/>
      </c>
      <c r="W22" s="9">
        <f>IF(OR($A22="",F22="",D22="Complete",D22="Closed",D22="Lost"),"",F22-TODAY())</f>
        <v/>
      </c>
      <c r="X22" s="9">
        <f>IF($A22="","",IF(COUNTIF(Jobs!$A$5:$A$44,$A22)&gt;1,"Duplicate Job ID",IF(AND(B22&lt;&gt;"",COUNTIF(Clients!$A$5:$A$104,B22)=0),"Client not in Clients sheet",IF(D22="","Missing status",IF(AND(OR(D22="Approved",D22="In Progress"),H22=0,I22=""),"Active job with no estimate or contract value","")))))</f>
        <v/>
      </c>
      <c r="Y22" s="35" t="n"/>
    </row>
    <row r="23">
      <c r="A23" s="35" t="n"/>
      <c r="B23" s="35" t="n"/>
      <c r="C23" s="35" t="n"/>
      <c r="D23" s="35" t="n"/>
      <c r="E23" s="40" t="n"/>
      <c r="F23" s="40" t="n"/>
      <c r="G23" s="36" t="n"/>
      <c r="H23" s="39">
        <f>IF($A23="","",SUMIFS(Estimate!$M$5:$M$404,Estimate!$A$5:$A$404,$A23))</f>
        <v/>
      </c>
      <c r="I23" s="37" t="n"/>
      <c r="J23" s="39">
        <f>IF($A23="","",SUMIFS('Change Orders'!$H$5:$H$104,'Change Orders'!$B$5:$B$104,$A23,'Change Orders'!$E$5:$E$104,"Approved"))</f>
        <v/>
      </c>
      <c r="K23" s="39">
        <f>IF($A23="","",IF(I23="",H23,I23)+J23)</f>
        <v/>
      </c>
      <c r="L23" s="39">
        <f>IF($A23="","",SUMIFS(Estimate!$K$5:$K$404,Estimate!$A$5:$A$404,$A23)+SUMIFS('Change Orders'!$G$5:$G$104,'Change Orders'!$B$5:$B$104,$A23,'Change Orders'!$E$5:$E$104,"Approved"))</f>
        <v/>
      </c>
      <c r="M23" s="39">
        <f>IF($A23="","",SUMIFS('Job Costs'!$I$5:$I$1004,'Job Costs'!$B$5:$B$1004,$A23)+SUMIFS(Timesheet!$H$5:$H$1004,Timesheet!$C$5:$C$1004,$A23)+SUMIFS(Mileage!$I$5:$I$304,Mileage!$B$5:$B$304,$A23))</f>
        <v/>
      </c>
      <c r="N23" s="39">
        <f>IF($A23="","",L23-M23)</f>
        <v/>
      </c>
      <c r="O23" s="26">
        <f>IF($A23="","",IF(L23=0,0,M23/L23))</f>
        <v/>
      </c>
      <c r="P23" s="28">
        <f>IF($A23="","",SUMIFS(Timesheet!$E$5:$E$1004,Timesheet!$C$5:$C$1004,$A23)+SUMIFS('Job Costs'!$G$5:$G$1004,'Job Costs'!$B$5:$B$1004,$A23,'Job Costs'!$D$5:$D$1004,"Labor"))</f>
        <v/>
      </c>
      <c r="Q23" s="39">
        <f>IF($A23="","",SUMIFS(Invoices!$E$5:$E$204,Invoices!$B$5:$B$204,$A23))</f>
        <v/>
      </c>
      <c r="R23" s="39">
        <f>IF($A23="","",SUMIFS(Payments!$D$5:$D$304,Payments!$B$5:$B$304,$A23))</f>
        <v/>
      </c>
      <c r="S23" s="39">
        <f>IF($A23="","",Q23-R23)</f>
        <v/>
      </c>
      <c r="T23" s="39">
        <f>IF($A23="","",K23-MAX(L23,M23))</f>
        <v/>
      </c>
      <c r="U23" s="26">
        <f>IF($A23="","",IF(K23=0,0,T23/K23))</f>
        <v/>
      </c>
      <c r="V23" s="26">
        <f>IF($A23="","",IF(K23=0,0,(K23-L23)/K23))</f>
        <v/>
      </c>
      <c r="W23" s="9">
        <f>IF(OR($A23="",F23="",D23="Complete",D23="Closed",D23="Lost"),"",F23-TODAY())</f>
        <v/>
      </c>
      <c r="X23" s="9">
        <f>IF($A23="","",IF(COUNTIF(Jobs!$A$5:$A$44,$A23)&gt;1,"Duplicate Job ID",IF(AND(B23&lt;&gt;"",COUNTIF(Clients!$A$5:$A$104,B23)=0),"Client not in Clients sheet",IF(D23="","Missing status",IF(AND(OR(D23="Approved",D23="In Progress"),H23=0,I23=""),"Active job with no estimate or contract value","")))))</f>
        <v/>
      </c>
      <c r="Y23" s="35" t="n"/>
    </row>
    <row r="24">
      <c r="A24" s="35" t="n"/>
      <c r="B24" s="35" t="n"/>
      <c r="C24" s="35" t="n"/>
      <c r="D24" s="35" t="n"/>
      <c r="E24" s="40" t="n"/>
      <c r="F24" s="40" t="n"/>
      <c r="G24" s="36" t="n"/>
      <c r="H24" s="39">
        <f>IF($A24="","",SUMIFS(Estimate!$M$5:$M$404,Estimate!$A$5:$A$404,$A24))</f>
        <v/>
      </c>
      <c r="I24" s="37" t="n"/>
      <c r="J24" s="39">
        <f>IF($A24="","",SUMIFS('Change Orders'!$H$5:$H$104,'Change Orders'!$B$5:$B$104,$A24,'Change Orders'!$E$5:$E$104,"Approved"))</f>
        <v/>
      </c>
      <c r="K24" s="39">
        <f>IF($A24="","",IF(I24="",H24,I24)+J24)</f>
        <v/>
      </c>
      <c r="L24" s="39">
        <f>IF($A24="","",SUMIFS(Estimate!$K$5:$K$404,Estimate!$A$5:$A$404,$A24)+SUMIFS('Change Orders'!$G$5:$G$104,'Change Orders'!$B$5:$B$104,$A24,'Change Orders'!$E$5:$E$104,"Approved"))</f>
        <v/>
      </c>
      <c r="M24" s="39">
        <f>IF($A24="","",SUMIFS('Job Costs'!$I$5:$I$1004,'Job Costs'!$B$5:$B$1004,$A24)+SUMIFS(Timesheet!$H$5:$H$1004,Timesheet!$C$5:$C$1004,$A24)+SUMIFS(Mileage!$I$5:$I$304,Mileage!$B$5:$B$304,$A24))</f>
        <v/>
      </c>
      <c r="N24" s="39">
        <f>IF($A24="","",L24-M24)</f>
        <v/>
      </c>
      <c r="O24" s="26">
        <f>IF($A24="","",IF(L24=0,0,M24/L24))</f>
        <v/>
      </c>
      <c r="P24" s="28">
        <f>IF($A24="","",SUMIFS(Timesheet!$E$5:$E$1004,Timesheet!$C$5:$C$1004,$A24)+SUMIFS('Job Costs'!$G$5:$G$1004,'Job Costs'!$B$5:$B$1004,$A24,'Job Costs'!$D$5:$D$1004,"Labor"))</f>
        <v/>
      </c>
      <c r="Q24" s="39">
        <f>IF($A24="","",SUMIFS(Invoices!$E$5:$E$204,Invoices!$B$5:$B$204,$A24))</f>
        <v/>
      </c>
      <c r="R24" s="39">
        <f>IF($A24="","",SUMIFS(Payments!$D$5:$D$304,Payments!$B$5:$B$304,$A24))</f>
        <v/>
      </c>
      <c r="S24" s="39">
        <f>IF($A24="","",Q24-R24)</f>
        <v/>
      </c>
      <c r="T24" s="39">
        <f>IF($A24="","",K24-MAX(L24,M24))</f>
        <v/>
      </c>
      <c r="U24" s="26">
        <f>IF($A24="","",IF(K24=0,0,T24/K24))</f>
        <v/>
      </c>
      <c r="V24" s="26">
        <f>IF($A24="","",IF(K24=0,0,(K24-L24)/K24))</f>
        <v/>
      </c>
      <c r="W24" s="9">
        <f>IF(OR($A24="",F24="",D24="Complete",D24="Closed",D24="Lost"),"",F24-TODAY())</f>
        <v/>
      </c>
      <c r="X24" s="9">
        <f>IF($A24="","",IF(COUNTIF(Jobs!$A$5:$A$44,$A24)&gt;1,"Duplicate Job ID",IF(AND(B24&lt;&gt;"",COUNTIF(Clients!$A$5:$A$104,B24)=0),"Client not in Clients sheet",IF(D24="","Missing status",IF(AND(OR(D24="Approved",D24="In Progress"),H24=0,I24=""),"Active job with no estimate or contract value","")))))</f>
        <v/>
      </c>
      <c r="Y24" s="35" t="n"/>
    </row>
    <row r="25">
      <c r="A25" s="35" t="n"/>
      <c r="B25" s="35" t="n"/>
      <c r="C25" s="35" t="n"/>
      <c r="D25" s="35" t="n"/>
      <c r="E25" s="40" t="n"/>
      <c r="F25" s="40" t="n"/>
      <c r="G25" s="36" t="n"/>
      <c r="H25" s="39">
        <f>IF($A25="","",SUMIFS(Estimate!$M$5:$M$404,Estimate!$A$5:$A$404,$A25))</f>
        <v/>
      </c>
      <c r="I25" s="37" t="n"/>
      <c r="J25" s="39">
        <f>IF($A25="","",SUMIFS('Change Orders'!$H$5:$H$104,'Change Orders'!$B$5:$B$104,$A25,'Change Orders'!$E$5:$E$104,"Approved"))</f>
        <v/>
      </c>
      <c r="K25" s="39">
        <f>IF($A25="","",IF(I25="",H25,I25)+J25)</f>
        <v/>
      </c>
      <c r="L25" s="39">
        <f>IF($A25="","",SUMIFS(Estimate!$K$5:$K$404,Estimate!$A$5:$A$404,$A25)+SUMIFS('Change Orders'!$G$5:$G$104,'Change Orders'!$B$5:$B$104,$A25,'Change Orders'!$E$5:$E$104,"Approved"))</f>
        <v/>
      </c>
      <c r="M25" s="39">
        <f>IF($A25="","",SUMIFS('Job Costs'!$I$5:$I$1004,'Job Costs'!$B$5:$B$1004,$A25)+SUMIFS(Timesheet!$H$5:$H$1004,Timesheet!$C$5:$C$1004,$A25)+SUMIFS(Mileage!$I$5:$I$304,Mileage!$B$5:$B$304,$A25))</f>
        <v/>
      </c>
      <c r="N25" s="39">
        <f>IF($A25="","",L25-M25)</f>
        <v/>
      </c>
      <c r="O25" s="26">
        <f>IF($A25="","",IF(L25=0,0,M25/L25))</f>
        <v/>
      </c>
      <c r="P25" s="28">
        <f>IF($A25="","",SUMIFS(Timesheet!$E$5:$E$1004,Timesheet!$C$5:$C$1004,$A25)+SUMIFS('Job Costs'!$G$5:$G$1004,'Job Costs'!$B$5:$B$1004,$A25,'Job Costs'!$D$5:$D$1004,"Labor"))</f>
        <v/>
      </c>
      <c r="Q25" s="39">
        <f>IF($A25="","",SUMIFS(Invoices!$E$5:$E$204,Invoices!$B$5:$B$204,$A25))</f>
        <v/>
      </c>
      <c r="R25" s="39">
        <f>IF($A25="","",SUMIFS(Payments!$D$5:$D$304,Payments!$B$5:$B$304,$A25))</f>
        <v/>
      </c>
      <c r="S25" s="39">
        <f>IF($A25="","",Q25-R25)</f>
        <v/>
      </c>
      <c r="T25" s="39">
        <f>IF($A25="","",K25-MAX(L25,M25))</f>
        <v/>
      </c>
      <c r="U25" s="26">
        <f>IF($A25="","",IF(K25=0,0,T25/K25))</f>
        <v/>
      </c>
      <c r="V25" s="26">
        <f>IF($A25="","",IF(K25=0,0,(K25-L25)/K25))</f>
        <v/>
      </c>
      <c r="W25" s="9">
        <f>IF(OR($A25="",F25="",D25="Complete",D25="Closed",D25="Lost"),"",F25-TODAY())</f>
        <v/>
      </c>
      <c r="X25" s="9">
        <f>IF($A25="","",IF(COUNTIF(Jobs!$A$5:$A$44,$A25)&gt;1,"Duplicate Job ID",IF(AND(B25&lt;&gt;"",COUNTIF(Clients!$A$5:$A$104,B25)=0),"Client not in Clients sheet",IF(D25="","Missing status",IF(AND(OR(D25="Approved",D25="In Progress"),H25=0,I25=""),"Active job with no estimate or contract value","")))))</f>
        <v/>
      </c>
      <c r="Y25" s="35" t="n"/>
    </row>
    <row r="26">
      <c r="A26" s="35" t="n"/>
      <c r="B26" s="35" t="n"/>
      <c r="C26" s="35" t="n"/>
      <c r="D26" s="35" t="n"/>
      <c r="E26" s="40" t="n"/>
      <c r="F26" s="40" t="n"/>
      <c r="G26" s="36" t="n"/>
      <c r="H26" s="39">
        <f>IF($A26="","",SUMIFS(Estimate!$M$5:$M$404,Estimate!$A$5:$A$404,$A26))</f>
        <v/>
      </c>
      <c r="I26" s="37" t="n"/>
      <c r="J26" s="39">
        <f>IF($A26="","",SUMIFS('Change Orders'!$H$5:$H$104,'Change Orders'!$B$5:$B$104,$A26,'Change Orders'!$E$5:$E$104,"Approved"))</f>
        <v/>
      </c>
      <c r="K26" s="39">
        <f>IF($A26="","",IF(I26="",H26,I26)+J26)</f>
        <v/>
      </c>
      <c r="L26" s="39">
        <f>IF($A26="","",SUMIFS(Estimate!$K$5:$K$404,Estimate!$A$5:$A$404,$A26)+SUMIFS('Change Orders'!$G$5:$G$104,'Change Orders'!$B$5:$B$104,$A26,'Change Orders'!$E$5:$E$104,"Approved"))</f>
        <v/>
      </c>
      <c r="M26" s="39">
        <f>IF($A26="","",SUMIFS('Job Costs'!$I$5:$I$1004,'Job Costs'!$B$5:$B$1004,$A26)+SUMIFS(Timesheet!$H$5:$H$1004,Timesheet!$C$5:$C$1004,$A26)+SUMIFS(Mileage!$I$5:$I$304,Mileage!$B$5:$B$304,$A26))</f>
        <v/>
      </c>
      <c r="N26" s="39">
        <f>IF($A26="","",L26-M26)</f>
        <v/>
      </c>
      <c r="O26" s="26">
        <f>IF($A26="","",IF(L26=0,0,M26/L26))</f>
        <v/>
      </c>
      <c r="P26" s="28">
        <f>IF($A26="","",SUMIFS(Timesheet!$E$5:$E$1004,Timesheet!$C$5:$C$1004,$A26)+SUMIFS('Job Costs'!$G$5:$G$1004,'Job Costs'!$B$5:$B$1004,$A26,'Job Costs'!$D$5:$D$1004,"Labor"))</f>
        <v/>
      </c>
      <c r="Q26" s="39">
        <f>IF($A26="","",SUMIFS(Invoices!$E$5:$E$204,Invoices!$B$5:$B$204,$A26))</f>
        <v/>
      </c>
      <c r="R26" s="39">
        <f>IF($A26="","",SUMIFS(Payments!$D$5:$D$304,Payments!$B$5:$B$304,$A26))</f>
        <v/>
      </c>
      <c r="S26" s="39">
        <f>IF($A26="","",Q26-R26)</f>
        <v/>
      </c>
      <c r="T26" s="39">
        <f>IF($A26="","",K26-MAX(L26,M26))</f>
        <v/>
      </c>
      <c r="U26" s="26">
        <f>IF($A26="","",IF(K26=0,0,T26/K26))</f>
        <v/>
      </c>
      <c r="V26" s="26">
        <f>IF($A26="","",IF(K26=0,0,(K26-L26)/K26))</f>
        <v/>
      </c>
      <c r="W26" s="9">
        <f>IF(OR($A26="",F26="",D26="Complete",D26="Closed",D26="Lost"),"",F26-TODAY())</f>
        <v/>
      </c>
      <c r="X26" s="9">
        <f>IF($A26="","",IF(COUNTIF(Jobs!$A$5:$A$44,$A26)&gt;1,"Duplicate Job ID",IF(AND(B26&lt;&gt;"",COUNTIF(Clients!$A$5:$A$104,B26)=0),"Client not in Clients sheet",IF(D26="","Missing status",IF(AND(OR(D26="Approved",D26="In Progress"),H26=0,I26=""),"Active job with no estimate or contract value","")))))</f>
        <v/>
      </c>
      <c r="Y26" s="35" t="n"/>
    </row>
    <row r="27">
      <c r="A27" s="35" t="n"/>
      <c r="B27" s="35" t="n"/>
      <c r="C27" s="35" t="n"/>
      <c r="D27" s="35" t="n"/>
      <c r="E27" s="40" t="n"/>
      <c r="F27" s="40" t="n"/>
      <c r="G27" s="36" t="n"/>
      <c r="H27" s="39">
        <f>IF($A27="","",SUMIFS(Estimate!$M$5:$M$404,Estimate!$A$5:$A$404,$A27))</f>
        <v/>
      </c>
      <c r="I27" s="37" t="n"/>
      <c r="J27" s="39">
        <f>IF($A27="","",SUMIFS('Change Orders'!$H$5:$H$104,'Change Orders'!$B$5:$B$104,$A27,'Change Orders'!$E$5:$E$104,"Approved"))</f>
        <v/>
      </c>
      <c r="K27" s="39">
        <f>IF($A27="","",IF(I27="",H27,I27)+J27)</f>
        <v/>
      </c>
      <c r="L27" s="39">
        <f>IF($A27="","",SUMIFS(Estimate!$K$5:$K$404,Estimate!$A$5:$A$404,$A27)+SUMIFS('Change Orders'!$G$5:$G$104,'Change Orders'!$B$5:$B$104,$A27,'Change Orders'!$E$5:$E$104,"Approved"))</f>
        <v/>
      </c>
      <c r="M27" s="39">
        <f>IF($A27="","",SUMIFS('Job Costs'!$I$5:$I$1004,'Job Costs'!$B$5:$B$1004,$A27)+SUMIFS(Timesheet!$H$5:$H$1004,Timesheet!$C$5:$C$1004,$A27)+SUMIFS(Mileage!$I$5:$I$304,Mileage!$B$5:$B$304,$A27))</f>
        <v/>
      </c>
      <c r="N27" s="39">
        <f>IF($A27="","",L27-M27)</f>
        <v/>
      </c>
      <c r="O27" s="26">
        <f>IF($A27="","",IF(L27=0,0,M27/L27))</f>
        <v/>
      </c>
      <c r="P27" s="28">
        <f>IF($A27="","",SUMIFS(Timesheet!$E$5:$E$1004,Timesheet!$C$5:$C$1004,$A27)+SUMIFS('Job Costs'!$G$5:$G$1004,'Job Costs'!$B$5:$B$1004,$A27,'Job Costs'!$D$5:$D$1004,"Labor"))</f>
        <v/>
      </c>
      <c r="Q27" s="39">
        <f>IF($A27="","",SUMIFS(Invoices!$E$5:$E$204,Invoices!$B$5:$B$204,$A27))</f>
        <v/>
      </c>
      <c r="R27" s="39">
        <f>IF($A27="","",SUMIFS(Payments!$D$5:$D$304,Payments!$B$5:$B$304,$A27))</f>
        <v/>
      </c>
      <c r="S27" s="39">
        <f>IF($A27="","",Q27-R27)</f>
        <v/>
      </c>
      <c r="T27" s="39">
        <f>IF($A27="","",K27-MAX(L27,M27))</f>
        <v/>
      </c>
      <c r="U27" s="26">
        <f>IF($A27="","",IF(K27=0,0,T27/K27))</f>
        <v/>
      </c>
      <c r="V27" s="26">
        <f>IF($A27="","",IF(K27=0,0,(K27-L27)/K27))</f>
        <v/>
      </c>
      <c r="W27" s="9">
        <f>IF(OR($A27="",F27="",D27="Complete",D27="Closed",D27="Lost"),"",F27-TODAY())</f>
        <v/>
      </c>
      <c r="X27" s="9">
        <f>IF($A27="","",IF(COUNTIF(Jobs!$A$5:$A$44,$A27)&gt;1,"Duplicate Job ID",IF(AND(B27&lt;&gt;"",COUNTIF(Clients!$A$5:$A$104,B27)=0),"Client not in Clients sheet",IF(D27="","Missing status",IF(AND(OR(D27="Approved",D27="In Progress"),H27=0,I27=""),"Active job with no estimate or contract value","")))))</f>
        <v/>
      </c>
      <c r="Y27" s="35" t="n"/>
    </row>
    <row r="28">
      <c r="A28" s="35" t="n"/>
      <c r="B28" s="35" t="n"/>
      <c r="C28" s="35" t="n"/>
      <c r="D28" s="35" t="n"/>
      <c r="E28" s="40" t="n"/>
      <c r="F28" s="40" t="n"/>
      <c r="G28" s="36" t="n"/>
      <c r="H28" s="39">
        <f>IF($A28="","",SUMIFS(Estimate!$M$5:$M$404,Estimate!$A$5:$A$404,$A28))</f>
        <v/>
      </c>
      <c r="I28" s="37" t="n"/>
      <c r="J28" s="39">
        <f>IF($A28="","",SUMIFS('Change Orders'!$H$5:$H$104,'Change Orders'!$B$5:$B$104,$A28,'Change Orders'!$E$5:$E$104,"Approved"))</f>
        <v/>
      </c>
      <c r="K28" s="39">
        <f>IF($A28="","",IF(I28="",H28,I28)+J28)</f>
        <v/>
      </c>
      <c r="L28" s="39">
        <f>IF($A28="","",SUMIFS(Estimate!$K$5:$K$404,Estimate!$A$5:$A$404,$A28)+SUMIFS('Change Orders'!$G$5:$G$104,'Change Orders'!$B$5:$B$104,$A28,'Change Orders'!$E$5:$E$104,"Approved"))</f>
        <v/>
      </c>
      <c r="M28" s="39">
        <f>IF($A28="","",SUMIFS('Job Costs'!$I$5:$I$1004,'Job Costs'!$B$5:$B$1004,$A28)+SUMIFS(Timesheet!$H$5:$H$1004,Timesheet!$C$5:$C$1004,$A28)+SUMIFS(Mileage!$I$5:$I$304,Mileage!$B$5:$B$304,$A28))</f>
        <v/>
      </c>
      <c r="N28" s="39">
        <f>IF($A28="","",L28-M28)</f>
        <v/>
      </c>
      <c r="O28" s="26">
        <f>IF($A28="","",IF(L28=0,0,M28/L28))</f>
        <v/>
      </c>
      <c r="P28" s="28">
        <f>IF($A28="","",SUMIFS(Timesheet!$E$5:$E$1004,Timesheet!$C$5:$C$1004,$A28)+SUMIFS('Job Costs'!$G$5:$G$1004,'Job Costs'!$B$5:$B$1004,$A28,'Job Costs'!$D$5:$D$1004,"Labor"))</f>
        <v/>
      </c>
      <c r="Q28" s="39">
        <f>IF($A28="","",SUMIFS(Invoices!$E$5:$E$204,Invoices!$B$5:$B$204,$A28))</f>
        <v/>
      </c>
      <c r="R28" s="39">
        <f>IF($A28="","",SUMIFS(Payments!$D$5:$D$304,Payments!$B$5:$B$304,$A28))</f>
        <v/>
      </c>
      <c r="S28" s="39">
        <f>IF($A28="","",Q28-R28)</f>
        <v/>
      </c>
      <c r="T28" s="39">
        <f>IF($A28="","",K28-MAX(L28,M28))</f>
        <v/>
      </c>
      <c r="U28" s="26">
        <f>IF($A28="","",IF(K28=0,0,T28/K28))</f>
        <v/>
      </c>
      <c r="V28" s="26">
        <f>IF($A28="","",IF(K28=0,0,(K28-L28)/K28))</f>
        <v/>
      </c>
      <c r="W28" s="9">
        <f>IF(OR($A28="",F28="",D28="Complete",D28="Closed",D28="Lost"),"",F28-TODAY())</f>
        <v/>
      </c>
      <c r="X28" s="9">
        <f>IF($A28="","",IF(COUNTIF(Jobs!$A$5:$A$44,$A28)&gt;1,"Duplicate Job ID",IF(AND(B28&lt;&gt;"",COUNTIF(Clients!$A$5:$A$104,B28)=0),"Client not in Clients sheet",IF(D28="","Missing status",IF(AND(OR(D28="Approved",D28="In Progress"),H28=0,I28=""),"Active job with no estimate or contract value","")))))</f>
        <v/>
      </c>
      <c r="Y28" s="35" t="n"/>
    </row>
    <row r="29">
      <c r="A29" s="35" t="n"/>
      <c r="B29" s="35" t="n"/>
      <c r="C29" s="35" t="n"/>
      <c r="D29" s="35" t="n"/>
      <c r="E29" s="40" t="n"/>
      <c r="F29" s="40" t="n"/>
      <c r="G29" s="36" t="n"/>
      <c r="H29" s="39">
        <f>IF($A29="","",SUMIFS(Estimate!$M$5:$M$404,Estimate!$A$5:$A$404,$A29))</f>
        <v/>
      </c>
      <c r="I29" s="37" t="n"/>
      <c r="J29" s="39">
        <f>IF($A29="","",SUMIFS('Change Orders'!$H$5:$H$104,'Change Orders'!$B$5:$B$104,$A29,'Change Orders'!$E$5:$E$104,"Approved"))</f>
        <v/>
      </c>
      <c r="K29" s="39">
        <f>IF($A29="","",IF(I29="",H29,I29)+J29)</f>
        <v/>
      </c>
      <c r="L29" s="39">
        <f>IF($A29="","",SUMIFS(Estimate!$K$5:$K$404,Estimate!$A$5:$A$404,$A29)+SUMIFS('Change Orders'!$G$5:$G$104,'Change Orders'!$B$5:$B$104,$A29,'Change Orders'!$E$5:$E$104,"Approved"))</f>
        <v/>
      </c>
      <c r="M29" s="39">
        <f>IF($A29="","",SUMIFS('Job Costs'!$I$5:$I$1004,'Job Costs'!$B$5:$B$1004,$A29)+SUMIFS(Timesheet!$H$5:$H$1004,Timesheet!$C$5:$C$1004,$A29)+SUMIFS(Mileage!$I$5:$I$304,Mileage!$B$5:$B$304,$A29))</f>
        <v/>
      </c>
      <c r="N29" s="39">
        <f>IF($A29="","",L29-M29)</f>
        <v/>
      </c>
      <c r="O29" s="26">
        <f>IF($A29="","",IF(L29=0,0,M29/L29))</f>
        <v/>
      </c>
      <c r="P29" s="28">
        <f>IF($A29="","",SUMIFS(Timesheet!$E$5:$E$1004,Timesheet!$C$5:$C$1004,$A29)+SUMIFS('Job Costs'!$G$5:$G$1004,'Job Costs'!$B$5:$B$1004,$A29,'Job Costs'!$D$5:$D$1004,"Labor"))</f>
        <v/>
      </c>
      <c r="Q29" s="39">
        <f>IF($A29="","",SUMIFS(Invoices!$E$5:$E$204,Invoices!$B$5:$B$204,$A29))</f>
        <v/>
      </c>
      <c r="R29" s="39">
        <f>IF($A29="","",SUMIFS(Payments!$D$5:$D$304,Payments!$B$5:$B$304,$A29))</f>
        <v/>
      </c>
      <c r="S29" s="39">
        <f>IF($A29="","",Q29-R29)</f>
        <v/>
      </c>
      <c r="T29" s="39">
        <f>IF($A29="","",K29-MAX(L29,M29))</f>
        <v/>
      </c>
      <c r="U29" s="26">
        <f>IF($A29="","",IF(K29=0,0,T29/K29))</f>
        <v/>
      </c>
      <c r="V29" s="26">
        <f>IF($A29="","",IF(K29=0,0,(K29-L29)/K29))</f>
        <v/>
      </c>
      <c r="W29" s="9">
        <f>IF(OR($A29="",F29="",D29="Complete",D29="Closed",D29="Lost"),"",F29-TODAY())</f>
        <v/>
      </c>
      <c r="X29" s="9">
        <f>IF($A29="","",IF(COUNTIF(Jobs!$A$5:$A$44,$A29)&gt;1,"Duplicate Job ID",IF(AND(B29&lt;&gt;"",COUNTIF(Clients!$A$5:$A$104,B29)=0),"Client not in Clients sheet",IF(D29="","Missing status",IF(AND(OR(D29="Approved",D29="In Progress"),H29=0,I29=""),"Active job with no estimate or contract value","")))))</f>
        <v/>
      </c>
      <c r="Y29" s="35" t="n"/>
    </row>
    <row r="30">
      <c r="A30" s="35" t="n"/>
      <c r="B30" s="35" t="n"/>
      <c r="C30" s="35" t="n"/>
      <c r="D30" s="35" t="n"/>
      <c r="E30" s="40" t="n"/>
      <c r="F30" s="40" t="n"/>
      <c r="G30" s="36" t="n"/>
      <c r="H30" s="39">
        <f>IF($A30="","",SUMIFS(Estimate!$M$5:$M$404,Estimate!$A$5:$A$404,$A30))</f>
        <v/>
      </c>
      <c r="I30" s="37" t="n"/>
      <c r="J30" s="39">
        <f>IF($A30="","",SUMIFS('Change Orders'!$H$5:$H$104,'Change Orders'!$B$5:$B$104,$A30,'Change Orders'!$E$5:$E$104,"Approved"))</f>
        <v/>
      </c>
      <c r="K30" s="39">
        <f>IF($A30="","",IF(I30="",H30,I30)+J30)</f>
        <v/>
      </c>
      <c r="L30" s="39">
        <f>IF($A30="","",SUMIFS(Estimate!$K$5:$K$404,Estimate!$A$5:$A$404,$A30)+SUMIFS('Change Orders'!$G$5:$G$104,'Change Orders'!$B$5:$B$104,$A30,'Change Orders'!$E$5:$E$104,"Approved"))</f>
        <v/>
      </c>
      <c r="M30" s="39">
        <f>IF($A30="","",SUMIFS('Job Costs'!$I$5:$I$1004,'Job Costs'!$B$5:$B$1004,$A30)+SUMIFS(Timesheet!$H$5:$H$1004,Timesheet!$C$5:$C$1004,$A30)+SUMIFS(Mileage!$I$5:$I$304,Mileage!$B$5:$B$304,$A30))</f>
        <v/>
      </c>
      <c r="N30" s="39">
        <f>IF($A30="","",L30-M30)</f>
        <v/>
      </c>
      <c r="O30" s="26">
        <f>IF($A30="","",IF(L30=0,0,M30/L30))</f>
        <v/>
      </c>
      <c r="P30" s="28">
        <f>IF($A30="","",SUMIFS(Timesheet!$E$5:$E$1004,Timesheet!$C$5:$C$1004,$A30)+SUMIFS('Job Costs'!$G$5:$G$1004,'Job Costs'!$B$5:$B$1004,$A30,'Job Costs'!$D$5:$D$1004,"Labor"))</f>
        <v/>
      </c>
      <c r="Q30" s="39">
        <f>IF($A30="","",SUMIFS(Invoices!$E$5:$E$204,Invoices!$B$5:$B$204,$A30))</f>
        <v/>
      </c>
      <c r="R30" s="39">
        <f>IF($A30="","",SUMIFS(Payments!$D$5:$D$304,Payments!$B$5:$B$304,$A30))</f>
        <v/>
      </c>
      <c r="S30" s="39">
        <f>IF($A30="","",Q30-R30)</f>
        <v/>
      </c>
      <c r="T30" s="39">
        <f>IF($A30="","",K30-MAX(L30,M30))</f>
        <v/>
      </c>
      <c r="U30" s="26">
        <f>IF($A30="","",IF(K30=0,0,T30/K30))</f>
        <v/>
      </c>
      <c r="V30" s="26">
        <f>IF($A30="","",IF(K30=0,0,(K30-L30)/K30))</f>
        <v/>
      </c>
      <c r="W30" s="9">
        <f>IF(OR($A30="",F30="",D30="Complete",D30="Closed",D30="Lost"),"",F30-TODAY())</f>
        <v/>
      </c>
      <c r="X30" s="9">
        <f>IF($A30="","",IF(COUNTIF(Jobs!$A$5:$A$44,$A30)&gt;1,"Duplicate Job ID",IF(AND(B30&lt;&gt;"",COUNTIF(Clients!$A$5:$A$104,B30)=0),"Client not in Clients sheet",IF(D30="","Missing status",IF(AND(OR(D30="Approved",D30="In Progress"),H30=0,I30=""),"Active job with no estimate or contract value","")))))</f>
        <v/>
      </c>
      <c r="Y30" s="35" t="n"/>
    </row>
    <row r="31">
      <c r="A31" s="35" t="n"/>
      <c r="B31" s="35" t="n"/>
      <c r="C31" s="35" t="n"/>
      <c r="D31" s="35" t="n"/>
      <c r="E31" s="40" t="n"/>
      <c r="F31" s="40" t="n"/>
      <c r="G31" s="36" t="n"/>
      <c r="H31" s="39">
        <f>IF($A31="","",SUMIFS(Estimate!$M$5:$M$404,Estimate!$A$5:$A$404,$A31))</f>
        <v/>
      </c>
      <c r="I31" s="37" t="n"/>
      <c r="J31" s="39">
        <f>IF($A31="","",SUMIFS('Change Orders'!$H$5:$H$104,'Change Orders'!$B$5:$B$104,$A31,'Change Orders'!$E$5:$E$104,"Approved"))</f>
        <v/>
      </c>
      <c r="K31" s="39">
        <f>IF($A31="","",IF(I31="",H31,I31)+J31)</f>
        <v/>
      </c>
      <c r="L31" s="39">
        <f>IF($A31="","",SUMIFS(Estimate!$K$5:$K$404,Estimate!$A$5:$A$404,$A31)+SUMIFS('Change Orders'!$G$5:$G$104,'Change Orders'!$B$5:$B$104,$A31,'Change Orders'!$E$5:$E$104,"Approved"))</f>
        <v/>
      </c>
      <c r="M31" s="39">
        <f>IF($A31="","",SUMIFS('Job Costs'!$I$5:$I$1004,'Job Costs'!$B$5:$B$1004,$A31)+SUMIFS(Timesheet!$H$5:$H$1004,Timesheet!$C$5:$C$1004,$A31)+SUMIFS(Mileage!$I$5:$I$304,Mileage!$B$5:$B$304,$A31))</f>
        <v/>
      </c>
      <c r="N31" s="39">
        <f>IF($A31="","",L31-M31)</f>
        <v/>
      </c>
      <c r="O31" s="26">
        <f>IF($A31="","",IF(L31=0,0,M31/L31))</f>
        <v/>
      </c>
      <c r="P31" s="28">
        <f>IF($A31="","",SUMIFS(Timesheet!$E$5:$E$1004,Timesheet!$C$5:$C$1004,$A31)+SUMIFS('Job Costs'!$G$5:$G$1004,'Job Costs'!$B$5:$B$1004,$A31,'Job Costs'!$D$5:$D$1004,"Labor"))</f>
        <v/>
      </c>
      <c r="Q31" s="39">
        <f>IF($A31="","",SUMIFS(Invoices!$E$5:$E$204,Invoices!$B$5:$B$204,$A31))</f>
        <v/>
      </c>
      <c r="R31" s="39">
        <f>IF($A31="","",SUMIFS(Payments!$D$5:$D$304,Payments!$B$5:$B$304,$A31))</f>
        <v/>
      </c>
      <c r="S31" s="39">
        <f>IF($A31="","",Q31-R31)</f>
        <v/>
      </c>
      <c r="T31" s="39">
        <f>IF($A31="","",K31-MAX(L31,M31))</f>
        <v/>
      </c>
      <c r="U31" s="26">
        <f>IF($A31="","",IF(K31=0,0,T31/K31))</f>
        <v/>
      </c>
      <c r="V31" s="26">
        <f>IF($A31="","",IF(K31=0,0,(K31-L31)/K31))</f>
        <v/>
      </c>
      <c r="W31" s="9">
        <f>IF(OR($A31="",F31="",D31="Complete",D31="Closed",D31="Lost"),"",F31-TODAY())</f>
        <v/>
      </c>
      <c r="X31" s="9">
        <f>IF($A31="","",IF(COUNTIF(Jobs!$A$5:$A$44,$A31)&gt;1,"Duplicate Job ID",IF(AND(B31&lt;&gt;"",COUNTIF(Clients!$A$5:$A$104,B31)=0),"Client not in Clients sheet",IF(D31="","Missing status",IF(AND(OR(D31="Approved",D31="In Progress"),H31=0,I31=""),"Active job with no estimate or contract value","")))))</f>
        <v/>
      </c>
      <c r="Y31" s="35" t="n"/>
    </row>
    <row r="32">
      <c r="A32" s="35" t="n"/>
      <c r="B32" s="35" t="n"/>
      <c r="C32" s="35" t="n"/>
      <c r="D32" s="35" t="n"/>
      <c r="E32" s="40" t="n"/>
      <c r="F32" s="40" t="n"/>
      <c r="G32" s="36" t="n"/>
      <c r="H32" s="39">
        <f>IF($A32="","",SUMIFS(Estimate!$M$5:$M$404,Estimate!$A$5:$A$404,$A32))</f>
        <v/>
      </c>
      <c r="I32" s="37" t="n"/>
      <c r="J32" s="39">
        <f>IF($A32="","",SUMIFS('Change Orders'!$H$5:$H$104,'Change Orders'!$B$5:$B$104,$A32,'Change Orders'!$E$5:$E$104,"Approved"))</f>
        <v/>
      </c>
      <c r="K32" s="39">
        <f>IF($A32="","",IF(I32="",H32,I32)+J32)</f>
        <v/>
      </c>
      <c r="L32" s="39">
        <f>IF($A32="","",SUMIFS(Estimate!$K$5:$K$404,Estimate!$A$5:$A$404,$A32)+SUMIFS('Change Orders'!$G$5:$G$104,'Change Orders'!$B$5:$B$104,$A32,'Change Orders'!$E$5:$E$104,"Approved"))</f>
        <v/>
      </c>
      <c r="M32" s="39">
        <f>IF($A32="","",SUMIFS('Job Costs'!$I$5:$I$1004,'Job Costs'!$B$5:$B$1004,$A32)+SUMIFS(Timesheet!$H$5:$H$1004,Timesheet!$C$5:$C$1004,$A32)+SUMIFS(Mileage!$I$5:$I$304,Mileage!$B$5:$B$304,$A32))</f>
        <v/>
      </c>
      <c r="N32" s="39">
        <f>IF($A32="","",L32-M32)</f>
        <v/>
      </c>
      <c r="O32" s="26">
        <f>IF($A32="","",IF(L32=0,0,M32/L32))</f>
        <v/>
      </c>
      <c r="P32" s="28">
        <f>IF($A32="","",SUMIFS(Timesheet!$E$5:$E$1004,Timesheet!$C$5:$C$1004,$A32)+SUMIFS('Job Costs'!$G$5:$G$1004,'Job Costs'!$B$5:$B$1004,$A32,'Job Costs'!$D$5:$D$1004,"Labor"))</f>
        <v/>
      </c>
      <c r="Q32" s="39">
        <f>IF($A32="","",SUMIFS(Invoices!$E$5:$E$204,Invoices!$B$5:$B$204,$A32))</f>
        <v/>
      </c>
      <c r="R32" s="39">
        <f>IF($A32="","",SUMIFS(Payments!$D$5:$D$304,Payments!$B$5:$B$304,$A32))</f>
        <v/>
      </c>
      <c r="S32" s="39">
        <f>IF($A32="","",Q32-R32)</f>
        <v/>
      </c>
      <c r="T32" s="39">
        <f>IF($A32="","",K32-MAX(L32,M32))</f>
        <v/>
      </c>
      <c r="U32" s="26">
        <f>IF($A32="","",IF(K32=0,0,T32/K32))</f>
        <v/>
      </c>
      <c r="V32" s="26">
        <f>IF($A32="","",IF(K32=0,0,(K32-L32)/K32))</f>
        <v/>
      </c>
      <c r="W32" s="9">
        <f>IF(OR($A32="",F32="",D32="Complete",D32="Closed",D32="Lost"),"",F32-TODAY())</f>
        <v/>
      </c>
      <c r="X32" s="9">
        <f>IF($A32="","",IF(COUNTIF(Jobs!$A$5:$A$44,$A32)&gt;1,"Duplicate Job ID",IF(AND(B32&lt;&gt;"",COUNTIF(Clients!$A$5:$A$104,B32)=0),"Client not in Clients sheet",IF(D32="","Missing status",IF(AND(OR(D32="Approved",D32="In Progress"),H32=0,I32=""),"Active job with no estimate or contract value","")))))</f>
        <v/>
      </c>
      <c r="Y32" s="35" t="n"/>
    </row>
    <row r="33">
      <c r="A33" s="35" t="n"/>
      <c r="B33" s="35" t="n"/>
      <c r="C33" s="35" t="n"/>
      <c r="D33" s="35" t="n"/>
      <c r="E33" s="40" t="n"/>
      <c r="F33" s="40" t="n"/>
      <c r="G33" s="36" t="n"/>
      <c r="H33" s="39">
        <f>IF($A33="","",SUMIFS(Estimate!$M$5:$M$404,Estimate!$A$5:$A$404,$A33))</f>
        <v/>
      </c>
      <c r="I33" s="37" t="n"/>
      <c r="J33" s="39">
        <f>IF($A33="","",SUMIFS('Change Orders'!$H$5:$H$104,'Change Orders'!$B$5:$B$104,$A33,'Change Orders'!$E$5:$E$104,"Approved"))</f>
        <v/>
      </c>
      <c r="K33" s="39">
        <f>IF($A33="","",IF(I33="",H33,I33)+J33)</f>
        <v/>
      </c>
      <c r="L33" s="39">
        <f>IF($A33="","",SUMIFS(Estimate!$K$5:$K$404,Estimate!$A$5:$A$404,$A33)+SUMIFS('Change Orders'!$G$5:$G$104,'Change Orders'!$B$5:$B$104,$A33,'Change Orders'!$E$5:$E$104,"Approved"))</f>
        <v/>
      </c>
      <c r="M33" s="39">
        <f>IF($A33="","",SUMIFS('Job Costs'!$I$5:$I$1004,'Job Costs'!$B$5:$B$1004,$A33)+SUMIFS(Timesheet!$H$5:$H$1004,Timesheet!$C$5:$C$1004,$A33)+SUMIFS(Mileage!$I$5:$I$304,Mileage!$B$5:$B$304,$A33))</f>
        <v/>
      </c>
      <c r="N33" s="39">
        <f>IF($A33="","",L33-M33)</f>
        <v/>
      </c>
      <c r="O33" s="26">
        <f>IF($A33="","",IF(L33=0,0,M33/L33))</f>
        <v/>
      </c>
      <c r="P33" s="28">
        <f>IF($A33="","",SUMIFS(Timesheet!$E$5:$E$1004,Timesheet!$C$5:$C$1004,$A33)+SUMIFS('Job Costs'!$G$5:$G$1004,'Job Costs'!$B$5:$B$1004,$A33,'Job Costs'!$D$5:$D$1004,"Labor"))</f>
        <v/>
      </c>
      <c r="Q33" s="39">
        <f>IF($A33="","",SUMIFS(Invoices!$E$5:$E$204,Invoices!$B$5:$B$204,$A33))</f>
        <v/>
      </c>
      <c r="R33" s="39">
        <f>IF($A33="","",SUMIFS(Payments!$D$5:$D$304,Payments!$B$5:$B$304,$A33))</f>
        <v/>
      </c>
      <c r="S33" s="39">
        <f>IF($A33="","",Q33-R33)</f>
        <v/>
      </c>
      <c r="T33" s="39">
        <f>IF($A33="","",K33-MAX(L33,M33))</f>
        <v/>
      </c>
      <c r="U33" s="26">
        <f>IF($A33="","",IF(K33=0,0,T33/K33))</f>
        <v/>
      </c>
      <c r="V33" s="26">
        <f>IF($A33="","",IF(K33=0,0,(K33-L33)/K33))</f>
        <v/>
      </c>
      <c r="W33" s="9">
        <f>IF(OR($A33="",F33="",D33="Complete",D33="Closed",D33="Lost"),"",F33-TODAY())</f>
        <v/>
      </c>
      <c r="X33" s="9">
        <f>IF($A33="","",IF(COUNTIF(Jobs!$A$5:$A$44,$A33)&gt;1,"Duplicate Job ID",IF(AND(B33&lt;&gt;"",COUNTIF(Clients!$A$5:$A$104,B33)=0),"Client not in Clients sheet",IF(D33="","Missing status",IF(AND(OR(D33="Approved",D33="In Progress"),H33=0,I33=""),"Active job with no estimate or contract value","")))))</f>
        <v/>
      </c>
      <c r="Y33" s="35" t="n"/>
    </row>
    <row r="34">
      <c r="A34" s="35" t="n"/>
      <c r="B34" s="35" t="n"/>
      <c r="C34" s="35" t="n"/>
      <c r="D34" s="35" t="n"/>
      <c r="E34" s="40" t="n"/>
      <c r="F34" s="40" t="n"/>
      <c r="G34" s="36" t="n"/>
      <c r="H34" s="39">
        <f>IF($A34="","",SUMIFS(Estimate!$M$5:$M$404,Estimate!$A$5:$A$404,$A34))</f>
        <v/>
      </c>
      <c r="I34" s="37" t="n"/>
      <c r="J34" s="39">
        <f>IF($A34="","",SUMIFS('Change Orders'!$H$5:$H$104,'Change Orders'!$B$5:$B$104,$A34,'Change Orders'!$E$5:$E$104,"Approved"))</f>
        <v/>
      </c>
      <c r="K34" s="39">
        <f>IF($A34="","",IF(I34="",H34,I34)+J34)</f>
        <v/>
      </c>
      <c r="L34" s="39">
        <f>IF($A34="","",SUMIFS(Estimate!$K$5:$K$404,Estimate!$A$5:$A$404,$A34)+SUMIFS('Change Orders'!$G$5:$G$104,'Change Orders'!$B$5:$B$104,$A34,'Change Orders'!$E$5:$E$104,"Approved"))</f>
        <v/>
      </c>
      <c r="M34" s="39">
        <f>IF($A34="","",SUMIFS('Job Costs'!$I$5:$I$1004,'Job Costs'!$B$5:$B$1004,$A34)+SUMIFS(Timesheet!$H$5:$H$1004,Timesheet!$C$5:$C$1004,$A34)+SUMIFS(Mileage!$I$5:$I$304,Mileage!$B$5:$B$304,$A34))</f>
        <v/>
      </c>
      <c r="N34" s="39">
        <f>IF($A34="","",L34-M34)</f>
        <v/>
      </c>
      <c r="O34" s="26">
        <f>IF($A34="","",IF(L34=0,0,M34/L34))</f>
        <v/>
      </c>
      <c r="P34" s="28">
        <f>IF($A34="","",SUMIFS(Timesheet!$E$5:$E$1004,Timesheet!$C$5:$C$1004,$A34)+SUMIFS('Job Costs'!$G$5:$G$1004,'Job Costs'!$B$5:$B$1004,$A34,'Job Costs'!$D$5:$D$1004,"Labor"))</f>
        <v/>
      </c>
      <c r="Q34" s="39">
        <f>IF($A34="","",SUMIFS(Invoices!$E$5:$E$204,Invoices!$B$5:$B$204,$A34))</f>
        <v/>
      </c>
      <c r="R34" s="39">
        <f>IF($A34="","",SUMIFS(Payments!$D$5:$D$304,Payments!$B$5:$B$304,$A34))</f>
        <v/>
      </c>
      <c r="S34" s="39">
        <f>IF($A34="","",Q34-R34)</f>
        <v/>
      </c>
      <c r="T34" s="39">
        <f>IF($A34="","",K34-MAX(L34,M34))</f>
        <v/>
      </c>
      <c r="U34" s="26">
        <f>IF($A34="","",IF(K34=0,0,T34/K34))</f>
        <v/>
      </c>
      <c r="V34" s="26">
        <f>IF($A34="","",IF(K34=0,0,(K34-L34)/K34))</f>
        <v/>
      </c>
      <c r="W34" s="9">
        <f>IF(OR($A34="",F34="",D34="Complete",D34="Closed",D34="Lost"),"",F34-TODAY())</f>
        <v/>
      </c>
      <c r="X34" s="9">
        <f>IF($A34="","",IF(COUNTIF(Jobs!$A$5:$A$44,$A34)&gt;1,"Duplicate Job ID",IF(AND(B34&lt;&gt;"",COUNTIF(Clients!$A$5:$A$104,B34)=0),"Client not in Clients sheet",IF(D34="","Missing status",IF(AND(OR(D34="Approved",D34="In Progress"),H34=0,I34=""),"Active job with no estimate or contract value","")))))</f>
        <v/>
      </c>
      <c r="Y34" s="35" t="n"/>
    </row>
    <row r="35">
      <c r="A35" s="35" t="n"/>
      <c r="B35" s="35" t="n"/>
      <c r="C35" s="35" t="n"/>
      <c r="D35" s="35" t="n"/>
      <c r="E35" s="40" t="n"/>
      <c r="F35" s="40" t="n"/>
      <c r="G35" s="36" t="n"/>
      <c r="H35" s="39">
        <f>IF($A35="","",SUMIFS(Estimate!$M$5:$M$404,Estimate!$A$5:$A$404,$A35))</f>
        <v/>
      </c>
      <c r="I35" s="37" t="n"/>
      <c r="J35" s="39">
        <f>IF($A35="","",SUMIFS('Change Orders'!$H$5:$H$104,'Change Orders'!$B$5:$B$104,$A35,'Change Orders'!$E$5:$E$104,"Approved"))</f>
        <v/>
      </c>
      <c r="K35" s="39">
        <f>IF($A35="","",IF(I35="",H35,I35)+J35)</f>
        <v/>
      </c>
      <c r="L35" s="39">
        <f>IF($A35="","",SUMIFS(Estimate!$K$5:$K$404,Estimate!$A$5:$A$404,$A35)+SUMIFS('Change Orders'!$G$5:$G$104,'Change Orders'!$B$5:$B$104,$A35,'Change Orders'!$E$5:$E$104,"Approved"))</f>
        <v/>
      </c>
      <c r="M35" s="39">
        <f>IF($A35="","",SUMIFS('Job Costs'!$I$5:$I$1004,'Job Costs'!$B$5:$B$1004,$A35)+SUMIFS(Timesheet!$H$5:$H$1004,Timesheet!$C$5:$C$1004,$A35)+SUMIFS(Mileage!$I$5:$I$304,Mileage!$B$5:$B$304,$A35))</f>
        <v/>
      </c>
      <c r="N35" s="39">
        <f>IF($A35="","",L35-M35)</f>
        <v/>
      </c>
      <c r="O35" s="26">
        <f>IF($A35="","",IF(L35=0,0,M35/L35))</f>
        <v/>
      </c>
      <c r="P35" s="28">
        <f>IF($A35="","",SUMIFS(Timesheet!$E$5:$E$1004,Timesheet!$C$5:$C$1004,$A35)+SUMIFS('Job Costs'!$G$5:$G$1004,'Job Costs'!$B$5:$B$1004,$A35,'Job Costs'!$D$5:$D$1004,"Labor"))</f>
        <v/>
      </c>
      <c r="Q35" s="39">
        <f>IF($A35="","",SUMIFS(Invoices!$E$5:$E$204,Invoices!$B$5:$B$204,$A35))</f>
        <v/>
      </c>
      <c r="R35" s="39">
        <f>IF($A35="","",SUMIFS(Payments!$D$5:$D$304,Payments!$B$5:$B$304,$A35))</f>
        <v/>
      </c>
      <c r="S35" s="39">
        <f>IF($A35="","",Q35-R35)</f>
        <v/>
      </c>
      <c r="T35" s="39">
        <f>IF($A35="","",K35-MAX(L35,M35))</f>
        <v/>
      </c>
      <c r="U35" s="26">
        <f>IF($A35="","",IF(K35=0,0,T35/K35))</f>
        <v/>
      </c>
      <c r="V35" s="26">
        <f>IF($A35="","",IF(K35=0,0,(K35-L35)/K35))</f>
        <v/>
      </c>
      <c r="W35" s="9">
        <f>IF(OR($A35="",F35="",D35="Complete",D35="Closed",D35="Lost"),"",F35-TODAY())</f>
        <v/>
      </c>
      <c r="X35" s="9">
        <f>IF($A35="","",IF(COUNTIF(Jobs!$A$5:$A$44,$A35)&gt;1,"Duplicate Job ID",IF(AND(B35&lt;&gt;"",COUNTIF(Clients!$A$5:$A$104,B35)=0),"Client not in Clients sheet",IF(D35="","Missing status",IF(AND(OR(D35="Approved",D35="In Progress"),H35=0,I35=""),"Active job with no estimate or contract value","")))))</f>
        <v/>
      </c>
      <c r="Y35" s="35" t="n"/>
    </row>
    <row r="36">
      <c r="A36" s="35" t="n"/>
      <c r="B36" s="35" t="n"/>
      <c r="C36" s="35" t="n"/>
      <c r="D36" s="35" t="n"/>
      <c r="E36" s="40" t="n"/>
      <c r="F36" s="40" t="n"/>
      <c r="G36" s="36" t="n"/>
      <c r="H36" s="39">
        <f>IF($A36="","",SUMIFS(Estimate!$M$5:$M$404,Estimate!$A$5:$A$404,$A36))</f>
        <v/>
      </c>
      <c r="I36" s="37" t="n"/>
      <c r="J36" s="39">
        <f>IF($A36="","",SUMIFS('Change Orders'!$H$5:$H$104,'Change Orders'!$B$5:$B$104,$A36,'Change Orders'!$E$5:$E$104,"Approved"))</f>
        <v/>
      </c>
      <c r="K36" s="39">
        <f>IF($A36="","",IF(I36="",H36,I36)+J36)</f>
        <v/>
      </c>
      <c r="L36" s="39">
        <f>IF($A36="","",SUMIFS(Estimate!$K$5:$K$404,Estimate!$A$5:$A$404,$A36)+SUMIFS('Change Orders'!$G$5:$G$104,'Change Orders'!$B$5:$B$104,$A36,'Change Orders'!$E$5:$E$104,"Approved"))</f>
        <v/>
      </c>
      <c r="M36" s="39">
        <f>IF($A36="","",SUMIFS('Job Costs'!$I$5:$I$1004,'Job Costs'!$B$5:$B$1004,$A36)+SUMIFS(Timesheet!$H$5:$H$1004,Timesheet!$C$5:$C$1004,$A36)+SUMIFS(Mileage!$I$5:$I$304,Mileage!$B$5:$B$304,$A36))</f>
        <v/>
      </c>
      <c r="N36" s="39">
        <f>IF($A36="","",L36-M36)</f>
        <v/>
      </c>
      <c r="O36" s="26">
        <f>IF($A36="","",IF(L36=0,0,M36/L36))</f>
        <v/>
      </c>
      <c r="P36" s="28">
        <f>IF($A36="","",SUMIFS(Timesheet!$E$5:$E$1004,Timesheet!$C$5:$C$1004,$A36)+SUMIFS('Job Costs'!$G$5:$G$1004,'Job Costs'!$B$5:$B$1004,$A36,'Job Costs'!$D$5:$D$1004,"Labor"))</f>
        <v/>
      </c>
      <c r="Q36" s="39">
        <f>IF($A36="","",SUMIFS(Invoices!$E$5:$E$204,Invoices!$B$5:$B$204,$A36))</f>
        <v/>
      </c>
      <c r="R36" s="39">
        <f>IF($A36="","",SUMIFS(Payments!$D$5:$D$304,Payments!$B$5:$B$304,$A36))</f>
        <v/>
      </c>
      <c r="S36" s="39">
        <f>IF($A36="","",Q36-R36)</f>
        <v/>
      </c>
      <c r="T36" s="39">
        <f>IF($A36="","",K36-MAX(L36,M36))</f>
        <v/>
      </c>
      <c r="U36" s="26">
        <f>IF($A36="","",IF(K36=0,0,T36/K36))</f>
        <v/>
      </c>
      <c r="V36" s="26">
        <f>IF($A36="","",IF(K36=0,0,(K36-L36)/K36))</f>
        <v/>
      </c>
      <c r="W36" s="9">
        <f>IF(OR($A36="",F36="",D36="Complete",D36="Closed",D36="Lost"),"",F36-TODAY())</f>
        <v/>
      </c>
      <c r="X36" s="9">
        <f>IF($A36="","",IF(COUNTIF(Jobs!$A$5:$A$44,$A36)&gt;1,"Duplicate Job ID",IF(AND(B36&lt;&gt;"",COUNTIF(Clients!$A$5:$A$104,B36)=0),"Client not in Clients sheet",IF(D36="","Missing status",IF(AND(OR(D36="Approved",D36="In Progress"),H36=0,I36=""),"Active job with no estimate or contract value","")))))</f>
        <v/>
      </c>
      <c r="Y36" s="35" t="n"/>
    </row>
    <row r="37">
      <c r="A37" s="35" t="n"/>
      <c r="B37" s="35" t="n"/>
      <c r="C37" s="35" t="n"/>
      <c r="D37" s="35" t="n"/>
      <c r="E37" s="40" t="n"/>
      <c r="F37" s="40" t="n"/>
      <c r="G37" s="36" t="n"/>
      <c r="H37" s="39">
        <f>IF($A37="","",SUMIFS(Estimate!$M$5:$M$404,Estimate!$A$5:$A$404,$A37))</f>
        <v/>
      </c>
      <c r="I37" s="37" t="n"/>
      <c r="J37" s="39">
        <f>IF($A37="","",SUMIFS('Change Orders'!$H$5:$H$104,'Change Orders'!$B$5:$B$104,$A37,'Change Orders'!$E$5:$E$104,"Approved"))</f>
        <v/>
      </c>
      <c r="K37" s="39">
        <f>IF($A37="","",IF(I37="",H37,I37)+J37)</f>
        <v/>
      </c>
      <c r="L37" s="39">
        <f>IF($A37="","",SUMIFS(Estimate!$K$5:$K$404,Estimate!$A$5:$A$404,$A37)+SUMIFS('Change Orders'!$G$5:$G$104,'Change Orders'!$B$5:$B$104,$A37,'Change Orders'!$E$5:$E$104,"Approved"))</f>
        <v/>
      </c>
      <c r="M37" s="39">
        <f>IF($A37="","",SUMIFS('Job Costs'!$I$5:$I$1004,'Job Costs'!$B$5:$B$1004,$A37)+SUMIFS(Timesheet!$H$5:$H$1004,Timesheet!$C$5:$C$1004,$A37)+SUMIFS(Mileage!$I$5:$I$304,Mileage!$B$5:$B$304,$A37))</f>
        <v/>
      </c>
      <c r="N37" s="39">
        <f>IF($A37="","",L37-M37)</f>
        <v/>
      </c>
      <c r="O37" s="26">
        <f>IF($A37="","",IF(L37=0,0,M37/L37))</f>
        <v/>
      </c>
      <c r="P37" s="28">
        <f>IF($A37="","",SUMIFS(Timesheet!$E$5:$E$1004,Timesheet!$C$5:$C$1004,$A37)+SUMIFS('Job Costs'!$G$5:$G$1004,'Job Costs'!$B$5:$B$1004,$A37,'Job Costs'!$D$5:$D$1004,"Labor"))</f>
        <v/>
      </c>
      <c r="Q37" s="39">
        <f>IF($A37="","",SUMIFS(Invoices!$E$5:$E$204,Invoices!$B$5:$B$204,$A37))</f>
        <v/>
      </c>
      <c r="R37" s="39">
        <f>IF($A37="","",SUMIFS(Payments!$D$5:$D$304,Payments!$B$5:$B$304,$A37))</f>
        <v/>
      </c>
      <c r="S37" s="39">
        <f>IF($A37="","",Q37-R37)</f>
        <v/>
      </c>
      <c r="T37" s="39">
        <f>IF($A37="","",K37-MAX(L37,M37))</f>
        <v/>
      </c>
      <c r="U37" s="26">
        <f>IF($A37="","",IF(K37=0,0,T37/K37))</f>
        <v/>
      </c>
      <c r="V37" s="26">
        <f>IF($A37="","",IF(K37=0,0,(K37-L37)/K37))</f>
        <v/>
      </c>
      <c r="W37" s="9">
        <f>IF(OR($A37="",F37="",D37="Complete",D37="Closed",D37="Lost"),"",F37-TODAY())</f>
        <v/>
      </c>
      <c r="X37" s="9">
        <f>IF($A37="","",IF(COUNTIF(Jobs!$A$5:$A$44,$A37)&gt;1,"Duplicate Job ID",IF(AND(B37&lt;&gt;"",COUNTIF(Clients!$A$5:$A$104,B37)=0),"Client not in Clients sheet",IF(D37="","Missing status",IF(AND(OR(D37="Approved",D37="In Progress"),H37=0,I37=""),"Active job with no estimate or contract value","")))))</f>
        <v/>
      </c>
      <c r="Y37" s="35" t="n"/>
    </row>
    <row r="38">
      <c r="A38" s="35" t="n"/>
      <c r="B38" s="35" t="n"/>
      <c r="C38" s="35" t="n"/>
      <c r="D38" s="35" t="n"/>
      <c r="E38" s="40" t="n"/>
      <c r="F38" s="40" t="n"/>
      <c r="G38" s="36" t="n"/>
      <c r="H38" s="39">
        <f>IF($A38="","",SUMIFS(Estimate!$M$5:$M$404,Estimate!$A$5:$A$404,$A38))</f>
        <v/>
      </c>
      <c r="I38" s="37" t="n"/>
      <c r="J38" s="39">
        <f>IF($A38="","",SUMIFS('Change Orders'!$H$5:$H$104,'Change Orders'!$B$5:$B$104,$A38,'Change Orders'!$E$5:$E$104,"Approved"))</f>
        <v/>
      </c>
      <c r="K38" s="39">
        <f>IF($A38="","",IF(I38="",H38,I38)+J38)</f>
        <v/>
      </c>
      <c r="L38" s="39">
        <f>IF($A38="","",SUMIFS(Estimate!$K$5:$K$404,Estimate!$A$5:$A$404,$A38)+SUMIFS('Change Orders'!$G$5:$G$104,'Change Orders'!$B$5:$B$104,$A38,'Change Orders'!$E$5:$E$104,"Approved"))</f>
        <v/>
      </c>
      <c r="M38" s="39">
        <f>IF($A38="","",SUMIFS('Job Costs'!$I$5:$I$1004,'Job Costs'!$B$5:$B$1004,$A38)+SUMIFS(Timesheet!$H$5:$H$1004,Timesheet!$C$5:$C$1004,$A38)+SUMIFS(Mileage!$I$5:$I$304,Mileage!$B$5:$B$304,$A38))</f>
        <v/>
      </c>
      <c r="N38" s="39">
        <f>IF($A38="","",L38-M38)</f>
        <v/>
      </c>
      <c r="O38" s="26">
        <f>IF($A38="","",IF(L38=0,0,M38/L38))</f>
        <v/>
      </c>
      <c r="P38" s="28">
        <f>IF($A38="","",SUMIFS(Timesheet!$E$5:$E$1004,Timesheet!$C$5:$C$1004,$A38)+SUMIFS('Job Costs'!$G$5:$G$1004,'Job Costs'!$B$5:$B$1004,$A38,'Job Costs'!$D$5:$D$1004,"Labor"))</f>
        <v/>
      </c>
      <c r="Q38" s="39">
        <f>IF($A38="","",SUMIFS(Invoices!$E$5:$E$204,Invoices!$B$5:$B$204,$A38))</f>
        <v/>
      </c>
      <c r="R38" s="39">
        <f>IF($A38="","",SUMIFS(Payments!$D$5:$D$304,Payments!$B$5:$B$304,$A38))</f>
        <v/>
      </c>
      <c r="S38" s="39">
        <f>IF($A38="","",Q38-R38)</f>
        <v/>
      </c>
      <c r="T38" s="39">
        <f>IF($A38="","",K38-MAX(L38,M38))</f>
        <v/>
      </c>
      <c r="U38" s="26">
        <f>IF($A38="","",IF(K38=0,0,T38/K38))</f>
        <v/>
      </c>
      <c r="V38" s="26">
        <f>IF($A38="","",IF(K38=0,0,(K38-L38)/K38))</f>
        <v/>
      </c>
      <c r="W38" s="9">
        <f>IF(OR($A38="",F38="",D38="Complete",D38="Closed",D38="Lost"),"",F38-TODAY())</f>
        <v/>
      </c>
      <c r="X38" s="9">
        <f>IF($A38="","",IF(COUNTIF(Jobs!$A$5:$A$44,$A38)&gt;1,"Duplicate Job ID",IF(AND(B38&lt;&gt;"",COUNTIF(Clients!$A$5:$A$104,B38)=0),"Client not in Clients sheet",IF(D38="","Missing status",IF(AND(OR(D38="Approved",D38="In Progress"),H38=0,I38=""),"Active job with no estimate or contract value","")))))</f>
        <v/>
      </c>
      <c r="Y38" s="35" t="n"/>
    </row>
    <row r="39">
      <c r="A39" s="35" t="n"/>
      <c r="B39" s="35" t="n"/>
      <c r="C39" s="35" t="n"/>
      <c r="D39" s="35" t="n"/>
      <c r="E39" s="40" t="n"/>
      <c r="F39" s="40" t="n"/>
      <c r="G39" s="36" t="n"/>
      <c r="H39" s="39">
        <f>IF($A39="","",SUMIFS(Estimate!$M$5:$M$404,Estimate!$A$5:$A$404,$A39))</f>
        <v/>
      </c>
      <c r="I39" s="37" t="n"/>
      <c r="J39" s="39">
        <f>IF($A39="","",SUMIFS('Change Orders'!$H$5:$H$104,'Change Orders'!$B$5:$B$104,$A39,'Change Orders'!$E$5:$E$104,"Approved"))</f>
        <v/>
      </c>
      <c r="K39" s="39">
        <f>IF($A39="","",IF(I39="",H39,I39)+J39)</f>
        <v/>
      </c>
      <c r="L39" s="39">
        <f>IF($A39="","",SUMIFS(Estimate!$K$5:$K$404,Estimate!$A$5:$A$404,$A39)+SUMIFS('Change Orders'!$G$5:$G$104,'Change Orders'!$B$5:$B$104,$A39,'Change Orders'!$E$5:$E$104,"Approved"))</f>
        <v/>
      </c>
      <c r="M39" s="39">
        <f>IF($A39="","",SUMIFS('Job Costs'!$I$5:$I$1004,'Job Costs'!$B$5:$B$1004,$A39)+SUMIFS(Timesheet!$H$5:$H$1004,Timesheet!$C$5:$C$1004,$A39)+SUMIFS(Mileage!$I$5:$I$304,Mileage!$B$5:$B$304,$A39))</f>
        <v/>
      </c>
      <c r="N39" s="39">
        <f>IF($A39="","",L39-M39)</f>
        <v/>
      </c>
      <c r="O39" s="26">
        <f>IF($A39="","",IF(L39=0,0,M39/L39))</f>
        <v/>
      </c>
      <c r="P39" s="28">
        <f>IF($A39="","",SUMIFS(Timesheet!$E$5:$E$1004,Timesheet!$C$5:$C$1004,$A39)+SUMIFS('Job Costs'!$G$5:$G$1004,'Job Costs'!$B$5:$B$1004,$A39,'Job Costs'!$D$5:$D$1004,"Labor"))</f>
        <v/>
      </c>
      <c r="Q39" s="39">
        <f>IF($A39="","",SUMIFS(Invoices!$E$5:$E$204,Invoices!$B$5:$B$204,$A39))</f>
        <v/>
      </c>
      <c r="R39" s="39">
        <f>IF($A39="","",SUMIFS(Payments!$D$5:$D$304,Payments!$B$5:$B$304,$A39))</f>
        <v/>
      </c>
      <c r="S39" s="39">
        <f>IF($A39="","",Q39-R39)</f>
        <v/>
      </c>
      <c r="T39" s="39">
        <f>IF($A39="","",K39-MAX(L39,M39))</f>
        <v/>
      </c>
      <c r="U39" s="26">
        <f>IF($A39="","",IF(K39=0,0,T39/K39))</f>
        <v/>
      </c>
      <c r="V39" s="26">
        <f>IF($A39="","",IF(K39=0,0,(K39-L39)/K39))</f>
        <v/>
      </c>
      <c r="W39" s="9">
        <f>IF(OR($A39="",F39="",D39="Complete",D39="Closed",D39="Lost"),"",F39-TODAY())</f>
        <v/>
      </c>
      <c r="X39" s="9">
        <f>IF($A39="","",IF(COUNTIF(Jobs!$A$5:$A$44,$A39)&gt;1,"Duplicate Job ID",IF(AND(B39&lt;&gt;"",COUNTIF(Clients!$A$5:$A$104,B39)=0),"Client not in Clients sheet",IF(D39="","Missing status",IF(AND(OR(D39="Approved",D39="In Progress"),H39=0,I39=""),"Active job with no estimate or contract value","")))))</f>
        <v/>
      </c>
      <c r="Y39" s="35" t="n"/>
    </row>
    <row r="40">
      <c r="A40" s="35" t="n"/>
      <c r="B40" s="35" t="n"/>
      <c r="C40" s="35" t="n"/>
      <c r="D40" s="35" t="n"/>
      <c r="E40" s="40" t="n"/>
      <c r="F40" s="40" t="n"/>
      <c r="G40" s="36" t="n"/>
      <c r="H40" s="39">
        <f>IF($A40="","",SUMIFS(Estimate!$M$5:$M$404,Estimate!$A$5:$A$404,$A40))</f>
        <v/>
      </c>
      <c r="I40" s="37" t="n"/>
      <c r="J40" s="39">
        <f>IF($A40="","",SUMIFS('Change Orders'!$H$5:$H$104,'Change Orders'!$B$5:$B$104,$A40,'Change Orders'!$E$5:$E$104,"Approved"))</f>
        <v/>
      </c>
      <c r="K40" s="39">
        <f>IF($A40="","",IF(I40="",H40,I40)+J40)</f>
        <v/>
      </c>
      <c r="L40" s="39">
        <f>IF($A40="","",SUMIFS(Estimate!$K$5:$K$404,Estimate!$A$5:$A$404,$A40)+SUMIFS('Change Orders'!$G$5:$G$104,'Change Orders'!$B$5:$B$104,$A40,'Change Orders'!$E$5:$E$104,"Approved"))</f>
        <v/>
      </c>
      <c r="M40" s="39">
        <f>IF($A40="","",SUMIFS('Job Costs'!$I$5:$I$1004,'Job Costs'!$B$5:$B$1004,$A40)+SUMIFS(Timesheet!$H$5:$H$1004,Timesheet!$C$5:$C$1004,$A40)+SUMIFS(Mileage!$I$5:$I$304,Mileage!$B$5:$B$304,$A40))</f>
        <v/>
      </c>
      <c r="N40" s="39">
        <f>IF($A40="","",L40-M40)</f>
        <v/>
      </c>
      <c r="O40" s="26">
        <f>IF($A40="","",IF(L40=0,0,M40/L40))</f>
        <v/>
      </c>
      <c r="P40" s="28">
        <f>IF($A40="","",SUMIFS(Timesheet!$E$5:$E$1004,Timesheet!$C$5:$C$1004,$A40)+SUMIFS('Job Costs'!$G$5:$G$1004,'Job Costs'!$B$5:$B$1004,$A40,'Job Costs'!$D$5:$D$1004,"Labor"))</f>
        <v/>
      </c>
      <c r="Q40" s="39">
        <f>IF($A40="","",SUMIFS(Invoices!$E$5:$E$204,Invoices!$B$5:$B$204,$A40))</f>
        <v/>
      </c>
      <c r="R40" s="39">
        <f>IF($A40="","",SUMIFS(Payments!$D$5:$D$304,Payments!$B$5:$B$304,$A40))</f>
        <v/>
      </c>
      <c r="S40" s="39">
        <f>IF($A40="","",Q40-R40)</f>
        <v/>
      </c>
      <c r="T40" s="39">
        <f>IF($A40="","",K40-MAX(L40,M40))</f>
        <v/>
      </c>
      <c r="U40" s="26">
        <f>IF($A40="","",IF(K40=0,0,T40/K40))</f>
        <v/>
      </c>
      <c r="V40" s="26">
        <f>IF($A40="","",IF(K40=0,0,(K40-L40)/K40))</f>
        <v/>
      </c>
      <c r="W40" s="9">
        <f>IF(OR($A40="",F40="",D40="Complete",D40="Closed",D40="Lost"),"",F40-TODAY())</f>
        <v/>
      </c>
      <c r="X40" s="9">
        <f>IF($A40="","",IF(COUNTIF(Jobs!$A$5:$A$44,$A40)&gt;1,"Duplicate Job ID",IF(AND(B40&lt;&gt;"",COUNTIF(Clients!$A$5:$A$104,B40)=0),"Client not in Clients sheet",IF(D40="","Missing status",IF(AND(OR(D40="Approved",D40="In Progress"),H40=0,I40=""),"Active job with no estimate or contract value","")))))</f>
        <v/>
      </c>
      <c r="Y40" s="35" t="n"/>
    </row>
    <row r="41">
      <c r="A41" s="35" t="n"/>
      <c r="B41" s="35" t="n"/>
      <c r="C41" s="35" t="n"/>
      <c r="D41" s="35" t="n"/>
      <c r="E41" s="40" t="n"/>
      <c r="F41" s="40" t="n"/>
      <c r="G41" s="36" t="n"/>
      <c r="H41" s="39">
        <f>IF($A41="","",SUMIFS(Estimate!$M$5:$M$404,Estimate!$A$5:$A$404,$A41))</f>
        <v/>
      </c>
      <c r="I41" s="37" t="n"/>
      <c r="J41" s="39">
        <f>IF($A41="","",SUMIFS('Change Orders'!$H$5:$H$104,'Change Orders'!$B$5:$B$104,$A41,'Change Orders'!$E$5:$E$104,"Approved"))</f>
        <v/>
      </c>
      <c r="K41" s="39">
        <f>IF($A41="","",IF(I41="",H41,I41)+J41)</f>
        <v/>
      </c>
      <c r="L41" s="39">
        <f>IF($A41="","",SUMIFS(Estimate!$K$5:$K$404,Estimate!$A$5:$A$404,$A41)+SUMIFS('Change Orders'!$G$5:$G$104,'Change Orders'!$B$5:$B$104,$A41,'Change Orders'!$E$5:$E$104,"Approved"))</f>
        <v/>
      </c>
      <c r="M41" s="39">
        <f>IF($A41="","",SUMIFS('Job Costs'!$I$5:$I$1004,'Job Costs'!$B$5:$B$1004,$A41)+SUMIFS(Timesheet!$H$5:$H$1004,Timesheet!$C$5:$C$1004,$A41)+SUMIFS(Mileage!$I$5:$I$304,Mileage!$B$5:$B$304,$A41))</f>
        <v/>
      </c>
      <c r="N41" s="39">
        <f>IF($A41="","",L41-M41)</f>
        <v/>
      </c>
      <c r="O41" s="26">
        <f>IF($A41="","",IF(L41=0,0,M41/L41))</f>
        <v/>
      </c>
      <c r="P41" s="28">
        <f>IF($A41="","",SUMIFS(Timesheet!$E$5:$E$1004,Timesheet!$C$5:$C$1004,$A41)+SUMIFS('Job Costs'!$G$5:$G$1004,'Job Costs'!$B$5:$B$1004,$A41,'Job Costs'!$D$5:$D$1004,"Labor"))</f>
        <v/>
      </c>
      <c r="Q41" s="39">
        <f>IF($A41="","",SUMIFS(Invoices!$E$5:$E$204,Invoices!$B$5:$B$204,$A41))</f>
        <v/>
      </c>
      <c r="R41" s="39">
        <f>IF($A41="","",SUMIFS(Payments!$D$5:$D$304,Payments!$B$5:$B$304,$A41))</f>
        <v/>
      </c>
      <c r="S41" s="39">
        <f>IF($A41="","",Q41-R41)</f>
        <v/>
      </c>
      <c r="T41" s="39">
        <f>IF($A41="","",K41-MAX(L41,M41))</f>
        <v/>
      </c>
      <c r="U41" s="26">
        <f>IF($A41="","",IF(K41=0,0,T41/K41))</f>
        <v/>
      </c>
      <c r="V41" s="26">
        <f>IF($A41="","",IF(K41=0,0,(K41-L41)/K41))</f>
        <v/>
      </c>
      <c r="W41" s="9">
        <f>IF(OR($A41="",F41="",D41="Complete",D41="Closed",D41="Lost"),"",F41-TODAY())</f>
        <v/>
      </c>
      <c r="X41" s="9">
        <f>IF($A41="","",IF(COUNTIF(Jobs!$A$5:$A$44,$A41)&gt;1,"Duplicate Job ID",IF(AND(B41&lt;&gt;"",COUNTIF(Clients!$A$5:$A$104,B41)=0),"Client not in Clients sheet",IF(D41="","Missing status",IF(AND(OR(D41="Approved",D41="In Progress"),H41=0,I41=""),"Active job with no estimate or contract value","")))))</f>
        <v/>
      </c>
      <c r="Y41" s="35" t="n"/>
    </row>
    <row r="42">
      <c r="A42" s="35" t="n"/>
      <c r="B42" s="35" t="n"/>
      <c r="C42" s="35" t="n"/>
      <c r="D42" s="35" t="n"/>
      <c r="E42" s="40" t="n"/>
      <c r="F42" s="40" t="n"/>
      <c r="G42" s="36" t="n"/>
      <c r="H42" s="39">
        <f>IF($A42="","",SUMIFS(Estimate!$M$5:$M$404,Estimate!$A$5:$A$404,$A42))</f>
        <v/>
      </c>
      <c r="I42" s="37" t="n"/>
      <c r="J42" s="39">
        <f>IF($A42="","",SUMIFS('Change Orders'!$H$5:$H$104,'Change Orders'!$B$5:$B$104,$A42,'Change Orders'!$E$5:$E$104,"Approved"))</f>
        <v/>
      </c>
      <c r="K42" s="39">
        <f>IF($A42="","",IF(I42="",H42,I42)+J42)</f>
        <v/>
      </c>
      <c r="L42" s="39">
        <f>IF($A42="","",SUMIFS(Estimate!$K$5:$K$404,Estimate!$A$5:$A$404,$A42)+SUMIFS('Change Orders'!$G$5:$G$104,'Change Orders'!$B$5:$B$104,$A42,'Change Orders'!$E$5:$E$104,"Approved"))</f>
        <v/>
      </c>
      <c r="M42" s="39">
        <f>IF($A42="","",SUMIFS('Job Costs'!$I$5:$I$1004,'Job Costs'!$B$5:$B$1004,$A42)+SUMIFS(Timesheet!$H$5:$H$1004,Timesheet!$C$5:$C$1004,$A42)+SUMIFS(Mileage!$I$5:$I$304,Mileage!$B$5:$B$304,$A42))</f>
        <v/>
      </c>
      <c r="N42" s="39">
        <f>IF($A42="","",L42-M42)</f>
        <v/>
      </c>
      <c r="O42" s="26">
        <f>IF($A42="","",IF(L42=0,0,M42/L42))</f>
        <v/>
      </c>
      <c r="P42" s="28">
        <f>IF($A42="","",SUMIFS(Timesheet!$E$5:$E$1004,Timesheet!$C$5:$C$1004,$A42)+SUMIFS('Job Costs'!$G$5:$G$1004,'Job Costs'!$B$5:$B$1004,$A42,'Job Costs'!$D$5:$D$1004,"Labor"))</f>
        <v/>
      </c>
      <c r="Q42" s="39">
        <f>IF($A42="","",SUMIFS(Invoices!$E$5:$E$204,Invoices!$B$5:$B$204,$A42))</f>
        <v/>
      </c>
      <c r="R42" s="39">
        <f>IF($A42="","",SUMIFS(Payments!$D$5:$D$304,Payments!$B$5:$B$304,$A42))</f>
        <v/>
      </c>
      <c r="S42" s="39">
        <f>IF($A42="","",Q42-R42)</f>
        <v/>
      </c>
      <c r="T42" s="39">
        <f>IF($A42="","",K42-MAX(L42,M42))</f>
        <v/>
      </c>
      <c r="U42" s="26">
        <f>IF($A42="","",IF(K42=0,0,T42/K42))</f>
        <v/>
      </c>
      <c r="V42" s="26">
        <f>IF($A42="","",IF(K42=0,0,(K42-L42)/K42))</f>
        <v/>
      </c>
      <c r="W42" s="9">
        <f>IF(OR($A42="",F42="",D42="Complete",D42="Closed",D42="Lost"),"",F42-TODAY())</f>
        <v/>
      </c>
      <c r="X42" s="9">
        <f>IF($A42="","",IF(COUNTIF(Jobs!$A$5:$A$44,$A42)&gt;1,"Duplicate Job ID",IF(AND(B42&lt;&gt;"",COUNTIF(Clients!$A$5:$A$104,B42)=0),"Client not in Clients sheet",IF(D42="","Missing status",IF(AND(OR(D42="Approved",D42="In Progress"),H42=0,I42=""),"Active job with no estimate or contract value","")))))</f>
        <v/>
      </c>
      <c r="Y42" s="35" t="n"/>
    </row>
    <row r="43">
      <c r="A43" s="35" t="n"/>
      <c r="B43" s="35" t="n"/>
      <c r="C43" s="35" t="n"/>
      <c r="D43" s="35" t="n"/>
      <c r="E43" s="40" t="n"/>
      <c r="F43" s="40" t="n"/>
      <c r="G43" s="36" t="n"/>
      <c r="H43" s="39">
        <f>IF($A43="","",SUMIFS(Estimate!$M$5:$M$404,Estimate!$A$5:$A$404,$A43))</f>
        <v/>
      </c>
      <c r="I43" s="37" t="n"/>
      <c r="J43" s="39">
        <f>IF($A43="","",SUMIFS('Change Orders'!$H$5:$H$104,'Change Orders'!$B$5:$B$104,$A43,'Change Orders'!$E$5:$E$104,"Approved"))</f>
        <v/>
      </c>
      <c r="K43" s="39">
        <f>IF($A43="","",IF(I43="",H43,I43)+J43)</f>
        <v/>
      </c>
      <c r="L43" s="39">
        <f>IF($A43="","",SUMIFS(Estimate!$K$5:$K$404,Estimate!$A$5:$A$404,$A43)+SUMIFS('Change Orders'!$G$5:$G$104,'Change Orders'!$B$5:$B$104,$A43,'Change Orders'!$E$5:$E$104,"Approved"))</f>
        <v/>
      </c>
      <c r="M43" s="39">
        <f>IF($A43="","",SUMIFS('Job Costs'!$I$5:$I$1004,'Job Costs'!$B$5:$B$1004,$A43)+SUMIFS(Timesheet!$H$5:$H$1004,Timesheet!$C$5:$C$1004,$A43)+SUMIFS(Mileage!$I$5:$I$304,Mileage!$B$5:$B$304,$A43))</f>
        <v/>
      </c>
      <c r="N43" s="39">
        <f>IF($A43="","",L43-M43)</f>
        <v/>
      </c>
      <c r="O43" s="26">
        <f>IF($A43="","",IF(L43=0,0,M43/L43))</f>
        <v/>
      </c>
      <c r="P43" s="28">
        <f>IF($A43="","",SUMIFS(Timesheet!$E$5:$E$1004,Timesheet!$C$5:$C$1004,$A43)+SUMIFS('Job Costs'!$G$5:$G$1004,'Job Costs'!$B$5:$B$1004,$A43,'Job Costs'!$D$5:$D$1004,"Labor"))</f>
        <v/>
      </c>
      <c r="Q43" s="39">
        <f>IF($A43="","",SUMIFS(Invoices!$E$5:$E$204,Invoices!$B$5:$B$204,$A43))</f>
        <v/>
      </c>
      <c r="R43" s="39">
        <f>IF($A43="","",SUMIFS(Payments!$D$5:$D$304,Payments!$B$5:$B$304,$A43))</f>
        <v/>
      </c>
      <c r="S43" s="39">
        <f>IF($A43="","",Q43-R43)</f>
        <v/>
      </c>
      <c r="T43" s="39">
        <f>IF($A43="","",K43-MAX(L43,M43))</f>
        <v/>
      </c>
      <c r="U43" s="26">
        <f>IF($A43="","",IF(K43=0,0,T43/K43))</f>
        <v/>
      </c>
      <c r="V43" s="26">
        <f>IF($A43="","",IF(K43=0,0,(K43-L43)/K43))</f>
        <v/>
      </c>
      <c r="W43" s="9">
        <f>IF(OR($A43="",F43="",D43="Complete",D43="Closed",D43="Lost"),"",F43-TODAY())</f>
        <v/>
      </c>
      <c r="X43" s="9">
        <f>IF($A43="","",IF(COUNTIF(Jobs!$A$5:$A$44,$A43)&gt;1,"Duplicate Job ID",IF(AND(B43&lt;&gt;"",COUNTIF(Clients!$A$5:$A$104,B43)=0),"Client not in Clients sheet",IF(D43="","Missing status",IF(AND(OR(D43="Approved",D43="In Progress"),H43=0,I43=""),"Active job with no estimate or contract value","")))))</f>
        <v/>
      </c>
      <c r="Y43" s="35" t="n"/>
    </row>
    <row r="44">
      <c r="A44" s="35" t="n"/>
      <c r="B44" s="35" t="n"/>
      <c r="C44" s="35" t="n"/>
      <c r="D44" s="35" t="n"/>
      <c r="E44" s="40" t="n"/>
      <c r="F44" s="40" t="n"/>
      <c r="G44" s="36" t="n"/>
      <c r="H44" s="39">
        <f>IF($A44="","",SUMIFS(Estimate!$M$5:$M$404,Estimate!$A$5:$A$404,$A44))</f>
        <v/>
      </c>
      <c r="I44" s="37" t="n"/>
      <c r="J44" s="39">
        <f>IF($A44="","",SUMIFS('Change Orders'!$H$5:$H$104,'Change Orders'!$B$5:$B$104,$A44,'Change Orders'!$E$5:$E$104,"Approved"))</f>
        <v/>
      </c>
      <c r="K44" s="39">
        <f>IF($A44="","",IF(I44="",H44,I44)+J44)</f>
        <v/>
      </c>
      <c r="L44" s="39">
        <f>IF($A44="","",SUMIFS(Estimate!$K$5:$K$404,Estimate!$A$5:$A$404,$A44)+SUMIFS('Change Orders'!$G$5:$G$104,'Change Orders'!$B$5:$B$104,$A44,'Change Orders'!$E$5:$E$104,"Approved"))</f>
        <v/>
      </c>
      <c r="M44" s="39">
        <f>IF($A44="","",SUMIFS('Job Costs'!$I$5:$I$1004,'Job Costs'!$B$5:$B$1004,$A44)+SUMIFS(Timesheet!$H$5:$H$1004,Timesheet!$C$5:$C$1004,$A44)+SUMIFS(Mileage!$I$5:$I$304,Mileage!$B$5:$B$304,$A44))</f>
        <v/>
      </c>
      <c r="N44" s="39">
        <f>IF($A44="","",L44-M44)</f>
        <v/>
      </c>
      <c r="O44" s="26">
        <f>IF($A44="","",IF(L44=0,0,M44/L44))</f>
        <v/>
      </c>
      <c r="P44" s="28">
        <f>IF($A44="","",SUMIFS(Timesheet!$E$5:$E$1004,Timesheet!$C$5:$C$1004,$A44)+SUMIFS('Job Costs'!$G$5:$G$1004,'Job Costs'!$B$5:$B$1004,$A44,'Job Costs'!$D$5:$D$1004,"Labor"))</f>
        <v/>
      </c>
      <c r="Q44" s="39">
        <f>IF($A44="","",SUMIFS(Invoices!$E$5:$E$204,Invoices!$B$5:$B$204,$A44))</f>
        <v/>
      </c>
      <c r="R44" s="39">
        <f>IF($A44="","",SUMIFS(Payments!$D$5:$D$304,Payments!$B$5:$B$304,$A44))</f>
        <v/>
      </c>
      <c r="S44" s="39">
        <f>IF($A44="","",Q44-R44)</f>
        <v/>
      </c>
      <c r="T44" s="39">
        <f>IF($A44="","",K44-MAX(L44,M44))</f>
        <v/>
      </c>
      <c r="U44" s="26">
        <f>IF($A44="","",IF(K44=0,0,T44/K44))</f>
        <v/>
      </c>
      <c r="V44" s="26">
        <f>IF($A44="","",IF(K44=0,0,(K44-L44)/K44))</f>
        <v/>
      </c>
      <c r="W44" s="9">
        <f>IF(OR($A44="",F44="",D44="Complete",D44="Closed",D44="Lost"),"",F44-TODAY())</f>
        <v/>
      </c>
      <c r="X44" s="9">
        <f>IF($A44="","",IF(COUNTIF(Jobs!$A$5:$A$44,$A44)&gt;1,"Duplicate Job ID",IF(AND(B44&lt;&gt;"",COUNTIF(Clients!$A$5:$A$104,B44)=0),"Client not in Clients sheet",IF(D44="","Missing status",IF(AND(OR(D44="Approved",D44="In Progress"),H44=0,I44=""),"Active job with no estimate or contract value","")))))</f>
        <v/>
      </c>
      <c r="Y44" s="35" t="n"/>
    </row>
    <row r="45">
      <c r="A45" s="31" t="inlineStr">
        <is>
          <t>TOTAL</t>
        </is>
      </c>
      <c r="B45" s="31" t="n"/>
      <c r="C45" s="31" t="n"/>
      <c r="D45" s="31" t="n"/>
      <c r="E45" s="31" t="n"/>
      <c r="F45" s="31" t="n"/>
      <c r="G45" s="31" t="n"/>
      <c r="H45" s="41">
        <f>SUM(H5:H44)</f>
        <v/>
      </c>
      <c r="I45" s="41">
        <f>SUM(I5:I44)</f>
        <v/>
      </c>
      <c r="J45" s="41">
        <f>SUM(J5:J44)</f>
        <v/>
      </c>
      <c r="K45" s="41">
        <f>SUM(K5:K44)</f>
        <v/>
      </c>
      <c r="L45" s="41">
        <f>SUM(L5:L44)</f>
        <v/>
      </c>
      <c r="M45" s="41">
        <f>SUM(M5:M44)</f>
        <v/>
      </c>
      <c r="N45" s="41">
        <f>SUM(N5:N44)</f>
        <v/>
      </c>
      <c r="O45" s="42">
        <f>IF(L45=0,0,M45/L45)</f>
        <v/>
      </c>
      <c r="P45" s="33">
        <f>SUM(P5:P44)</f>
        <v/>
      </c>
      <c r="Q45" s="41">
        <f>SUM(Q5:Q44)</f>
        <v/>
      </c>
      <c r="R45" s="41">
        <f>SUM(R5:R44)</f>
        <v/>
      </c>
      <c r="S45" s="41">
        <f>SUM(S5:S44)</f>
        <v/>
      </c>
      <c r="T45" s="41">
        <f>SUM(T5:T44)</f>
        <v/>
      </c>
      <c r="U45" s="42">
        <f>IF(K45=0,0,T45/K45)</f>
        <v/>
      </c>
      <c r="V45" s="42">
        <f>IF(K45=0,0,(K45-L45)/K45)</f>
        <v/>
      </c>
      <c r="W45" s="31" t="n"/>
      <c r="X45" s="31" t="n"/>
      <c r="Y45" s="31" t="n"/>
    </row>
  </sheetData>
  <conditionalFormatting sqref="O5:O44">
    <cfRule type="expression" priority="1" dxfId="1">
      <formula>AND(O5&lt;&gt;"",O5&gt;1)</formula>
    </cfRule>
  </conditionalFormatting>
  <conditionalFormatting sqref="U5:U44">
    <cfRule type="expression" priority="2" dxfId="0">
      <formula>AND(U5&lt;&gt;"",U5&lt;0.1)</formula>
    </cfRule>
  </conditionalFormatting>
  <conditionalFormatting sqref="X5:X44">
    <cfRule type="expression" priority="3" dxfId="1">
      <formula>X5&lt;&gt;""</formula>
    </cfRule>
  </conditionalFormatting>
  <dataValidations count="2">
    <dataValidation sqref="D5:D44" showDropDown="0" showInputMessage="1" showErrorMessage="0" allowBlank="1" promptTitle="Pick from the list" prompt="Lead → Quoted → Approved → In Progress → Complete → Closed. Lost closes a quote." type="list">
      <formula1>=Settings!$I$5:$I$11</formula1>
    </dataValidation>
    <dataValidation sqref="B5:B44" showDropDown="0" showInputMessage="1" showErrorMessage="0" allowBlank="1" promptTitle="Pick from the list" prompt="Add the client on the Clients sheet first." type="list">
      <formula1>=Clients!$A$5:$A$104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8.xml><?xml version="1.0" encoding="utf-8"?>
<worksheet xmlns="http://schemas.openxmlformats.org/spreadsheetml/2006/main">
  <sheetPr>
    <tabColor rgb="004A86C8"/>
    <outlinePr summaryBelow="1" summaryRight="1"/>
    <pageSetUpPr fitToPage="1"/>
  </sheetPr>
  <dimension ref="A1:Q405"/>
  <sheetViews>
    <sheetView showGridLines="0" tabSelected="0" zoomScale="90" workbookViewId="0">
      <pane xSplit="4" ySplit="4" topLeftCell="E5" activePane="bottomRight" state="frozen"/>
      <selection pane="topRight"/>
      <selection pane="bottomLeft"/>
      <selection pane="bottomRight" activeCell="A5" sqref="A5"/>
    </sheetView>
  </sheetViews>
  <sheetFormatPr baseColWidth="8" defaultRowHeight="15"/>
  <cols>
    <col width="12" customWidth="1" min="1" max="1"/>
    <col width="10" customWidth="1" min="2" max="2"/>
    <col width="28" customWidth="1" min="3" max="3"/>
    <col width="36" customWidth="1" min="4" max="4"/>
    <col width="8" customWidth="1" min="5" max="5"/>
    <col width="8" customWidth="1" min="6" max="6"/>
    <col width="12" customWidth="1" min="7" max="7"/>
    <col width="14" customWidth="1" min="8" max="8"/>
    <col width="12" customWidth="1" min="9" max="9"/>
    <col width="9" customWidth="1" min="10" max="10"/>
    <col width="14" customWidth="1" min="11" max="11"/>
    <col width="10" customWidth="1" min="12" max="12"/>
    <col width="14" customWidth="1" min="13" max="13"/>
    <col width="10" customWidth="1" min="14" max="14"/>
    <col width="9" customWidth="1" min="15" max="15"/>
    <col width="22" customWidth="1" min="16" max="16"/>
    <col width="26" customWidth="1" min="17" max="17"/>
  </cols>
  <sheetData>
    <row r="1">
      <c r="A1" s="13" t="inlineStr">
        <is>
          <t>Estimate</t>
        </is>
      </c>
    </row>
    <row r="2">
      <c r="A2" s="14" t="inlineStr">
        <is>
          <t>One line per item. Pick a Cost Code (drives category and markup) and optionally a Library Item (fills unit and unit cost unless you type your own).</t>
        </is>
      </c>
    </row>
    <row r="4" ht="30" customHeight="1">
      <c r="A4" s="24" t="inlineStr">
        <is>
          <t>Job ID</t>
        </is>
      </c>
      <c r="B4" s="24" t="inlineStr">
        <is>
          <t>Cost Code</t>
        </is>
      </c>
      <c r="C4" s="24" t="inlineStr">
        <is>
          <t>Library Item</t>
        </is>
      </c>
      <c r="D4" s="24" t="inlineStr">
        <is>
          <t>Description</t>
        </is>
      </c>
      <c r="E4" s="24" t="inlineStr">
        <is>
          <t>Qty</t>
        </is>
      </c>
      <c r="F4" s="24" t="inlineStr">
        <is>
          <t>Unit</t>
        </is>
      </c>
      <c r="G4" s="24" t="inlineStr">
        <is>
          <t>Unit Cost</t>
        </is>
      </c>
      <c r="H4" s="24" t="inlineStr">
        <is>
          <t>Category</t>
        </is>
      </c>
      <c r="I4" s="24" t="inlineStr">
        <is>
          <t>Unit Cost Used</t>
        </is>
      </c>
      <c r="J4" s="24" t="inlineStr">
        <is>
          <t>Unit Used</t>
        </is>
      </c>
      <c r="K4" s="24" t="inlineStr">
        <is>
          <t>Est. Cost</t>
        </is>
      </c>
      <c r="L4" s="24" t="inlineStr">
        <is>
          <t>Markup Override</t>
        </is>
      </c>
      <c r="M4" s="24" t="inlineStr">
        <is>
          <t>Price to Client</t>
        </is>
      </c>
      <c r="N4" s="24" t="inlineStr">
        <is>
          <t>Markup Used</t>
        </is>
      </c>
      <c r="O4" s="24" t="inlineStr">
        <is>
          <t>Proposal Line #</t>
        </is>
      </c>
      <c r="P4" s="24" t="inlineStr">
        <is>
          <t>Check</t>
        </is>
      </c>
      <c r="Q4" s="24" t="inlineStr">
        <is>
          <t>Notes</t>
        </is>
      </c>
    </row>
    <row r="5">
      <c r="A5" s="35" t="n"/>
      <c r="B5" s="35" t="n"/>
      <c r="C5" s="35" t="n"/>
      <c r="D5" s="35" t="n"/>
      <c r="E5" s="35" t="n"/>
      <c r="F5" s="35" t="n"/>
      <c r="G5" s="37" t="n"/>
      <c r="H5" s="9">
        <f>IF(B5="","",IFERROR(VLOOKUP(B5,Settings!$E$5:$G$28,3,FALSE),"Other"))</f>
        <v/>
      </c>
      <c r="I5" s="39">
        <f>IF($A5="","",IF(G5&lt;&gt;"",G5,IFERROR(VLOOKUP(C5,'Cost Library'!$A$5:$D$204,4,FALSE),0)))</f>
        <v/>
      </c>
      <c r="J5" s="9">
        <f>IF($A5="","",IF(F5&lt;&gt;"",F5,IFERROR(VLOOKUP(C5,'Cost Library'!$A$5:$D$204,3,FALSE),"")))</f>
        <v/>
      </c>
      <c r="K5" s="39">
        <f>IF($A5="","",E5*I5)</f>
        <v/>
      </c>
      <c r="L5" s="36" t="n"/>
      <c r="M5" s="39">
        <f>IF($A5="","",K5*(1+N5))</f>
        <v/>
      </c>
      <c r="N5" s="26">
        <f>IF($A5="","",IF(L5="",IFERROR(VLOOKUP(H5,Settings!$A$22:$B$27,2,FALSE),0),L5))</f>
        <v/>
      </c>
      <c r="O5" s="9">
        <f>IF(AND($A5&lt;&gt;"",$A5=Proposal!$I$2),COUNTIF($A$5:$A5,Proposal!$I$2),"")</f>
        <v/>
      </c>
      <c r="P5" s="9">
        <f>IF($A5="","",IF(COUNTIF(Jobs!$A$5:$A$44,$A5)=0,"Unknown Job ID",IF(B5="","Missing cost code",IF(COUNTIF(Settings!$E$5:$E$28,B5)=0,"Unknown cost code",IF(AND(G5="",C5=""),"No unit cost",IF(E5="","Missing qty",""))))))</f>
        <v/>
      </c>
      <c r="Q5" s="35" t="n"/>
    </row>
    <row r="6">
      <c r="A6" s="35" t="n"/>
      <c r="B6" s="35" t="n"/>
      <c r="C6" s="35" t="n"/>
      <c r="D6" s="35" t="n"/>
      <c r="E6" s="35" t="n"/>
      <c r="F6" s="35" t="n"/>
      <c r="G6" s="37" t="n"/>
      <c r="H6" s="9">
        <f>IF(B6="","",IFERROR(VLOOKUP(B6,Settings!$E$5:$G$28,3,FALSE),"Other"))</f>
        <v/>
      </c>
      <c r="I6" s="39">
        <f>IF($A6="","",IF(G6&lt;&gt;"",G6,IFERROR(VLOOKUP(C6,'Cost Library'!$A$5:$D$204,4,FALSE),0)))</f>
        <v/>
      </c>
      <c r="J6" s="9">
        <f>IF($A6="","",IF(F6&lt;&gt;"",F6,IFERROR(VLOOKUP(C6,'Cost Library'!$A$5:$D$204,3,FALSE),"")))</f>
        <v/>
      </c>
      <c r="K6" s="39">
        <f>IF($A6="","",E6*I6)</f>
        <v/>
      </c>
      <c r="L6" s="36" t="n"/>
      <c r="M6" s="39">
        <f>IF($A6="","",K6*(1+N6))</f>
        <v/>
      </c>
      <c r="N6" s="26">
        <f>IF($A6="","",IF(L6="",IFERROR(VLOOKUP(H6,Settings!$A$22:$B$27,2,FALSE),0),L6))</f>
        <v/>
      </c>
      <c r="O6" s="9">
        <f>IF(AND($A6&lt;&gt;"",$A6=Proposal!$I$2),COUNTIF($A$5:$A6,Proposal!$I$2),"")</f>
        <v/>
      </c>
      <c r="P6" s="9">
        <f>IF($A6="","",IF(COUNTIF(Jobs!$A$5:$A$44,$A6)=0,"Unknown Job ID",IF(B6="","Missing cost code",IF(COUNTIF(Settings!$E$5:$E$28,B6)=0,"Unknown cost code",IF(AND(G6="",C6=""),"No unit cost",IF(E6="","Missing qty",""))))))</f>
        <v/>
      </c>
      <c r="Q6" s="35" t="n"/>
    </row>
    <row r="7">
      <c r="A7" s="35" t="n"/>
      <c r="B7" s="35" t="n"/>
      <c r="C7" s="35" t="n"/>
      <c r="D7" s="35" t="n"/>
      <c r="E7" s="35" t="n"/>
      <c r="F7" s="35" t="n"/>
      <c r="G7" s="37" t="n"/>
      <c r="H7" s="9">
        <f>IF(B7="","",IFERROR(VLOOKUP(B7,Settings!$E$5:$G$28,3,FALSE),"Other"))</f>
        <v/>
      </c>
      <c r="I7" s="39">
        <f>IF($A7="","",IF(G7&lt;&gt;"",G7,IFERROR(VLOOKUP(C7,'Cost Library'!$A$5:$D$204,4,FALSE),0)))</f>
        <v/>
      </c>
      <c r="J7" s="9">
        <f>IF($A7="","",IF(F7&lt;&gt;"",F7,IFERROR(VLOOKUP(C7,'Cost Library'!$A$5:$D$204,3,FALSE),"")))</f>
        <v/>
      </c>
      <c r="K7" s="39">
        <f>IF($A7="","",E7*I7)</f>
        <v/>
      </c>
      <c r="L7" s="36" t="n"/>
      <c r="M7" s="39">
        <f>IF($A7="","",K7*(1+N7))</f>
        <v/>
      </c>
      <c r="N7" s="26">
        <f>IF($A7="","",IF(L7="",IFERROR(VLOOKUP(H7,Settings!$A$22:$B$27,2,FALSE),0),L7))</f>
        <v/>
      </c>
      <c r="O7" s="9">
        <f>IF(AND($A7&lt;&gt;"",$A7=Proposal!$I$2),COUNTIF($A$5:$A7,Proposal!$I$2),"")</f>
        <v/>
      </c>
      <c r="P7" s="9">
        <f>IF($A7="","",IF(COUNTIF(Jobs!$A$5:$A$44,$A7)=0,"Unknown Job ID",IF(B7="","Missing cost code",IF(COUNTIF(Settings!$E$5:$E$28,B7)=0,"Unknown cost code",IF(AND(G7="",C7=""),"No unit cost",IF(E7="","Missing qty",""))))))</f>
        <v/>
      </c>
      <c r="Q7" s="35" t="n"/>
    </row>
    <row r="8">
      <c r="A8" s="35" t="n"/>
      <c r="B8" s="35" t="n"/>
      <c r="C8" s="35" t="n"/>
      <c r="D8" s="35" t="n"/>
      <c r="E8" s="35" t="n"/>
      <c r="F8" s="35" t="n"/>
      <c r="G8" s="37" t="n"/>
      <c r="H8" s="9">
        <f>IF(B8="","",IFERROR(VLOOKUP(B8,Settings!$E$5:$G$28,3,FALSE),"Other"))</f>
        <v/>
      </c>
      <c r="I8" s="39">
        <f>IF($A8="","",IF(G8&lt;&gt;"",G8,IFERROR(VLOOKUP(C8,'Cost Library'!$A$5:$D$204,4,FALSE),0)))</f>
        <v/>
      </c>
      <c r="J8" s="9">
        <f>IF($A8="","",IF(F8&lt;&gt;"",F8,IFERROR(VLOOKUP(C8,'Cost Library'!$A$5:$D$204,3,FALSE),"")))</f>
        <v/>
      </c>
      <c r="K8" s="39">
        <f>IF($A8="","",E8*I8)</f>
        <v/>
      </c>
      <c r="L8" s="36" t="n"/>
      <c r="M8" s="39">
        <f>IF($A8="","",K8*(1+N8))</f>
        <v/>
      </c>
      <c r="N8" s="26">
        <f>IF($A8="","",IF(L8="",IFERROR(VLOOKUP(H8,Settings!$A$22:$B$27,2,FALSE),0),L8))</f>
        <v/>
      </c>
      <c r="O8" s="9">
        <f>IF(AND($A8&lt;&gt;"",$A8=Proposal!$I$2),COUNTIF($A$5:$A8,Proposal!$I$2),"")</f>
        <v/>
      </c>
      <c r="P8" s="9">
        <f>IF($A8="","",IF(COUNTIF(Jobs!$A$5:$A$44,$A8)=0,"Unknown Job ID",IF(B8="","Missing cost code",IF(COUNTIF(Settings!$E$5:$E$28,B8)=0,"Unknown cost code",IF(AND(G8="",C8=""),"No unit cost",IF(E8="","Missing qty",""))))))</f>
        <v/>
      </c>
      <c r="Q8" s="35" t="n"/>
    </row>
    <row r="9">
      <c r="A9" s="35" t="n"/>
      <c r="B9" s="35" t="n"/>
      <c r="C9" s="35" t="n"/>
      <c r="D9" s="35" t="n"/>
      <c r="E9" s="35" t="n"/>
      <c r="F9" s="35" t="n"/>
      <c r="G9" s="37" t="n"/>
      <c r="H9" s="9">
        <f>IF(B9="","",IFERROR(VLOOKUP(B9,Settings!$E$5:$G$28,3,FALSE),"Other"))</f>
        <v/>
      </c>
      <c r="I9" s="39">
        <f>IF($A9="","",IF(G9&lt;&gt;"",G9,IFERROR(VLOOKUP(C9,'Cost Library'!$A$5:$D$204,4,FALSE),0)))</f>
        <v/>
      </c>
      <c r="J9" s="9">
        <f>IF($A9="","",IF(F9&lt;&gt;"",F9,IFERROR(VLOOKUP(C9,'Cost Library'!$A$5:$D$204,3,FALSE),"")))</f>
        <v/>
      </c>
      <c r="K9" s="39">
        <f>IF($A9="","",E9*I9)</f>
        <v/>
      </c>
      <c r="L9" s="36" t="n"/>
      <c r="M9" s="39">
        <f>IF($A9="","",K9*(1+N9))</f>
        <v/>
      </c>
      <c r="N9" s="26">
        <f>IF($A9="","",IF(L9="",IFERROR(VLOOKUP(H9,Settings!$A$22:$B$27,2,FALSE),0),L9))</f>
        <v/>
      </c>
      <c r="O9" s="9">
        <f>IF(AND($A9&lt;&gt;"",$A9=Proposal!$I$2),COUNTIF($A$5:$A9,Proposal!$I$2),"")</f>
        <v/>
      </c>
      <c r="P9" s="9">
        <f>IF($A9="","",IF(COUNTIF(Jobs!$A$5:$A$44,$A9)=0,"Unknown Job ID",IF(B9="","Missing cost code",IF(COUNTIF(Settings!$E$5:$E$28,B9)=0,"Unknown cost code",IF(AND(G9="",C9=""),"No unit cost",IF(E9="","Missing qty",""))))))</f>
        <v/>
      </c>
      <c r="Q9" s="35" t="n"/>
    </row>
    <row r="10">
      <c r="A10" s="35" t="n"/>
      <c r="B10" s="35" t="n"/>
      <c r="C10" s="35" t="n"/>
      <c r="D10" s="35" t="n"/>
      <c r="E10" s="35" t="n"/>
      <c r="F10" s="35" t="n"/>
      <c r="G10" s="37" t="n"/>
      <c r="H10" s="9">
        <f>IF(B10="","",IFERROR(VLOOKUP(B10,Settings!$E$5:$G$28,3,FALSE),"Other"))</f>
        <v/>
      </c>
      <c r="I10" s="39">
        <f>IF($A10="","",IF(G10&lt;&gt;"",G10,IFERROR(VLOOKUP(C10,'Cost Library'!$A$5:$D$204,4,FALSE),0)))</f>
        <v/>
      </c>
      <c r="J10" s="9">
        <f>IF($A10="","",IF(F10&lt;&gt;"",F10,IFERROR(VLOOKUP(C10,'Cost Library'!$A$5:$D$204,3,FALSE),"")))</f>
        <v/>
      </c>
      <c r="K10" s="39">
        <f>IF($A10="","",E10*I10)</f>
        <v/>
      </c>
      <c r="L10" s="36" t="n"/>
      <c r="M10" s="39">
        <f>IF($A10="","",K10*(1+N10))</f>
        <v/>
      </c>
      <c r="N10" s="26">
        <f>IF($A10="","",IF(L10="",IFERROR(VLOOKUP(H10,Settings!$A$22:$B$27,2,FALSE),0),L10))</f>
        <v/>
      </c>
      <c r="O10" s="9">
        <f>IF(AND($A10&lt;&gt;"",$A10=Proposal!$I$2),COUNTIF($A$5:$A10,Proposal!$I$2),"")</f>
        <v/>
      </c>
      <c r="P10" s="9">
        <f>IF($A10="","",IF(COUNTIF(Jobs!$A$5:$A$44,$A10)=0,"Unknown Job ID",IF(B10="","Missing cost code",IF(COUNTIF(Settings!$E$5:$E$28,B10)=0,"Unknown cost code",IF(AND(G10="",C10=""),"No unit cost",IF(E10="","Missing qty",""))))))</f>
        <v/>
      </c>
      <c r="Q10" s="35" t="n"/>
    </row>
    <row r="11">
      <c r="A11" s="35" t="n"/>
      <c r="B11" s="35" t="n"/>
      <c r="C11" s="35" t="n"/>
      <c r="D11" s="35" t="n"/>
      <c r="E11" s="35" t="n"/>
      <c r="F11" s="35" t="n"/>
      <c r="G11" s="37" t="n"/>
      <c r="H11" s="9">
        <f>IF(B11="","",IFERROR(VLOOKUP(B11,Settings!$E$5:$G$28,3,FALSE),"Other"))</f>
        <v/>
      </c>
      <c r="I11" s="39">
        <f>IF($A11="","",IF(G11&lt;&gt;"",G11,IFERROR(VLOOKUP(C11,'Cost Library'!$A$5:$D$204,4,FALSE),0)))</f>
        <v/>
      </c>
      <c r="J11" s="9">
        <f>IF($A11="","",IF(F11&lt;&gt;"",F11,IFERROR(VLOOKUP(C11,'Cost Library'!$A$5:$D$204,3,FALSE),"")))</f>
        <v/>
      </c>
      <c r="K11" s="39">
        <f>IF($A11="","",E11*I11)</f>
        <v/>
      </c>
      <c r="L11" s="36" t="n"/>
      <c r="M11" s="39">
        <f>IF($A11="","",K11*(1+N11))</f>
        <v/>
      </c>
      <c r="N11" s="26">
        <f>IF($A11="","",IF(L11="",IFERROR(VLOOKUP(H11,Settings!$A$22:$B$27,2,FALSE),0),L11))</f>
        <v/>
      </c>
      <c r="O11" s="9">
        <f>IF(AND($A11&lt;&gt;"",$A11=Proposal!$I$2),COUNTIF($A$5:$A11,Proposal!$I$2),"")</f>
        <v/>
      </c>
      <c r="P11" s="9">
        <f>IF($A11="","",IF(COUNTIF(Jobs!$A$5:$A$44,$A11)=0,"Unknown Job ID",IF(B11="","Missing cost code",IF(COUNTIF(Settings!$E$5:$E$28,B11)=0,"Unknown cost code",IF(AND(G11="",C11=""),"No unit cost",IF(E11="","Missing qty",""))))))</f>
        <v/>
      </c>
      <c r="Q11" s="35" t="n"/>
    </row>
    <row r="12">
      <c r="A12" s="35" t="n"/>
      <c r="B12" s="35" t="n"/>
      <c r="C12" s="35" t="n"/>
      <c r="D12" s="35" t="n"/>
      <c r="E12" s="35" t="n"/>
      <c r="F12" s="35" t="n"/>
      <c r="G12" s="37" t="n"/>
      <c r="H12" s="9">
        <f>IF(B12="","",IFERROR(VLOOKUP(B12,Settings!$E$5:$G$28,3,FALSE),"Other"))</f>
        <v/>
      </c>
      <c r="I12" s="39">
        <f>IF($A12="","",IF(G12&lt;&gt;"",G12,IFERROR(VLOOKUP(C12,'Cost Library'!$A$5:$D$204,4,FALSE),0)))</f>
        <v/>
      </c>
      <c r="J12" s="9">
        <f>IF($A12="","",IF(F12&lt;&gt;"",F12,IFERROR(VLOOKUP(C12,'Cost Library'!$A$5:$D$204,3,FALSE),"")))</f>
        <v/>
      </c>
      <c r="K12" s="39">
        <f>IF($A12="","",E12*I12)</f>
        <v/>
      </c>
      <c r="L12" s="36" t="n"/>
      <c r="M12" s="39">
        <f>IF($A12="","",K12*(1+N12))</f>
        <v/>
      </c>
      <c r="N12" s="26">
        <f>IF($A12="","",IF(L12="",IFERROR(VLOOKUP(H12,Settings!$A$22:$B$27,2,FALSE),0),L12))</f>
        <v/>
      </c>
      <c r="O12" s="9">
        <f>IF(AND($A12&lt;&gt;"",$A12=Proposal!$I$2),COUNTIF($A$5:$A12,Proposal!$I$2),"")</f>
        <v/>
      </c>
      <c r="P12" s="9">
        <f>IF($A12="","",IF(COUNTIF(Jobs!$A$5:$A$44,$A12)=0,"Unknown Job ID",IF(B12="","Missing cost code",IF(COUNTIF(Settings!$E$5:$E$28,B12)=0,"Unknown cost code",IF(AND(G12="",C12=""),"No unit cost",IF(E12="","Missing qty",""))))))</f>
        <v/>
      </c>
      <c r="Q12" s="35" t="n"/>
    </row>
    <row r="13">
      <c r="A13" s="35" t="n"/>
      <c r="B13" s="35" t="n"/>
      <c r="C13" s="35" t="n"/>
      <c r="D13" s="35" t="n"/>
      <c r="E13" s="35" t="n"/>
      <c r="F13" s="35" t="n"/>
      <c r="G13" s="37" t="n"/>
      <c r="H13" s="9">
        <f>IF(B13="","",IFERROR(VLOOKUP(B13,Settings!$E$5:$G$28,3,FALSE),"Other"))</f>
        <v/>
      </c>
      <c r="I13" s="39">
        <f>IF($A13="","",IF(G13&lt;&gt;"",G13,IFERROR(VLOOKUP(C13,'Cost Library'!$A$5:$D$204,4,FALSE),0)))</f>
        <v/>
      </c>
      <c r="J13" s="9">
        <f>IF($A13="","",IF(F13&lt;&gt;"",F13,IFERROR(VLOOKUP(C13,'Cost Library'!$A$5:$D$204,3,FALSE),"")))</f>
        <v/>
      </c>
      <c r="K13" s="39">
        <f>IF($A13="","",E13*I13)</f>
        <v/>
      </c>
      <c r="L13" s="36" t="n"/>
      <c r="M13" s="39">
        <f>IF($A13="","",K13*(1+N13))</f>
        <v/>
      </c>
      <c r="N13" s="26">
        <f>IF($A13="","",IF(L13="",IFERROR(VLOOKUP(H13,Settings!$A$22:$B$27,2,FALSE),0),L13))</f>
        <v/>
      </c>
      <c r="O13" s="9">
        <f>IF(AND($A13&lt;&gt;"",$A13=Proposal!$I$2),COUNTIF($A$5:$A13,Proposal!$I$2),"")</f>
        <v/>
      </c>
      <c r="P13" s="9">
        <f>IF($A13="","",IF(COUNTIF(Jobs!$A$5:$A$44,$A13)=0,"Unknown Job ID",IF(B13="","Missing cost code",IF(COUNTIF(Settings!$E$5:$E$28,B13)=0,"Unknown cost code",IF(AND(G13="",C13=""),"No unit cost",IF(E13="","Missing qty",""))))))</f>
        <v/>
      </c>
      <c r="Q13" s="35" t="n"/>
    </row>
    <row r="14">
      <c r="A14" s="35" t="n"/>
      <c r="B14" s="35" t="n"/>
      <c r="C14" s="35" t="n"/>
      <c r="D14" s="35" t="n"/>
      <c r="E14" s="35" t="n"/>
      <c r="F14" s="35" t="n"/>
      <c r="G14" s="37" t="n"/>
      <c r="H14" s="9">
        <f>IF(B14="","",IFERROR(VLOOKUP(B14,Settings!$E$5:$G$28,3,FALSE),"Other"))</f>
        <v/>
      </c>
      <c r="I14" s="39">
        <f>IF($A14="","",IF(G14&lt;&gt;"",G14,IFERROR(VLOOKUP(C14,'Cost Library'!$A$5:$D$204,4,FALSE),0)))</f>
        <v/>
      </c>
      <c r="J14" s="9">
        <f>IF($A14="","",IF(F14&lt;&gt;"",F14,IFERROR(VLOOKUP(C14,'Cost Library'!$A$5:$D$204,3,FALSE),"")))</f>
        <v/>
      </c>
      <c r="K14" s="39">
        <f>IF($A14="","",E14*I14)</f>
        <v/>
      </c>
      <c r="L14" s="36" t="n"/>
      <c r="M14" s="39">
        <f>IF($A14="","",K14*(1+N14))</f>
        <v/>
      </c>
      <c r="N14" s="26">
        <f>IF($A14="","",IF(L14="",IFERROR(VLOOKUP(H14,Settings!$A$22:$B$27,2,FALSE),0),L14))</f>
        <v/>
      </c>
      <c r="O14" s="9">
        <f>IF(AND($A14&lt;&gt;"",$A14=Proposal!$I$2),COUNTIF($A$5:$A14,Proposal!$I$2),"")</f>
        <v/>
      </c>
      <c r="P14" s="9">
        <f>IF($A14="","",IF(COUNTIF(Jobs!$A$5:$A$44,$A14)=0,"Unknown Job ID",IF(B14="","Missing cost code",IF(COUNTIF(Settings!$E$5:$E$28,B14)=0,"Unknown cost code",IF(AND(G14="",C14=""),"No unit cost",IF(E14="","Missing qty",""))))))</f>
        <v/>
      </c>
      <c r="Q14" s="35" t="n"/>
    </row>
    <row r="15">
      <c r="A15" s="35" t="n"/>
      <c r="B15" s="35" t="n"/>
      <c r="C15" s="35" t="n"/>
      <c r="D15" s="35" t="n"/>
      <c r="E15" s="35" t="n"/>
      <c r="F15" s="35" t="n"/>
      <c r="G15" s="37" t="n"/>
      <c r="H15" s="9">
        <f>IF(B15="","",IFERROR(VLOOKUP(B15,Settings!$E$5:$G$28,3,FALSE),"Other"))</f>
        <v/>
      </c>
      <c r="I15" s="39">
        <f>IF($A15="","",IF(G15&lt;&gt;"",G15,IFERROR(VLOOKUP(C15,'Cost Library'!$A$5:$D$204,4,FALSE),0)))</f>
        <v/>
      </c>
      <c r="J15" s="9">
        <f>IF($A15="","",IF(F15&lt;&gt;"",F15,IFERROR(VLOOKUP(C15,'Cost Library'!$A$5:$D$204,3,FALSE),"")))</f>
        <v/>
      </c>
      <c r="K15" s="39">
        <f>IF($A15="","",E15*I15)</f>
        <v/>
      </c>
      <c r="L15" s="36" t="n"/>
      <c r="M15" s="39">
        <f>IF($A15="","",K15*(1+N15))</f>
        <v/>
      </c>
      <c r="N15" s="26">
        <f>IF($A15="","",IF(L15="",IFERROR(VLOOKUP(H15,Settings!$A$22:$B$27,2,FALSE),0),L15))</f>
        <v/>
      </c>
      <c r="O15" s="9">
        <f>IF(AND($A15&lt;&gt;"",$A15=Proposal!$I$2),COUNTIF($A$5:$A15,Proposal!$I$2),"")</f>
        <v/>
      </c>
      <c r="P15" s="9">
        <f>IF($A15="","",IF(COUNTIF(Jobs!$A$5:$A$44,$A15)=0,"Unknown Job ID",IF(B15="","Missing cost code",IF(COUNTIF(Settings!$E$5:$E$28,B15)=0,"Unknown cost code",IF(AND(G15="",C15=""),"No unit cost",IF(E15="","Missing qty",""))))))</f>
        <v/>
      </c>
      <c r="Q15" s="35" t="n"/>
    </row>
    <row r="16">
      <c r="A16" s="35" t="n"/>
      <c r="B16" s="35" t="n"/>
      <c r="C16" s="35" t="n"/>
      <c r="D16" s="35" t="n"/>
      <c r="E16" s="35" t="n"/>
      <c r="F16" s="35" t="n"/>
      <c r="G16" s="37" t="n"/>
      <c r="H16" s="9">
        <f>IF(B16="","",IFERROR(VLOOKUP(B16,Settings!$E$5:$G$28,3,FALSE),"Other"))</f>
        <v/>
      </c>
      <c r="I16" s="39">
        <f>IF($A16="","",IF(G16&lt;&gt;"",G16,IFERROR(VLOOKUP(C16,'Cost Library'!$A$5:$D$204,4,FALSE),0)))</f>
        <v/>
      </c>
      <c r="J16" s="9">
        <f>IF($A16="","",IF(F16&lt;&gt;"",F16,IFERROR(VLOOKUP(C16,'Cost Library'!$A$5:$D$204,3,FALSE),"")))</f>
        <v/>
      </c>
      <c r="K16" s="39">
        <f>IF($A16="","",E16*I16)</f>
        <v/>
      </c>
      <c r="L16" s="36" t="n"/>
      <c r="M16" s="39">
        <f>IF($A16="","",K16*(1+N16))</f>
        <v/>
      </c>
      <c r="N16" s="26">
        <f>IF($A16="","",IF(L16="",IFERROR(VLOOKUP(H16,Settings!$A$22:$B$27,2,FALSE),0),L16))</f>
        <v/>
      </c>
      <c r="O16" s="9">
        <f>IF(AND($A16&lt;&gt;"",$A16=Proposal!$I$2),COUNTIF($A$5:$A16,Proposal!$I$2),"")</f>
        <v/>
      </c>
      <c r="P16" s="9">
        <f>IF($A16="","",IF(COUNTIF(Jobs!$A$5:$A$44,$A16)=0,"Unknown Job ID",IF(B16="","Missing cost code",IF(COUNTIF(Settings!$E$5:$E$28,B16)=0,"Unknown cost code",IF(AND(G16="",C16=""),"No unit cost",IF(E16="","Missing qty",""))))))</f>
        <v/>
      </c>
      <c r="Q16" s="35" t="n"/>
    </row>
    <row r="17">
      <c r="A17" s="35" t="n"/>
      <c r="B17" s="35" t="n"/>
      <c r="C17" s="35" t="n"/>
      <c r="D17" s="35" t="n"/>
      <c r="E17" s="35" t="n"/>
      <c r="F17" s="35" t="n"/>
      <c r="G17" s="37" t="n"/>
      <c r="H17" s="9">
        <f>IF(B17="","",IFERROR(VLOOKUP(B17,Settings!$E$5:$G$28,3,FALSE),"Other"))</f>
        <v/>
      </c>
      <c r="I17" s="39">
        <f>IF($A17="","",IF(G17&lt;&gt;"",G17,IFERROR(VLOOKUP(C17,'Cost Library'!$A$5:$D$204,4,FALSE),0)))</f>
        <v/>
      </c>
      <c r="J17" s="9">
        <f>IF($A17="","",IF(F17&lt;&gt;"",F17,IFERROR(VLOOKUP(C17,'Cost Library'!$A$5:$D$204,3,FALSE),"")))</f>
        <v/>
      </c>
      <c r="K17" s="39">
        <f>IF($A17="","",E17*I17)</f>
        <v/>
      </c>
      <c r="L17" s="36" t="n"/>
      <c r="M17" s="39">
        <f>IF($A17="","",K17*(1+N17))</f>
        <v/>
      </c>
      <c r="N17" s="26">
        <f>IF($A17="","",IF(L17="",IFERROR(VLOOKUP(H17,Settings!$A$22:$B$27,2,FALSE),0),L17))</f>
        <v/>
      </c>
      <c r="O17" s="9">
        <f>IF(AND($A17&lt;&gt;"",$A17=Proposal!$I$2),COUNTIF($A$5:$A17,Proposal!$I$2),"")</f>
        <v/>
      </c>
      <c r="P17" s="9">
        <f>IF($A17="","",IF(COUNTIF(Jobs!$A$5:$A$44,$A17)=0,"Unknown Job ID",IF(B17="","Missing cost code",IF(COUNTIF(Settings!$E$5:$E$28,B17)=0,"Unknown cost code",IF(AND(G17="",C17=""),"No unit cost",IF(E17="","Missing qty",""))))))</f>
        <v/>
      </c>
      <c r="Q17" s="35" t="n"/>
    </row>
    <row r="18">
      <c r="A18" s="35" t="n"/>
      <c r="B18" s="35" t="n"/>
      <c r="C18" s="35" t="n"/>
      <c r="D18" s="35" t="n"/>
      <c r="E18" s="35" t="n"/>
      <c r="F18" s="35" t="n"/>
      <c r="G18" s="37" t="n"/>
      <c r="H18" s="9">
        <f>IF(B18="","",IFERROR(VLOOKUP(B18,Settings!$E$5:$G$28,3,FALSE),"Other"))</f>
        <v/>
      </c>
      <c r="I18" s="39">
        <f>IF($A18="","",IF(G18&lt;&gt;"",G18,IFERROR(VLOOKUP(C18,'Cost Library'!$A$5:$D$204,4,FALSE),0)))</f>
        <v/>
      </c>
      <c r="J18" s="9">
        <f>IF($A18="","",IF(F18&lt;&gt;"",F18,IFERROR(VLOOKUP(C18,'Cost Library'!$A$5:$D$204,3,FALSE),"")))</f>
        <v/>
      </c>
      <c r="K18" s="39">
        <f>IF($A18="","",E18*I18)</f>
        <v/>
      </c>
      <c r="L18" s="36" t="n"/>
      <c r="M18" s="39">
        <f>IF($A18="","",K18*(1+N18))</f>
        <v/>
      </c>
      <c r="N18" s="26">
        <f>IF($A18="","",IF(L18="",IFERROR(VLOOKUP(H18,Settings!$A$22:$B$27,2,FALSE),0),L18))</f>
        <v/>
      </c>
      <c r="O18" s="9">
        <f>IF(AND($A18&lt;&gt;"",$A18=Proposal!$I$2),COUNTIF($A$5:$A18,Proposal!$I$2),"")</f>
        <v/>
      </c>
      <c r="P18" s="9">
        <f>IF($A18="","",IF(COUNTIF(Jobs!$A$5:$A$44,$A18)=0,"Unknown Job ID",IF(B18="","Missing cost code",IF(COUNTIF(Settings!$E$5:$E$28,B18)=0,"Unknown cost code",IF(AND(G18="",C18=""),"No unit cost",IF(E18="","Missing qty",""))))))</f>
        <v/>
      </c>
      <c r="Q18" s="35" t="n"/>
    </row>
    <row r="19">
      <c r="A19" s="35" t="n"/>
      <c r="B19" s="35" t="n"/>
      <c r="C19" s="35" t="n"/>
      <c r="D19" s="35" t="n"/>
      <c r="E19" s="35" t="n"/>
      <c r="F19" s="35" t="n"/>
      <c r="G19" s="37" t="n"/>
      <c r="H19" s="9">
        <f>IF(B19="","",IFERROR(VLOOKUP(B19,Settings!$E$5:$G$28,3,FALSE),"Other"))</f>
        <v/>
      </c>
      <c r="I19" s="39">
        <f>IF($A19="","",IF(G19&lt;&gt;"",G19,IFERROR(VLOOKUP(C19,'Cost Library'!$A$5:$D$204,4,FALSE),0)))</f>
        <v/>
      </c>
      <c r="J19" s="9">
        <f>IF($A19="","",IF(F19&lt;&gt;"",F19,IFERROR(VLOOKUP(C19,'Cost Library'!$A$5:$D$204,3,FALSE),"")))</f>
        <v/>
      </c>
      <c r="K19" s="39">
        <f>IF($A19="","",E19*I19)</f>
        <v/>
      </c>
      <c r="L19" s="36" t="n"/>
      <c r="M19" s="39">
        <f>IF($A19="","",K19*(1+N19))</f>
        <v/>
      </c>
      <c r="N19" s="26">
        <f>IF($A19="","",IF(L19="",IFERROR(VLOOKUP(H19,Settings!$A$22:$B$27,2,FALSE),0),L19))</f>
        <v/>
      </c>
      <c r="O19" s="9">
        <f>IF(AND($A19&lt;&gt;"",$A19=Proposal!$I$2),COUNTIF($A$5:$A19,Proposal!$I$2),"")</f>
        <v/>
      </c>
      <c r="P19" s="9">
        <f>IF($A19="","",IF(COUNTIF(Jobs!$A$5:$A$44,$A19)=0,"Unknown Job ID",IF(B19="","Missing cost code",IF(COUNTIF(Settings!$E$5:$E$28,B19)=0,"Unknown cost code",IF(AND(G19="",C19=""),"No unit cost",IF(E19="","Missing qty",""))))))</f>
        <v/>
      </c>
      <c r="Q19" s="35" t="n"/>
    </row>
    <row r="20">
      <c r="A20" s="35" t="n"/>
      <c r="B20" s="35" t="n"/>
      <c r="C20" s="35" t="n"/>
      <c r="D20" s="35" t="n"/>
      <c r="E20" s="35" t="n"/>
      <c r="F20" s="35" t="n"/>
      <c r="G20" s="37" t="n"/>
      <c r="H20" s="9">
        <f>IF(B20="","",IFERROR(VLOOKUP(B20,Settings!$E$5:$G$28,3,FALSE),"Other"))</f>
        <v/>
      </c>
      <c r="I20" s="39">
        <f>IF($A20="","",IF(G20&lt;&gt;"",G20,IFERROR(VLOOKUP(C20,'Cost Library'!$A$5:$D$204,4,FALSE),0)))</f>
        <v/>
      </c>
      <c r="J20" s="9">
        <f>IF($A20="","",IF(F20&lt;&gt;"",F20,IFERROR(VLOOKUP(C20,'Cost Library'!$A$5:$D$204,3,FALSE),"")))</f>
        <v/>
      </c>
      <c r="K20" s="39">
        <f>IF($A20="","",E20*I20)</f>
        <v/>
      </c>
      <c r="L20" s="36" t="n"/>
      <c r="M20" s="39">
        <f>IF($A20="","",K20*(1+N20))</f>
        <v/>
      </c>
      <c r="N20" s="26">
        <f>IF($A20="","",IF(L20="",IFERROR(VLOOKUP(H20,Settings!$A$22:$B$27,2,FALSE),0),L20))</f>
        <v/>
      </c>
      <c r="O20" s="9">
        <f>IF(AND($A20&lt;&gt;"",$A20=Proposal!$I$2),COUNTIF($A$5:$A20,Proposal!$I$2),"")</f>
        <v/>
      </c>
      <c r="P20" s="9">
        <f>IF($A20="","",IF(COUNTIF(Jobs!$A$5:$A$44,$A20)=0,"Unknown Job ID",IF(B20="","Missing cost code",IF(COUNTIF(Settings!$E$5:$E$28,B20)=0,"Unknown cost code",IF(AND(G20="",C20=""),"No unit cost",IF(E20="","Missing qty",""))))))</f>
        <v/>
      </c>
      <c r="Q20" s="35" t="n"/>
    </row>
    <row r="21">
      <c r="A21" s="35" t="n"/>
      <c r="B21" s="35" t="n"/>
      <c r="C21" s="35" t="n"/>
      <c r="D21" s="35" t="n"/>
      <c r="E21" s="35" t="n"/>
      <c r="F21" s="35" t="n"/>
      <c r="G21" s="37" t="n"/>
      <c r="H21" s="9">
        <f>IF(B21="","",IFERROR(VLOOKUP(B21,Settings!$E$5:$G$28,3,FALSE),"Other"))</f>
        <v/>
      </c>
      <c r="I21" s="39">
        <f>IF($A21="","",IF(G21&lt;&gt;"",G21,IFERROR(VLOOKUP(C21,'Cost Library'!$A$5:$D$204,4,FALSE),0)))</f>
        <v/>
      </c>
      <c r="J21" s="9">
        <f>IF($A21="","",IF(F21&lt;&gt;"",F21,IFERROR(VLOOKUP(C21,'Cost Library'!$A$5:$D$204,3,FALSE),"")))</f>
        <v/>
      </c>
      <c r="K21" s="39">
        <f>IF($A21="","",E21*I21)</f>
        <v/>
      </c>
      <c r="L21" s="36" t="n"/>
      <c r="M21" s="39">
        <f>IF($A21="","",K21*(1+N21))</f>
        <v/>
      </c>
      <c r="N21" s="26">
        <f>IF($A21="","",IF(L21="",IFERROR(VLOOKUP(H21,Settings!$A$22:$B$27,2,FALSE),0),L21))</f>
        <v/>
      </c>
      <c r="O21" s="9">
        <f>IF(AND($A21&lt;&gt;"",$A21=Proposal!$I$2),COUNTIF($A$5:$A21,Proposal!$I$2),"")</f>
        <v/>
      </c>
      <c r="P21" s="9">
        <f>IF($A21="","",IF(COUNTIF(Jobs!$A$5:$A$44,$A21)=0,"Unknown Job ID",IF(B21="","Missing cost code",IF(COUNTIF(Settings!$E$5:$E$28,B21)=0,"Unknown cost code",IF(AND(G21="",C21=""),"No unit cost",IF(E21="","Missing qty",""))))))</f>
        <v/>
      </c>
      <c r="Q21" s="35" t="n"/>
    </row>
    <row r="22">
      <c r="A22" s="35" t="n"/>
      <c r="B22" s="35" t="n"/>
      <c r="C22" s="35" t="n"/>
      <c r="D22" s="35" t="n"/>
      <c r="E22" s="35" t="n"/>
      <c r="F22" s="35" t="n"/>
      <c r="G22" s="37" t="n"/>
      <c r="H22" s="9">
        <f>IF(B22="","",IFERROR(VLOOKUP(B22,Settings!$E$5:$G$28,3,FALSE),"Other"))</f>
        <v/>
      </c>
      <c r="I22" s="39">
        <f>IF($A22="","",IF(G22&lt;&gt;"",G22,IFERROR(VLOOKUP(C22,'Cost Library'!$A$5:$D$204,4,FALSE),0)))</f>
        <v/>
      </c>
      <c r="J22" s="9">
        <f>IF($A22="","",IF(F22&lt;&gt;"",F22,IFERROR(VLOOKUP(C22,'Cost Library'!$A$5:$D$204,3,FALSE),"")))</f>
        <v/>
      </c>
      <c r="K22" s="39">
        <f>IF($A22="","",E22*I22)</f>
        <v/>
      </c>
      <c r="L22" s="36" t="n"/>
      <c r="M22" s="39">
        <f>IF($A22="","",K22*(1+N22))</f>
        <v/>
      </c>
      <c r="N22" s="26">
        <f>IF($A22="","",IF(L22="",IFERROR(VLOOKUP(H22,Settings!$A$22:$B$27,2,FALSE),0),L22))</f>
        <v/>
      </c>
      <c r="O22" s="9">
        <f>IF(AND($A22&lt;&gt;"",$A22=Proposal!$I$2),COUNTIF($A$5:$A22,Proposal!$I$2),"")</f>
        <v/>
      </c>
      <c r="P22" s="9">
        <f>IF($A22="","",IF(COUNTIF(Jobs!$A$5:$A$44,$A22)=0,"Unknown Job ID",IF(B22="","Missing cost code",IF(COUNTIF(Settings!$E$5:$E$28,B22)=0,"Unknown cost code",IF(AND(G22="",C22=""),"No unit cost",IF(E22="","Missing qty",""))))))</f>
        <v/>
      </c>
      <c r="Q22" s="35" t="n"/>
    </row>
    <row r="23">
      <c r="A23" s="35" t="n"/>
      <c r="B23" s="35" t="n"/>
      <c r="C23" s="35" t="n"/>
      <c r="D23" s="35" t="n"/>
      <c r="E23" s="35" t="n"/>
      <c r="F23" s="35" t="n"/>
      <c r="G23" s="37" t="n"/>
      <c r="H23" s="9">
        <f>IF(B23="","",IFERROR(VLOOKUP(B23,Settings!$E$5:$G$28,3,FALSE),"Other"))</f>
        <v/>
      </c>
      <c r="I23" s="39">
        <f>IF($A23="","",IF(G23&lt;&gt;"",G23,IFERROR(VLOOKUP(C23,'Cost Library'!$A$5:$D$204,4,FALSE),0)))</f>
        <v/>
      </c>
      <c r="J23" s="9">
        <f>IF($A23="","",IF(F23&lt;&gt;"",F23,IFERROR(VLOOKUP(C23,'Cost Library'!$A$5:$D$204,3,FALSE),"")))</f>
        <v/>
      </c>
      <c r="K23" s="39">
        <f>IF($A23="","",E23*I23)</f>
        <v/>
      </c>
      <c r="L23" s="36" t="n"/>
      <c r="M23" s="39">
        <f>IF($A23="","",K23*(1+N23))</f>
        <v/>
      </c>
      <c r="N23" s="26">
        <f>IF($A23="","",IF(L23="",IFERROR(VLOOKUP(H23,Settings!$A$22:$B$27,2,FALSE),0),L23))</f>
        <v/>
      </c>
      <c r="O23" s="9">
        <f>IF(AND($A23&lt;&gt;"",$A23=Proposal!$I$2),COUNTIF($A$5:$A23,Proposal!$I$2),"")</f>
        <v/>
      </c>
      <c r="P23" s="9">
        <f>IF($A23="","",IF(COUNTIF(Jobs!$A$5:$A$44,$A23)=0,"Unknown Job ID",IF(B23="","Missing cost code",IF(COUNTIF(Settings!$E$5:$E$28,B23)=0,"Unknown cost code",IF(AND(G23="",C23=""),"No unit cost",IF(E23="","Missing qty",""))))))</f>
        <v/>
      </c>
      <c r="Q23" s="35" t="n"/>
    </row>
    <row r="24">
      <c r="A24" s="35" t="n"/>
      <c r="B24" s="35" t="n"/>
      <c r="C24" s="35" t="n"/>
      <c r="D24" s="35" t="n"/>
      <c r="E24" s="35" t="n"/>
      <c r="F24" s="35" t="n"/>
      <c r="G24" s="37" t="n"/>
      <c r="H24" s="9">
        <f>IF(B24="","",IFERROR(VLOOKUP(B24,Settings!$E$5:$G$28,3,FALSE),"Other"))</f>
        <v/>
      </c>
      <c r="I24" s="39">
        <f>IF($A24="","",IF(G24&lt;&gt;"",G24,IFERROR(VLOOKUP(C24,'Cost Library'!$A$5:$D$204,4,FALSE),0)))</f>
        <v/>
      </c>
      <c r="J24" s="9">
        <f>IF($A24="","",IF(F24&lt;&gt;"",F24,IFERROR(VLOOKUP(C24,'Cost Library'!$A$5:$D$204,3,FALSE),"")))</f>
        <v/>
      </c>
      <c r="K24" s="39">
        <f>IF($A24="","",E24*I24)</f>
        <v/>
      </c>
      <c r="L24" s="36" t="n"/>
      <c r="M24" s="39">
        <f>IF($A24="","",K24*(1+N24))</f>
        <v/>
      </c>
      <c r="N24" s="26">
        <f>IF($A24="","",IF(L24="",IFERROR(VLOOKUP(H24,Settings!$A$22:$B$27,2,FALSE),0),L24))</f>
        <v/>
      </c>
      <c r="O24" s="9">
        <f>IF(AND($A24&lt;&gt;"",$A24=Proposal!$I$2),COUNTIF($A$5:$A24,Proposal!$I$2),"")</f>
        <v/>
      </c>
      <c r="P24" s="9">
        <f>IF($A24="","",IF(COUNTIF(Jobs!$A$5:$A$44,$A24)=0,"Unknown Job ID",IF(B24="","Missing cost code",IF(COUNTIF(Settings!$E$5:$E$28,B24)=0,"Unknown cost code",IF(AND(G24="",C24=""),"No unit cost",IF(E24="","Missing qty",""))))))</f>
        <v/>
      </c>
      <c r="Q24" s="35" t="n"/>
    </row>
    <row r="25">
      <c r="A25" s="35" t="n"/>
      <c r="B25" s="35" t="n"/>
      <c r="C25" s="35" t="n"/>
      <c r="D25" s="35" t="n"/>
      <c r="E25" s="35" t="n"/>
      <c r="F25" s="35" t="n"/>
      <c r="G25" s="37" t="n"/>
      <c r="H25" s="9">
        <f>IF(B25="","",IFERROR(VLOOKUP(B25,Settings!$E$5:$G$28,3,FALSE),"Other"))</f>
        <v/>
      </c>
      <c r="I25" s="39">
        <f>IF($A25="","",IF(G25&lt;&gt;"",G25,IFERROR(VLOOKUP(C25,'Cost Library'!$A$5:$D$204,4,FALSE),0)))</f>
        <v/>
      </c>
      <c r="J25" s="9">
        <f>IF($A25="","",IF(F25&lt;&gt;"",F25,IFERROR(VLOOKUP(C25,'Cost Library'!$A$5:$D$204,3,FALSE),"")))</f>
        <v/>
      </c>
      <c r="K25" s="39">
        <f>IF($A25="","",E25*I25)</f>
        <v/>
      </c>
      <c r="L25" s="36" t="n"/>
      <c r="M25" s="39">
        <f>IF($A25="","",K25*(1+N25))</f>
        <v/>
      </c>
      <c r="N25" s="26">
        <f>IF($A25="","",IF(L25="",IFERROR(VLOOKUP(H25,Settings!$A$22:$B$27,2,FALSE),0),L25))</f>
        <v/>
      </c>
      <c r="O25" s="9">
        <f>IF(AND($A25&lt;&gt;"",$A25=Proposal!$I$2),COUNTIF($A$5:$A25,Proposal!$I$2),"")</f>
        <v/>
      </c>
      <c r="P25" s="9">
        <f>IF($A25="","",IF(COUNTIF(Jobs!$A$5:$A$44,$A25)=0,"Unknown Job ID",IF(B25="","Missing cost code",IF(COUNTIF(Settings!$E$5:$E$28,B25)=0,"Unknown cost code",IF(AND(G25="",C25=""),"No unit cost",IF(E25="","Missing qty",""))))))</f>
        <v/>
      </c>
      <c r="Q25" s="35" t="n"/>
    </row>
    <row r="26">
      <c r="A26" s="35" t="n"/>
      <c r="B26" s="35" t="n"/>
      <c r="C26" s="35" t="n"/>
      <c r="D26" s="35" t="n"/>
      <c r="E26" s="35" t="n"/>
      <c r="F26" s="35" t="n"/>
      <c r="G26" s="37" t="n"/>
      <c r="H26" s="9">
        <f>IF(B26="","",IFERROR(VLOOKUP(B26,Settings!$E$5:$G$28,3,FALSE),"Other"))</f>
        <v/>
      </c>
      <c r="I26" s="39">
        <f>IF($A26="","",IF(G26&lt;&gt;"",G26,IFERROR(VLOOKUP(C26,'Cost Library'!$A$5:$D$204,4,FALSE),0)))</f>
        <v/>
      </c>
      <c r="J26" s="9">
        <f>IF($A26="","",IF(F26&lt;&gt;"",F26,IFERROR(VLOOKUP(C26,'Cost Library'!$A$5:$D$204,3,FALSE),"")))</f>
        <v/>
      </c>
      <c r="K26" s="39">
        <f>IF($A26="","",E26*I26)</f>
        <v/>
      </c>
      <c r="L26" s="36" t="n"/>
      <c r="M26" s="39">
        <f>IF($A26="","",K26*(1+N26))</f>
        <v/>
      </c>
      <c r="N26" s="26">
        <f>IF($A26="","",IF(L26="",IFERROR(VLOOKUP(H26,Settings!$A$22:$B$27,2,FALSE),0),L26))</f>
        <v/>
      </c>
      <c r="O26" s="9">
        <f>IF(AND($A26&lt;&gt;"",$A26=Proposal!$I$2),COUNTIF($A$5:$A26,Proposal!$I$2),"")</f>
        <v/>
      </c>
      <c r="P26" s="9">
        <f>IF($A26="","",IF(COUNTIF(Jobs!$A$5:$A$44,$A26)=0,"Unknown Job ID",IF(B26="","Missing cost code",IF(COUNTIF(Settings!$E$5:$E$28,B26)=0,"Unknown cost code",IF(AND(G26="",C26=""),"No unit cost",IF(E26="","Missing qty",""))))))</f>
        <v/>
      </c>
      <c r="Q26" s="35" t="n"/>
    </row>
    <row r="27">
      <c r="A27" s="35" t="n"/>
      <c r="B27" s="35" t="n"/>
      <c r="C27" s="35" t="n"/>
      <c r="D27" s="35" t="n"/>
      <c r="E27" s="35" t="n"/>
      <c r="F27" s="35" t="n"/>
      <c r="G27" s="37" t="n"/>
      <c r="H27" s="9">
        <f>IF(B27="","",IFERROR(VLOOKUP(B27,Settings!$E$5:$G$28,3,FALSE),"Other"))</f>
        <v/>
      </c>
      <c r="I27" s="39">
        <f>IF($A27="","",IF(G27&lt;&gt;"",G27,IFERROR(VLOOKUP(C27,'Cost Library'!$A$5:$D$204,4,FALSE),0)))</f>
        <v/>
      </c>
      <c r="J27" s="9">
        <f>IF($A27="","",IF(F27&lt;&gt;"",F27,IFERROR(VLOOKUP(C27,'Cost Library'!$A$5:$D$204,3,FALSE),"")))</f>
        <v/>
      </c>
      <c r="K27" s="39">
        <f>IF($A27="","",E27*I27)</f>
        <v/>
      </c>
      <c r="L27" s="36" t="n"/>
      <c r="M27" s="39">
        <f>IF($A27="","",K27*(1+N27))</f>
        <v/>
      </c>
      <c r="N27" s="26">
        <f>IF($A27="","",IF(L27="",IFERROR(VLOOKUP(H27,Settings!$A$22:$B$27,2,FALSE),0),L27))</f>
        <v/>
      </c>
      <c r="O27" s="9">
        <f>IF(AND($A27&lt;&gt;"",$A27=Proposal!$I$2),COUNTIF($A$5:$A27,Proposal!$I$2),"")</f>
        <v/>
      </c>
      <c r="P27" s="9">
        <f>IF($A27="","",IF(COUNTIF(Jobs!$A$5:$A$44,$A27)=0,"Unknown Job ID",IF(B27="","Missing cost code",IF(COUNTIF(Settings!$E$5:$E$28,B27)=0,"Unknown cost code",IF(AND(G27="",C27=""),"No unit cost",IF(E27="","Missing qty",""))))))</f>
        <v/>
      </c>
      <c r="Q27" s="35" t="n"/>
    </row>
    <row r="28">
      <c r="A28" s="35" t="n"/>
      <c r="B28" s="35" t="n"/>
      <c r="C28" s="35" t="n"/>
      <c r="D28" s="35" t="n"/>
      <c r="E28" s="35" t="n"/>
      <c r="F28" s="35" t="n"/>
      <c r="G28" s="37" t="n"/>
      <c r="H28" s="9">
        <f>IF(B28="","",IFERROR(VLOOKUP(B28,Settings!$E$5:$G$28,3,FALSE),"Other"))</f>
        <v/>
      </c>
      <c r="I28" s="39">
        <f>IF($A28="","",IF(G28&lt;&gt;"",G28,IFERROR(VLOOKUP(C28,'Cost Library'!$A$5:$D$204,4,FALSE),0)))</f>
        <v/>
      </c>
      <c r="J28" s="9">
        <f>IF($A28="","",IF(F28&lt;&gt;"",F28,IFERROR(VLOOKUP(C28,'Cost Library'!$A$5:$D$204,3,FALSE),"")))</f>
        <v/>
      </c>
      <c r="K28" s="39">
        <f>IF($A28="","",E28*I28)</f>
        <v/>
      </c>
      <c r="L28" s="36" t="n"/>
      <c r="M28" s="39">
        <f>IF($A28="","",K28*(1+N28))</f>
        <v/>
      </c>
      <c r="N28" s="26">
        <f>IF($A28="","",IF(L28="",IFERROR(VLOOKUP(H28,Settings!$A$22:$B$27,2,FALSE),0),L28))</f>
        <v/>
      </c>
      <c r="O28" s="9">
        <f>IF(AND($A28&lt;&gt;"",$A28=Proposal!$I$2),COUNTIF($A$5:$A28,Proposal!$I$2),"")</f>
        <v/>
      </c>
      <c r="P28" s="9">
        <f>IF($A28="","",IF(COUNTIF(Jobs!$A$5:$A$44,$A28)=0,"Unknown Job ID",IF(B28="","Missing cost code",IF(COUNTIF(Settings!$E$5:$E$28,B28)=0,"Unknown cost code",IF(AND(G28="",C28=""),"No unit cost",IF(E28="","Missing qty",""))))))</f>
        <v/>
      </c>
      <c r="Q28" s="35" t="n"/>
    </row>
    <row r="29">
      <c r="A29" s="35" t="n"/>
      <c r="B29" s="35" t="n"/>
      <c r="C29" s="35" t="n"/>
      <c r="D29" s="35" t="n"/>
      <c r="E29" s="35" t="n"/>
      <c r="F29" s="35" t="n"/>
      <c r="G29" s="37" t="n"/>
      <c r="H29" s="9">
        <f>IF(B29="","",IFERROR(VLOOKUP(B29,Settings!$E$5:$G$28,3,FALSE),"Other"))</f>
        <v/>
      </c>
      <c r="I29" s="39">
        <f>IF($A29="","",IF(G29&lt;&gt;"",G29,IFERROR(VLOOKUP(C29,'Cost Library'!$A$5:$D$204,4,FALSE),0)))</f>
        <v/>
      </c>
      <c r="J29" s="9">
        <f>IF($A29="","",IF(F29&lt;&gt;"",F29,IFERROR(VLOOKUP(C29,'Cost Library'!$A$5:$D$204,3,FALSE),"")))</f>
        <v/>
      </c>
      <c r="K29" s="39">
        <f>IF($A29="","",E29*I29)</f>
        <v/>
      </c>
      <c r="L29" s="36" t="n"/>
      <c r="M29" s="39">
        <f>IF($A29="","",K29*(1+N29))</f>
        <v/>
      </c>
      <c r="N29" s="26">
        <f>IF($A29="","",IF(L29="",IFERROR(VLOOKUP(H29,Settings!$A$22:$B$27,2,FALSE),0),L29))</f>
        <v/>
      </c>
      <c r="O29" s="9">
        <f>IF(AND($A29&lt;&gt;"",$A29=Proposal!$I$2),COUNTIF($A$5:$A29,Proposal!$I$2),"")</f>
        <v/>
      </c>
      <c r="P29" s="9">
        <f>IF($A29="","",IF(COUNTIF(Jobs!$A$5:$A$44,$A29)=0,"Unknown Job ID",IF(B29="","Missing cost code",IF(COUNTIF(Settings!$E$5:$E$28,B29)=0,"Unknown cost code",IF(AND(G29="",C29=""),"No unit cost",IF(E29="","Missing qty",""))))))</f>
        <v/>
      </c>
      <c r="Q29" s="35" t="n"/>
    </row>
    <row r="30">
      <c r="A30" s="35" t="n"/>
      <c r="B30" s="35" t="n"/>
      <c r="C30" s="35" t="n"/>
      <c r="D30" s="35" t="n"/>
      <c r="E30" s="35" t="n"/>
      <c r="F30" s="35" t="n"/>
      <c r="G30" s="37" t="n"/>
      <c r="H30" s="9">
        <f>IF(B30="","",IFERROR(VLOOKUP(B30,Settings!$E$5:$G$28,3,FALSE),"Other"))</f>
        <v/>
      </c>
      <c r="I30" s="39">
        <f>IF($A30="","",IF(G30&lt;&gt;"",G30,IFERROR(VLOOKUP(C30,'Cost Library'!$A$5:$D$204,4,FALSE),0)))</f>
        <v/>
      </c>
      <c r="J30" s="9">
        <f>IF($A30="","",IF(F30&lt;&gt;"",F30,IFERROR(VLOOKUP(C30,'Cost Library'!$A$5:$D$204,3,FALSE),"")))</f>
        <v/>
      </c>
      <c r="K30" s="39">
        <f>IF($A30="","",E30*I30)</f>
        <v/>
      </c>
      <c r="L30" s="36" t="n"/>
      <c r="M30" s="39">
        <f>IF($A30="","",K30*(1+N30))</f>
        <v/>
      </c>
      <c r="N30" s="26">
        <f>IF($A30="","",IF(L30="",IFERROR(VLOOKUP(H30,Settings!$A$22:$B$27,2,FALSE),0),L30))</f>
        <v/>
      </c>
      <c r="O30" s="9">
        <f>IF(AND($A30&lt;&gt;"",$A30=Proposal!$I$2),COUNTIF($A$5:$A30,Proposal!$I$2),"")</f>
        <v/>
      </c>
      <c r="P30" s="9">
        <f>IF($A30="","",IF(COUNTIF(Jobs!$A$5:$A$44,$A30)=0,"Unknown Job ID",IF(B30="","Missing cost code",IF(COUNTIF(Settings!$E$5:$E$28,B30)=0,"Unknown cost code",IF(AND(G30="",C30=""),"No unit cost",IF(E30="","Missing qty",""))))))</f>
        <v/>
      </c>
      <c r="Q30" s="35" t="n"/>
    </row>
    <row r="31">
      <c r="A31" s="35" t="n"/>
      <c r="B31" s="35" t="n"/>
      <c r="C31" s="35" t="n"/>
      <c r="D31" s="35" t="n"/>
      <c r="E31" s="35" t="n"/>
      <c r="F31" s="35" t="n"/>
      <c r="G31" s="37" t="n"/>
      <c r="H31" s="9">
        <f>IF(B31="","",IFERROR(VLOOKUP(B31,Settings!$E$5:$G$28,3,FALSE),"Other"))</f>
        <v/>
      </c>
      <c r="I31" s="39">
        <f>IF($A31="","",IF(G31&lt;&gt;"",G31,IFERROR(VLOOKUP(C31,'Cost Library'!$A$5:$D$204,4,FALSE),0)))</f>
        <v/>
      </c>
      <c r="J31" s="9">
        <f>IF($A31="","",IF(F31&lt;&gt;"",F31,IFERROR(VLOOKUP(C31,'Cost Library'!$A$5:$D$204,3,FALSE),"")))</f>
        <v/>
      </c>
      <c r="K31" s="39">
        <f>IF($A31="","",E31*I31)</f>
        <v/>
      </c>
      <c r="L31" s="36" t="n"/>
      <c r="M31" s="39">
        <f>IF($A31="","",K31*(1+N31))</f>
        <v/>
      </c>
      <c r="N31" s="26">
        <f>IF($A31="","",IF(L31="",IFERROR(VLOOKUP(H31,Settings!$A$22:$B$27,2,FALSE),0),L31))</f>
        <v/>
      </c>
      <c r="O31" s="9">
        <f>IF(AND($A31&lt;&gt;"",$A31=Proposal!$I$2),COUNTIF($A$5:$A31,Proposal!$I$2),"")</f>
        <v/>
      </c>
      <c r="P31" s="9">
        <f>IF($A31="","",IF(COUNTIF(Jobs!$A$5:$A$44,$A31)=0,"Unknown Job ID",IF(B31="","Missing cost code",IF(COUNTIF(Settings!$E$5:$E$28,B31)=0,"Unknown cost code",IF(AND(G31="",C31=""),"No unit cost",IF(E31="","Missing qty",""))))))</f>
        <v/>
      </c>
      <c r="Q31" s="35" t="n"/>
    </row>
    <row r="32">
      <c r="A32" s="35" t="n"/>
      <c r="B32" s="35" t="n"/>
      <c r="C32" s="35" t="n"/>
      <c r="D32" s="35" t="n"/>
      <c r="E32" s="35" t="n"/>
      <c r="F32" s="35" t="n"/>
      <c r="G32" s="37" t="n"/>
      <c r="H32" s="9">
        <f>IF(B32="","",IFERROR(VLOOKUP(B32,Settings!$E$5:$G$28,3,FALSE),"Other"))</f>
        <v/>
      </c>
      <c r="I32" s="39">
        <f>IF($A32="","",IF(G32&lt;&gt;"",G32,IFERROR(VLOOKUP(C32,'Cost Library'!$A$5:$D$204,4,FALSE),0)))</f>
        <v/>
      </c>
      <c r="J32" s="9">
        <f>IF($A32="","",IF(F32&lt;&gt;"",F32,IFERROR(VLOOKUP(C32,'Cost Library'!$A$5:$D$204,3,FALSE),"")))</f>
        <v/>
      </c>
      <c r="K32" s="39">
        <f>IF($A32="","",E32*I32)</f>
        <v/>
      </c>
      <c r="L32" s="36" t="n"/>
      <c r="M32" s="39">
        <f>IF($A32="","",K32*(1+N32))</f>
        <v/>
      </c>
      <c r="N32" s="26">
        <f>IF($A32="","",IF(L32="",IFERROR(VLOOKUP(H32,Settings!$A$22:$B$27,2,FALSE),0),L32))</f>
        <v/>
      </c>
      <c r="O32" s="9">
        <f>IF(AND($A32&lt;&gt;"",$A32=Proposal!$I$2),COUNTIF($A$5:$A32,Proposal!$I$2),"")</f>
        <v/>
      </c>
      <c r="P32" s="9">
        <f>IF($A32="","",IF(COUNTIF(Jobs!$A$5:$A$44,$A32)=0,"Unknown Job ID",IF(B32="","Missing cost code",IF(COUNTIF(Settings!$E$5:$E$28,B32)=0,"Unknown cost code",IF(AND(G32="",C32=""),"No unit cost",IF(E32="","Missing qty",""))))))</f>
        <v/>
      </c>
      <c r="Q32" s="35" t="n"/>
    </row>
    <row r="33">
      <c r="A33" s="35" t="n"/>
      <c r="B33" s="35" t="n"/>
      <c r="C33" s="35" t="n"/>
      <c r="D33" s="35" t="n"/>
      <c r="E33" s="35" t="n"/>
      <c r="F33" s="35" t="n"/>
      <c r="G33" s="37" t="n"/>
      <c r="H33" s="9">
        <f>IF(B33="","",IFERROR(VLOOKUP(B33,Settings!$E$5:$G$28,3,FALSE),"Other"))</f>
        <v/>
      </c>
      <c r="I33" s="39">
        <f>IF($A33="","",IF(G33&lt;&gt;"",G33,IFERROR(VLOOKUP(C33,'Cost Library'!$A$5:$D$204,4,FALSE),0)))</f>
        <v/>
      </c>
      <c r="J33" s="9">
        <f>IF($A33="","",IF(F33&lt;&gt;"",F33,IFERROR(VLOOKUP(C33,'Cost Library'!$A$5:$D$204,3,FALSE),"")))</f>
        <v/>
      </c>
      <c r="K33" s="39">
        <f>IF($A33="","",E33*I33)</f>
        <v/>
      </c>
      <c r="L33" s="36" t="n"/>
      <c r="M33" s="39">
        <f>IF($A33="","",K33*(1+N33))</f>
        <v/>
      </c>
      <c r="N33" s="26">
        <f>IF($A33="","",IF(L33="",IFERROR(VLOOKUP(H33,Settings!$A$22:$B$27,2,FALSE),0),L33))</f>
        <v/>
      </c>
      <c r="O33" s="9">
        <f>IF(AND($A33&lt;&gt;"",$A33=Proposal!$I$2),COUNTIF($A$5:$A33,Proposal!$I$2),"")</f>
        <v/>
      </c>
      <c r="P33" s="9">
        <f>IF($A33="","",IF(COUNTIF(Jobs!$A$5:$A$44,$A33)=0,"Unknown Job ID",IF(B33="","Missing cost code",IF(COUNTIF(Settings!$E$5:$E$28,B33)=0,"Unknown cost code",IF(AND(G33="",C33=""),"No unit cost",IF(E33="","Missing qty",""))))))</f>
        <v/>
      </c>
      <c r="Q33" s="35" t="n"/>
    </row>
    <row r="34">
      <c r="A34" s="35" t="n"/>
      <c r="B34" s="35" t="n"/>
      <c r="C34" s="35" t="n"/>
      <c r="D34" s="35" t="n"/>
      <c r="E34" s="35" t="n"/>
      <c r="F34" s="35" t="n"/>
      <c r="G34" s="37" t="n"/>
      <c r="H34" s="9">
        <f>IF(B34="","",IFERROR(VLOOKUP(B34,Settings!$E$5:$G$28,3,FALSE),"Other"))</f>
        <v/>
      </c>
      <c r="I34" s="39">
        <f>IF($A34="","",IF(G34&lt;&gt;"",G34,IFERROR(VLOOKUP(C34,'Cost Library'!$A$5:$D$204,4,FALSE),0)))</f>
        <v/>
      </c>
      <c r="J34" s="9">
        <f>IF($A34="","",IF(F34&lt;&gt;"",F34,IFERROR(VLOOKUP(C34,'Cost Library'!$A$5:$D$204,3,FALSE),"")))</f>
        <v/>
      </c>
      <c r="K34" s="39">
        <f>IF($A34="","",E34*I34)</f>
        <v/>
      </c>
      <c r="L34" s="36" t="n"/>
      <c r="M34" s="39">
        <f>IF($A34="","",K34*(1+N34))</f>
        <v/>
      </c>
      <c r="N34" s="26">
        <f>IF($A34="","",IF(L34="",IFERROR(VLOOKUP(H34,Settings!$A$22:$B$27,2,FALSE),0),L34))</f>
        <v/>
      </c>
      <c r="O34" s="9">
        <f>IF(AND($A34&lt;&gt;"",$A34=Proposal!$I$2),COUNTIF($A$5:$A34,Proposal!$I$2),"")</f>
        <v/>
      </c>
      <c r="P34" s="9">
        <f>IF($A34="","",IF(COUNTIF(Jobs!$A$5:$A$44,$A34)=0,"Unknown Job ID",IF(B34="","Missing cost code",IF(COUNTIF(Settings!$E$5:$E$28,B34)=0,"Unknown cost code",IF(AND(G34="",C34=""),"No unit cost",IF(E34="","Missing qty",""))))))</f>
        <v/>
      </c>
      <c r="Q34" s="35" t="n"/>
    </row>
    <row r="35">
      <c r="A35" s="35" t="n"/>
      <c r="B35" s="35" t="n"/>
      <c r="C35" s="35" t="n"/>
      <c r="D35" s="35" t="n"/>
      <c r="E35" s="35" t="n"/>
      <c r="F35" s="35" t="n"/>
      <c r="G35" s="37" t="n"/>
      <c r="H35" s="9">
        <f>IF(B35="","",IFERROR(VLOOKUP(B35,Settings!$E$5:$G$28,3,FALSE),"Other"))</f>
        <v/>
      </c>
      <c r="I35" s="39">
        <f>IF($A35="","",IF(G35&lt;&gt;"",G35,IFERROR(VLOOKUP(C35,'Cost Library'!$A$5:$D$204,4,FALSE),0)))</f>
        <v/>
      </c>
      <c r="J35" s="9">
        <f>IF($A35="","",IF(F35&lt;&gt;"",F35,IFERROR(VLOOKUP(C35,'Cost Library'!$A$5:$D$204,3,FALSE),"")))</f>
        <v/>
      </c>
      <c r="K35" s="39">
        <f>IF($A35="","",E35*I35)</f>
        <v/>
      </c>
      <c r="L35" s="36" t="n"/>
      <c r="M35" s="39">
        <f>IF($A35="","",K35*(1+N35))</f>
        <v/>
      </c>
      <c r="N35" s="26">
        <f>IF($A35="","",IF(L35="",IFERROR(VLOOKUP(H35,Settings!$A$22:$B$27,2,FALSE),0),L35))</f>
        <v/>
      </c>
      <c r="O35" s="9">
        <f>IF(AND($A35&lt;&gt;"",$A35=Proposal!$I$2),COUNTIF($A$5:$A35,Proposal!$I$2),"")</f>
        <v/>
      </c>
      <c r="P35" s="9">
        <f>IF($A35="","",IF(COUNTIF(Jobs!$A$5:$A$44,$A35)=0,"Unknown Job ID",IF(B35="","Missing cost code",IF(COUNTIF(Settings!$E$5:$E$28,B35)=0,"Unknown cost code",IF(AND(G35="",C35=""),"No unit cost",IF(E35="","Missing qty",""))))))</f>
        <v/>
      </c>
      <c r="Q35" s="35" t="n"/>
    </row>
    <row r="36">
      <c r="A36" s="35" t="n"/>
      <c r="B36" s="35" t="n"/>
      <c r="C36" s="35" t="n"/>
      <c r="D36" s="35" t="n"/>
      <c r="E36" s="35" t="n"/>
      <c r="F36" s="35" t="n"/>
      <c r="G36" s="37" t="n"/>
      <c r="H36" s="9">
        <f>IF(B36="","",IFERROR(VLOOKUP(B36,Settings!$E$5:$G$28,3,FALSE),"Other"))</f>
        <v/>
      </c>
      <c r="I36" s="39">
        <f>IF($A36="","",IF(G36&lt;&gt;"",G36,IFERROR(VLOOKUP(C36,'Cost Library'!$A$5:$D$204,4,FALSE),0)))</f>
        <v/>
      </c>
      <c r="J36" s="9">
        <f>IF($A36="","",IF(F36&lt;&gt;"",F36,IFERROR(VLOOKUP(C36,'Cost Library'!$A$5:$D$204,3,FALSE),"")))</f>
        <v/>
      </c>
      <c r="K36" s="39">
        <f>IF($A36="","",E36*I36)</f>
        <v/>
      </c>
      <c r="L36" s="36" t="n"/>
      <c r="M36" s="39">
        <f>IF($A36="","",K36*(1+N36))</f>
        <v/>
      </c>
      <c r="N36" s="26">
        <f>IF($A36="","",IF(L36="",IFERROR(VLOOKUP(H36,Settings!$A$22:$B$27,2,FALSE),0),L36))</f>
        <v/>
      </c>
      <c r="O36" s="9">
        <f>IF(AND($A36&lt;&gt;"",$A36=Proposal!$I$2),COUNTIF($A$5:$A36,Proposal!$I$2),"")</f>
        <v/>
      </c>
      <c r="P36" s="9">
        <f>IF($A36="","",IF(COUNTIF(Jobs!$A$5:$A$44,$A36)=0,"Unknown Job ID",IF(B36="","Missing cost code",IF(COUNTIF(Settings!$E$5:$E$28,B36)=0,"Unknown cost code",IF(AND(G36="",C36=""),"No unit cost",IF(E36="","Missing qty",""))))))</f>
        <v/>
      </c>
      <c r="Q36" s="35" t="n"/>
    </row>
    <row r="37">
      <c r="A37" s="35" t="n"/>
      <c r="B37" s="35" t="n"/>
      <c r="C37" s="35" t="n"/>
      <c r="D37" s="35" t="n"/>
      <c r="E37" s="35" t="n"/>
      <c r="F37" s="35" t="n"/>
      <c r="G37" s="37" t="n"/>
      <c r="H37" s="9">
        <f>IF(B37="","",IFERROR(VLOOKUP(B37,Settings!$E$5:$G$28,3,FALSE),"Other"))</f>
        <v/>
      </c>
      <c r="I37" s="39">
        <f>IF($A37="","",IF(G37&lt;&gt;"",G37,IFERROR(VLOOKUP(C37,'Cost Library'!$A$5:$D$204,4,FALSE),0)))</f>
        <v/>
      </c>
      <c r="J37" s="9">
        <f>IF($A37="","",IF(F37&lt;&gt;"",F37,IFERROR(VLOOKUP(C37,'Cost Library'!$A$5:$D$204,3,FALSE),"")))</f>
        <v/>
      </c>
      <c r="K37" s="39">
        <f>IF($A37="","",E37*I37)</f>
        <v/>
      </c>
      <c r="L37" s="36" t="n"/>
      <c r="M37" s="39">
        <f>IF($A37="","",K37*(1+N37))</f>
        <v/>
      </c>
      <c r="N37" s="26">
        <f>IF($A37="","",IF(L37="",IFERROR(VLOOKUP(H37,Settings!$A$22:$B$27,2,FALSE),0),L37))</f>
        <v/>
      </c>
      <c r="O37" s="9">
        <f>IF(AND($A37&lt;&gt;"",$A37=Proposal!$I$2),COUNTIF($A$5:$A37,Proposal!$I$2),"")</f>
        <v/>
      </c>
      <c r="P37" s="9">
        <f>IF($A37="","",IF(COUNTIF(Jobs!$A$5:$A$44,$A37)=0,"Unknown Job ID",IF(B37="","Missing cost code",IF(COUNTIF(Settings!$E$5:$E$28,B37)=0,"Unknown cost code",IF(AND(G37="",C37=""),"No unit cost",IF(E37="","Missing qty",""))))))</f>
        <v/>
      </c>
      <c r="Q37" s="35" t="n"/>
    </row>
    <row r="38">
      <c r="A38" s="35" t="n"/>
      <c r="B38" s="35" t="n"/>
      <c r="C38" s="35" t="n"/>
      <c r="D38" s="35" t="n"/>
      <c r="E38" s="35" t="n"/>
      <c r="F38" s="35" t="n"/>
      <c r="G38" s="37" t="n"/>
      <c r="H38" s="9">
        <f>IF(B38="","",IFERROR(VLOOKUP(B38,Settings!$E$5:$G$28,3,FALSE),"Other"))</f>
        <v/>
      </c>
      <c r="I38" s="39">
        <f>IF($A38="","",IF(G38&lt;&gt;"",G38,IFERROR(VLOOKUP(C38,'Cost Library'!$A$5:$D$204,4,FALSE),0)))</f>
        <v/>
      </c>
      <c r="J38" s="9">
        <f>IF($A38="","",IF(F38&lt;&gt;"",F38,IFERROR(VLOOKUP(C38,'Cost Library'!$A$5:$D$204,3,FALSE),"")))</f>
        <v/>
      </c>
      <c r="K38" s="39">
        <f>IF($A38="","",E38*I38)</f>
        <v/>
      </c>
      <c r="L38" s="36" t="n"/>
      <c r="M38" s="39">
        <f>IF($A38="","",K38*(1+N38))</f>
        <v/>
      </c>
      <c r="N38" s="26">
        <f>IF($A38="","",IF(L38="",IFERROR(VLOOKUP(H38,Settings!$A$22:$B$27,2,FALSE),0),L38))</f>
        <v/>
      </c>
      <c r="O38" s="9">
        <f>IF(AND($A38&lt;&gt;"",$A38=Proposal!$I$2),COUNTIF($A$5:$A38,Proposal!$I$2),"")</f>
        <v/>
      </c>
      <c r="P38" s="9">
        <f>IF($A38="","",IF(COUNTIF(Jobs!$A$5:$A$44,$A38)=0,"Unknown Job ID",IF(B38="","Missing cost code",IF(COUNTIF(Settings!$E$5:$E$28,B38)=0,"Unknown cost code",IF(AND(G38="",C38=""),"No unit cost",IF(E38="","Missing qty",""))))))</f>
        <v/>
      </c>
      <c r="Q38" s="35" t="n"/>
    </row>
    <row r="39">
      <c r="A39" s="35" t="n"/>
      <c r="B39" s="35" t="n"/>
      <c r="C39" s="35" t="n"/>
      <c r="D39" s="35" t="n"/>
      <c r="E39" s="35" t="n"/>
      <c r="F39" s="35" t="n"/>
      <c r="G39" s="37" t="n"/>
      <c r="H39" s="9">
        <f>IF(B39="","",IFERROR(VLOOKUP(B39,Settings!$E$5:$G$28,3,FALSE),"Other"))</f>
        <v/>
      </c>
      <c r="I39" s="39">
        <f>IF($A39="","",IF(G39&lt;&gt;"",G39,IFERROR(VLOOKUP(C39,'Cost Library'!$A$5:$D$204,4,FALSE),0)))</f>
        <v/>
      </c>
      <c r="J39" s="9">
        <f>IF($A39="","",IF(F39&lt;&gt;"",F39,IFERROR(VLOOKUP(C39,'Cost Library'!$A$5:$D$204,3,FALSE),"")))</f>
        <v/>
      </c>
      <c r="K39" s="39">
        <f>IF($A39="","",E39*I39)</f>
        <v/>
      </c>
      <c r="L39" s="36" t="n"/>
      <c r="M39" s="39">
        <f>IF($A39="","",K39*(1+N39))</f>
        <v/>
      </c>
      <c r="N39" s="26">
        <f>IF($A39="","",IF(L39="",IFERROR(VLOOKUP(H39,Settings!$A$22:$B$27,2,FALSE),0),L39))</f>
        <v/>
      </c>
      <c r="O39" s="9">
        <f>IF(AND($A39&lt;&gt;"",$A39=Proposal!$I$2),COUNTIF($A$5:$A39,Proposal!$I$2),"")</f>
        <v/>
      </c>
      <c r="P39" s="9">
        <f>IF($A39="","",IF(COUNTIF(Jobs!$A$5:$A$44,$A39)=0,"Unknown Job ID",IF(B39="","Missing cost code",IF(COUNTIF(Settings!$E$5:$E$28,B39)=0,"Unknown cost code",IF(AND(G39="",C39=""),"No unit cost",IF(E39="","Missing qty",""))))))</f>
        <v/>
      </c>
      <c r="Q39" s="35" t="n"/>
    </row>
    <row r="40">
      <c r="A40" s="35" t="n"/>
      <c r="B40" s="35" t="n"/>
      <c r="C40" s="35" t="n"/>
      <c r="D40" s="35" t="n"/>
      <c r="E40" s="35" t="n"/>
      <c r="F40" s="35" t="n"/>
      <c r="G40" s="37" t="n"/>
      <c r="H40" s="9">
        <f>IF(B40="","",IFERROR(VLOOKUP(B40,Settings!$E$5:$G$28,3,FALSE),"Other"))</f>
        <v/>
      </c>
      <c r="I40" s="39">
        <f>IF($A40="","",IF(G40&lt;&gt;"",G40,IFERROR(VLOOKUP(C40,'Cost Library'!$A$5:$D$204,4,FALSE),0)))</f>
        <v/>
      </c>
      <c r="J40" s="9">
        <f>IF($A40="","",IF(F40&lt;&gt;"",F40,IFERROR(VLOOKUP(C40,'Cost Library'!$A$5:$D$204,3,FALSE),"")))</f>
        <v/>
      </c>
      <c r="K40" s="39">
        <f>IF($A40="","",E40*I40)</f>
        <v/>
      </c>
      <c r="L40" s="36" t="n"/>
      <c r="M40" s="39">
        <f>IF($A40="","",K40*(1+N40))</f>
        <v/>
      </c>
      <c r="N40" s="26">
        <f>IF($A40="","",IF(L40="",IFERROR(VLOOKUP(H40,Settings!$A$22:$B$27,2,FALSE),0),L40))</f>
        <v/>
      </c>
      <c r="O40" s="9">
        <f>IF(AND($A40&lt;&gt;"",$A40=Proposal!$I$2),COUNTIF($A$5:$A40,Proposal!$I$2),"")</f>
        <v/>
      </c>
      <c r="P40" s="9">
        <f>IF($A40="","",IF(COUNTIF(Jobs!$A$5:$A$44,$A40)=0,"Unknown Job ID",IF(B40="","Missing cost code",IF(COUNTIF(Settings!$E$5:$E$28,B40)=0,"Unknown cost code",IF(AND(G40="",C40=""),"No unit cost",IF(E40="","Missing qty",""))))))</f>
        <v/>
      </c>
      <c r="Q40" s="35" t="n"/>
    </row>
    <row r="41">
      <c r="A41" s="35" t="n"/>
      <c r="B41" s="35" t="n"/>
      <c r="C41" s="35" t="n"/>
      <c r="D41" s="35" t="n"/>
      <c r="E41" s="35" t="n"/>
      <c r="F41" s="35" t="n"/>
      <c r="G41" s="37" t="n"/>
      <c r="H41" s="9">
        <f>IF(B41="","",IFERROR(VLOOKUP(B41,Settings!$E$5:$G$28,3,FALSE),"Other"))</f>
        <v/>
      </c>
      <c r="I41" s="39">
        <f>IF($A41="","",IF(G41&lt;&gt;"",G41,IFERROR(VLOOKUP(C41,'Cost Library'!$A$5:$D$204,4,FALSE),0)))</f>
        <v/>
      </c>
      <c r="J41" s="9">
        <f>IF($A41="","",IF(F41&lt;&gt;"",F41,IFERROR(VLOOKUP(C41,'Cost Library'!$A$5:$D$204,3,FALSE),"")))</f>
        <v/>
      </c>
      <c r="K41" s="39">
        <f>IF($A41="","",E41*I41)</f>
        <v/>
      </c>
      <c r="L41" s="36" t="n"/>
      <c r="M41" s="39">
        <f>IF($A41="","",K41*(1+N41))</f>
        <v/>
      </c>
      <c r="N41" s="26">
        <f>IF($A41="","",IF(L41="",IFERROR(VLOOKUP(H41,Settings!$A$22:$B$27,2,FALSE),0),L41))</f>
        <v/>
      </c>
      <c r="O41" s="9">
        <f>IF(AND($A41&lt;&gt;"",$A41=Proposal!$I$2),COUNTIF($A$5:$A41,Proposal!$I$2),"")</f>
        <v/>
      </c>
      <c r="P41" s="9">
        <f>IF($A41="","",IF(COUNTIF(Jobs!$A$5:$A$44,$A41)=0,"Unknown Job ID",IF(B41="","Missing cost code",IF(COUNTIF(Settings!$E$5:$E$28,B41)=0,"Unknown cost code",IF(AND(G41="",C41=""),"No unit cost",IF(E41="","Missing qty",""))))))</f>
        <v/>
      </c>
      <c r="Q41" s="35" t="n"/>
    </row>
    <row r="42">
      <c r="A42" s="35" t="n"/>
      <c r="B42" s="35" t="n"/>
      <c r="C42" s="35" t="n"/>
      <c r="D42" s="35" t="n"/>
      <c r="E42" s="35" t="n"/>
      <c r="F42" s="35" t="n"/>
      <c r="G42" s="37" t="n"/>
      <c r="H42" s="9">
        <f>IF(B42="","",IFERROR(VLOOKUP(B42,Settings!$E$5:$G$28,3,FALSE),"Other"))</f>
        <v/>
      </c>
      <c r="I42" s="39">
        <f>IF($A42="","",IF(G42&lt;&gt;"",G42,IFERROR(VLOOKUP(C42,'Cost Library'!$A$5:$D$204,4,FALSE),0)))</f>
        <v/>
      </c>
      <c r="J42" s="9">
        <f>IF($A42="","",IF(F42&lt;&gt;"",F42,IFERROR(VLOOKUP(C42,'Cost Library'!$A$5:$D$204,3,FALSE),"")))</f>
        <v/>
      </c>
      <c r="K42" s="39">
        <f>IF($A42="","",E42*I42)</f>
        <v/>
      </c>
      <c r="L42" s="36" t="n"/>
      <c r="M42" s="39">
        <f>IF($A42="","",K42*(1+N42))</f>
        <v/>
      </c>
      <c r="N42" s="26">
        <f>IF($A42="","",IF(L42="",IFERROR(VLOOKUP(H42,Settings!$A$22:$B$27,2,FALSE),0),L42))</f>
        <v/>
      </c>
      <c r="O42" s="9">
        <f>IF(AND($A42&lt;&gt;"",$A42=Proposal!$I$2),COUNTIF($A$5:$A42,Proposal!$I$2),"")</f>
        <v/>
      </c>
      <c r="P42" s="9">
        <f>IF($A42="","",IF(COUNTIF(Jobs!$A$5:$A$44,$A42)=0,"Unknown Job ID",IF(B42="","Missing cost code",IF(COUNTIF(Settings!$E$5:$E$28,B42)=0,"Unknown cost code",IF(AND(G42="",C42=""),"No unit cost",IF(E42="","Missing qty",""))))))</f>
        <v/>
      </c>
      <c r="Q42" s="35" t="n"/>
    </row>
    <row r="43">
      <c r="A43" s="35" t="n"/>
      <c r="B43" s="35" t="n"/>
      <c r="C43" s="35" t="n"/>
      <c r="D43" s="35" t="n"/>
      <c r="E43" s="35" t="n"/>
      <c r="F43" s="35" t="n"/>
      <c r="G43" s="37" t="n"/>
      <c r="H43" s="9">
        <f>IF(B43="","",IFERROR(VLOOKUP(B43,Settings!$E$5:$G$28,3,FALSE),"Other"))</f>
        <v/>
      </c>
      <c r="I43" s="39">
        <f>IF($A43="","",IF(G43&lt;&gt;"",G43,IFERROR(VLOOKUP(C43,'Cost Library'!$A$5:$D$204,4,FALSE),0)))</f>
        <v/>
      </c>
      <c r="J43" s="9">
        <f>IF($A43="","",IF(F43&lt;&gt;"",F43,IFERROR(VLOOKUP(C43,'Cost Library'!$A$5:$D$204,3,FALSE),"")))</f>
        <v/>
      </c>
      <c r="K43" s="39">
        <f>IF($A43="","",E43*I43)</f>
        <v/>
      </c>
      <c r="L43" s="36" t="n"/>
      <c r="M43" s="39">
        <f>IF($A43="","",K43*(1+N43))</f>
        <v/>
      </c>
      <c r="N43" s="26">
        <f>IF($A43="","",IF(L43="",IFERROR(VLOOKUP(H43,Settings!$A$22:$B$27,2,FALSE),0),L43))</f>
        <v/>
      </c>
      <c r="O43" s="9">
        <f>IF(AND($A43&lt;&gt;"",$A43=Proposal!$I$2),COUNTIF($A$5:$A43,Proposal!$I$2),"")</f>
        <v/>
      </c>
      <c r="P43" s="9">
        <f>IF($A43="","",IF(COUNTIF(Jobs!$A$5:$A$44,$A43)=0,"Unknown Job ID",IF(B43="","Missing cost code",IF(COUNTIF(Settings!$E$5:$E$28,B43)=0,"Unknown cost code",IF(AND(G43="",C43=""),"No unit cost",IF(E43="","Missing qty",""))))))</f>
        <v/>
      </c>
      <c r="Q43" s="35" t="n"/>
    </row>
    <row r="44">
      <c r="A44" s="35" t="n"/>
      <c r="B44" s="35" t="n"/>
      <c r="C44" s="35" t="n"/>
      <c r="D44" s="35" t="n"/>
      <c r="E44" s="35" t="n"/>
      <c r="F44" s="35" t="n"/>
      <c r="G44" s="37" t="n"/>
      <c r="H44" s="9">
        <f>IF(B44="","",IFERROR(VLOOKUP(B44,Settings!$E$5:$G$28,3,FALSE),"Other"))</f>
        <v/>
      </c>
      <c r="I44" s="39">
        <f>IF($A44="","",IF(G44&lt;&gt;"",G44,IFERROR(VLOOKUP(C44,'Cost Library'!$A$5:$D$204,4,FALSE),0)))</f>
        <v/>
      </c>
      <c r="J44" s="9">
        <f>IF($A44="","",IF(F44&lt;&gt;"",F44,IFERROR(VLOOKUP(C44,'Cost Library'!$A$5:$D$204,3,FALSE),"")))</f>
        <v/>
      </c>
      <c r="K44" s="39">
        <f>IF($A44="","",E44*I44)</f>
        <v/>
      </c>
      <c r="L44" s="36" t="n"/>
      <c r="M44" s="39">
        <f>IF($A44="","",K44*(1+N44))</f>
        <v/>
      </c>
      <c r="N44" s="26">
        <f>IF($A44="","",IF(L44="",IFERROR(VLOOKUP(H44,Settings!$A$22:$B$27,2,FALSE),0),L44))</f>
        <v/>
      </c>
      <c r="O44" s="9">
        <f>IF(AND($A44&lt;&gt;"",$A44=Proposal!$I$2),COUNTIF($A$5:$A44,Proposal!$I$2),"")</f>
        <v/>
      </c>
      <c r="P44" s="9">
        <f>IF($A44="","",IF(COUNTIF(Jobs!$A$5:$A$44,$A44)=0,"Unknown Job ID",IF(B44="","Missing cost code",IF(COUNTIF(Settings!$E$5:$E$28,B44)=0,"Unknown cost code",IF(AND(G44="",C44=""),"No unit cost",IF(E44="","Missing qty",""))))))</f>
        <v/>
      </c>
      <c r="Q44" s="35" t="n"/>
    </row>
    <row r="45">
      <c r="A45" s="35" t="n"/>
      <c r="B45" s="35" t="n"/>
      <c r="C45" s="35" t="n"/>
      <c r="D45" s="35" t="n"/>
      <c r="E45" s="35" t="n"/>
      <c r="F45" s="35" t="n"/>
      <c r="G45" s="37" t="n"/>
      <c r="H45" s="9">
        <f>IF(B45="","",IFERROR(VLOOKUP(B45,Settings!$E$5:$G$28,3,FALSE),"Other"))</f>
        <v/>
      </c>
      <c r="I45" s="39">
        <f>IF($A45="","",IF(G45&lt;&gt;"",G45,IFERROR(VLOOKUP(C45,'Cost Library'!$A$5:$D$204,4,FALSE),0)))</f>
        <v/>
      </c>
      <c r="J45" s="9">
        <f>IF($A45="","",IF(F45&lt;&gt;"",F45,IFERROR(VLOOKUP(C45,'Cost Library'!$A$5:$D$204,3,FALSE),"")))</f>
        <v/>
      </c>
      <c r="K45" s="39">
        <f>IF($A45="","",E45*I45)</f>
        <v/>
      </c>
      <c r="L45" s="36" t="n"/>
      <c r="M45" s="39">
        <f>IF($A45="","",K45*(1+N45))</f>
        <v/>
      </c>
      <c r="N45" s="26">
        <f>IF($A45="","",IF(L45="",IFERROR(VLOOKUP(H45,Settings!$A$22:$B$27,2,FALSE),0),L45))</f>
        <v/>
      </c>
      <c r="O45" s="9">
        <f>IF(AND($A45&lt;&gt;"",$A45=Proposal!$I$2),COUNTIF($A$5:$A45,Proposal!$I$2),"")</f>
        <v/>
      </c>
      <c r="P45" s="9">
        <f>IF($A45="","",IF(COUNTIF(Jobs!$A$5:$A$44,$A45)=0,"Unknown Job ID",IF(B45="","Missing cost code",IF(COUNTIF(Settings!$E$5:$E$28,B45)=0,"Unknown cost code",IF(AND(G45="",C45=""),"No unit cost",IF(E45="","Missing qty",""))))))</f>
        <v/>
      </c>
      <c r="Q45" s="35" t="n"/>
    </row>
    <row r="46">
      <c r="A46" s="35" t="n"/>
      <c r="B46" s="35" t="n"/>
      <c r="C46" s="35" t="n"/>
      <c r="D46" s="35" t="n"/>
      <c r="E46" s="35" t="n"/>
      <c r="F46" s="35" t="n"/>
      <c r="G46" s="37" t="n"/>
      <c r="H46" s="9">
        <f>IF(B46="","",IFERROR(VLOOKUP(B46,Settings!$E$5:$G$28,3,FALSE),"Other"))</f>
        <v/>
      </c>
      <c r="I46" s="39">
        <f>IF($A46="","",IF(G46&lt;&gt;"",G46,IFERROR(VLOOKUP(C46,'Cost Library'!$A$5:$D$204,4,FALSE),0)))</f>
        <v/>
      </c>
      <c r="J46" s="9">
        <f>IF($A46="","",IF(F46&lt;&gt;"",F46,IFERROR(VLOOKUP(C46,'Cost Library'!$A$5:$D$204,3,FALSE),"")))</f>
        <v/>
      </c>
      <c r="K46" s="39">
        <f>IF($A46="","",E46*I46)</f>
        <v/>
      </c>
      <c r="L46" s="36" t="n"/>
      <c r="M46" s="39">
        <f>IF($A46="","",K46*(1+N46))</f>
        <v/>
      </c>
      <c r="N46" s="26">
        <f>IF($A46="","",IF(L46="",IFERROR(VLOOKUP(H46,Settings!$A$22:$B$27,2,FALSE),0),L46))</f>
        <v/>
      </c>
      <c r="O46" s="9">
        <f>IF(AND($A46&lt;&gt;"",$A46=Proposal!$I$2),COUNTIF($A$5:$A46,Proposal!$I$2),"")</f>
        <v/>
      </c>
      <c r="P46" s="9">
        <f>IF($A46="","",IF(COUNTIF(Jobs!$A$5:$A$44,$A46)=0,"Unknown Job ID",IF(B46="","Missing cost code",IF(COUNTIF(Settings!$E$5:$E$28,B46)=0,"Unknown cost code",IF(AND(G46="",C46=""),"No unit cost",IF(E46="","Missing qty",""))))))</f>
        <v/>
      </c>
      <c r="Q46" s="35" t="n"/>
    </row>
    <row r="47">
      <c r="A47" s="35" t="n"/>
      <c r="B47" s="35" t="n"/>
      <c r="C47" s="35" t="n"/>
      <c r="D47" s="35" t="n"/>
      <c r="E47" s="35" t="n"/>
      <c r="F47" s="35" t="n"/>
      <c r="G47" s="37" t="n"/>
      <c r="H47" s="9">
        <f>IF(B47="","",IFERROR(VLOOKUP(B47,Settings!$E$5:$G$28,3,FALSE),"Other"))</f>
        <v/>
      </c>
      <c r="I47" s="39">
        <f>IF($A47="","",IF(G47&lt;&gt;"",G47,IFERROR(VLOOKUP(C47,'Cost Library'!$A$5:$D$204,4,FALSE),0)))</f>
        <v/>
      </c>
      <c r="J47" s="9">
        <f>IF($A47="","",IF(F47&lt;&gt;"",F47,IFERROR(VLOOKUP(C47,'Cost Library'!$A$5:$D$204,3,FALSE),"")))</f>
        <v/>
      </c>
      <c r="K47" s="39">
        <f>IF($A47="","",E47*I47)</f>
        <v/>
      </c>
      <c r="L47" s="36" t="n"/>
      <c r="M47" s="39">
        <f>IF($A47="","",K47*(1+N47))</f>
        <v/>
      </c>
      <c r="N47" s="26">
        <f>IF($A47="","",IF(L47="",IFERROR(VLOOKUP(H47,Settings!$A$22:$B$27,2,FALSE),0),L47))</f>
        <v/>
      </c>
      <c r="O47" s="9">
        <f>IF(AND($A47&lt;&gt;"",$A47=Proposal!$I$2),COUNTIF($A$5:$A47,Proposal!$I$2),"")</f>
        <v/>
      </c>
      <c r="P47" s="9">
        <f>IF($A47="","",IF(COUNTIF(Jobs!$A$5:$A$44,$A47)=0,"Unknown Job ID",IF(B47="","Missing cost code",IF(COUNTIF(Settings!$E$5:$E$28,B47)=0,"Unknown cost code",IF(AND(G47="",C47=""),"No unit cost",IF(E47="","Missing qty",""))))))</f>
        <v/>
      </c>
      <c r="Q47" s="35" t="n"/>
    </row>
    <row r="48">
      <c r="A48" s="35" t="n"/>
      <c r="B48" s="35" t="n"/>
      <c r="C48" s="35" t="n"/>
      <c r="D48" s="35" t="n"/>
      <c r="E48" s="35" t="n"/>
      <c r="F48" s="35" t="n"/>
      <c r="G48" s="37" t="n"/>
      <c r="H48" s="9">
        <f>IF(B48="","",IFERROR(VLOOKUP(B48,Settings!$E$5:$G$28,3,FALSE),"Other"))</f>
        <v/>
      </c>
      <c r="I48" s="39">
        <f>IF($A48="","",IF(G48&lt;&gt;"",G48,IFERROR(VLOOKUP(C48,'Cost Library'!$A$5:$D$204,4,FALSE),0)))</f>
        <v/>
      </c>
      <c r="J48" s="9">
        <f>IF($A48="","",IF(F48&lt;&gt;"",F48,IFERROR(VLOOKUP(C48,'Cost Library'!$A$5:$D$204,3,FALSE),"")))</f>
        <v/>
      </c>
      <c r="K48" s="39">
        <f>IF($A48="","",E48*I48)</f>
        <v/>
      </c>
      <c r="L48" s="36" t="n"/>
      <c r="M48" s="39">
        <f>IF($A48="","",K48*(1+N48))</f>
        <v/>
      </c>
      <c r="N48" s="26">
        <f>IF($A48="","",IF(L48="",IFERROR(VLOOKUP(H48,Settings!$A$22:$B$27,2,FALSE),0),L48))</f>
        <v/>
      </c>
      <c r="O48" s="9">
        <f>IF(AND($A48&lt;&gt;"",$A48=Proposal!$I$2),COUNTIF($A$5:$A48,Proposal!$I$2),"")</f>
        <v/>
      </c>
      <c r="P48" s="9">
        <f>IF($A48="","",IF(COUNTIF(Jobs!$A$5:$A$44,$A48)=0,"Unknown Job ID",IF(B48="","Missing cost code",IF(COUNTIF(Settings!$E$5:$E$28,B48)=0,"Unknown cost code",IF(AND(G48="",C48=""),"No unit cost",IF(E48="","Missing qty",""))))))</f>
        <v/>
      </c>
      <c r="Q48" s="35" t="n"/>
    </row>
    <row r="49">
      <c r="A49" s="35" t="n"/>
      <c r="B49" s="35" t="n"/>
      <c r="C49" s="35" t="n"/>
      <c r="D49" s="35" t="n"/>
      <c r="E49" s="35" t="n"/>
      <c r="F49" s="35" t="n"/>
      <c r="G49" s="37" t="n"/>
      <c r="H49" s="9">
        <f>IF(B49="","",IFERROR(VLOOKUP(B49,Settings!$E$5:$G$28,3,FALSE),"Other"))</f>
        <v/>
      </c>
      <c r="I49" s="39">
        <f>IF($A49="","",IF(G49&lt;&gt;"",G49,IFERROR(VLOOKUP(C49,'Cost Library'!$A$5:$D$204,4,FALSE),0)))</f>
        <v/>
      </c>
      <c r="J49" s="9">
        <f>IF($A49="","",IF(F49&lt;&gt;"",F49,IFERROR(VLOOKUP(C49,'Cost Library'!$A$5:$D$204,3,FALSE),"")))</f>
        <v/>
      </c>
      <c r="K49" s="39">
        <f>IF($A49="","",E49*I49)</f>
        <v/>
      </c>
      <c r="L49" s="36" t="n"/>
      <c r="M49" s="39">
        <f>IF($A49="","",K49*(1+N49))</f>
        <v/>
      </c>
      <c r="N49" s="26">
        <f>IF($A49="","",IF(L49="",IFERROR(VLOOKUP(H49,Settings!$A$22:$B$27,2,FALSE),0),L49))</f>
        <v/>
      </c>
      <c r="O49" s="9">
        <f>IF(AND($A49&lt;&gt;"",$A49=Proposal!$I$2),COUNTIF($A$5:$A49,Proposal!$I$2),"")</f>
        <v/>
      </c>
      <c r="P49" s="9">
        <f>IF($A49="","",IF(COUNTIF(Jobs!$A$5:$A$44,$A49)=0,"Unknown Job ID",IF(B49="","Missing cost code",IF(COUNTIF(Settings!$E$5:$E$28,B49)=0,"Unknown cost code",IF(AND(G49="",C49=""),"No unit cost",IF(E49="","Missing qty",""))))))</f>
        <v/>
      </c>
      <c r="Q49" s="35" t="n"/>
    </row>
    <row r="50">
      <c r="A50" s="35" t="n"/>
      <c r="B50" s="35" t="n"/>
      <c r="C50" s="35" t="n"/>
      <c r="D50" s="35" t="n"/>
      <c r="E50" s="35" t="n"/>
      <c r="F50" s="35" t="n"/>
      <c r="G50" s="37" t="n"/>
      <c r="H50" s="9">
        <f>IF(B50="","",IFERROR(VLOOKUP(B50,Settings!$E$5:$G$28,3,FALSE),"Other"))</f>
        <v/>
      </c>
      <c r="I50" s="39">
        <f>IF($A50="","",IF(G50&lt;&gt;"",G50,IFERROR(VLOOKUP(C50,'Cost Library'!$A$5:$D$204,4,FALSE),0)))</f>
        <v/>
      </c>
      <c r="J50" s="9">
        <f>IF($A50="","",IF(F50&lt;&gt;"",F50,IFERROR(VLOOKUP(C50,'Cost Library'!$A$5:$D$204,3,FALSE),"")))</f>
        <v/>
      </c>
      <c r="K50" s="39">
        <f>IF($A50="","",E50*I50)</f>
        <v/>
      </c>
      <c r="L50" s="36" t="n"/>
      <c r="M50" s="39">
        <f>IF($A50="","",K50*(1+N50))</f>
        <v/>
      </c>
      <c r="N50" s="26">
        <f>IF($A50="","",IF(L50="",IFERROR(VLOOKUP(H50,Settings!$A$22:$B$27,2,FALSE),0),L50))</f>
        <v/>
      </c>
      <c r="O50" s="9">
        <f>IF(AND($A50&lt;&gt;"",$A50=Proposal!$I$2),COUNTIF($A$5:$A50,Proposal!$I$2),"")</f>
        <v/>
      </c>
      <c r="P50" s="9">
        <f>IF($A50="","",IF(COUNTIF(Jobs!$A$5:$A$44,$A50)=0,"Unknown Job ID",IF(B50="","Missing cost code",IF(COUNTIF(Settings!$E$5:$E$28,B50)=0,"Unknown cost code",IF(AND(G50="",C50=""),"No unit cost",IF(E50="","Missing qty",""))))))</f>
        <v/>
      </c>
      <c r="Q50" s="35" t="n"/>
    </row>
    <row r="51">
      <c r="A51" s="35" t="n"/>
      <c r="B51" s="35" t="n"/>
      <c r="C51" s="35" t="n"/>
      <c r="D51" s="35" t="n"/>
      <c r="E51" s="35" t="n"/>
      <c r="F51" s="35" t="n"/>
      <c r="G51" s="37" t="n"/>
      <c r="H51" s="9">
        <f>IF(B51="","",IFERROR(VLOOKUP(B51,Settings!$E$5:$G$28,3,FALSE),"Other"))</f>
        <v/>
      </c>
      <c r="I51" s="39">
        <f>IF($A51="","",IF(G51&lt;&gt;"",G51,IFERROR(VLOOKUP(C51,'Cost Library'!$A$5:$D$204,4,FALSE),0)))</f>
        <v/>
      </c>
      <c r="J51" s="9">
        <f>IF($A51="","",IF(F51&lt;&gt;"",F51,IFERROR(VLOOKUP(C51,'Cost Library'!$A$5:$D$204,3,FALSE),"")))</f>
        <v/>
      </c>
      <c r="K51" s="39">
        <f>IF($A51="","",E51*I51)</f>
        <v/>
      </c>
      <c r="L51" s="36" t="n"/>
      <c r="M51" s="39">
        <f>IF($A51="","",K51*(1+N51))</f>
        <v/>
      </c>
      <c r="N51" s="26">
        <f>IF($A51="","",IF(L51="",IFERROR(VLOOKUP(H51,Settings!$A$22:$B$27,2,FALSE),0),L51))</f>
        <v/>
      </c>
      <c r="O51" s="9">
        <f>IF(AND($A51&lt;&gt;"",$A51=Proposal!$I$2),COUNTIF($A$5:$A51,Proposal!$I$2),"")</f>
        <v/>
      </c>
      <c r="P51" s="9">
        <f>IF($A51="","",IF(COUNTIF(Jobs!$A$5:$A$44,$A51)=0,"Unknown Job ID",IF(B51="","Missing cost code",IF(COUNTIF(Settings!$E$5:$E$28,B51)=0,"Unknown cost code",IF(AND(G51="",C51=""),"No unit cost",IF(E51="","Missing qty",""))))))</f>
        <v/>
      </c>
      <c r="Q51" s="35" t="n"/>
    </row>
    <row r="52">
      <c r="A52" s="35" t="n"/>
      <c r="B52" s="35" t="n"/>
      <c r="C52" s="35" t="n"/>
      <c r="D52" s="35" t="n"/>
      <c r="E52" s="35" t="n"/>
      <c r="F52" s="35" t="n"/>
      <c r="G52" s="37" t="n"/>
      <c r="H52" s="9">
        <f>IF(B52="","",IFERROR(VLOOKUP(B52,Settings!$E$5:$G$28,3,FALSE),"Other"))</f>
        <v/>
      </c>
      <c r="I52" s="39">
        <f>IF($A52="","",IF(G52&lt;&gt;"",G52,IFERROR(VLOOKUP(C52,'Cost Library'!$A$5:$D$204,4,FALSE),0)))</f>
        <v/>
      </c>
      <c r="J52" s="9">
        <f>IF($A52="","",IF(F52&lt;&gt;"",F52,IFERROR(VLOOKUP(C52,'Cost Library'!$A$5:$D$204,3,FALSE),"")))</f>
        <v/>
      </c>
      <c r="K52" s="39">
        <f>IF($A52="","",E52*I52)</f>
        <v/>
      </c>
      <c r="L52" s="36" t="n"/>
      <c r="M52" s="39">
        <f>IF($A52="","",K52*(1+N52))</f>
        <v/>
      </c>
      <c r="N52" s="26">
        <f>IF($A52="","",IF(L52="",IFERROR(VLOOKUP(H52,Settings!$A$22:$B$27,2,FALSE),0),L52))</f>
        <v/>
      </c>
      <c r="O52" s="9">
        <f>IF(AND($A52&lt;&gt;"",$A52=Proposal!$I$2),COUNTIF($A$5:$A52,Proposal!$I$2),"")</f>
        <v/>
      </c>
      <c r="P52" s="9">
        <f>IF($A52="","",IF(COUNTIF(Jobs!$A$5:$A$44,$A52)=0,"Unknown Job ID",IF(B52="","Missing cost code",IF(COUNTIF(Settings!$E$5:$E$28,B52)=0,"Unknown cost code",IF(AND(G52="",C52=""),"No unit cost",IF(E52="","Missing qty",""))))))</f>
        <v/>
      </c>
      <c r="Q52" s="35" t="n"/>
    </row>
    <row r="53">
      <c r="A53" s="35" t="n"/>
      <c r="B53" s="35" t="n"/>
      <c r="C53" s="35" t="n"/>
      <c r="D53" s="35" t="n"/>
      <c r="E53" s="35" t="n"/>
      <c r="F53" s="35" t="n"/>
      <c r="G53" s="37" t="n"/>
      <c r="H53" s="9">
        <f>IF(B53="","",IFERROR(VLOOKUP(B53,Settings!$E$5:$G$28,3,FALSE),"Other"))</f>
        <v/>
      </c>
      <c r="I53" s="39">
        <f>IF($A53="","",IF(G53&lt;&gt;"",G53,IFERROR(VLOOKUP(C53,'Cost Library'!$A$5:$D$204,4,FALSE),0)))</f>
        <v/>
      </c>
      <c r="J53" s="9">
        <f>IF($A53="","",IF(F53&lt;&gt;"",F53,IFERROR(VLOOKUP(C53,'Cost Library'!$A$5:$D$204,3,FALSE),"")))</f>
        <v/>
      </c>
      <c r="K53" s="39">
        <f>IF($A53="","",E53*I53)</f>
        <v/>
      </c>
      <c r="L53" s="36" t="n"/>
      <c r="M53" s="39">
        <f>IF($A53="","",K53*(1+N53))</f>
        <v/>
      </c>
      <c r="N53" s="26">
        <f>IF($A53="","",IF(L53="",IFERROR(VLOOKUP(H53,Settings!$A$22:$B$27,2,FALSE),0),L53))</f>
        <v/>
      </c>
      <c r="O53" s="9">
        <f>IF(AND($A53&lt;&gt;"",$A53=Proposal!$I$2),COUNTIF($A$5:$A53,Proposal!$I$2),"")</f>
        <v/>
      </c>
      <c r="P53" s="9">
        <f>IF($A53="","",IF(COUNTIF(Jobs!$A$5:$A$44,$A53)=0,"Unknown Job ID",IF(B53="","Missing cost code",IF(COUNTIF(Settings!$E$5:$E$28,B53)=0,"Unknown cost code",IF(AND(G53="",C53=""),"No unit cost",IF(E53="","Missing qty",""))))))</f>
        <v/>
      </c>
      <c r="Q53" s="35" t="n"/>
    </row>
    <row r="54">
      <c r="A54" s="35" t="n"/>
      <c r="B54" s="35" t="n"/>
      <c r="C54" s="35" t="n"/>
      <c r="D54" s="35" t="n"/>
      <c r="E54" s="35" t="n"/>
      <c r="F54" s="35" t="n"/>
      <c r="G54" s="37" t="n"/>
      <c r="H54" s="9">
        <f>IF(B54="","",IFERROR(VLOOKUP(B54,Settings!$E$5:$G$28,3,FALSE),"Other"))</f>
        <v/>
      </c>
      <c r="I54" s="39">
        <f>IF($A54="","",IF(G54&lt;&gt;"",G54,IFERROR(VLOOKUP(C54,'Cost Library'!$A$5:$D$204,4,FALSE),0)))</f>
        <v/>
      </c>
      <c r="J54" s="9">
        <f>IF($A54="","",IF(F54&lt;&gt;"",F54,IFERROR(VLOOKUP(C54,'Cost Library'!$A$5:$D$204,3,FALSE),"")))</f>
        <v/>
      </c>
      <c r="K54" s="39">
        <f>IF($A54="","",E54*I54)</f>
        <v/>
      </c>
      <c r="L54" s="36" t="n"/>
      <c r="M54" s="39">
        <f>IF($A54="","",K54*(1+N54))</f>
        <v/>
      </c>
      <c r="N54" s="26">
        <f>IF($A54="","",IF(L54="",IFERROR(VLOOKUP(H54,Settings!$A$22:$B$27,2,FALSE),0),L54))</f>
        <v/>
      </c>
      <c r="O54" s="9">
        <f>IF(AND($A54&lt;&gt;"",$A54=Proposal!$I$2),COUNTIF($A$5:$A54,Proposal!$I$2),"")</f>
        <v/>
      </c>
      <c r="P54" s="9">
        <f>IF($A54="","",IF(COUNTIF(Jobs!$A$5:$A$44,$A54)=0,"Unknown Job ID",IF(B54="","Missing cost code",IF(COUNTIF(Settings!$E$5:$E$28,B54)=0,"Unknown cost code",IF(AND(G54="",C54=""),"No unit cost",IF(E54="","Missing qty",""))))))</f>
        <v/>
      </c>
      <c r="Q54" s="35" t="n"/>
    </row>
    <row r="55">
      <c r="A55" s="35" t="n"/>
      <c r="B55" s="35" t="n"/>
      <c r="C55" s="35" t="n"/>
      <c r="D55" s="35" t="n"/>
      <c r="E55" s="35" t="n"/>
      <c r="F55" s="35" t="n"/>
      <c r="G55" s="37" t="n"/>
      <c r="H55" s="9">
        <f>IF(B55="","",IFERROR(VLOOKUP(B55,Settings!$E$5:$G$28,3,FALSE),"Other"))</f>
        <v/>
      </c>
      <c r="I55" s="39">
        <f>IF($A55="","",IF(G55&lt;&gt;"",G55,IFERROR(VLOOKUP(C55,'Cost Library'!$A$5:$D$204,4,FALSE),0)))</f>
        <v/>
      </c>
      <c r="J55" s="9">
        <f>IF($A55="","",IF(F55&lt;&gt;"",F55,IFERROR(VLOOKUP(C55,'Cost Library'!$A$5:$D$204,3,FALSE),"")))</f>
        <v/>
      </c>
      <c r="K55" s="39">
        <f>IF($A55="","",E55*I55)</f>
        <v/>
      </c>
      <c r="L55" s="36" t="n"/>
      <c r="M55" s="39">
        <f>IF($A55="","",K55*(1+N55))</f>
        <v/>
      </c>
      <c r="N55" s="26">
        <f>IF($A55="","",IF(L55="",IFERROR(VLOOKUP(H55,Settings!$A$22:$B$27,2,FALSE),0),L55))</f>
        <v/>
      </c>
      <c r="O55" s="9">
        <f>IF(AND($A55&lt;&gt;"",$A55=Proposal!$I$2),COUNTIF($A$5:$A55,Proposal!$I$2),"")</f>
        <v/>
      </c>
      <c r="P55" s="9">
        <f>IF($A55="","",IF(COUNTIF(Jobs!$A$5:$A$44,$A55)=0,"Unknown Job ID",IF(B55="","Missing cost code",IF(COUNTIF(Settings!$E$5:$E$28,B55)=0,"Unknown cost code",IF(AND(G55="",C55=""),"No unit cost",IF(E55="","Missing qty",""))))))</f>
        <v/>
      </c>
      <c r="Q55" s="35" t="n"/>
    </row>
    <row r="56">
      <c r="A56" s="35" t="n"/>
      <c r="B56" s="35" t="n"/>
      <c r="C56" s="35" t="n"/>
      <c r="D56" s="35" t="n"/>
      <c r="E56" s="35" t="n"/>
      <c r="F56" s="35" t="n"/>
      <c r="G56" s="37" t="n"/>
      <c r="H56" s="9">
        <f>IF(B56="","",IFERROR(VLOOKUP(B56,Settings!$E$5:$G$28,3,FALSE),"Other"))</f>
        <v/>
      </c>
      <c r="I56" s="39">
        <f>IF($A56="","",IF(G56&lt;&gt;"",G56,IFERROR(VLOOKUP(C56,'Cost Library'!$A$5:$D$204,4,FALSE),0)))</f>
        <v/>
      </c>
      <c r="J56" s="9">
        <f>IF($A56="","",IF(F56&lt;&gt;"",F56,IFERROR(VLOOKUP(C56,'Cost Library'!$A$5:$D$204,3,FALSE),"")))</f>
        <v/>
      </c>
      <c r="K56" s="39">
        <f>IF($A56="","",E56*I56)</f>
        <v/>
      </c>
      <c r="L56" s="36" t="n"/>
      <c r="M56" s="39">
        <f>IF($A56="","",K56*(1+N56))</f>
        <v/>
      </c>
      <c r="N56" s="26">
        <f>IF($A56="","",IF(L56="",IFERROR(VLOOKUP(H56,Settings!$A$22:$B$27,2,FALSE),0),L56))</f>
        <v/>
      </c>
      <c r="O56" s="9">
        <f>IF(AND($A56&lt;&gt;"",$A56=Proposal!$I$2),COUNTIF($A$5:$A56,Proposal!$I$2),"")</f>
        <v/>
      </c>
      <c r="P56" s="9">
        <f>IF($A56="","",IF(COUNTIF(Jobs!$A$5:$A$44,$A56)=0,"Unknown Job ID",IF(B56="","Missing cost code",IF(COUNTIF(Settings!$E$5:$E$28,B56)=0,"Unknown cost code",IF(AND(G56="",C56=""),"No unit cost",IF(E56="","Missing qty",""))))))</f>
        <v/>
      </c>
      <c r="Q56" s="35" t="n"/>
    </row>
    <row r="57">
      <c r="A57" s="35" t="n"/>
      <c r="B57" s="35" t="n"/>
      <c r="C57" s="35" t="n"/>
      <c r="D57" s="35" t="n"/>
      <c r="E57" s="35" t="n"/>
      <c r="F57" s="35" t="n"/>
      <c r="G57" s="37" t="n"/>
      <c r="H57" s="9">
        <f>IF(B57="","",IFERROR(VLOOKUP(B57,Settings!$E$5:$G$28,3,FALSE),"Other"))</f>
        <v/>
      </c>
      <c r="I57" s="39">
        <f>IF($A57="","",IF(G57&lt;&gt;"",G57,IFERROR(VLOOKUP(C57,'Cost Library'!$A$5:$D$204,4,FALSE),0)))</f>
        <v/>
      </c>
      <c r="J57" s="9">
        <f>IF($A57="","",IF(F57&lt;&gt;"",F57,IFERROR(VLOOKUP(C57,'Cost Library'!$A$5:$D$204,3,FALSE),"")))</f>
        <v/>
      </c>
      <c r="K57" s="39">
        <f>IF($A57="","",E57*I57)</f>
        <v/>
      </c>
      <c r="L57" s="36" t="n"/>
      <c r="M57" s="39">
        <f>IF($A57="","",K57*(1+N57))</f>
        <v/>
      </c>
      <c r="N57" s="26">
        <f>IF($A57="","",IF(L57="",IFERROR(VLOOKUP(H57,Settings!$A$22:$B$27,2,FALSE),0),L57))</f>
        <v/>
      </c>
      <c r="O57" s="9">
        <f>IF(AND($A57&lt;&gt;"",$A57=Proposal!$I$2),COUNTIF($A$5:$A57,Proposal!$I$2),"")</f>
        <v/>
      </c>
      <c r="P57" s="9">
        <f>IF($A57="","",IF(COUNTIF(Jobs!$A$5:$A$44,$A57)=0,"Unknown Job ID",IF(B57="","Missing cost code",IF(COUNTIF(Settings!$E$5:$E$28,B57)=0,"Unknown cost code",IF(AND(G57="",C57=""),"No unit cost",IF(E57="","Missing qty",""))))))</f>
        <v/>
      </c>
      <c r="Q57" s="35" t="n"/>
    </row>
    <row r="58">
      <c r="A58" s="35" t="n"/>
      <c r="B58" s="35" t="n"/>
      <c r="C58" s="35" t="n"/>
      <c r="D58" s="35" t="n"/>
      <c r="E58" s="35" t="n"/>
      <c r="F58" s="35" t="n"/>
      <c r="G58" s="37" t="n"/>
      <c r="H58" s="9">
        <f>IF(B58="","",IFERROR(VLOOKUP(B58,Settings!$E$5:$G$28,3,FALSE),"Other"))</f>
        <v/>
      </c>
      <c r="I58" s="39">
        <f>IF($A58="","",IF(G58&lt;&gt;"",G58,IFERROR(VLOOKUP(C58,'Cost Library'!$A$5:$D$204,4,FALSE),0)))</f>
        <v/>
      </c>
      <c r="J58" s="9">
        <f>IF($A58="","",IF(F58&lt;&gt;"",F58,IFERROR(VLOOKUP(C58,'Cost Library'!$A$5:$D$204,3,FALSE),"")))</f>
        <v/>
      </c>
      <c r="K58" s="39">
        <f>IF($A58="","",E58*I58)</f>
        <v/>
      </c>
      <c r="L58" s="36" t="n"/>
      <c r="M58" s="39">
        <f>IF($A58="","",K58*(1+N58))</f>
        <v/>
      </c>
      <c r="N58" s="26">
        <f>IF($A58="","",IF(L58="",IFERROR(VLOOKUP(H58,Settings!$A$22:$B$27,2,FALSE),0),L58))</f>
        <v/>
      </c>
      <c r="O58" s="9">
        <f>IF(AND($A58&lt;&gt;"",$A58=Proposal!$I$2),COUNTIF($A$5:$A58,Proposal!$I$2),"")</f>
        <v/>
      </c>
      <c r="P58" s="9">
        <f>IF($A58="","",IF(COUNTIF(Jobs!$A$5:$A$44,$A58)=0,"Unknown Job ID",IF(B58="","Missing cost code",IF(COUNTIF(Settings!$E$5:$E$28,B58)=0,"Unknown cost code",IF(AND(G58="",C58=""),"No unit cost",IF(E58="","Missing qty",""))))))</f>
        <v/>
      </c>
      <c r="Q58" s="35" t="n"/>
    </row>
    <row r="59">
      <c r="A59" s="35" t="n"/>
      <c r="B59" s="35" t="n"/>
      <c r="C59" s="35" t="n"/>
      <c r="D59" s="35" t="n"/>
      <c r="E59" s="35" t="n"/>
      <c r="F59" s="35" t="n"/>
      <c r="G59" s="37" t="n"/>
      <c r="H59" s="9">
        <f>IF(B59="","",IFERROR(VLOOKUP(B59,Settings!$E$5:$G$28,3,FALSE),"Other"))</f>
        <v/>
      </c>
      <c r="I59" s="39">
        <f>IF($A59="","",IF(G59&lt;&gt;"",G59,IFERROR(VLOOKUP(C59,'Cost Library'!$A$5:$D$204,4,FALSE),0)))</f>
        <v/>
      </c>
      <c r="J59" s="9">
        <f>IF($A59="","",IF(F59&lt;&gt;"",F59,IFERROR(VLOOKUP(C59,'Cost Library'!$A$5:$D$204,3,FALSE),"")))</f>
        <v/>
      </c>
      <c r="K59" s="39">
        <f>IF($A59="","",E59*I59)</f>
        <v/>
      </c>
      <c r="L59" s="36" t="n"/>
      <c r="M59" s="39">
        <f>IF($A59="","",K59*(1+N59))</f>
        <v/>
      </c>
      <c r="N59" s="26">
        <f>IF($A59="","",IF(L59="",IFERROR(VLOOKUP(H59,Settings!$A$22:$B$27,2,FALSE),0),L59))</f>
        <v/>
      </c>
      <c r="O59" s="9">
        <f>IF(AND($A59&lt;&gt;"",$A59=Proposal!$I$2),COUNTIF($A$5:$A59,Proposal!$I$2),"")</f>
        <v/>
      </c>
      <c r="P59" s="9">
        <f>IF($A59="","",IF(COUNTIF(Jobs!$A$5:$A$44,$A59)=0,"Unknown Job ID",IF(B59="","Missing cost code",IF(COUNTIF(Settings!$E$5:$E$28,B59)=0,"Unknown cost code",IF(AND(G59="",C59=""),"No unit cost",IF(E59="","Missing qty",""))))))</f>
        <v/>
      </c>
      <c r="Q59" s="35" t="n"/>
    </row>
    <row r="60">
      <c r="A60" s="35" t="n"/>
      <c r="B60" s="35" t="n"/>
      <c r="C60" s="35" t="n"/>
      <c r="D60" s="35" t="n"/>
      <c r="E60" s="35" t="n"/>
      <c r="F60" s="35" t="n"/>
      <c r="G60" s="37" t="n"/>
      <c r="H60" s="9">
        <f>IF(B60="","",IFERROR(VLOOKUP(B60,Settings!$E$5:$G$28,3,FALSE),"Other"))</f>
        <v/>
      </c>
      <c r="I60" s="39">
        <f>IF($A60="","",IF(G60&lt;&gt;"",G60,IFERROR(VLOOKUP(C60,'Cost Library'!$A$5:$D$204,4,FALSE),0)))</f>
        <v/>
      </c>
      <c r="J60" s="9">
        <f>IF($A60="","",IF(F60&lt;&gt;"",F60,IFERROR(VLOOKUP(C60,'Cost Library'!$A$5:$D$204,3,FALSE),"")))</f>
        <v/>
      </c>
      <c r="K60" s="39">
        <f>IF($A60="","",E60*I60)</f>
        <v/>
      </c>
      <c r="L60" s="36" t="n"/>
      <c r="M60" s="39">
        <f>IF($A60="","",K60*(1+N60))</f>
        <v/>
      </c>
      <c r="N60" s="26">
        <f>IF($A60="","",IF(L60="",IFERROR(VLOOKUP(H60,Settings!$A$22:$B$27,2,FALSE),0),L60))</f>
        <v/>
      </c>
      <c r="O60" s="9">
        <f>IF(AND($A60&lt;&gt;"",$A60=Proposal!$I$2),COUNTIF($A$5:$A60,Proposal!$I$2),"")</f>
        <v/>
      </c>
      <c r="P60" s="9">
        <f>IF($A60="","",IF(COUNTIF(Jobs!$A$5:$A$44,$A60)=0,"Unknown Job ID",IF(B60="","Missing cost code",IF(COUNTIF(Settings!$E$5:$E$28,B60)=0,"Unknown cost code",IF(AND(G60="",C60=""),"No unit cost",IF(E60="","Missing qty",""))))))</f>
        <v/>
      </c>
      <c r="Q60" s="35" t="n"/>
    </row>
    <row r="61">
      <c r="A61" s="35" t="n"/>
      <c r="B61" s="35" t="n"/>
      <c r="C61" s="35" t="n"/>
      <c r="D61" s="35" t="n"/>
      <c r="E61" s="35" t="n"/>
      <c r="F61" s="35" t="n"/>
      <c r="G61" s="37" t="n"/>
      <c r="H61" s="9">
        <f>IF(B61="","",IFERROR(VLOOKUP(B61,Settings!$E$5:$G$28,3,FALSE),"Other"))</f>
        <v/>
      </c>
      <c r="I61" s="39">
        <f>IF($A61="","",IF(G61&lt;&gt;"",G61,IFERROR(VLOOKUP(C61,'Cost Library'!$A$5:$D$204,4,FALSE),0)))</f>
        <v/>
      </c>
      <c r="J61" s="9">
        <f>IF($A61="","",IF(F61&lt;&gt;"",F61,IFERROR(VLOOKUP(C61,'Cost Library'!$A$5:$D$204,3,FALSE),"")))</f>
        <v/>
      </c>
      <c r="K61" s="39">
        <f>IF($A61="","",E61*I61)</f>
        <v/>
      </c>
      <c r="L61" s="36" t="n"/>
      <c r="M61" s="39">
        <f>IF($A61="","",K61*(1+N61))</f>
        <v/>
      </c>
      <c r="N61" s="26">
        <f>IF($A61="","",IF(L61="",IFERROR(VLOOKUP(H61,Settings!$A$22:$B$27,2,FALSE),0),L61))</f>
        <v/>
      </c>
      <c r="O61" s="9">
        <f>IF(AND($A61&lt;&gt;"",$A61=Proposal!$I$2),COUNTIF($A$5:$A61,Proposal!$I$2),"")</f>
        <v/>
      </c>
      <c r="P61" s="9">
        <f>IF($A61="","",IF(COUNTIF(Jobs!$A$5:$A$44,$A61)=0,"Unknown Job ID",IF(B61="","Missing cost code",IF(COUNTIF(Settings!$E$5:$E$28,B61)=0,"Unknown cost code",IF(AND(G61="",C61=""),"No unit cost",IF(E61="","Missing qty",""))))))</f>
        <v/>
      </c>
      <c r="Q61" s="35" t="n"/>
    </row>
    <row r="62">
      <c r="A62" s="35" t="n"/>
      <c r="B62" s="35" t="n"/>
      <c r="C62" s="35" t="n"/>
      <c r="D62" s="35" t="n"/>
      <c r="E62" s="35" t="n"/>
      <c r="F62" s="35" t="n"/>
      <c r="G62" s="37" t="n"/>
      <c r="H62" s="9">
        <f>IF(B62="","",IFERROR(VLOOKUP(B62,Settings!$E$5:$G$28,3,FALSE),"Other"))</f>
        <v/>
      </c>
      <c r="I62" s="39">
        <f>IF($A62="","",IF(G62&lt;&gt;"",G62,IFERROR(VLOOKUP(C62,'Cost Library'!$A$5:$D$204,4,FALSE),0)))</f>
        <v/>
      </c>
      <c r="J62" s="9">
        <f>IF($A62="","",IF(F62&lt;&gt;"",F62,IFERROR(VLOOKUP(C62,'Cost Library'!$A$5:$D$204,3,FALSE),"")))</f>
        <v/>
      </c>
      <c r="K62" s="39">
        <f>IF($A62="","",E62*I62)</f>
        <v/>
      </c>
      <c r="L62" s="36" t="n"/>
      <c r="M62" s="39">
        <f>IF($A62="","",K62*(1+N62))</f>
        <v/>
      </c>
      <c r="N62" s="26">
        <f>IF($A62="","",IF(L62="",IFERROR(VLOOKUP(H62,Settings!$A$22:$B$27,2,FALSE),0),L62))</f>
        <v/>
      </c>
      <c r="O62" s="9">
        <f>IF(AND($A62&lt;&gt;"",$A62=Proposal!$I$2),COUNTIF($A$5:$A62,Proposal!$I$2),"")</f>
        <v/>
      </c>
      <c r="P62" s="9">
        <f>IF($A62="","",IF(COUNTIF(Jobs!$A$5:$A$44,$A62)=0,"Unknown Job ID",IF(B62="","Missing cost code",IF(COUNTIF(Settings!$E$5:$E$28,B62)=0,"Unknown cost code",IF(AND(G62="",C62=""),"No unit cost",IF(E62="","Missing qty",""))))))</f>
        <v/>
      </c>
      <c r="Q62" s="35" t="n"/>
    </row>
    <row r="63">
      <c r="A63" s="35" t="n"/>
      <c r="B63" s="35" t="n"/>
      <c r="C63" s="35" t="n"/>
      <c r="D63" s="35" t="n"/>
      <c r="E63" s="35" t="n"/>
      <c r="F63" s="35" t="n"/>
      <c r="G63" s="37" t="n"/>
      <c r="H63" s="9">
        <f>IF(B63="","",IFERROR(VLOOKUP(B63,Settings!$E$5:$G$28,3,FALSE),"Other"))</f>
        <v/>
      </c>
      <c r="I63" s="39">
        <f>IF($A63="","",IF(G63&lt;&gt;"",G63,IFERROR(VLOOKUP(C63,'Cost Library'!$A$5:$D$204,4,FALSE),0)))</f>
        <v/>
      </c>
      <c r="J63" s="9">
        <f>IF($A63="","",IF(F63&lt;&gt;"",F63,IFERROR(VLOOKUP(C63,'Cost Library'!$A$5:$D$204,3,FALSE),"")))</f>
        <v/>
      </c>
      <c r="K63" s="39">
        <f>IF($A63="","",E63*I63)</f>
        <v/>
      </c>
      <c r="L63" s="36" t="n"/>
      <c r="M63" s="39">
        <f>IF($A63="","",K63*(1+N63))</f>
        <v/>
      </c>
      <c r="N63" s="26">
        <f>IF($A63="","",IF(L63="",IFERROR(VLOOKUP(H63,Settings!$A$22:$B$27,2,FALSE),0),L63))</f>
        <v/>
      </c>
      <c r="O63" s="9">
        <f>IF(AND($A63&lt;&gt;"",$A63=Proposal!$I$2),COUNTIF($A$5:$A63,Proposal!$I$2),"")</f>
        <v/>
      </c>
      <c r="P63" s="9">
        <f>IF($A63="","",IF(COUNTIF(Jobs!$A$5:$A$44,$A63)=0,"Unknown Job ID",IF(B63="","Missing cost code",IF(COUNTIF(Settings!$E$5:$E$28,B63)=0,"Unknown cost code",IF(AND(G63="",C63=""),"No unit cost",IF(E63="","Missing qty",""))))))</f>
        <v/>
      </c>
      <c r="Q63" s="35" t="n"/>
    </row>
    <row r="64">
      <c r="A64" s="35" t="n"/>
      <c r="B64" s="35" t="n"/>
      <c r="C64" s="35" t="n"/>
      <c r="D64" s="35" t="n"/>
      <c r="E64" s="35" t="n"/>
      <c r="F64" s="35" t="n"/>
      <c r="G64" s="37" t="n"/>
      <c r="H64" s="9">
        <f>IF(B64="","",IFERROR(VLOOKUP(B64,Settings!$E$5:$G$28,3,FALSE),"Other"))</f>
        <v/>
      </c>
      <c r="I64" s="39">
        <f>IF($A64="","",IF(G64&lt;&gt;"",G64,IFERROR(VLOOKUP(C64,'Cost Library'!$A$5:$D$204,4,FALSE),0)))</f>
        <v/>
      </c>
      <c r="J64" s="9">
        <f>IF($A64="","",IF(F64&lt;&gt;"",F64,IFERROR(VLOOKUP(C64,'Cost Library'!$A$5:$D$204,3,FALSE),"")))</f>
        <v/>
      </c>
      <c r="K64" s="39">
        <f>IF($A64="","",E64*I64)</f>
        <v/>
      </c>
      <c r="L64" s="36" t="n"/>
      <c r="M64" s="39">
        <f>IF($A64="","",K64*(1+N64))</f>
        <v/>
      </c>
      <c r="N64" s="26">
        <f>IF($A64="","",IF(L64="",IFERROR(VLOOKUP(H64,Settings!$A$22:$B$27,2,FALSE),0),L64))</f>
        <v/>
      </c>
      <c r="O64" s="9">
        <f>IF(AND($A64&lt;&gt;"",$A64=Proposal!$I$2),COUNTIF($A$5:$A64,Proposal!$I$2),"")</f>
        <v/>
      </c>
      <c r="P64" s="9">
        <f>IF($A64="","",IF(COUNTIF(Jobs!$A$5:$A$44,$A64)=0,"Unknown Job ID",IF(B64="","Missing cost code",IF(COUNTIF(Settings!$E$5:$E$28,B64)=0,"Unknown cost code",IF(AND(G64="",C64=""),"No unit cost",IF(E64="","Missing qty",""))))))</f>
        <v/>
      </c>
      <c r="Q64" s="35" t="n"/>
    </row>
    <row r="65">
      <c r="A65" s="35" t="n"/>
      <c r="B65" s="35" t="n"/>
      <c r="C65" s="35" t="n"/>
      <c r="D65" s="35" t="n"/>
      <c r="E65" s="35" t="n"/>
      <c r="F65" s="35" t="n"/>
      <c r="G65" s="37" t="n"/>
      <c r="H65" s="9">
        <f>IF(B65="","",IFERROR(VLOOKUP(B65,Settings!$E$5:$G$28,3,FALSE),"Other"))</f>
        <v/>
      </c>
      <c r="I65" s="39">
        <f>IF($A65="","",IF(G65&lt;&gt;"",G65,IFERROR(VLOOKUP(C65,'Cost Library'!$A$5:$D$204,4,FALSE),0)))</f>
        <v/>
      </c>
      <c r="J65" s="9">
        <f>IF($A65="","",IF(F65&lt;&gt;"",F65,IFERROR(VLOOKUP(C65,'Cost Library'!$A$5:$D$204,3,FALSE),"")))</f>
        <v/>
      </c>
      <c r="K65" s="39">
        <f>IF($A65="","",E65*I65)</f>
        <v/>
      </c>
      <c r="L65" s="36" t="n"/>
      <c r="M65" s="39">
        <f>IF($A65="","",K65*(1+N65))</f>
        <v/>
      </c>
      <c r="N65" s="26">
        <f>IF($A65="","",IF(L65="",IFERROR(VLOOKUP(H65,Settings!$A$22:$B$27,2,FALSE),0),L65))</f>
        <v/>
      </c>
      <c r="O65" s="9">
        <f>IF(AND($A65&lt;&gt;"",$A65=Proposal!$I$2),COUNTIF($A$5:$A65,Proposal!$I$2),"")</f>
        <v/>
      </c>
      <c r="P65" s="9">
        <f>IF($A65="","",IF(COUNTIF(Jobs!$A$5:$A$44,$A65)=0,"Unknown Job ID",IF(B65="","Missing cost code",IF(COUNTIF(Settings!$E$5:$E$28,B65)=0,"Unknown cost code",IF(AND(G65="",C65=""),"No unit cost",IF(E65="","Missing qty",""))))))</f>
        <v/>
      </c>
      <c r="Q65" s="35" t="n"/>
    </row>
    <row r="66">
      <c r="A66" s="35" t="n"/>
      <c r="B66" s="35" t="n"/>
      <c r="C66" s="35" t="n"/>
      <c r="D66" s="35" t="n"/>
      <c r="E66" s="35" t="n"/>
      <c r="F66" s="35" t="n"/>
      <c r="G66" s="37" t="n"/>
      <c r="H66" s="9">
        <f>IF(B66="","",IFERROR(VLOOKUP(B66,Settings!$E$5:$G$28,3,FALSE),"Other"))</f>
        <v/>
      </c>
      <c r="I66" s="39">
        <f>IF($A66="","",IF(G66&lt;&gt;"",G66,IFERROR(VLOOKUP(C66,'Cost Library'!$A$5:$D$204,4,FALSE),0)))</f>
        <v/>
      </c>
      <c r="J66" s="9">
        <f>IF($A66="","",IF(F66&lt;&gt;"",F66,IFERROR(VLOOKUP(C66,'Cost Library'!$A$5:$D$204,3,FALSE),"")))</f>
        <v/>
      </c>
      <c r="K66" s="39">
        <f>IF($A66="","",E66*I66)</f>
        <v/>
      </c>
      <c r="L66" s="36" t="n"/>
      <c r="M66" s="39">
        <f>IF($A66="","",K66*(1+N66))</f>
        <v/>
      </c>
      <c r="N66" s="26">
        <f>IF($A66="","",IF(L66="",IFERROR(VLOOKUP(H66,Settings!$A$22:$B$27,2,FALSE),0),L66))</f>
        <v/>
      </c>
      <c r="O66" s="9">
        <f>IF(AND($A66&lt;&gt;"",$A66=Proposal!$I$2),COUNTIF($A$5:$A66,Proposal!$I$2),"")</f>
        <v/>
      </c>
      <c r="P66" s="9">
        <f>IF($A66="","",IF(COUNTIF(Jobs!$A$5:$A$44,$A66)=0,"Unknown Job ID",IF(B66="","Missing cost code",IF(COUNTIF(Settings!$E$5:$E$28,B66)=0,"Unknown cost code",IF(AND(G66="",C66=""),"No unit cost",IF(E66="","Missing qty",""))))))</f>
        <v/>
      </c>
      <c r="Q66" s="35" t="n"/>
    </row>
    <row r="67">
      <c r="A67" s="35" t="n"/>
      <c r="B67" s="35" t="n"/>
      <c r="C67" s="35" t="n"/>
      <c r="D67" s="35" t="n"/>
      <c r="E67" s="35" t="n"/>
      <c r="F67" s="35" t="n"/>
      <c r="G67" s="37" t="n"/>
      <c r="H67" s="9">
        <f>IF(B67="","",IFERROR(VLOOKUP(B67,Settings!$E$5:$G$28,3,FALSE),"Other"))</f>
        <v/>
      </c>
      <c r="I67" s="39">
        <f>IF($A67="","",IF(G67&lt;&gt;"",G67,IFERROR(VLOOKUP(C67,'Cost Library'!$A$5:$D$204,4,FALSE),0)))</f>
        <v/>
      </c>
      <c r="J67" s="9">
        <f>IF($A67="","",IF(F67&lt;&gt;"",F67,IFERROR(VLOOKUP(C67,'Cost Library'!$A$5:$D$204,3,FALSE),"")))</f>
        <v/>
      </c>
      <c r="K67" s="39">
        <f>IF($A67="","",E67*I67)</f>
        <v/>
      </c>
      <c r="L67" s="36" t="n"/>
      <c r="M67" s="39">
        <f>IF($A67="","",K67*(1+N67))</f>
        <v/>
      </c>
      <c r="N67" s="26">
        <f>IF($A67="","",IF(L67="",IFERROR(VLOOKUP(H67,Settings!$A$22:$B$27,2,FALSE),0),L67))</f>
        <v/>
      </c>
      <c r="O67" s="9">
        <f>IF(AND($A67&lt;&gt;"",$A67=Proposal!$I$2),COUNTIF($A$5:$A67,Proposal!$I$2),"")</f>
        <v/>
      </c>
      <c r="P67" s="9">
        <f>IF($A67="","",IF(COUNTIF(Jobs!$A$5:$A$44,$A67)=0,"Unknown Job ID",IF(B67="","Missing cost code",IF(COUNTIF(Settings!$E$5:$E$28,B67)=0,"Unknown cost code",IF(AND(G67="",C67=""),"No unit cost",IF(E67="","Missing qty",""))))))</f>
        <v/>
      </c>
      <c r="Q67" s="35" t="n"/>
    </row>
    <row r="68">
      <c r="A68" s="35" t="n"/>
      <c r="B68" s="35" t="n"/>
      <c r="C68" s="35" t="n"/>
      <c r="D68" s="35" t="n"/>
      <c r="E68" s="35" t="n"/>
      <c r="F68" s="35" t="n"/>
      <c r="G68" s="37" t="n"/>
      <c r="H68" s="9">
        <f>IF(B68="","",IFERROR(VLOOKUP(B68,Settings!$E$5:$G$28,3,FALSE),"Other"))</f>
        <v/>
      </c>
      <c r="I68" s="39">
        <f>IF($A68="","",IF(G68&lt;&gt;"",G68,IFERROR(VLOOKUP(C68,'Cost Library'!$A$5:$D$204,4,FALSE),0)))</f>
        <v/>
      </c>
      <c r="J68" s="9">
        <f>IF($A68="","",IF(F68&lt;&gt;"",F68,IFERROR(VLOOKUP(C68,'Cost Library'!$A$5:$D$204,3,FALSE),"")))</f>
        <v/>
      </c>
      <c r="K68" s="39">
        <f>IF($A68="","",E68*I68)</f>
        <v/>
      </c>
      <c r="L68" s="36" t="n"/>
      <c r="M68" s="39">
        <f>IF($A68="","",K68*(1+N68))</f>
        <v/>
      </c>
      <c r="N68" s="26">
        <f>IF($A68="","",IF(L68="",IFERROR(VLOOKUP(H68,Settings!$A$22:$B$27,2,FALSE),0),L68))</f>
        <v/>
      </c>
      <c r="O68" s="9">
        <f>IF(AND($A68&lt;&gt;"",$A68=Proposal!$I$2),COUNTIF($A$5:$A68,Proposal!$I$2),"")</f>
        <v/>
      </c>
      <c r="P68" s="9">
        <f>IF($A68="","",IF(COUNTIF(Jobs!$A$5:$A$44,$A68)=0,"Unknown Job ID",IF(B68="","Missing cost code",IF(COUNTIF(Settings!$E$5:$E$28,B68)=0,"Unknown cost code",IF(AND(G68="",C68=""),"No unit cost",IF(E68="","Missing qty",""))))))</f>
        <v/>
      </c>
      <c r="Q68" s="35" t="n"/>
    </row>
    <row r="69">
      <c r="A69" s="35" t="n"/>
      <c r="B69" s="35" t="n"/>
      <c r="C69" s="35" t="n"/>
      <c r="D69" s="35" t="n"/>
      <c r="E69" s="35" t="n"/>
      <c r="F69" s="35" t="n"/>
      <c r="G69" s="37" t="n"/>
      <c r="H69" s="9">
        <f>IF(B69="","",IFERROR(VLOOKUP(B69,Settings!$E$5:$G$28,3,FALSE),"Other"))</f>
        <v/>
      </c>
      <c r="I69" s="39">
        <f>IF($A69="","",IF(G69&lt;&gt;"",G69,IFERROR(VLOOKUP(C69,'Cost Library'!$A$5:$D$204,4,FALSE),0)))</f>
        <v/>
      </c>
      <c r="J69" s="9">
        <f>IF($A69="","",IF(F69&lt;&gt;"",F69,IFERROR(VLOOKUP(C69,'Cost Library'!$A$5:$D$204,3,FALSE),"")))</f>
        <v/>
      </c>
      <c r="K69" s="39">
        <f>IF($A69="","",E69*I69)</f>
        <v/>
      </c>
      <c r="L69" s="36" t="n"/>
      <c r="M69" s="39">
        <f>IF($A69="","",K69*(1+N69))</f>
        <v/>
      </c>
      <c r="N69" s="26">
        <f>IF($A69="","",IF(L69="",IFERROR(VLOOKUP(H69,Settings!$A$22:$B$27,2,FALSE),0),L69))</f>
        <v/>
      </c>
      <c r="O69" s="9">
        <f>IF(AND($A69&lt;&gt;"",$A69=Proposal!$I$2),COUNTIF($A$5:$A69,Proposal!$I$2),"")</f>
        <v/>
      </c>
      <c r="P69" s="9">
        <f>IF($A69="","",IF(COUNTIF(Jobs!$A$5:$A$44,$A69)=0,"Unknown Job ID",IF(B69="","Missing cost code",IF(COUNTIF(Settings!$E$5:$E$28,B69)=0,"Unknown cost code",IF(AND(G69="",C69=""),"No unit cost",IF(E69="","Missing qty",""))))))</f>
        <v/>
      </c>
      <c r="Q69" s="35" t="n"/>
    </row>
    <row r="70">
      <c r="A70" s="35" t="n"/>
      <c r="B70" s="35" t="n"/>
      <c r="C70" s="35" t="n"/>
      <c r="D70" s="35" t="n"/>
      <c r="E70" s="35" t="n"/>
      <c r="F70" s="35" t="n"/>
      <c r="G70" s="37" t="n"/>
      <c r="H70" s="9">
        <f>IF(B70="","",IFERROR(VLOOKUP(B70,Settings!$E$5:$G$28,3,FALSE),"Other"))</f>
        <v/>
      </c>
      <c r="I70" s="39">
        <f>IF($A70="","",IF(G70&lt;&gt;"",G70,IFERROR(VLOOKUP(C70,'Cost Library'!$A$5:$D$204,4,FALSE),0)))</f>
        <v/>
      </c>
      <c r="J70" s="9">
        <f>IF($A70="","",IF(F70&lt;&gt;"",F70,IFERROR(VLOOKUP(C70,'Cost Library'!$A$5:$D$204,3,FALSE),"")))</f>
        <v/>
      </c>
      <c r="K70" s="39">
        <f>IF($A70="","",E70*I70)</f>
        <v/>
      </c>
      <c r="L70" s="36" t="n"/>
      <c r="M70" s="39">
        <f>IF($A70="","",K70*(1+N70))</f>
        <v/>
      </c>
      <c r="N70" s="26">
        <f>IF($A70="","",IF(L70="",IFERROR(VLOOKUP(H70,Settings!$A$22:$B$27,2,FALSE),0),L70))</f>
        <v/>
      </c>
      <c r="O70" s="9">
        <f>IF(AND($A70&lt;&gt;"",$A70=Proposal!$I$2),COUNTIF($A$5:$A70,Proposal!$I$2),"")</f>
        <v/>
      </c>
      <c r="P70" s="9">
        <f>IF($A70="","",IF(COUNTIF(Jobs!$A$5:$A$44,$A70)=0,"Unknown Job ID",IF(B70="","Missing cost code",IF(COUNTIF(Settings!$E$5:$E$28,B70)=0,"Unknown cost code",IF(AND(G70="",C70=""),"No unit cost",IF(E70="","Missing qty",""))))))</f>
        <v/>
      </c>
      <c r="Q70" s="35" t="n"/>
    </row>
    <row r="71">
      <c r="A71" s="35" t="n"/>
      <c r="B71" s="35" t="n"/>
      <c r="C71" s="35" t="n"/>
      <c r="D71" s="35" t="n"/>
      <c r="E71" s="35" t="n"/>
      <c r="F71" s="35" t="n"/>
      <c r="G71" s="37" t="n"/>
      <c r="H71" s="9">
        <f>IF(B71="","",IFERROR(VLOOKUP(B71,Settings!$E$5:$G$28,3,FALSE),"Other"))</f>
        <v/>
      </c>
      <c r="I71" s="39">
        <f>IF($A71="","",IF(G71&lt;&gt;"",G71,IFERROR(VLOOKUP(C71,'Cost Library'!$A$5:$D$204,4,FALSE),0)))</f>
        <v/>
      </c>
      <c r="J71" s="9">
        <f>IF($A71="","",IF(F71&lt;&gt;"",F71,IFERROR(VLOOKUP(C71,'Cost Library'!$A$5:$D$204,3,FALSE),"")))</f>
        <v/>
      </c>
      <c r="K71" s="39">
        <f>IF($A71="","",E71*I71)</f>
        <v/>
      </c>
      <c r="L71" s="36" t="n"/>
      <c r="M71" s="39">
        <f>IF($A71="","",K71*(1+N71))</f>
        <v/>
      </c>
      <c r="N71" s="26">
        <f>IF($A71="","",IF(L71="",IFERROR(VLOOKUP(H71,Settings!$A$22:$B$27,2,FALSE),0),L71))</f>
        <v/>
      </c>
      <c r="O71" s="9">
        <f>IF(AND($A71&lt;&gt;"",$A71=Proposal!$I$2),COUNTIF($A$5:$A71,Proposal!$I$2),"")</f>
        <v/>
      </c>
      <c r="P71" s="9">
        <f>IF($A71="","",IF(COUNTIF(Jobs!$A$5:$A$44,$A71)=0,"Unknown Job ID",IF(B71="","Missing cost code",IF(COUNTIF(Settings!$E$5:$E$28,B71)=0,"Unknown cost code",IF(AND(G71="",C71=""),"No unit cost",IF(E71="","Missing qty",""))))))</f>
        <v/>
      </c>
      <c r="Q71" s="35" t="n"/>
    </row>
    <row r="72">
      <c r="A72" s="35" t="n"/>
      <c r="B72" s="35" t="n"/>
      <c r="C72" s="35" t="n"/>
      <c r="D72" s="35" t="n"/>
      <c r="E72" s="35" t="n"/>
      <c r="F72" s="35" t="n"/>
      <c r="G72" s="37" t="n"/>
      <c r="H72" s="9">
        <f>IF(B72="","",IFERROR(VLOOKUP(B72,Settings!$E$5:$G$28,3,FALSE),"Other"))</f>
        <v/>
      </c>
      <c r="I72" s="39">
        <f>IF($A72="","",IF(G72&lt;&gt;"",G72,IFERROR(VLOOKUP(C72,'Cost Library'!$A$5:$D$204,4,FALSE),0)))</f>
        <v/>
      </c>
      <c r="J72" s="9">
        <f>IF($A72="","",IF(F72&lt;&gt;"",F72,IFERROR(VLOOKUP(C72,'Cost Library'!$A$5:$D$204,3,FALSE),"")))</f>
        <v/>
      </c>
      <c r="K72" s="39">
        <f>IF($A72="","",E72*I72)</f>
        <v/>
      </c>
      <c r="L72" s="36" t="n"/>
      <c r="M72" s="39">
        <f>IF($A72="","",K72*(1+N72))</f>
        <v/>
      </c>
      <c r="N72" s="26">
        <f>IF($A72="","",IF(L72="",IFERROR(VLOOKUP(H72,Settings!$A$22:$B$27,2,FALSE),0),L72))</f>
        <v/>
      </c>
      <c r="O72" s="9">
        <f>IF(AND($A72&lt;&gt;"",$A72=Proposal!$I$2),COUNTIF($A$5:$A72,Proposal!$I$2),"")</f>
        <v/>
      </c>
      <c r="P72" s="9">
        <f>IF($A72="","",IF(COUNTIF(Jobs!$A$5:$A$44,$A72)=0,"Unknown Job ID",IF(B72="","Missing cost code",IF(COUNTIF(Settings!$E$5:$E$28,B72)=0,"Unknown cost code",IF(AND(G72="",C72=""),"No unit cost",IF(E72="","Missing qty",""))))))</f>
        <v/>
      </c>
      <c r="Q72" s="35" t="n"/>
    </row>
    <row r="73">
      <c r="A73" s="35" t="n"/>
      <c r="B73" s="35" t="n"/>
      <c r="C73" s="35" t="n"/>
      <c r="D73" s="35" t="n"/>
      <c r="E73" s="35" t="n"/>
      <c r="F73" s="35" t="n"/>
      <c r="G73" s="37" t="n"/>
      <c r="H73" s="9">
        <f>IF(B73="","",IFERROR(VLOOKUP(B73,Settings!$E$5:$G$28,3,FALSE),"Other"))</f>
        <v/>
      </c>
      <c r="I73" s="39">
        <f>IF($A73="","",IF(G73&lt;&gt;"",G73,IFERROR(VLOOKUP(C73,'Cost Library'!$A$5:$D$204,4,FALSE),0)))</f>
        <v/>
      </c>
      <c r="J73" s="9">
        <f>IF($A73="","",IF(F73&lt;&gt;"",F73,IFERROR(VLOOKUP(C73,'Cost Library'!$A$5:$D$204,3,FALSE),"")))</f>
        <v/>
      </c>
      <c r="K73" s="39">
        <f>IF($A73="","",E73*I73)</f>
        <v/>
      </c>
      <c r="L73" s="36" t="n"/>
      <c r="M73" s="39">
        <f>IF($A73="","",K73*(1+N73))</f>
        <v/>
      </c>
      <c r="N73" s="26">
        <f>IF($A73="","",IF(L73="",IFERROR(VLOOKUP(H73,Settings!$A$22:$B$27,2,FALSE),0),L73))</f>
        <v/>
      </c>
      <c r="O73" s="9">
        <f>IF(AND($A73&lt;&gt;"",$A73=Proposal!$I$2),COUNTIF($A$5:$A73,Proposal!$I$2),"")</f>
        <v/>
      </c>
      <c r="P73" s="9">
        <f>IF($A73="","",IF(COUNTIF(Jobs!$A$5:$A$44,$A73)=0,"Unknown Job ID",IF(B73="","Missing cost code",IF(COUNTIF(Settings!$E$5:$E$28,B73)=0,"Unknown cost code",IF(AND(G73="",C73=""),"No unit cost",IF(E73="","Missing qty",""))))))</f>
        <v/>
      </c>
      <c r="Q73" s="35" t="n"/>
    </row>
    <row r="74">
      <c r="A74" s="35" t="n"/>
      <c r="B74" s="35" t="n"/>
      <c r="C74" s="35" t="n"/>
      <c r="D74" s="35" t="n"/>
      <c r="E74" s="35" t="n"/>
      <c r="F74" s="35" t="n"/>
      <c r="G74" s="37" t="n"/>
      <c r="H74" s="9">
        <f>IF(B74="","",IFERROR(VLOOKUP(B74,Settings!$E$5:$G$28,3,FALSE),"Other"))</f>
        <v/>
      </c>
      <c r="I74" s="39">
        <f>IF($A74="","",IF(G74&lt;&gt;"",G74,IFERROR(VLOOKUP(C74,'Cost Library'!$A$5:$D$204,4,FALSE),0)))</f>
        <v/>
      </c>
      <c r="J74" s="9">
        <f>IF($A74="","",IF(F74&lt;&gt;"",F74,IFERROR(VLOOKUP(C74,'Cost Library'!$A$5:$D$204,3,FALSE),"")))</f>
        <v/>
      </c>
      <c r="K74" s="39">
        <f>IF($A74="","",E74*I74)</f>
        <v/>
      </c>
      <c r="L74" s="36" t="n"/>
      <c r="M74" s="39">
        <f>IF($A74="","",K74*(1+N74))</f>
        <v/>
      </c>
      <c r="N74" s="26">
        <f>IF($A74="","",IF(L74="",IFERROR(VLOOKUP(H74,Settings!$A$22:$B$27,2,FALSE),0),L74))</f>
        <v/>
      </c>
      <c r="O74" s="9">
        <f>IF(AND($A74&lt;&gt;"",$A74=Proposal!$I$2),COUNTIF($A$5:$A74,Proposal!$I$2),"")</f>
        <v/>
      </c>
      <c r="P74" s="9">
        <f>IF($A74="","",IF(COUNTIF(Jobs!$A$5:$A$44,$A74)=0,"Unknown Job ID",IF(B74="","Missing cost code",IF(COUNTIF(Settings!$E$5:$E$28,B74)=0,"Unknown cost code",IF(AND(G74="",C74=""),"No unit cost",IF(E74="","Missing qty",""))))))</f>
        <v/>
      </c>
      <c r="Q74" s="35" t="n"/>
    </row>
    <row r="75">
      <c r="A75" s="35" t="n"/>
      <c r="B75" s="35" t="n"/>
      <c r="C75" s="35" t="n"/>
      <c r="D75" s="35" t="n"/>
      <c r="E75" s="35" t="n"/>
      <c r="F75" s="35" t="n"/>
      <c r="G75" s="37" t="n"/>
      <c r="H75" s="9">
        <f>IF(B75="","",IFERROR(VLOOKUP(B75,Settings!$E$5:$G$28,3,FALSE),"Other"))</f>
        <v/>
      </c>
      <c r="I75" s="39">
        <f>IF($A75="","",IF(G75&lt;&gt;"",G75,IFERROR(VLOOKUP(C75,'Cost Library'!$A$5:$D$204,4,FALSE),0)))</f>
        <v/>
      </c>
      <c r="J75" s="9">
        <f>IF($A75="","",IF(F75&lt;&gt;"",F75,IFERROR(VLOOKUP(C75,'Cost Library'!$A$5:$D$204,3,FALSE),"")))</f>
        <v/>
      </c>
      <c r="K75" s="39">
        <f>IF($A75="","",E75*I75)</f>
        <v/>
      </c>
      <c r="L75" s="36" t="n"/>
      <c r="M75" s="39">
        <f>IF($A75="","",K75*(1+N75))</f>
        <v/>
      </c>
      <c r="N75" s="26">
        <f>IF($A75="","",IF(L75="",IFERROR(VLOOKUP(H75,Settings!$A$22:$B$27,2,FALSE),0),L75))</f>
        <v/>
      </c>
      <c r="O75" s="9">
        <f>IF(AND($A75&lt;&gt;"",$A75=Proposal!$I$2),COUNTIF($A$5:$A75,Proposal!$I$2),"")</f>
        <v/>
      </c>
      <c r="P75" s="9">
        <f>IF($A75="","",IF(COUNTIF(Jobs!$A$5:$A$44,$A75)=0,"Unknown Job ID",IF(B75="","Missing cost code",IF(COUNTIF(Settings!$E$5:$E$28,B75)=0,"Unknown cost code",IF(AND(G75="",C75=""),"No unit cost",IF(E75="","Missing qty",""))))))</f>
        <v/>
      </c>
      <c r="Q75" s="35" t="n"/>
    </row>
    <row r="76">
      <c r="A76" s="35" t="n"/>
      <c r="B76" s="35" t="n"/>
      <c r="C76" s="35" t="n"/>
      <c r="D76" s="35" t="n"/>
      <c r="E76" s="35" t="n"/>
      <c r="F76" s="35" t="n"/>
      <c r="G76" s="37" t="n"/>
      <c r="H76" s="9">
        <f>IF(B76="","",IFERROR(VLOOKUP(B76,Settings!$E$5:$G$28,3,FALSE),"Other"))</f>
        <v/>
      </c>
      <c r="I76" s="39">
        <f>IF($A76="","",IF(G76&lt;&gt;"",G76,IFERROR(VLOOKUP(C76,'Cost Library'!$A$5:$D$204,4,FALSE),0)))</f>
        <v/>
      </c>
      <c r="J76" s="9">
        <f>IF($A76="","",IF(F76&lt;&gt;"",F76,IFERROR(VLOOKUP(C76,'Cost Library'!$A$5:$D$204,3,FALSE),"")))</f>
        <v/>
      </c>
      <c r="K76" s="39">
        <f>IF($A76="","",E76*I76)</f>
        <v/>
      </c>
      <c r="L76" s="36" t="n"/>
      <c r="M76" s="39">
        <f>IF($A76="","",K76*(1+N76))</f>
        <v/>
      </c>
      <c r="N76" s="26">
        <f>IF($A76="","",IF(L76="",IFERROR(VLOOKUP(H76,Settings!$A$22:$B$27,2,FALSE),0),L76))</f>
        <v/>
      </c>
      <c r="O76" s="9">
        <f>IF(AND($A76&lt;&gt;"",$A76=Proposal!$I$2),COUNTIF($A$5:$A76,Proposal!$I$2),"")</f>
        <v/>
      </c>
      <c r="P76" s="9">
        <f>IF($A76="","",IF(COUNTIF(Jobs!$A$5:$A$44,$A76)=0,"Unknown Job ID",IF(B76="","Missing cost code",IF(COUNTIF(Settings!$E$5:$E$28,B76)=0,"Unknown cost code",IF(AND(G76="",C76=""),"No unit cost",IF(E76="","Missing qty",""))))))</f>
        <v/>
      </c>
      <c r="Q76" s="35" t="n"/>
    </row>
    <row r="77">
      <c r="A77" s="35" t="n"/>
      <c r="B77" s="35" t="n"/>
      <c r="C77" s="35" t="n"/>
      <c r="D77" s="35" t="n"/>
      <c r="E77" s="35" t="n"/>
      <c r="F77" s="35" t="n"/>
      <c r="G77" s="37" t="n"/>
      <c r="H77" s="9">
        <f>IF(B77="","",IFERROR(VLOOKUP(B77,Settings!$E$5:$G$28,3,FALSE),"Other"))</f>
        <v/>
      </c>
      <c r="I77" s="39">
        <f>IF($A77="","",IF(G77&lt;&gt;"",G77,IFERROR(VLOOKUP(C77,'Cost Library'!$A$5:$D$204,4,FALSE),0)))</f>
        <v/>
      </c>
      <c r="J77" s="9">
        <f>IF($A77="","",IF(F77&lt;&gt;"",F77,IFERROR(VLOOKUP(C77,'Cost Library'!$A$5:$D$204,3,FALSE),"")))</f>
        <v/>
      </c>
      <c r="K77" s="39">
        <f>IF($A77="","",E77*I77)</f>
        <v/>
      </c>
      <c r="L77" s="36" t="n"/>
      <c r="M77" s="39">
        <f>IF($A77="","",K77*(1+N77))</f>
        <v/>
      </c>
      <c r="N77" s="26">
        <f>IF($A77="","",IF(L77="",IFERROR(VLOOKUP(H77,Settings!$A$22:$B$27,2,FALSE),0),L77))</f>
        <v/>
      </c>
      <c r="O77" s="9">
        <f>IF(AND($A77&lt;&gt;"",$A77=Proposal!$I$2),COUNTIF($A$5:$A77,Proposal!$I$2),"")</f>
        <v/>
      </c>
      <c r="P77" s="9">
        <f>IF($A77="","",IF(COUNTIF(Jobs!$A$5:$A$44,$A77)=0,"Unknown Job ID",IF(B77="","Missing cost code",IF(COUNTIF(Settings!$E$5:$E$28,B77)=0,"Unknown cost code",IF(AND(G77="",C77=""),"No unit cost",IF(E77="","Missing qty",""))))))</f>
        <v/>
      </c>
      <c r="Q77" s="35" t="n"/>
    </row>
    <row r="78">
      <c r="A78" s="35" t="n"/>
      <c r="B78" s="35" t="n"/>
      <c r="C78" s="35" t="n"/>
      <c r="D78" s="35" t="n"/>
      <c r="E78" s="35" t="n"/>
      <c r="F78" s="35" t="n"/>
      <c r="G78" s="37" t="n"/>
      <c r="H78" s="9">
        <f>IF(B78="","",IFERROR(VLOOKUP(B78,Settings!$E$5:$G$28,3,FALSE),"Other"))</f>
        <v/>
      </c>
      <c r="I78" s="39">
        <f>IF($A78="","",IF(G78&lt;&gt;"",G78,IFERROR(VLOOKUP(C78,'Cost Library'!$A$5:$D$204,4,FALSE),0)))</f>
        <v/>
      </c>
      <c r="J78" s="9">
        <f>IF($A78="","",IF(F78&lt;&gt;"",F78,IFERROR(VLOOKUP(C78,'Cost Library'!$A$5:$D$204,3,FALSE),"")))</f>
        <v/>
      </c>
      <c r="K78" s="39">
        <f>IF($A78="","",E78*I78)</f>
        <v/>
      </c>
      <c r="L78" s="36" t="n"/>
      <c r="M78" s="39">
        <f>IF($A78="","",K78*(1+N78))</f>
        <v/>
      </c>
      <c r="N78" s="26">
        <f>IF($A78="","",IF(L78="",IFERROR(VLOOKUP(H78,Settings!$A$22:$B$27,2,FALSE),0),L78))</f>
        <v/>
      </c>
      <c r="O78" s="9">
        <f>IF(AND($A78&lt;&gt;"",$A78=Proposal!$I$2),COUNTIF($A$5:$A78,Proposal!$I$2),"")</f>
        <v/>
      </c>
      <c r="P78" s="9">
        <f>IF($A78="","",IF(COUNTIF(Jobs!$A$5:$A$44,$A78)=0,"Unknown Job ID",IF(B78="","Missing cost code",IF(COUNTIF(Settings!$E$5:$E$28,B78)=0,"Unknown cost code",IF(AND(G78="",C78=""),"No unit cost",IF(E78="","Missing qty",""))))))</f>
        <v/>
      </c>
      <c r="Q78" s="35" t="n"/>
    </row>
    <row r="79">
      <c r="A79" s="35" t="n"/>
      <c r="B79" s="35" t="n"/>
      <c r="C79" s="35" t="n"/>
      <c r="D79" s="35" t="n"/>
      <c r="E79" s="35" t="n"/>
      <c r="F79" s="35" t="n"/>
      <c r="G79" s="37" t="n"/>
      <c r="H79" s="9">
        <f>IF(B79="","",IFERROR(VLOOKUP(B79,Settings!$E$5:$G$28,3,FALSE),"Other"))</f>
        <v/>
      </c>
      <c r="I79" s="39">
        <f>IF($A79="","",IF(G79&lt;&gt;"",G79,IFERROR(VLOOKUP(C79,'Cost Library'!$A$5:$D$204,4,FALSE),0)))</f>
        <v/>
      </c>
      <c r="J79" s="9">
        <f>IF($A79="","",IF(F79&lt;&gt;"",F79,IFERROR(VLOOKUP(C79,'Cost Library'!$A$5:$D$204,3,FALSE),"")))</f>
        <v/>
      </c>
      <c r="K79" s="39">
        <f>IF($A79="","",E79*I79)</f>
        <v/>
      </c>
      <c r="L79" s="36" t="n"/>
      <c r="M79" s="39">
        <f>IF($A79="","",K79*(1+N79))</f>
        <v/>
      </c>
      <c r="N79" s="26">
        <f>IF($A79="","",IF(L79="",IFERROR(VLOOKUP(H79,Settings!$A$22:$B$27,2,FALSE),0),L79))</f>
        <v/>
      </c>
      <c r="O79" s="9">
        <f>IF(AND($A79&lt;&gt;"",$A79=Proposal!$I$2),COUNTIF($A$5:$A79,Proposal!$I$2),"")</f>
        <v/>
      </c>
      <c r="P79" s="9">
        <f>IF($A79="","",IF(COUNTIF(Jobs!$A$5:$A$44,$A79)=0,"Unknown Job ID",IF(B79="","Missing cost code",IF(COUNTIF(Settings!$E$5:$E$28,B79)=0,"Unknown cost code",IF(AND(G79="",C79=""),"No unit cost",IF(E79="","Missing qty",""))))))</f>
        <v/>
      </c>
      <c r="Q79" s="35" t="n"/>
    </row>
    <row r="80">
      <c r="A80" s="35" t="n"/>
      <c r="B80" s="35" t="n"/>
      <c r="C80" s="35" t="n"/>
      <c r="D80" s="35" t="n"/>
      <c r="E80" s="35" t="n"/>
      <c r="F80" s="35" t="n"/>
      <c r="G80" s="37" t="n"/>
      <c r="H80" s="9">
        <f>IF(B80="","",IFERROR(VLOOKUP(B80,Settings!$E$5:$G$28,3,FALSE),"Other"))</f>
        <v/>
      </c>
      <c r="I80" s="39">
        <f>IF($A80="","",IF(G80&lt;&gt;"",G80,IFERROR(VLOOKUP(C80,'Cost Library'!$A$5:$D$204,4,FALSE),0)))</f>
        <v/>
      </c>
      <c r="J80" s="9">
        <f>IF($A80="","",IF(F80&lt;&gt;"",F80,IFERROR(VLOOKUP(C80,'Cost Library'!$A$5:$D$204,3,FALSE),"")))</f>
        <v/>
      </c>
      <c r="K80" s="39">
        <f>IF($A80="","",E80*I80)</f>
        <v/>
      </c>
      <c r="L80" s="36" t="n"/>
      <c r="M80" s="39">
        <f>IF($A80="","",K80*(1+N80))</f>
        <v/>
      </c>
      <c r="N80" s="26">
        <f>IF($A80="","",IF(L80="",IFERROR(VLOOKUP(H80,Settings!$A$22:$B$27,2,FALSE),0),L80))</f>
        <v/>
      </c>
      <c r="O80" s="9">
        <f>IF(AND($A80&lt;&gt;"",$A80=Proposal!$I$2),COUNTIF($A$5:$A80,Proposal!$I$2),"")</f>
        <v/>
      </c>
      <c r="P80" s="9">
        <f>IF($A80="","",IF(COUNTIF(Jobs!$A$5:$A$44,$A80)=0,"Unknown Job ID",IF(B80="","Missing cost code",IF(COUNTIF(Settings!$E$5:$E$28,B80)=0,"Unknown cost code",IF(AND(G80="",C80=""),"No unit cost",IF(E80="","Missing qty",""))))))</f>
        <v/>
      </c>
      <c r="Q80" s="35" t="n"/>
    </row>
    <row r="81">
      <c r="A81" s="35" t="n"/>
      <c r="B81" s="35" t="n"/>
      <c r="C81" s="35" t="n"/>
      <c r="D81" s="35" t="n"/>
      <c r="E81" s="35" t="n"/>
      <c r="F81" s="35" t="n"/>
      <c r="G81" s="37" t="n"/>
      <c r="H81" s="9">
        <f>IF(B81="","",IFERROR(VLOOKUP(B81,Settings!$E$5:$G$28,3,FALSE),"Other"))</f>
        <v/>
      </c>
      <c r="I81" s="39">
        <f>IF($A81="","",IF(G81&lt;&gt;"",G81,IFERROR(VLOOKUP(C81,'Cost Library'!$A$5:$D$204,4,FALSE),0)))</f>
        <v/>
      </c>
      <c r="J81" s="9">
        <f>IF($A81="","",IF(F81&lt;&gt;"",F81,IFERROR(VLOOKUP(C81,'Cost Library'!$A$5:$D$204,3,FALSE),"")))</f>
        <v/>
      </c>
      <c r="K81" s="39">
        <f>IF($A81="","",E81*I81)</f>
        <v/>
      </c>
      <c r="L81" s="36" t="n"/>
      <c r="M81" s="39">
        <f>IF($A81="","",K81*(1+N81))</f>
        <v/>
      </c>
      <c r="N81" s="26">
        <f>IF($A81="","",IF(L81="",IFERROR(VLOOKUP(H81,Settings!$A$22:$B$27,2,FALSE),0),L81))</f>
        <v/>
      </c>
      <c r="O81" s="9">
        <f>IF(AND($A81&lt;&gt;"",$A81=Proposal!$I$2),COUNTIF($A$5:$A81,Proposal!$I$2),"")</f>
        <v/>
      </c>
      <c r="P81" s="9">
        <f>IF($A81="","",IF(COUNTIF(Jobs!$A$5:$A$44,$A81)=0,"Unknown Job ID",IF(B81="","Missing cost code",IF(COUNTIF(Settings!$E$5:$E$28,B81)=0,"Unknown cost code",IF(AND(G81="",C81=""),"No unit cost",IF(E81="","Missing qty",""))))))</f>
        <v/>
      </c>
      <c r="Q81" s="35" t="n"/>
    </row>
    <row r="82">
      <c r="A82" s="35" t="n"/>
      <c r="B82" s="35" t="n"/>
      <c r="C82" s="35" t="n"/>
      <c r="D82" s="35" t="n"/>
      <c r="E82" s="35" t="n"/>
      <c r="F82" s="35" t="n"/>
      <c r="G82" s="37" t="n"/>
      <c r="H82" s="9">
        <f>IF(B82="","",IFERROR(VLOOKUP(B82,Settings!$E$5:$G$28,3,FALSE),"Other"))</f>
        <v/>
      </c>
      <c r="I82" s="39">
        <f>IF($A82="","",IF(G82&lt;&gt;"",G82,IFERROR(VLOOKUP(C82,'Cost Library'!$A$5:$D$204,4,FALSE),0)))</f>
        <v/>
      </c>
      <c r="J82" s="9">
        <f>IF($A82="","",IF(F82&lt;&gt;"",F82,IFERROR(VLOOKUP(C82,'Cost Library'!$A$5:$D$204,3,FALSE),"")))</f>
        <v/>
      </c>
      <c r="K82" s="39">
        <f>IF($A82="","",E82*I82)</f>
        <v/>
      </c>
      <c r="L82" s="36" t="n"/>
      <c r="M82" s="39">
        <f>IF($A82="","",K82*(1+N82))</f>
        <v/>
      </c>
      <c r="N82" s="26">
        <f>IF($A82="","",IF(L82="",IFERROR(VLOOKUP(H82,Settings!$A$22:$B$27,2,FALSE),0),L82))</f>
        <v/>
      </c>
      <c r="O82" s="9">
        <f>IF(AND($A82&lt;&gt;"",$A82=Proposal!$I$2),COUNTIF($A$5:$A82,Proposal!$I$2),"")</f>
        <v/>
      </c>
      <c r="P82" s="9">
        <f>IF($A82="","",IF(COUNTIF(Jobs!$A$5:$A$44,$A82)=0,"Unknown Job ID",IF(B82="","Missing cost code",IF(COUNTIF(Settings!$E$5:$E$28,B82)=0,"Unknown cost code",IF(AND(G82="",C82=""),"No unit cost",IF(E82="","Missing qty",""))))))</f>
        <v/>
      </c>
      <c r="Q82" s="35" t="n"/>
    </row>
    <row r="83">
      <c r="A83" s="35" t="n"/>
      <c r="B83" s="35" t="n"/>
      <c r="C83" s="35" t="n"/>
      <c r="D83" s="35" t="n"/>
      <c r="E83" s="35" t="n"/>
      <c r="F83" s="35" t="n"/>
      <c r="G83" s="37" t="n"/>
      <c r="H83" s="9">
        <f>IF(B83="","",IFERROR(VLOOKUP(B83,Settings!$E$5:$G$28,3,FALSE),"Other"))</f>
        <v/>
      </c>
      <c r="I83" s="39">
        <f>IF($A83="","",IF(G83&lt;&gt;"",G83,IFERROR(VLOOKUP(C83,'Cost Library'!$A$5:$D$204,4,FALSE),0)))</f>
        <v/>
      </c>
      <c r="J83" s="9">
        <f>IF($A83="","",IF(F83&lt;&gt;"",F83,IFERROR(VLOOKUP(C83,'Cost Library'!$A$5:$D$204,3,FALSE),"")))</f>
        <v/>
      </c>
      <c r="K83" s="39">
        <f>IF($A83="","",E83*I83)</f>
        <v/>
      </c>
      <c r="L83" s="36" t="n"/>
      <c r="M83" s="39">
        <f>IF($A83="","",K83*(1+N83))</f>
        <v/>
      </c>
      <c r="N83" s="26">
        <f>IF($A83="","",IF(L83="",IFERROR(VLOOKUP(H83,Settings!$A$22:$B$27,2,FALSE),0),L83))</f>
        <v/>
      </c>
      <c r="O83" s="9">
        <f>IF(AND($A83&lt;&gt;"",$A83=Proposal!$I$2),COUNTIF($A$5:$A83,Proposal!$I$2),"")</f>
        <v/>
      </c>
      <c r="P83" s="9">
        <f>IF($A83="","",IF(COUNTIF(Jobs!$A$5:$A$44,$A83)=0,"Unknown Job ID",IF(B83="","Missing cost code",IF(COUNTIF(Settings!$E$5:$E$28,B83)=0,"Unknown cost code",IF(AND(G83="",C83=""),"No unit cost",IF(E83="","Missing qty",""))))))</f>
        <v/>
      </c>
      <c r="Q83" s="35" t="n"/>
    </row>
    <row r="84">
      <c r="A84" s="35" t="n"/>
      <c r="B84" s="35" t="n"/>
      <c r="C84" s="35" t="n"/>
      <c r="D84" s="35" t="n"/>
      <c r="E84" s="35" t="n"/>
      <c r="F84" s="35" t="n"/>
      <c r="G84" s="37" t="n"/>
      <c r="H84" s="9">
        <f>IF(B84="","",IFERROR(VLOOKUP(B84,Settings!$E$5:$G$28,3,FALSE),"Other"))</f>
        <v/>
      </c>
      <c r="I84" s="39">
        <f>IF($A84="","",IF(G84&lt;&gt;"",G84,IFERROR(VLOOKUP(C84,'Cost Library'!$A$5:$D$204,4,FALSE),0)))</f>
        <v/>
      </c>
      <c r="J84" s="9">
        <f>IF($A84="","",IF(F84&lt;&gt;"",F84,IFERROR(VLOOKUP(C84,'Cost Library'!$A$5:$D$204,3,FALSE),"")))</f>
        <v/>
      </c>
      <c r="K84" s="39">
        <f>IF($A84="","",E84*I84)</f>
        <v/>
      </c>
      <c r="L84" s="36" t="n"/>
      <c r="M84" s="39">
        <f>IF($A84="","",K84*(1+N84))</f>
        <v/>
      </c>
      <c r="N84" s="26">
        <f>IF($A84="","",IF(L84="",IFERROR(VLOOKUP(H84,Settings!$A$22:$B$27,2,FALSE),0),L84))</f>
        <v/>
      </c>
      <c r="O84" s="9">
        <f>IF(AND($A84&lt;&gt;"",$A84=Proposal!$I$2),COUNTIF($A$5:$A84,Proposal!$I$2),"")</f>
        <v/>
      </c>
      <c r="P84" s="9">
        <f>IF($A84="","",IF(COUNTIF(Jobs!$A$5:$A$44,$A84)=0,"Unknown Job ID",IF(B84="","Missing cost code",IF(COUNTIF(Settings!$E$5:$E$28,B84)=0,"Unknown cost code",IF(AND(G84="",C84=""),"No unit cost",IF(E84="","Missing qty",""))))))</f>
        <v/>
      </c>
      <c r="Q84" s="35" t="n"/>
    </row>
    <row r="85">
      <c r="A85" s="35" t="n"/>
      <c r="B85" s="35" t="n"/>
      <c r="C85" s="35" t="n"/>
      <c r="D85" s="35" t="n"/>
      <c r="E85" s="35" t="n"/>
      <c r="F85" s="35" t="n"/>
      <c r="G85" s="37" t="n"/>
      <c r="H85" s="9">
        <f>IF(B85="","",IFERROR(VLOOKUP(B85,Settings!$E$5:$G$28,3,FALSE),"Other"))</f>
        <v/>
      </c>
      <c r="I85" s="39">
        <f>IF($A85="","",IF(G85&lt;&gt;"",G85,IFERROR(VLOOKUP(C85,'Cost Library'!$A$5:$D$204,4,FALSE),0)))</f>
        <v/>
      </c>
      <c r="J85" s="9">
        <f>IF($A85="","",IF(F85&lt;&gt;"",F85,IFERROR(VLOOKUP(C85,'Cost Library'!$A$5:$D$204,3,FALSE),"")))</f>
        <v/>
      </c>
      <c r="K85" s="39">
        <f>IF($A85="","",E85*I85)</f>
        <v/>
      </c>
      <c r="L85" s="36" t="n"/>
      <c r="M85" s="39">
        <f>IF($A85="","",K85*(1+N85))</f>
        <v/>
      </c>
      <c r="N85" s="26">
        <f>IF($A85="","",IF(L85="",IFERROR(VLOOKUP(H85,Settings!$A$22:$B$27,2,FALSE),0),L85))</f>
        <v/>
      </c>
      <c r="O85" s="9">
        <f>IF(AND($A85&lt;&gt;"",$A85=Proposal!$I$2),COUNTIF($A$5:$A85,Proposal!$I$2),"")</f>
        <v/>
      </c>
      <c r="P85" s="9">
        <f>IF($A85="","",IF(COUNTIF(Jobs!$A$5:$A$44,$A85)=0,"Unknown Job ID",IF(B85="","Missing cost code",IF(COUNTIF(Settings!$E$5:$E$28,B85)=0,"Unknown cost code",IF(AND(G85="",C85=""),"No unit cost",IF(E85="","Missing qty",""))))))</f>
        <v/>
      </c>
      <c r="Q85" s="35" t="n"/>
    </row>
    <row r="86">
      <c r="A86" s="35" t="n"/>
      <c r="B86" s="35" t="n"/>
      <c r="C86" s="35" t="n"/>
      <c r="D86" s="35" t="n"/>
      <c r="E86" s="35" t="n"/>
      <c r="F86" s="35" t="n"/>
      <c r="G86" s="37" t="n"/>
      <c r="H86" s="9">
        <f>IF(B86="","",IFERROR(VLOOKUP(B86,Settings!$E$5:$G$28,3,FALSE),"Other"))</f>
        <v/>
      </c>
      <c r="I86" s="39">
        <f>IF($A86="","",IF(G86&lt;&gt;"",G86,IFERROR(VLOOKUP(C86,'Cost Library'!$A$5:$D$204,4,FALSE),0)))</f>
        <v/>
      </c>
      <c r="J86" s="9">
        <f>IF($A86="","",IF(F86&lt;&gt;"",F86,IFERROR(VLOOKUP(C86,'Cost Library'!$A$5:$D$204,3,FALSE),"")))</f>
        <v/>
      </c>
      <c r="K86" s="39">
        <f>IF($A86="","",E86*I86)</f>
        <v/>
      </c>
      <c r="L86" s="36" t="n"/>
      <c r="M86" s="39">
        <f>IF($A86="","",K86*(1+N86))</f>
        <v/>
      </c>
      <c r="N86" s="26">
        <f>IF($A86="","",IF(L86="",IFERROR(VLOOKUP(H86,Settings!$A$22:$B$27,2,FALSE),0),L86))</f>
        <v/>
      </c>
      <c r="O86" s="9">
        <f>IF(AND($A86&lt;&gt;"",$A86=Proposal!$I$2),COUNTIF($A$5:$A86,Proposal!$I$2),"")</f>
        <v/>
      </c>
      <c r="P86" s="9">
        <f>IF($A86="","",IF(COUNTIF(Jobs!$A$5:$A$44,$A86)=0,"Unknown Job ID",IF(B86="","Missing cost code",IF(COUNTIF(Settings!$E$5:$E$28,B86)=0,"Unknown cost code",IF(AND(G86="",C86=""),"No unit cost",IF(E86="","Missing qty",""))))))</f>
        <v/>
      </c>
      <c r="Q86" s="35" t="n"/>
    </row>
    <row r="87">
      <c r="A87" s="35" t="n"/>
      <c r="B87" s="35" t="n"/>
      <c r="C87" s="35" t="n"/>
      <c r="D87" s="35" t="n"/>
      <c r="E87" s="35" t="n"/>
      <c r="F87" s="35" t="n"/>
      <c r="G87" s="37" t="n"/>
      <c r="H87" s="9">
        <f>IF(B87="","",IFERROR(VLOOKUP(B87,Settings!$E$5:$G$28,3,FALSE),"Other"))</f>
        <v/>
      </c>
      <c r="I87" s="39">
        <f>IF($A87="","",IF(G87&lt;&gt;"",G87,IFERROR(VLOOKUP(C87,'Cost Library'!$A$5:$D$204,4,FALSE),0)))</f>
        <v/>
      </c>
      <c r="J87" s="9">
        <f>IF($A87="","",IF(F87&lt;&gt;"",F87,IFERROR(VLOOKUP(C87,'Cost Library'!$A$5:$D$204,3,FALSE),"")))</f>
        <v/>
      </c>
      <c r="K87" s="39">
        <f>IF($A87="","",E87*I87)</f>
        <v/>
      </c>
      <c r="L87" s="36" t="n"/>
      <c r="M87" s="39">
        <f>IF($A87="","",K87*(1+N87))</f>
        <v/>
      </c>
      <c r="N87" s="26">
        <f>IF($A87="","",IF(L87="",IFERROR(VLOOKUP(H87,Settings!$A$22:$B$27,2,FALSE),0),L87))</f>
        <v/>
      </c>
      <c r="O87" s="9">
        <f>IF(AND($A87&lt;&gt;"",$A87=Proposal!$I$2),COUNTIF($A$5:$A87,Proposal!$I$2),"")</f>
        <v/>
      </c>
      <c r="P87" s="9">
        <f>IF($A87="","",IF(COUNTIF(Jobs!$A$5:$A$44,$A87)=0,"Unknown Job ID",IF(B87="","Missing cost code",IF(COUNTIF(Settings!$E$5:$E$28,B87)=0,"Unknown cost code",IF(AND(G87="",C87=""),"No unit cost",IF(E87="","Missing qty",""))))))</f>
        <v/>
      </c>
      <c r="Q87" s="35" t="n"/>
    </row>
    <row r="88">
      <c r="A88" s="35" t="n"/>
      <c r="B88" s="35" t="n"/>
      <c r="C88" s="35" t="n"/>
      <c r="D88" s="35" t="n"/>
      <c r="E88" s="35" t="n"/>
      <c r="F88" s="35" t="n"/>
      <c r="G88" s="37" t="n"/>
      <c r="H88" s="9">
        <f>IF(B88="","",IFERROR(VLOOKUP(B88,Settings!$E$5:$G$28,3,FALSE),"Other"))</f>
        <v/>
      </c>
      <c r="I88" s="39">
        <f>IF($A88="","",IF(G88&lt;&gt;"",G88,IFERROR(VLOOKUP(C88,'Cost Library'!$A$5:$D$204,4,FALSE),0)))</f>
        <v/>
      </c>
      <c r="J88" s="9">
        <f>IF($A88="","",IF(F88&lt;&gt;"",F88,IFERROR(VLOOKUP(C88,'Cost Library'!$A$5:$D$204,3,FALSE),"")))</f>
        <v/>
      </c>
      <c r="K88" s="39">
        <f>IF($A88="","",E88*I88)</f>
        <v/>
      </c>
      <c r="L88" s="36" t="n"/>
      <c r="M88" s="39">
        <f>IF($A88="","",K88*(1+N88))</f>
        <v/>
      </c>
      <c r="N88" s="26">
        <f>IF($A88="","",IF(L88="",IFERROR(VLOOKUP(H88,Settings!$A$22:$B$27,2,FALSE),0),L88))</f>
        <v/>
      </c>
      <c r="O88" s="9">
        <f>IF(AND($A88&lt;&gt;"",$A88=Proposal!$I$2),COUNTIF($A$5:$A88,Proposal!$I$2),"")</f>
        <v/>
      </c>
      <c r="P88" s="9">
        <f>IF($A88="","",IF(COUNTIF(Jobs!$A$5:$A$44,$A88)=0,"Unknown Job ID",IF(B88="","Missing cost code",IF(COUNTIF(Settings!$E$5:$E$28,B88)=0,"Unknown cost code",IF(AND(G88="",C88=""),"No unit cost",IF(E88="","Missing qty",""))))))</f>
        <v/>
      </c>
      <c r="Q88" s="35" t="n"/>
    </row>
    <row r="89">
      <c r="A89" s="35" t="n"/>
      <c r="B89" s="35" t="n"/>
      <c r="C89" s="35" t="n"/>
      <c r="D89" s="35" t="n"/>
      <c r="E89" s="35" t="n"/>
      <c r="F89" s="35" t="n"/>
      <c r="G89" s="37" t="n"/>
      <c r="H89" s="9">
        <f>IF(B89="","",IFERROR(VLOOKUP(B89,Settings!$E$5:$G$28,3,FALSE),"Other"))</f>
        <v/>
      </c>
      <c r="I89" s="39">
        <f>IF($A89="","",IF(G89&lt;&gt;"",G89,IFERROR(VLOOKUP(C89,'Cost Library'!$A$5:$D$204,4,FALSE),0)))</f>
        <v/>
      </c>
      <c r="J89" s="9">
        <f>IF($A89="","",IF(F89&lt;&gt;"",F89,IFERROR(VLOOKUP(C89,'Cost Library'!$A$5:$D$204,3,FALSE),"")))</f>
        <v/>
      </c>
      <c r="K89" s="39">
        <f>IF($A89="","",E89*I89)</f>
        <v/>
      </c>
      <c r="L89" s="36" t="n"/>
      <c r="M89" s="39">
        <f>IF($A89="","",K89*(1+N89))</f>
        <v/>
      </c>
      <c r="N89" s="26">
        <f>IF($A89="","",IF(L89="",IFERROR(VLOOKUP(H89,Settings!$A$22:$B$27,2,FALSE),0),L89))</f>
        <v/>
      </c>
      <c r="O89" s="9">
        <f>IF(AND($A89&lt;&gt;"",$A89=Proposal!$I$2),COUNTIF($A$5:$A89,Proposal!$I$2),"")</f>
        <v/>
      </c>
      <c r="P89" s="9">
        <f>IF($A89="","",IF(COUNTIF(Jobs!$A$5:$A$44,$A89)=0,"Unknown Job ID",IF(B89="","Missing cost code",IF(COUNTIF(Settings!$E$5:$E$28,B89)=0,"Unknown cost code",IF(AND(G89="",C89=""),"No unit cost",IF(E89="","Missing qty",""))))))</f>
        <v/>
      </c>
      <c r="Q89" s="35" t="n"/>
    </row>
    <row r="90">
      <c r="A90" s="35" t="n"/>
      <c r="B90" s="35" t="n"/>
      <c r="C90" s="35" t="n"/>
      <c r="D90" s="35" t="n"/>
      <c r="E90" s="35" t="n"/>
      <c r="F90" s="35" t="n"/>
      <c r="G90" s="37" t="n"/>
      <c r="H90" s="9">
        <f>IF(B90="","",IFERROR(VLOOKUP(B90,Settings!$E$5:$G$28,3,FALSE),"Other"))</f>
        <v/>
      </c>
      <c r="I90" s="39">
        <f>IF($A90="","",IF(G90&lt;&gt;"",G90,IFERROR(VLOOKUP(C90,'Cost Library'!$A$5:$D$204,4,FALSE),0)))</f>
        <v/>
      </c>
      <c r="J90" s="9">
        <f>IF($A90="","",IF(F90&lt;&gt;"",F90,IFERROR(VLOOKUP(C90,'Cost Library'!$A$5:$D$204,3,FALSE),"")))</f>
        <v/>
      </c>
      <c r="K90" s="39">
        <f>IF($A90="","",E90*I90)</f>
        <v/>
      </c>
      <c r="L90" s="36" t="n"/>
      <c r="M90" s="39">
        <f>IF($A90="","",K90*(1+N90))</f>
        <v/>
      </c>
      <c r="N90" s="26">
        <f>IF($A90="","",IF(L90="",IFERROR(VLOOKUP(H90,Settings!$A$22:$B$27,2,FALSE),0),L90))</f>
        <v/>
      </c>
      <c r="O90" s="9">
        <f>IF(AND($A90&lt;&gt;"",$A90=Proposal!$I$2),COUNTIF($A$5:$A90,Proposal!$I$2),"")</f>
        <v/>
      </c>
      <c r="P90" s="9">
        <f>IF($A90="","",IF(COUNTIF(Jobs!$A$5:$A$44,$A90)=0,"Unknown Job ID",IF(B90="","Missing cost code",IF(COUNTIF(Settings!$E$5:$E$28,B90)=0,"Unknown cost code",IF(AND(G90="",C90=""),"No unit cost",IF(E90="","Missing qty",""))))))</f>
        <v/>
      </c>
      <c r="Q90" s="35" t="n"/>
    </row>
    <row r="91">
      <c r="A91" s="35" t="n"/>
      <c r="B91" s="35" t="n"/>
      <c r="C91" s="35" t="n"/>
      <c r="D91" s="35" t="n"/>
      <c r="E91" s="35" t="n"/>
      <c r="F91" s="35" t="n"/>
      <c r="G91" s="37" t="n"/>
      <c r="H91" s="9">
        <f>IF(B91="","",IFERROR(VLOOKUP(B91,Settings!$E$5:$G$28,3,FALSE),"Other"))</f>
        <v/>
      </c>
      <c r="I91" s="39">
        <f>IF($A91="","",IF(G91&lt;&gt;"",G91,IFERROR(VLOOKUP(C91,'Cost Library'!$A$5:$D$204,4,FALSE),0)))</f>
        <v/>
      </c>
      <c r="J91" s="9">
        <f>IF($A91="","",IF(F91&lt;&gt;"",F91,IFERROR(VLOOKUP(C91,'Cost Library'!$A$5:$D$204,3,FALSE),"")))</f>
        <v/>
      </c>
      <c r="K91" s="39">
        <f>IF($A91="","",E91*I91)</f>
        <v/>
      </c>
      <c r="L91" s="36" t="n"/>
      <c r="M91" s="39">
        <f>IF($A91="","",K91*(1+N91))</f>
        <v/>
      </c>
      <c r="N91" s="26">
        <f>IF($A91="","",IF(L91="",IFERROR(VLOOKUP(H91,Settings!$A$22:$B$27,2,FALSE),0),L91))</f>
        <v/>
      </c>
      <c r="O91" s="9">
        <f>IF(AND($A91&lt;&gt;"",$A91=Proposal!$I$2),COUNTIF($A$5:$A91,Proposal!$I$2),"")</f>
        <v/>
      </c>
      <c r="P91" s="9">
        <f>IF($A91="","",IF(COUNTIF(Jobs!$A$5:$A$44,$A91)=0,"Unknown Job ID",IF(B91="","Missing cost code",IF(COUNTIF(Settings!$E$5:$E$28,B91)=0,"Unknown cost code",IF(AND(G91="",C91=""),"No unit cost",IF(E91="","Missing qty",""))))))</f>
        <v/>
      </c>
      <c r="Q91" s="35" t="n"/>
    </row>
    <row r="92">
      <c r="A92" s="35" t="n"/>
      <c r="B92" s="35" t="n"/>
      <c r="C92" s="35" t="n"/>
      <c r="D92" s="35" t="n"/>
      <c r="E92" s="35" t="n"/>
      <c r="F92" s="35" t="n"/>
      <c r="G92" s="37" t="n"/>
      <c r="H92" s="9">
        <f>IF(B92="","",IFERROR(VLOOKUP(B92,Settings!$E$5:$G$28,3,FALSE),"Other"))</f>
        <v/>
      </c>
      <c r="I92" s="39">
        <f>IF($A92="","",IF(G92&lt;&gt;"",G92,IFERROR(VLOOKUP(C92,'Cost Library'!$A$5:$D$204,4,FALSE),0)))</f>
        <v/>
      </c>
      <c r="J92" s="9">
        <f>IF($A92="","",IF(F92&lt;&gt;"",F92,IFERROR(VLOOKUP(C92,'Cost Library'!$A$5:$D$204,3,FALSE),"")))</f>
        <v/>
      </c>
      <c r="K92" s="39">
        <f>IF($A92="","",E92*I92)</f>
        <v/>
      </c>
      <c r="L92" s="36" t="n"/>
      <c r="M92" s="39">
        <f>IF($A92="","",K92*(1+N92))</f>
        <v/>
      </c>
      <c r="N92" s="26">
        <f>IF($A92="","",IF(L92="",IFERROR(VLOOKUP(H92,Settings!$A$22:$B$27,2,FALSE),0),L92))</f>
        <v/>
      </c>
      <c r="O92" s="9">
        <f>IF(AND($A92&lt;&gt;"",$A92=Proposal!$I$2),COUNTIF($A$5:$A92,Proposal!$I$2),"")</f>
        <v/>
      </c>
      <c r="P92" s="9">
        <f>IF($A92="","",IF(COUNTIF(Jobs!$A$5:$A$44,$A92)=0,"Unknown Job ID",IF(B92="","Missing cost code",IF(COUNTIF(Settings!$E$5:$E$28,B92)=0,"Unknown cost code",IF(AND(G92="",C92=""),"No unit cost",IF(E92="","Missing qty",""))))))</f>
        <v/>
      </c>
      <c r="Q92" s="35" t="n"/>
    </row>
    <row r="93">
      <c r="A93" s="35" t="n"/>
      <c r="B93" s="35" t="n"/>
      <c r="C93" s="35" t="n"/>
      <c r="D93" s="35" t="n"/>
      <c r="E93" s="35" t="n"/>
      <c r="F93" s="35" t="n"/>
      <c r="G93" s="37" t="n"/>
      <c r="H93" s="9">
        <f>IF(B93="","",IFERROR(VLOOKUP(B93,Settings!$E$5:$G$28,3,FALSE),"Other"))</f>
        <v/>
      </c>
      <c r="I93" s="39">
        <f>IF($A93="","",IF(G93&lt;&gt;"",G93,IFERROR(VLOOKUP(C93,'Cost Library'!$A$5:$D$204,4,FALSE),0)))</f>
        <v/>
      </c>
      <c r="J93" s="9">
        <f>IF($A93="","",IF(F93&lt;&gt;"",F93,IFERROR(VLOOKUP(C93,'Cost Library'!$A$5:$D$204,3,FALSE),"")))</f>
        <v/>
      </c>
      <c r="K93" s="39">
        <f>IF($A93="","",E93*I93)</f>
        <v/>
      </c>
      <c r="L93" s="36" t="n"/>
      <c r="M93" s="39">
        <f>IF($A93="","",K93*(1+N93))</f>
        <v/>
      </c>
      <c r="N93" s="26">
        <f>IF($A93="","",IF(L93="",IFERROR(VLOOKUP(H93,Settings!$A$22:$B$27,2,FALSE),0),L93))</f>
        <v/>
      </c>
      <c r="O93" s="9">
        <f>IF(AND($A93&lt;&gt;"",$A93=Proposal!$I$2),COUNTIF($A$5:$A93,Proposal!$I$2),"")</f>
        <v/>
      </c>
      <c r="P93" s="9">
        <f>IF($A93="","",IF(COUNTIF(Jobs!$A$5:$A$44,$A93)=0,"Unknown Job ID",IF(B93="","Missing cost code",IF(COUNTIF(Settings!$E$5:$E$28,B93)=0,"Unknown cost code",IF(AND(G93="",C93=""),"No unit cost",IF(E93="","Missing qty",""))))))</f>
        <v/>
      </c>
      <c r="Q93" s="35" t="n"/>
    </row>
    <row r="94">
      <c r="A94" s="35" t="n"/>
      <c r="B94" s="35" t="n"/>
      <c r="C94" s="35" t="n"/>
      <c r="D94" s="35" t="n"/>
      <c r="E94" s="35" t="n"/>
      <c r="F94" s="35" t="n"/>
      <c r="G94" s="37" t="n"/>
      <c r="H94" s="9">
        <f>IF(B94="","",IFERROR(VLOOKUP(B94,Settings!$E$5:$G$28,3,FALSE),"Other"))</f>
        <v/>
      </c>
      <c r="I94" s="39">
        <f>IF($A94="","",IF(G94&lt;&gt;"",G94,IFERROR(VLOOKUP(C94,'Cost Library'!$A$5:$D$204,4,FALSE),0)))</f>
        <v/>
      </c>
      <c r="J94" s="9">
        <f>IF($A94="","",IF(F94&lt;&gt;"",F94,IFERROR(VLOOKUP(C94,'Cost Library'!$A$5:$D$204,3,FALSE),"")))</f>
        <v/>
      </c>
      <c r="K94" s="39">
        <f>IF($A94="","",E94*I94)</f>
        <v/>
      </c>
      <c r="L94" s="36" t="n"/>
      <c r="M94" s="39">
        <f>IF($A94="","",K94*(1+N94))</f>
        <v/>
      </c>
      <c r="N94" s="26">
        <f>IF($A94="","",IF(L94="",IFERROR(VLOOKUP(H94,Settings!$A$22:$B$27,2,FALSE),0),L94))</f>
        <v/>
      </c>
      <c r="O94" s="9">
        <f>IF(AND($A94&lt;&gt;"",$A94=Proposal!$I$2),COUNTIF($A$5:$A94,Proposal!$I$2),"")</f>
        <v/>
      </c>
      <c r="P94" s="9">
        <f>IF($A94="","",IF(COUNTIF(Jobs!$A$5:$A$44,$A94)=0,"Unknown Job ID",IF(B94="","Missing cost code",IF(COUNTIF(Settings!$E$5:$E$28,B94)=0,"Unknown cost code",IF(AND(G94="",C94=""),"No unit cost",IF(E94="","Missing qty",""))))))</f>
        <v/>
      </c>
      <c r="Q94" s="35" t="n"/>
    </row>
    <row r="95">
      <c r="A95" s="35" t="n"/>
      <c r="B95" s="35" t="n"/>
      <c r="C95" s="35" t="n"/>
      <c r="D95" s="35" t="n"/>
      <c r="E95" s="35" t="n"/>
      <c r="F95" s="35" t="n"/>
      <c r="G95" s="37" t="n"/>
      <c r="H95" s="9">
        <f>IF(B95="","",IFERROR(VLOOKUP(B95,Settings!$E$5:$G$28,3,FALSE),"Other"))</f>
        <v/>
      </c>
      <c r="I95" s="39">
        <f>IF($A95="","",IF(G95&lt;&gt;"",G95,IFERROR(VLOOKUP(C95,'Cost Library'!$A$5:$D$204,4,FALSE),0)))</f>
        <v/>
      </c>
      <c r="J95" s="9">
        <f>IF($A95="","",IF(F95&lt;&gt;"",F95,IFERROR(VLOOKUP(C95,'Cost Library'!$A$5:$D$204,3,FALSE),"")))</f>
        <v/>
      </c>
      <c r="K95" s="39">
        <f>IF($A95="","",E95*I95)</f>
        <v/>
      </c>
      <c r="L95" s="36" t="n"/>
      <c r="M95" s="39">
        <f>IF($A95="","",K95*(1+N95))</f>
        <v/>
      </c>
      <c r="N95" s="26">
        <f>IF($A95="","",IF(L95="",IFERROR(VLOOKUP(H95,Settings!$A$22:$B$27,2,FALSE),0),L95))</f>
        <v/>
      </c>
      <c r="O95" s="9">
        <f>IF(AND($A95&lt;&gt;"",$A95=Proposal!$I$2),COUNTIF($A$5:$A95,Proposal!$I$2),"")</f>
        <v/>
      </c>
      <c r="P95" s="9">
        <f>IF($A95="","",IF(COUNTIF(Jobs!$A$5:$A$44,$A95)=0,"Unknown Job ID",IF(B95="","Missing cost code",IF(COUNTIF(Settings!$E$5:$E$28,B95)=0,"Unknown cost code",IF(AND(G95="",C95=""),"No unit cost",IF(E95="","Missing qty",""))))))</f>
        <v/>
      </c>
      <c r="Q95" s="35" t="n"/>
    </row>
    <row r="96">
      <c r="A96" s="35" t="n"/>
      <c r="B96" s="35" t="n"/>
      <c r="C96" s="35" t="n"/>
      <c r="D96" s="35" t="n"/>
      <c r="E96" s="35" t="n"/>
      <c r="F96" s="35" t="n"/>
      <c r="G96" s="37" t="n"/>
      <c r="H96" s="9">
        <f>IF(B96="","",IFERROR(VLOOKUP(B96,Settings!$E$5:$G$28,3,FALSE),"Other"))</f>
        <v/>
      </c>
      <c r="I96" s="39">
        <f>IF($A96="","",IF(G96&lt;&gt;"",G96,IFERROR(VLOOKUP(C96,'Cost Library'!$A$5:$D$204,4,FALSE),0)))</f>
        <v/>
      </c>
      <c r="J96" s="9">
        <f>IF($A96="","",IF(F96&lt;&gt;"",F96,IFERROR(VLOOKUP(C96,'Cost Library'!$A$5:$D$204,3,FALSE),"")))</f>
        <v/>
      </c>
      <c r="K96" s="39">
        <f>IF($A96="","",E96*I96)</f>
        <v/>
      </c>
      <c r="L96" s="36" t="n"/>
      <c r="M96" s="39">
        <f>IF($A96="","",K96*(1+N96))</f>
        <v/>
      </c>
      <c r="N96" s="26">
        <f>IF($A96="","",IF(L96="",IFERROR(VLOOKUP(H96,Settings!$A$22:$B$27,2,FALSE),0),L96))</f>
        <v/>
      </c>
      <c r="O96" s="9">
        <f>IF(AND($A96&lt;&gt;"",$A96=Proposal!$I$2),COUNTIF($A$5:$A96,Proposal!$I$2),"")</f>
        <v/>
      </c>
      <c r="P96" s="9">
        <f>IF($A96="","",IF(COUNTIF(Jobs!$A$5:$A$44,$A96)=0,"Unknown Job ID",IF(B96="","Missing cost code",IF(COUNTIF(Settings!$E$5:$E$28,B96)=0,"Unknown cost code",IF(AND(G96="",C96=""),"No unit cost",IF(E96="","Missing qty",""))))))</f>
        <v/>
      </c>
      <c r="Q96" s="35" t="n"/>
    </row>
    <row r="97">
      <c r="A97" s="35" t="n"/>
      <c r="B97" s="35" t="n"/>
      <c r="C97" s="35" t="n"/>
      <c r="D97" s="35" t="n"/>
      <c r="E97" s="35" t="n"/>
      <c r="F97" s="35" t="n"/>
      <c r="G97" s="37" t="n"/>
      <c r="H97" s="9">
        <f>IF(B97="","",IFERROR(VLOOKUP(B97,Settings!$E$5:$G$28,3,FALSE),"Other"))</f>
        <v/>
      </c>
      <c r="I97" s="39">
        <f>IF($A97="","",IF(G97&lt;&gt;"",G97,IFERROR(VLOOKUP(C97,'Cost Library'!$A$5:$D$204,4,FALSE),0)))</f>
        <v/>
      </c>
      <c r="J97" s="9">
        <f>IF($A97="","",IF(F97&lt;&gt;"",F97,IFERROR(VLOOKUP(C97,'Cost Library'!$A$5:$D$204,3,FALSE),"")))</f>
        <v/>
      </c>
      <c r="K97" s="39">
        <f>IF($A97="","",E97*I97)</f>
        <v/>
      </c>
      <c r="L97" s="36" t="n"/>
      <c r="M97" s="39">
        <f>IF($A97="","",K97*(1+N97))</f>
        <v/>
      </c>
      <c r="N97" s="26">
        <f>IF($A97="","",IF(L97="",IFERROR(VLOOKUP(H97,Settings!$A$22:$B$27,2,FALSE),0),L97))</f>
        <v/>
      </c>
      <c r="O97" s="9">
        <f>IF(AND($A97&lt;&gt;"",$A97=Proposal!$I$2),COUNTIF($A$5:$A97,Proposal!$I$2),"")</f>
        <v/>
      </c>
      <c r="P97" s="9">
        <f>IF($A97="","",IF(COUNTIF(Jobs!$A$5:$A$44,$A97)=0,"Unknown Job ID",IF(B97="","Missing cost code",IF(COUNTIF(Settings!$E$5:$E$28,B97)=0,"Unknown cost code",IF(AND(G97="",C97=""),"No unit cost",IF(E97="","Missing qty",""))))))</f>
        <v/>
      </c>
      <c r="Q97" s="35" t="n"/>
    </row>
    <row r="98">
      <c r="A98" s="35" t="n"/>
      <c r="B98" s="35" t="n"/>
      <c r="C98" s="35" t="n"/>
      <c r="D98" s="35" t="n"/>
      <c r="E98" s="35" t="n"/>
      <c r="F98" s="35" t="n"/>
      <c r="G98" s="37" t="n"/>
      <c r="H98" s="9">
        <f>IF(B98="","",IFERROR(VLOOKUP(B98,Settings!$E$5:$G$28,3,FALSE),"Other"))</f>
        <v/>
      </c>
      <c r="I98" s="39">
        <f>IF($A98="","",IF(G98&lt;&gt;"",G98,IFERROR(VLOOKUP(C98,'Cost Library'!$A$5:$D$204,4,FALSE),0)))</f>
        <v/>
      </c>
      <c r="J98" s="9">
        <f>IF($A98="","",IF(F98&lt;&gt;"",F98,IFERROR(VLOOKUP(C98,'Cost Library'!$A$5:$D$204,3,FALSE),"")))</f>
        <v/>
      </c>
      <c r="K98" s="39">
        <f>IF($A98="","",E98*I98)</f>
        <v/>
      </c>
      <c r="L98" s="36" t="n"/>
      <c r="M98" s="39">
        <f>IF($A98="","",K98*(1+N98))</f>
        <v/>
      </c>
      <c r="N98" s="26">
        <f>IF($A98="","",IF(L98="",IFERROR(VLOOKUP(H98,Settings!$A$22:$B$27,2,FALSE),0),L98))</f>
        <v/>
      </c>
      <c r="O98" s="9">
        <f>IF(AND($A98&lt;&gt;"",$A98=Proposal!$I$2),COUNTIF($A$5:$A98,Proposal!$I$2),"")</f>
        <v/>
      </c>
      <c r="P98" s="9">
        <f>IF($A98="","",IF(COUNTIF(Jobs!$A$5:$A$44,$A98)=0,"Unknown Job ID",IF(B98="","Missing cost code",IF(COUNTIF(Settings!$E$5:$E$28,B98)=0,"Unknown cost code",IF(AND(G98="",C98=""),"No unit cost",IF(E98="","Missing qty",""))))))</f>
        <v/>
      </c>
      <c r="Q98" s="35" t="n"/>
    </row>
    <row r="99">
      <c r="A99" s="35" t="n"/>
      <c r="B99" s="35" t="n"/>
      <c r="C99" s="35" t="n"/>
      <c r="D99" s="35" t="n"/>
      <c r="E99" s="35" t="n"/>
      <c r="F99" s="35" t="n"/>
      <c r="G99" s="37" t="n"/>
      <c r="H99" s="9">
        <f>IF(B99="","",IFERROR(VLOOKUP(B99,Settings!$E$5:$G$28,3,FALSE),"Other"))</f>
        <v/>
      </c>
      <c r="I99" s="39">
        <f>IF($A99="","",IF(G99&lt;&gt;"",G99,IFERROR(VLOOKUP(C99,'Cost Library'!$A$5:$D$204,4,FALSE),0)))</f>
        <v/>
      </c>
      <c r="J99" s="9">
        <f>IF($A99="","",IF(F99&lt;&gt;"",F99,IFERROR(VLOOKUP(C99,'Cost Library'!$A$5:$D$204,3,FALSE),"")))</f>
        <v/>
      </c>
      <c r="K99" s="39">
        <f>IF($A99="","",E99*I99)</f>
        <v/>
      </c>
      <c r="L99" s="36" t="n"/>
      <c r="M99" s="39">
        <f>IF($A99="","",K99*(1+N99))</f>
        <v/>
      </c>
      <c r="N99" s="26">
        <f>IF($A99="","",IF(L99="",IFERROR(VLOOKUP(H99,Settings!$A$22:$B$27,2,FALSE),0),L99))</f>
        <v/>
      </c>
      <c r="O99" s="9">
        <f>IF(AND($A99&lt;&gt;"",$A99=Proposal!$I$2),COUNTIF($A$5:$A99,Proposal!$I$2),"")</f>
        <v/>
      </c>
      <c r="P99" s="9">
        <f>IF($A99="","",IF(COUNTIF(Jobs!$A$5:$A$44,$A99)=0,"Unknown Job ID",IF(B99="","Missing cost code",IF(COUNTIF(Settings!$E$5:$E$28,B99)=0,"Unknown cost code",IF(AND(G99="",C99=""),"No unit cost",IF(E99="","Missing qty",""))))))</f>
        <v/>
      </c>
      <c r="Q99" s="35" t="n"/>
    </row>
    <row r="100">
      <c r="A100" s="35" t="n"/>
      <c r="B100" s="35" t="n"/>
      <c r="C100" s="35" t="n"/>
      <c r="D100" s="35" t="n"/>
      <c r="E100" s="35" t="n"/>
      <c r="F100" s="35" t="n"/>
      <c r="G100" s="37" t="n"/>
      <c r="H100" s="9">
        <f>IF(B100="","",IFERROR(VLOOKUP(B100,Settings!$E$5:$G$28,3,FALSE),"Other"))</f>
        <v/>
      </c>
      <c r="I100" s="39">
        <f>IF($A100="","",IF(G100&lt;&gt;"",G100,IFERROR(VLOOKUP(C100,'Cost Library'!$A$5:$D$204,4,FALSE),0)))</f>
        <v/>
      </c>
      <c r="J100" s="9">
        <f>IF($A100="","",IF(F100&lt;&gt;"",F100,IFERROR(VLOOKUP(C100,'Cost Library'!$A$5:$D$204,3,FALSE),"")))</f>
        <v/>
      </c>
      <c r="K100" s="39">
        <f>IF($A100="","",E100*I100)</f>
        <v/>
      </c>
      <c r="L100" s="36" t="n"/>
      <c r="M100" s="39">
        <f>IF($A100="","",K100*(1+N100))</f>
        <v/>
      </c>
      <c r="N100" s="26">
        <f>IF($A100="","",IF(L100="",IFERROR(VLOOKUP(H100,Settings!$A$22:$B$27,2,FALSE),0),L100))</f>
        <v/>
      </c>
      <c r="O100" s="9">
        <f>IF(AND($A100&lt;&gt;"",$A100=Proposal!$I$2),COUNTIF($A$5:$A100,Proposal!$I$2),"")</f>
        <v/>
      </c>
      <c r="P100" s="9">
        <f>IF($A100="","",IF(COUNTIF(Jobs!$A$5:$A$44,$A100)=0,"Unknown Job ID",IF(B100="","Missing cost code",IF(COUNTIF(Settings!$E$5:$E$28,B100)=0,"Unknown cost code",IF(AND(G100="",C100=""),"No unit cost",IF(E100="","Missing qty",""))))))</f>
        <v/>
      </c>
      <c r="Q100" s="35" t="n"/>
    </row>
    <row r="101">
      <c r="A101" s="35" t="n"/>
      <c r="B101" s="35" t="n"/>
      <c r="C101" s="35" t="n"/>
      <c r="D101" s="35" t="n"/>
      <c r="E101" s="35" t="n"/>
      <c r="F101" s="35" t="n"/>
      <c r="G101" s="37" t="n"/>
      <c r="H101" s="9">
        <f>IF(B101="","",IFERROR(VLOOKUP(B101,Settings!$E$5:$G$28,3,FALSE),"Other"))</f>
        <v/>
      </c>
      <c r="I101" s="39">
        <f>IF($A101="","",IF(G101&lt;&gt;"",G101,IFERROR(VLOOKUP(C101,'Cost Library'!$A$5:$D$204,4,FALSE),0)))</f>
        <v/>
      </c>
      <c r="J101" s="9">
        <f>IF($A101="","",IF(F101&lt;&gt;"",F101,IFERROR(VLOOKUP(C101,'Cost Library'!$A$5:$D$204,3,FALSE),"")))</f>
        <v/>
      </c>
      <c r="K101" s="39">
        <f>IF($A101="","",E101*I101)</f>
        <v/>
      </c>
      <c r="L101" s="36" t="n"/>
      <c r="M101" s="39">
        <f>IF($A101="","",K101*(1+N101))</f>
        <v/>
      </c>
      <c r="N101" s="26">
        <f>IF($A101="","",IF(L101="",IFERROR(VLOOKUP(H101,Settings!$A$22:$B$27,2,FALSE),0),L101))</f>
        <v/>
      </c>
      <c r="O101" s="9">
        <f>IF(AND($A101&lt;&gt;"",$A101=Proposal!$I$2),COUNTIF($A$5:$A101,Proposal!$I$2),"")</f>
        <v/>
      </c>
      <c r="P101" s="9">
        <f>IF($A101="","",IF(COUNTIF(Jobs!$A$5:$A$44,$A101)=0,"Unknown Job ID",IF(B101="","Missing cost code",IF(COUNTIF(Settings!$E$5:$E$28,B101)=0,"Unknown cost code",IF(AND(G101="",C101=""),"No unit cost",IF(E101="","Missing qty",""))))))</f>
        <v/>
      </c>
      <c r="Q101" s="35" t="n"/>
    </row>
    <row r="102">
      <c r="A102" s="35" t="n"/>
      <c r="B102" s="35" t="n"/>
      <c r="C102" s="35" t="n"/>
      <c r="D102" s="35" t="n"/>
      <c r="E102" s="35" t="n"/>
      <c r="F102" s="35" t="n"/>
      <c r="G102" s="37" t="n"/>
      <c r="H102" s="9">
        <f>IF(B102="","",IFERROR(VLOOKUP(B102,Settings!$E$5:$G$28,3,FALSE),"Other"))</f>
        <v/>
      </c>
      <c r="I102" s="39">
        <f>IF($A102="","",IF(G102&lt;&gt;"",G102,IFERROR(VLOOKUP(C102,'Cost Library'!$A$5:$D$204,4,FALSE),0)))</f>
        <v/>
      </c>
      <c r="J102" s="9">
        <f>IF($A102="","",IF(F102&lt;&gt;"",F102,IFERROR(VLOOKUP(C102,'Cost Library'!$A$5:$D$204,3,FALSE),"")))</f>
        <v/>
      </c>
      <c r="K102" s="39">
        <f>IF($A102="","",E102*I102)</f>
        <v/>
      </c>
      <c r="L102" s="36" t="n"/>
      <c r="M102" s="39">
        <f>IF($A102="","",K102*(1+N102))</f>
        <v/>
      </c>
      <c r="N102" s="26">
        <f>IF($A102="","",IF(L102="",IFERROR(VLOOKUP(H102,Settings!$A$22:$B$27,2,FALSE),0),L102))</f>
        <v/>
      </c>
      <c r="O102" s="9">
        <f>IF(AND($A102&lt;&gt;"",$A102=Proposal!$I$2),COUNTIF($A$5:$A102,Proposal!$I$2),"")</f>
        <v/>
      </c>
      <c r="P102" s="9">
        <f>IF($A102="","",IF(COUNTIF(Jobs!$A$5:$A$44,$A102)=0,"Unknown Job ID",IF(B102="","Missing cost code",IF(COUNTIF(Settings!$E$5:$E$28,B102)=0,"Unknown cost code",IF(AND(G102="",C102=""),"No unit cost",IF(E102="","Missing qty",""))))))</f>
        <v/>
      </c>
      <c r="Q102" s="35" t="n"/>
    </row>
    <row r="103">
      <c r="A103" s="35" t="n"/>
      <c r="B103" s="35" t="n"/>
      <c r="C103" s="35" t="n"/>
      <c r="D103" s="35" t="n"/>
      <c r="E103" s="35" t="n"/>
      <c r="F103" s="35" t="n"/>
      <c r="G103" s="37" t="n"/>
      <c r="H103" s="9">
        <f>IF(B103="","",IFERROR(VLOOKUP(B103,Settings!$E$5:$G$28,3,FALSE),"Other"))</f>
        <v/>
      </c>
      <c r="I103" s="39">
        <f>IF($A103="","",IF(G103&lt;&gt;"",G103,IFERROR(VLOOKUP(C103,'Cost Library'!$A$5:$D$204,4,FALSE),0)))</f>
        <v/>
      </c>
      <c r="J103" s="9">
        <f>IF($A103="","",IF(F103&lt;&gt;"",F103,IFERROR(VLOOKUP(C103,'Cost Library'!$A$5:$D$204,3,FALSE),"")))</f>
        <v/>
      </c>
      <c r="K103" s="39">
        <f>IF($A103="","",E103*I103)</f>
        <v/>
      </c>
      <c r="L103" s="36" t="n"/>
      <c r="M103" s="39">
        <f>IF($A103="","",K103*(1+N103))</f>
        <v/>
      </c>
      <c r="N103" s="26">
        <f>IF($A103="","",IF(L103="",IFERROR(VLOOKUP(H103,Settings!$A$22:$B$27,2,FALSE),0),L103))</f>
        <v/>
      </c>
      <c r="O103" s="9">
        <f>IF(AND($A103&lt;&gt;"",$A103=Proposal!$I$2),COUNTIF($A$5:$A103,Proposal!$I$2),"")</f>
        <v/>
      </c>
      <c r="P103" s="9">
        <f>IF($A103="","",IF(COUNTIF(Jobs!$A$5:$A$44,$A103)=0,"Unknown Job ID",IF(B103="","Missing cost code",IF(COUNTIF(Settings!$E$5:$E$28,B103)=0,"Unknown cost code",IF(AND(G103="",C103=""),"No unit cost",IF(E103="","Missing qty",""))))))</f>
        <v/>
      </c>
      <c r="Q103" s="35" t="n"/>
    </row>
    <row r="104">
      <c r="A104" s="35" t="n"/>
      <c r="B104" s="35" t="n"/>
      <c r="C104" s="35" t="n"/>
      <c r="D104" s="35" t="n"/>
      <c r="E104" s="35" t="n"/>
      <c r="F104" s="35" t="n"/>
      <c r="G104" s="37" t="n"/>
      <c r="H104" s="9">
        <f>IF(B104="","",IFERROR(VLOOKUP(B104,Settings!$E$5:$G$28,3,FALSE),"Other"))</f>
        <v/>
      </c>
      <c r="I104" s="39">
        <f>IF($A104="","",IF(G104&lt;&gt;"",G104,IFERROR(VLOOKUP(C104,'Cost Library'!$A$5:$D$204,4,FALSE),0)))</f>
        <v/>
      </c>
      <c r="J104" s="9">
        <f>IF($A104="","",IF(F104&lt;&gt;"",F104,IFERROR(VLOOKUP(C104,'Cost Library'!$A$5:$D$204,3,FALSE),"")))</f>
        <v/>
      </c>
      <c r="K104" s="39">
        <f>IF($A104="","",E104*I104)</f>
        <v/>
      </c>
      <c r="L104" s="36" t="n"/>
      <c r="M104" s="39">
        <f>IF($A104="","",K104*(1+N104))</f>
        <v/>
      </c>
      <c r="N104" s="26">
        <f>IF($A104="","",IF(L104="",IFERROR(VLOOKUP(H104,Settings!$A$22:$B$27,2,FALSE),0),L104))</f>
        <v/>
      </c>
      <c r="O104" s="9">
        <f>IF(AND($A104&lt;&gt;"",$A104=Proposal!$I$2),COUNTIF($A$5:$A104,Proposal!$I$2),"")</f>
        <v/>
      </c>
      <c r="P104" s="9">
        <f>IF($A104="","",IF(COUNTIF(Jobs!$A$5:$A$44,$A104)=0,"Unknown Job ID",IF(B104="","Missing cost code",IF(COUNTIF(Settings!$E$5:$E$28,B104)=0,"Unknown cost code",IF(AND(G104="",C104=""),"No unit cost",IF(E104="","Missing qty",""))))))</f>
        <v/>
      </c>
      <c r="Q104" s="35" t="n"/>
    </row>
    <row r="105">
      <c r="A105" s="35" t="n"/>
      <c r="B105" s="35" t="n"/>
      <c r="C105" s="35" t="n"/>
      <c r="D105" s="35" t="n"/>
      <c r="E105" s="35" t="n"/>
      <c r="F105" s="35" t="n"/>
      <c r="G105" s="37" t="n"/>
      <c r="H105" s="9">
        <f>IF(B105="","",IFERROR(VLOOKUP(B105,Settings!$E$5:$G$28,3,FALSE),"Other"))</f>
        <v/>
      </c>
      <c r="I105" s="39">
        <f>IF($A105="","",IF(G105&lt;&gt;"",G105,IFERROR(VLOOKUP(C105,'Cost Library'!$A$5:$D$204,4,FALSE),0)))</f>
        <v/>
      </c>
      <c r="J105" s="9">
        <f>IF($A105="","",IF(F105&lt;&gt;"",F105,IFERROR(VLOOKUP(C105,'Cost Library'!$A$5:$D$204,3,FALSE),"")))</f>
        <v/>
      </c>
      <c r="K105" s="39">
        <f>IF($A105="","",E105*I105)</f>
        <v/>
      </c>
      <c r="L105" s="36" t="n"/>
      <c r="M105" s="39">
        <f>IF($A105="","",K105*(1+N105))</f>
        <v/>
      </c>
      <c r="N105" s="26">
        <f>IF($A105="","",IF(L105="",IFERROR(VLOOKUP(H105,Settings!$A$22:$B$27,2,FALSE),0),L105))</f>
        <v/>
      </c>
      <c r="O105" s="9">
        <f>IF(AND($A105&lt;&gt;"",$A105=Proposal!$I$2),COUNTIF($A$5:$A105,Proposal!$I$2),"")</f>
        <v/>
      </c>
      <c r="P105" s="9">
        <f>IF($A105="","",IF(COUNTIF(Jobs!$A$5:$A$44,$A105)=0,"Unknown Job ID",IF(B105="","Missing cost code",IF(COUNTIF(Settings!$E$5:$E$28,B105)=0,"Unknown cost code",IF(AND(G105="",C105=""),"No unit cost",IF(E105="","Missing qty",""))))))</f>
        <v/>
      </c>
      <c r="Q105" s="35" t="n"/>
    </row>
    <row r="106">
      <c r="A106" s="35" t="n"/>
      <c r="B106" s="35" t="n"/>
      <c r="C106" s="35" t="n"/>
      <c r="D106" s="35" t="n"/>
      <c r="E106" s="35" t="n"/>
      <c r="F106" s="35" t="n"/>
      <c r="G106" s="37" t="n"/>
      <c r="H106" s="9">
        <f>IF(B106="","",IFERROR(VLOOKUP(B106,Settings!$E$5:$G$28,3,FALSE),"Other"))</f>
        <v/>
      </c>
      <c r="I106" s="39">
        <f>IF($A106="","",IF(G106&lt;&gt;"",G106,IFERROR(VLOOKUP(C106,'Cost Library'!$A$5:$D$204,4,FALSE),0)))</f>
        <v/>
      </c>
      <c r="J106" s="9">
        <f>IF($A106="","",IF(F106&lt;&gt;"",F106,IFERROR(VLOOKUP(C106,'Cost Library'!$A$5:$D$204,3,FALSE),"")))</f>
        <v/>
      </c>
      <c r="K106" s="39">
        <f>IF($A106="","",E106*I106)</f>
        <v/>
      </c>
      <c r="L106" s="36" t="n"/>
      <c r="M106" s="39">
        <f>IF($A106="","",K106*(1+N106))</f>
        <v/>
      </c>
      <c r="N106" s="26">
        <f>IF($A106="","",IF(L106="",IFERROR(VLOOKUP(H106,Settings!$A$22:$B$27,2,FALSE),0),L106))</f>
        <v/>
      </c>
      <c r="O106" s="9">
        <f>IF(AND($A106&lt;&gt;"",$A106=Proposal!$I$2),COUNTIF($A$5:$A106,Proposal!$I$2),"")</f>
        <v/>
      </c>
      <c r="P106" s="9">
        <f>IF($A106="","",IF(COUNTIF(Jobs!$A$5:$A$44,$A106)=0,"Unknown Job ID",IF(B106="","Missing cost code",IF(COUNTIF(Settings!$E$5:$E$28,B106)=0,"Unknown cost code",IF(AND(G106="",C106=""),"No unit cost",IF(E106="","Missing qty",""))))))</f>
        <v/>
      </c>
      <c r="Q106" s="35" t="n"/>
    </row>
    <row r="107">
      <c r="A107" s="35" t="n"/>
      <c r="B107" s="35" t="n"/>
      <c r="C107" s="35" t="n"/>
      <c r="D107" s="35" t="n"/>
      <c r="E107" s="35" t="n"/>
      <c r="F107" s="35" t="n"/>
      <c r="G107" s="37" t="n"/>
      <c r="H107" s="9">
        <f>IF(B107="","",IFERROR(VLOOKUP(B107,Settings!$E$5:$G$28,3,FALSE),"Other"))</f>
        <v/>
      </c>
      <c r="I107" s="39">
        <f>IF($A107="","",IF(G107&lt;&gt;"",G107,IFERROR(VLOOKUP(C107,'Cost Library'!$A$5:$D$204,4,FALSE),0)))</f>
        <v/>
      </c>
      <c r="J107" s="9">
        <f>IF($A107="","",IF(F107&lt;&gt;"",F107,IFERROR(VLOOKUP(C107,'Cost Library'!$A$5:$D$204,3,FALSE),"")))</f>
        <v/>
      </c>
      <c r="K107" s="39">
        <f>IF($A107="","",E107*I107)</f>
        <v/>
      </c>
      <c r="L107" s="36" t="n"/>
      <c r="M107" s="39">
        <f>IF($A107="","",K107*(1+N107))</f>
        <v/>
      </c>
      <c r="N107" s="26">
        <f>IF($A107="","",IF(L107="",IFERROR(VLOOKUP(H107,Settings!$A$22:$B$27,2,FALSE),0),L107))</f>
        <v/>
      </c>
      <c r="O107" s="9">
        <f>IF(AND($A107&lt;&gt;"",$A107=Proposal!$I$2),COUNTIF($A$5:$A107,Proposal!$I$2),"")</f>
        <v/>
      </c>
      <c r="P107" s="9">
        <f>IF($A107="","",IF(COUNTIF(Jobs!$A$5:$A$44,$A107)=0,"Unknown Job ID",IF(B107="","Missing cost code",IF(COUNTIF(Settings!$E$5:$E$28,B107)=0,"Unknown cost code",IF(AND(G107="",C107=""),"No unit cost",IF(E107="","Missing qty",""))))))</f>
        <v/>
      </c>
      <c r="Q107" s="35" t="n"/>
    </row>
    <row r="108">
      <c r="A108" s="35" t="n"/>
      <c r="B108" s="35" t="n"/>
      <c r="C108" s="35" t="n"/>
      <c r="D108" s="35" t="n"/>
      <c r="E108" s="35" t="n"/>
      <c r="F108" s="35" t="n"/>
      <c r="G108" s="37" t="n"/>
      <c r="H108" s="9">
        <f>IF(B108="","",IFERROR(VLOOKUP(B108,Settings!$E$5:$G$28,3,FALSE),"Other"))</f>
        <v/>
      </c>
      <c r="I108" s="39">
        <f>IF($A108="","",IF(G108&lt;&gt;"",G108,IFERROR(VLOOKUP(C108,'Cost Library'!$A$5:$D$204,4,FALSE),0)))</f>
        <v/>
      </c>
      <c r="J108" s="9">
        <f>IF($A108="","",IF(F108&lt;&gt;"",F108,IFERROR(VLOOKUP(C108,'Cost Library'!$A$5:$D$204,3,FALSE),"")))</f>
        <v/>
      </c>
      <c r="K108" s="39">
        <f>IF($A108="","",E108*I108)</f>
        <v/>
      </c>
      <c r="L108" s="36" t="n"/>
      <c r="M108" s="39">
        <f>IF($A108="","",K108*(1+N108))</f>
        <v/>
      </c>
      <c r="N108" s="26">
        <f>IF($A108="","",IF(L108="",IFERROR(VLOOKUP(H108,Settings!$A$22:$B$27,2,FALSE),0),L108))</f>
        <v/>
      </c>
      <c r="O108" s="9">
        <f>IF(AND($A108&lt;&gt;"",$A108=Proposal!$I$2),COUNTIF($A$5:$A108,Proposal!$I$2),"")</f>
        <v/>
      </c>
      <c r="P108" s="9">
        <f>IF($A108="","",IF(COUNTIF(Jobs!$A$5:$A$44,$A108)=0,"Unknown Job ID",IF(B108="","Missing cost code",IF(COUNTIF(Settings!$E$5:$E$28,B108)=0,"Unknown cost code",IF(AND(G108="",C108=""),"No unit cost",IF(E108="","Missing qty",""))))))</f>
        <v/>
      </c>
      <c r="Q108" s="35" t="n"/>
    </row>
    <row r="109">
      <c r="A109" s="35" t="n"/>
      <c r="B109" s="35" t="n"/>
      <c r="C109" s="35" t="n"/>
      <c r="D109" s="35" t="n"/>
      <c r="E109" s="35" t="n"/>
      <c r="F109" s="35" t="n"/>
      <c r="G109" s="37" t="n"/>
      <c r="H109" s="9">
        <f>IF(B109="","",IFERROR(VLOOKUP(B109,Settings!$E$5:$G$28,3,FALSE),"Other"))</f>
        <v/>
      </c>
      <c r="I109" s="39">
        <f>IF($A109="","",IF(G109&lt;&gt;"",G109,IFERROR(VLOOKUP(C109,'Cost Library'!$A$5:$D$204,4,FALSE),0)))</f>
        <v/>
      </c>
      <c r="J109" s="9">
        <f>IF($A109="","",IF(F109&lt;&gt;"",F109,IFERROR(VLOOKUP(C109,'Cost Library'!$A$5:$D$204,3,FALSE),"")))</f>
        <v/>
      </c>
      <c r="K109" s="39">
        <f>IF($A109="","",E109*I109)</f>
        <v/>
      </c>
      <c r="L109" s="36" t="n"/>
      <c r="M109" s="39">
        <f>IF($A109="","",K109*(1+N109))</f>
        <v/>
      </c>
      <c r="N109" s="26">
        <f>IF($A109="","",IF(L109="",IFERROR(VLOOKUP(H109,Settings!$A$22:$B$27,2,FALSE),0),L109))</f>
        <v/>
      </c>
      <c r="O109" s="9">
        <f>IF(AND($A109&lt;&gt;"",$A109=Proposal!$I$2),COUNTIF($A$5:$A109,Proposal!$I$2),"")</f>
        <v/>
      </c>
      <c r="P109" s="9">
        <f>IF($A109="","",IF(COUNTIF(Jobs!$A$5:$A$44,$A109)=0,"Unknown Job ID",IF(B109="","Missing cost code",IF(COUNTIF(Settings!$E$5:$E$28,B109)=0,"Unknown cost code",IF(AND(G109="",C109=""),"No unit cost",IF(E109="","Missing qty",""))))))</f>
        <v/>
      </c>
      <c r="Q109" s="35" t="n"/>
    </row>
    <row r="110">
      <c r="A110" s="35" t="n"/>
      <c r="B110" s="35" t="n"/>
      <c r="C110" s="35" t="n"/>
      <c r="D110" s="35" t="n"/>
      <c r="E110" s="35" t="n"/>
      <c r="F110" s="35" t="n"/>
      <c r="G110" s="37" t="n"/>
      <c r="H110" s="9">
        <f>IF(B110="","",IFERROR(VLOOKUP(B110,Settings!$E$5:$G$28,3,FALSE),"Other"))</f>
        <v/>
      </c>
      <c r="I110" s="39">
        <f>IF($A110="","",IF(G110&lt;&gt;"",G110,IFERROR(VLOOKUP(C110,'Cost Library'!$A$5:$D$204,4,FALSE),0)))</f>
        <v/>
      </c>
      <c r="J110" s="9">
        <f>IF($A110="","",IF(F110&lt;&gt;"",F110,IFERROR(VLOOKUP(C110,'Cost Library'!$A$5:$D$204,3,FALSE),"")))</f>
        <v/>
      </c>
      <c r="K110" s="39">
        <f>IF($A110="","",E110*I110)</f>
        <v/>
      </c>
      <c r="L110" s="36" t="n"/>
      <c r="M110" s="39">
        <f>IF($A110="","",K110*(1+N110))</f>
        <v/>
      </c>
      <c r="N110" s="26">
        <f>IF($A110="","",IF(L110="",IFERROR(VLOOKUP(H110,Settings!$A$22:$B$27,2,FALSE),0),L110))</f>
        <v/>
      </c>
      <c r="O110" s="9">
        <f>IF(AND($A110&lt;&gt;"",$A110=Proposal!$I$2),COUNTIF($A$5:$A110,Proposal!$I$2),"")</f>
        <v/>
      </c>
      <c r="P110" s="9">
        <f>IF($A110="","",IF(COUNTIF(Jobs!$A$5:$A$44,$A110)=0,"Unknown Job ID",IF(B110="","Missing cost code",IF(COUNTIF(Settings!$E$5:$E$28,B110)=0,"Unknown cost code",IF(AND(G110="",C110=""),"No unit cost",IF(E110="","Missing qty",""))))))</f>
        <v/>
      </c>
      <c r="Q110" s="35" t="n"/>
    </row>
    <row r="111">
      <c r="A111" s="35" t="n"/>
      <c r="B111" s="35" t="n"/>
      <c r="C111" s="35" t="n"/>
      <c r="D111" s="35" t="n"/>
      <c r="E111" s="35" t="n"/>
      <c r="F111" s="35" t="n"/>
      <c r="G111" s="37" t="n"/>
      <c r="H111" s="9">
        <f>IF(B111="","",IFERROR(VLOOKUP(B111,Settings!$E$5:$G$28,3,FALSE),"Other"))</f>
        <v/>
      </c>
      <c r="I111" s="39">
        <f>IF($A111="","",IF(G111&lt;&gt;"",G111,IFERROR(VLOOKUP(C111,'Cost Library'!$A$5:$D$204,4,FALSE),0)))</f>
        <v/>
      </c>
      <c r="J111" s="9">
        <f>IF($A111="","",IF(F111&lt;&gt;"",F111,IFERROR(VLOOKUP(C111,'Cost Library'!$A$5:$D$204,3,FALSE),"")))</f>
        <v/>
      </c>
      <c r="K111" s="39">
        <f>IF($A111="","",E111*I111)</f>
        <v/>
      </c>
      <c r="L111" s="36" t="n"/>
      <c r="M111" s="39">
        <f>IF($A111="","",K111*(1+N111))</f>
        <v/>
      </c>
      <c r="N111" s="26">
        <f>IF($A111="","",IF(L111="",IFERROR(VLOOKUP(H111,Settings!$A$22:$B$27,2,FALSE),0),L111))</f>
        <v/>
      </c>
      <c r="O111" s="9">
        <f>IF(AND($A111&lt;&gt;"",$A111=Proposal!$I$2),COUNTIF($A$5:$A111,Proposal!$I$2),"")</f>
        <v/>
      </c>
      <c r="P111" s="9">
        <f>IF($A111="","",IF(COUNTIF(Jobs!$A$5:$A$44,$A111)=0,"Unknown Job ID",IF(B111="","Missing cost code",IF(COUNTIF(Settings!$E$5:$E$28,B111)=0,"Unknown cost code",IF(AND(G111="",C111=""),"No unit cost",IF(E111="","Missing qty",""))))))</f>
        <v/>
      </c>
      <c r="Q111" s="35" t="n"/>
    </row>
    <row r="112">
      <c r="A112" s="35" t="n"/>
      <c r="B112" s="35" t="n"/>
      <c r="C112" s="35" t="n"/>
      <c r="D112" s="35" t="n"/>
      <c r="E112" s="35" t="n"/>
      <c r="F112" s="35" t="n"/>
      <c r="G112" s="37" t="n"/>
      <c r="H112" s="9">
        <f>IF(B112="","",IFERROR(VLOOKUP(B112,Settings!$E$5:$G$28,3,FALSE),"Other"))</f>
        <v/>
      </c>
      <c r="I112" s="39">
        <f>IF($A112="","",IF(G112&lt;&gt;"",G112,IFERROR(VLOOKUP(C112,'Cost Library'!$A$5:$D$204,4,FALSE),0)))</f>
        <v/>
      </c>
      <c r="J112" s="9">
        <f>IF($A112="","",IF(F112&lt;&gt;"",F112,IFERROR(VLOOKUP(C112,'Cost Library'!$A$5:$D$204,3,FALSE),"")))</f>
        <v/>
      </c>
      <c r="K112" s="39">
        <f>IF($A112="","",E112*I112)</f>
        <v/>
      </c>
      <c r="L112" s="36" t="n"/>
      <c r="M112" s="39">
        <f>IF($A112="","",K112*(1+N112))</f>
        <v/>
      </c>
      <c r="N112" s="26">
        <f>IF($A112="","",IF(L112="",IFERROR(VLOOKUP(H112,Settings!$A$22:$B$27,2,FALSE),0),L112))</f>
        <v/>
      </c>
      <c r="O112" s="9">
        <f>IF(AND($A112&lt;&gt;"",$A112=Proposal!$I$2),COUNTIF($A$5:$A112,Proposal!$I$2),"")</f>
        <v/>
      </c>
      <c r="P112" s="9">
        <f>IF($A112="","",IF(COUNTIF(Jobs!$A$5:$A$44,$A112)=0,"Unknown Job ID",IF(B112="","Missing cost code",IF(COUNTIF(Settings!$E$5:$E$28,B112)=0,"Unknown cost code",IF(AND(G112="",C112=""),"No unit cost",IF(E112="","Missing qty",""))))))</f>
        <v/>
      </c>
      <c r="Q112" s="35" t="n"/>
    </row>
    <row r="113">
      <c r="A113" s="35" t="n"/>
      <c r="B113" s="35" t="n"/>
      <c r="C113" s="35" t="n"/>
      <c r="D113" s="35" t="n"/>
      <c r="E113" s="35" t="n"/>
      <c r="F113" s="35" t="n"/>
      <c r="G113" s="37" t="n"/>
      <c r="H113" s="9">
        <f>IF(B113="","",IFERROR(VLOOKUP(B113,Settings!$E$5:$G$28,3,FALSE),"Other"))</f>
        <v/>
      </c>
      <c r="I113" s="39">
        <f>IF($A113="","",IF(G113&lt;&gt;"",G113,IFERROR(VLOOKUP(C113,'Cost Library'!$A$5:$D$204,4,FALSE),0)))</f>
        <v/>
      </c>
      <c r="J113" s="9">
        <f>IF($A113="","",IF(F113&lt;&gt;"",F113,IFERROR(VLOOKUP(C113,'Cost Library'!$A$5:$D$204,3,FALSE),"")))</f>
        <v/>
      </c>
      <c r="K113" s="39">
        <f>IF($A113="","",E113*I113)</f>
        <v/>
      </c>
      <c r="L113" s="36" t="n"/>
      <c r="M113" s="39">
        <f>IF($A113="","",K113*(1+N113))</f>
        <v/>
      </c>
      <c r="N113" s="26">
        <f>IF($A113="","",IF(L113="",IFERROR(VLOOKUP(H113,Settings!$A$22:$B$27,2,FALSE),0),L113))</f>
        <v/>
      </c>
      <c r="O113" s="9">
        <f>IF(AND($A113&lt;&gt;"",$A113=Proposal!$I$2),COUNTIF($A$5:$A113,Proposal!$I$2),"")</f>
        <v/>
      </c>
      <c r="P113" s="9">
        <f>IF($A113="","",IF(COUNTIF(Jobs!$A$5:$A$44,$A113)=0,"Unknown Job ID",IF(B113="","Missing cost code",IF(COUNTIF(Settings!$E$5:$E$28,B113)=0,"Unknown cost code",IF(AND(G113="",C113=""),"No unit cost",IF(E113="","Missing qty",""))))))</f>
        <v/>
      </c>
      <c r="Q113" s="35" t="n"/>
    </row>
    <row r="114">
      <c r="A114" s="35" t="n"/>
      <c r="B114" s="35" t="n"/>
      <c r="C114" s="35" t="n"/>
      <c r="D114" s="35" t="n"/>
      <c r="E114" s="35" t="n"/>
      <c r="F114" s="35" t="n"/>
      <c r="G114" s="37" t="n"/>
      <c r="H114" s="9">
        <f>IF(B114="","",IFERROR(VLOOKUP(B114,Settings!$E$5:$G$28,3,FALSE),"Other"))</f>
        <v/>
      </c>
      <c r="I114" s="39">
        <f>IF($A114="","",IF(G114&lt;&gt;"",G114,IFERROR(VLOOKUP(C114,'Cost Library'!$A$5:$D$204,4,FALSE),0)))</f>
        <v/>
      </c>
      <c r="J114" s="9">
        <f>IF($A114="","",IF(F114&lt;&gt;"",F114,IFERROR(VLOOKUP(C114,'Cost Library'!$A$5:$D$204,3,FALSE),"")))</f>
        <v/>
      </c>
      <c r="K114" s="39">
        <f>IF($A114="","",E114*I114)</f>
        <v/>
      </c>
      <c r="L114" s="36" t="n"/>
      <c r="M114" s="39">
        <f>IF($A114="","",K114*(1+N114))</f>
        <v/>
      </c>
      <c r="N114" s="26">
        <f>IF($A114="","",IF(L114="",IFERROR(VLOOKUP(H114,Settings!$A$22:$B$27,2,FALSE),0),L114))</f>
        <v/>
      </c>
      <c r="O114" s="9">
        <f>IF(AND($A114&lt;&gt;"",$A114=Proposal!$I$2),COUNTIF($A$5:$A114,Proposal!$I$2),"")</f>
        <v/>
      </c>
      <c r="P114" s="9">
        <f>IF($A114="","",IF(COUNTIF(Jobs!$A$5:$A$44,$A114)=0,"Unknown Job ID",IF(B114="","Missing cost code",IF(COUNTIF(Settings!$E$5:$E$28,B114)=0,"Unknown cost code",IF(AND(G114="",C114=""),"No unit cost",IF(E114="","Missing qty",""))))))</f>
        <v/>
      </c>
      <c r="Q114" s="35" t="n"/>
    </row>
    <row r="115">
      <c r="A115" s="35" t="n"/>
      <c r="B115" s="35" t="n"/>
      <c r="C115" s="35" t="n"/>
      <c r="D115" s="35" t="n"/>
      <c r="E115" s="35" t="n"/>
      <c r="F115" s="35" t="n"/>
      <c r="G115" s="37" t="n"/>
      <c r="H115" s="9">
        <f>IF(B115="","",IFERROR(VLOOKUP(B115,Settings!$E$5:$G$28,3,FALSE),"Other"))</f>
        <v/>
      </c>
      <c r="I115" s="39">
        <f>IF($A115="","",IF(G115&lt;&gt;"",G115,IFERROR(VLOOKUP(C115,'Cost Library'!$A$5:$D$204,4,FALSE),0)))</f>
        <v/>
      </c>
      <c r="J115" s="9">
        <f>IF($A115="","",IF(F115&lt;&gt;"",F115,IFERROR(VLOOKUP(C115,'Cost Library'!$A$5:$D$204,3,FALSE),"")))</f>
        <v/>
      </c>
      <c r="K115" s="39">
        <f>IF($A115="","",E115*I115)</f>
        <v/>
      </c>
      <c r="L115" s="36" t="n"/>
      <c r="M115" s="39">
        <f>IF($A115="","",K115*(1+N115))</f>
        <v/>
      </c>
      <c r="N115" s="26">
        <f>IF($A115="","",IF(L115="",IFERROR(VLOOKUP(H115,Settings!$A$22:$B$27,2,FALSE),0),L115))</f>
        <v/>
      </c>
      <c r="O115" s="9">
        <f>IF(AND($A115&lt;&gt;"",$A115=Proposal!$I$2),COUNTIF($A$5:$A115,Proposal!$I$2),"")</f>
        <v/>
      </c>
      <c r="P115" s="9">
        <f>IF($A115="","",IF(COUNTIF(Jobs!$A$5:$A$44,$A115)=0,"Unknown Job ID",IF(B115="","Missing cost code",IF(COUNTIF(Settings!$E$5:$E$28,B115)=0,"Unknown cost code",IF(AND(G115="",C115=""),"No unit cost",IF(E115="","Missing qty",""))))))</f>
        <v/>
      </c>
      <c r="Q115" s="35" t="n"/>
    </row>
    <row r="116">
      <c r="A116" s="35" t="n"/>
      <c r="B116" s="35" t="n"/>
      <c r="C116" s="35" t="n"/>
      <c r="D116" s="35" t="n"/>
      <c r="E116" s="35" t="n"/>
      <c r="F116" s="35" t="n"/>
      <c r="G116" s="37" t="n"/>
      <c r="H116" s="9">
        <f>IF(B116="","",IFERROR(VLOOKUP(B116,Settings!$E$5:$G$28,3,FALSE),"Other"))</f>
        <v/>
      </c>
      <c r="I116" s="39">
        <f>IF($A116="","",IF(G116&lt;&gt;"",G116,IFERROR(VLOOKUP(C116,'Cost Library'!$A$5:$D$204,4,FALSE),0)))</f>
        <v/>
      </c>
      <c r="J116" s="9">
        <f>IF($A116="","",IF(F116&lt;&gt;"",F116,IFERROR(VLOOKUP(C116,'Cost Library'!$A$5:$D$204,3,FALSE),"")))</f>
        <v/>
      </c>
      <c r="K116" s="39">
        <f>IF($A116="","",E116*I116)</f>
        <v/>
      </c>
      <c r="L116" s="36" t="n"/>
      <c r="M116" s="39">
        <f>IF($A116="","",K116*(1+N116))</f>
        <v/>
      </c>
      <c r="N116" s="26">
        <f>IF($A116="","",IF(L116="",IFERROR(VLOOKUP(H116,Settings!$A$22:$B$27,2,FALSE),0),L116))</f>
        <v/>
      </c>
      <c r="O116" s="9">
        <f>IF(AND($A116&lt;&gt;"",$A116=Proposal!$I$2),COUNTIF($A$5:$A116,Proposal!$I$2),"")</f>
        <v/>
      </c>
      <c r="P116" s="9">
        <f>IF($A116="","",IF(COUNTIF(Jobs!$A$5:$A$44,$A116)=0,"Unknown Job ID",IF(B116="","Missing cost code",IF(COUNTIF(Settings!$E$5:$E$28,B116)=0,"Unknown cost code",IF(AND(G116="",C116=""),"No unit cost",IF(E116="","Missing qty",""))))))</f>
        <v/>
      </c>
      <c r="Q116" s="35" t="n"/>
    </row>
    <row r="117">
      <c r="A117" s="35" t="n"/>
      <c r="B117" s="35" t="n"/>
      <c r="C117" s="35" t="n"/>
      <c r="D117" s="35" t="n"/>
      <c r="E117" s="35" t="n"/>
      <c r="F117" s="35" t="n"/>
      <c r="G117" s="37" t="n"/>
      <c r="H117" s="9">
        <f>IF(B117="","",IFERROR(VLOOKUP(B117,Settings!$E$5:$G$28,3,FALSE),"Other"))</f>
        <v/>
      </c>
      <c r="I117" s="39">
        <f>IF($A117="","",IF(G117&lt;&gt;"",G117,IFERROR(VLOOKUP(C117,'Cost Library'!$A$5:$D$204,4,FALSE),0)))</f>
        <v/>
      </c>
      <c r="J117" s="9">
        <f>IF($A117="","",IF(F117&lt;&gt;"",F117,IFERROR(VLOOKUP(C117,'Cost Library'!$A$5:$D$204,3,FALSE),"")))</f>
        <v/>
      </c>
      <c r="K117" s="39">
        <f>IF($A117="","",E117*I117)</f>
        <v/>
      </c>
      <c r="L117" s="36" t="n"/>
      <c r="M117" s="39">
        <f>IF($A117="","",K117*(1+N117))</f>
        <v/>
      </c>
      <c r="N117" s="26">
        <f>IF($A117="","",IF(L117="",IFERROR(VLOOKUP(H117,Settings!$A$22:$B$27,2,FALSE),0),L117))</f>
        <v/>
      </c>
      <c r="O117" s="9">
        <f>IF(AND($A117&lt;&gt;"",$A117=Proposal!$I$2),COUNTIF($A$5:$A117,Proposal!$I$2),"")</f>
        <v/>
      </c>
      <c r="P117" s="9">
        <f>IF($A117="","",IF(COUNTIF(Jobs!$A$5:$A$44,$A117)=0,"Unknown Job ID",IF(B117="","Missing cost code",IF(COUNTIF(Settings!$E$5:$E$28,B117)=0,"Unknown cost code",IF(AND(G117="",C117=""),"No unit cost",IF(E117="","Missing qty",""))))))</f>
        <v/>
      </c>
      <c r="Q117" s="35" t="n"/>
    </row>
    <row r="118">
      <c r="A118" s="35" t="n"/>
      <c r="B118" s="35" t="n"/>
      <c r="C118" s="35" t="n"/>
      <c r="D118" s="35" t="n"/>
      <c r="E118" s="35" t="n"/>
      <c r="F118" s="35" t="n"/>
      <c r="G118" s="37" t="n"/>
      <c r="H118" s="9">
        <f>IF(B118="","",IFERROR(VLOOKUP(B118,Settings!$E$5:$G$28,3,FALSE),"Other"))</f>
        <v/>
      </c>
      <c r="I118" s="39">
        <f>IF($A118="","",IF(G118&lt;&gt;"",G118,IFERROR(VLOOKUP(C118,'Cost Library'!$A$5:$D$204,4,FALSE),0)))</f>
        <v/>
      </c>
      <c r="J118" s="9">
        <f>IF($A118="","",IF(F118&lt;&gt;"",F118,IFERROR(VLOOKUP(C118,'Cost Library'!$A$5:$D$204,3,FALSE),"")))</f>
        <v/>
      </c>
      <c r="K118" s="39">
        <f>IF($A118="","",E118*I118)</f>
        <v/>
      </c>
      <c r="L118" s="36" t="n"/>
      <c r="M118" s="39">
        <f>IF($A118="","",K118*(1+N118))</f>
        <v/>
      </c>
      <c r="N118" s="26">
        <f>IF($A118="","",IF(L118="",IFERROR(VLOOKUP(H118,Settings!$A$22:$B$27,2,FALSE),0),L118))</f>
        <v/>
      </c>
      <c r="O118" s="9">
        <f>IF(AND($A118&lt;&gt;"",$A118=Proposal!$I$2),COUNTIF($A$5:$A118,Proposal!$I$2),"")</f>
        <v/>
      </c>
      <c r="P118" s="9">
        <f>IF($A118="","",IF(COUNTIF(Jobs!$A$5:$A$44,$A118)=0,"Unknown Job ID",IF(B118="","Missing cost code",IF(COUNTIF(Settings!$E$5:$E$28,B118)=0,"Unknown cost code",IF(AND(G118="",C118=""),"No unit cost",IF(E118="","Missing qty",""))))))</f>
        <v/>
      </c>
      <c r="Q118" s="35" t="n"/>
    </row>
    <row r="119">
      <c r="A119" s="35" t="n"/>
      <c r="B119" s="35" t="n"/>
      <c r="C119" s="35" t="n"/>
      <c r="D119" s="35" t="n"/>
      <c r="E119" s="35" t="n"/>
      <c r="F119" s="35" t="n"/>
      <c r="G119" s="37" t="n"/>
      <c r="H119" s="9">
        <f>IF(B119="","",IFERROR(VLOOKUP(B119,Settings!$E$5:$G$28,3,FALSE),"Other"))</f>
        <v/>
      </c>
      <c r="I119" s="39">
        <f>IF($A119="","",IF(G119&lt;&gt;"",G119,IFERROR(VLOOKUP(C119,'Cost Library'!$A$5:$D$204,4,FALSE),0)))</f>
        <v/>
      </c>
      <c r="J119" s="9">
        <f>IF($A119="","",IF(F119&lt;&gt;"",F119,IFERROR(VLOOKUP(C119,'Cost Library'!$A$5:$D$204,3,FALSE),"")))</f>
        <v/>
      </c>
      <c r="K119" s="39">
        <f>IF($A119="","",E119*I119)</f>
        <v/>
      </c>
      <c r="L119" s="36" t="n"/>
      <c r="M119" s="39">
        <f>IF($A119="","",K119*(1+N119))</f>
        <v/>
      </c>
      <c r="N119" s="26">
        <f>IF($A119="","",IF(L119="",IFERROR(VLOOKUP(H119,Settings!$A$22:$B$27,2,FALSE),0),L119))</f>
        <v/>
      </c>
      <c r="O119" s="9">
        <f>IF(AND($A119&lt;&gt;"",$A119=Proposal!$I$2),COUNTIF($A$5:$A119,Proposal!$I$2),"")</f>
        <v/>
      </c>
      <c r="P119" s="9">
        <f>IF($A119="","",IF(COUNTIF(Jobs!$A$5:$A$44,$A119)=0,"Unknown Job ID",IF(B119="","Missing cost code",IF(COUNTIF(Settings!$E$5:$E$28,B119)=0,"Unknown cost code",IF(AND(G119="",C119=""),"No unit cost",IF(E119="","Missing qty",""))))))</f>
        <v/>
      </c>
      <c r="Q119" s="35" t="n"/>
    </row>
    <row r="120">
      <c r="A120" s="35" t="n"/>
      <c r="B120" s="35" t="n"/>
      <c r="C120" s="35" t="n"/>
      <c r="D120" s="35" t="n"/>
      <c r="E120" s="35" t="n"/>
      <c r="F120" s="35" t="n"/>
      <c r="G120" s="37" t="n"/>
      <c r="H120" s="9">
        <f>IF(B120="","",IFERROR(VLOOKUP(B120,Settings!$E$5:$G$28,3,FALSE),"Other"))</f>
        <v/>
      </c>
      <c r="I120" s="39">
        <f>IF($A120="","",IF(G120&lt;&gt;"",G120,IFERROR(VLOOKUP(C120,'Cost Library'!$A$5:$D$204,4,FALSE),0)))</f>
        <v/>
      </c>
      <c r="J120" s="9">
        <f>IF($A120="","",IF(F120&lt;&gt;"",F120,IFERROR(VLOOKUP(C120,'Cost Library'!$A$5:$D$204,3,FALSE),"")))</f>
        <v/>
      </c>
      <c r="K120" s="39">
        <f>IF($A120="","",E120*I120)</f>
        <v/>
      </c>
      <c r="L120" s="36" t="n"/>
      <c r="M120" s="39">
        <f>IF($A120="","",K120*(1+N120))</f>
        <v/>
      </c>
      <c r="N120" s="26">
        <f>IF($A120="","",IF(L120="",IFERROR(VLOOKUP(H120,Settings!$A$22:$B$27,2,FALSE),0),L120))</f>
        <v/>
      </c>
      <c r="O120" s="9">
        <f>IF(AND($A120&lt;&gt;"",$A120=Proposal!$I$2),COUNTIF($A$5:$A120,Proposal!$I$2),"")</f>
        <v/>
      </c>
      <c r="P120" s="9">
        <f>IF($A120="","",IF(COUNTIF(Jobs!$A$5:$A$44,$A120)=0,"Unknown Job ID",IF(B120="","Missing cost code",IF(COUNTIF(Settings!$E$5:$E$28,B120)=0,"Unknown cost code",IF(AND(G120="",C120=""),"No unit cost",IF(E120="","Missing qty",""))))))</f>
        <v/>
      </c>
      <c r="Q120" s="35" t="n"/>
    </row>
    <row r="121">
      <c r="A121" s="35" t="n"/>
      <c r="B121" s="35" t="n"/>
      <c r="C121" s="35" t="n"/>
      <c r="D121" s="35" t="n"/>
      <c r="E121" s="35" t="n"/>
      <c r="F121" s="35" t="n"/>
      <c r="G121" s="37" t="n"/>
      <c r="H121" s="9">
        <f>IF(B121="","",IFERROR(VLOOKUP(B121,Settings!$E$5:$G$28,3,FALSE),"Other"))</f>
        <v/>
      </c>
      <c r="I121" s="39">
        <f>IF($A121="","",IF(G121&lt;&gt;"",G121,IFERROR(VLOOKUP(C121,'Cost Library'!$A$5:$D$204,4,FALSE),0)))</f>
        <v/>
      </c>
      <c r="J121" s="9">
        <f>IF($A121="","",IF(F121&lt;&gt;"",F121,IFERROR(VLOOKUP(C121,'Cost Library'!$A$5:$D$204,3,FALSE),"")))</f>
        <v/>
      </c>
      <c r="K121" s="39">
        <f>IF($A121="","",E121*I121)</f>
        <v/>
      </c>
      <c r="L121" s="36" t="n"/>
      <c r="M121" s="39">
        <f>IF($A121="","",K121*(1+N121))</f>
        <v/>
      </c>
      <c r="N121" s="26">
        <f>IF($A121="","",IF(L121="",IFERROR(VLOOKUP(H121,Settings!$A$22:$B$27,2,FALSE),0),L121))</f>
        <v/>
      </c>
      <c r="O121" s="9">
        <f>IF(AND($A121&lt;&gt;"",$A121=Proposal!$I$2),COUNTIF($A$5:$A121,Proposal!$I$2),"")</f>
        <v/>
      </c>
      <c r="P121" s="9">
        <f>IF($A121="","",IF(COUNTIF(Jobs!$A$5:$A$44,$A121)=0,"Unknown Job ID",IF(B121="","Missing cost code",IF(COUNTIF(Settings!$E$5:$E$28,B121)=0,"Unknown cost code",IF(AND(G121="",C121=""),"No unit cost",IF(E121="","Missing qty",""))))))</f>
        <v/>
      </c>
      <c r="Q121" s="35" t="n"/>
    </row>
    <row r="122">
      <c r="A122" s="35" t="n"/>
      <c r="B122" s="35" t="n"/>
      <c r="C122" s="35" t="n"/>
      <c r="D122" s="35" t="n"/>
      <c r="E122" s="35" t="n"/>
      <c r="F122" s="35" t="n"/>
      <c r="G122" s="37" t="n"/>
      <c r="H122" s="9">
        <f>IF(B122="","",IFERROR(VLOOKUP(B122,Settings!$E$5:$G$28,3,FALSE),"Other"))</f>
        <v/>
      </c>
      <c r="I122" s="39">
        <f>IF($A122="","",IF(G122&lt;&gt;"",G122,IFERROR(VLOOKUP(C122,'Cost Library'!$A$5:$D$204,4,FALSE),0)))</f>
        <v/>
      </c>
      <c r="J122" s="9">
        <f>IF($A122="","",IF(F122&lt;&gt;"",F122,IFERROR(VLOOKUP(C122,'Cost Library'!$A$5:$D$204,3,FALSE),"")))</f>
        <v/>
      </c>
      <c r="K122" s="39">
        <f>IF($A122="","",E122*I122)</f>
        <v/>
      </c>
      <c r="L122" s="36" t="n"/>
      <c r="M122" s="39">
        <f>IF($A122="","",K122*(1+N122))</f>
        <v/>
      </c>
      <c r="N122" s="26">
        <f>IF($A122="","",IF(L122="",IFERROR(VLOOKUP(H122,Settings!$A$22:$B$27,2,FALSE),0),L122))</f>
        <v/>
      </c>
      <c r="O122" s="9">
        <f>IF(AND($A122&lt;&gt;"",$A122=Proposal!$I$2),COUNTIF($A$5:$A122,Proposal!$I$2),"")</f>
        <v/>
      </c>
      <c r="P122" s="9">
        <f>IF($A122="","",IF(COUNTIF(Jobs!$A$5:$A$44,$A122)=0,"Unknown Job ID",IF(B122="","Missing cost code",IF(COUNTIF(Settings!$E$5:$E$28,B122)=0,"Unknown cost code",IF(AND(G122="",C122=""),"No unit cost",IF(E122="","Missing qty",""))))))</f>
        <v/>
      </c>
      <c r="Q122" s="35" t="n"/>
    </row>
    <row r="123">
      <c r="A123" s="35" t="n"/>
      <c r="B123" s="35" t="n"/>
      <c r="C123" s="35" t="n"/>
      <c r="D123" s="35" t="n"/>
      <c r="E123" s="35" t="n"/>
      <c r="F123" s="35" t="n"/>
      <c r="G123" s="37" t="n"/>
      <c r="H123" s="9">
        <f>IF(B123="","",IFERROR(VLOOKUP(B123,Settings!$E$5:$G$28,3,FALSE),"Other"))</f>
        <v/>
      </c>
      <c r="I123" s="39">
        <f>IF($A123="","",IF(G123&lt;&gt;"",G123,IFERROR(VLOOKUP(C123,'Cost Library'!$A$5:$D$204,4,FALSE),0)))</f>
        <v/>
      </c>
      <c r="J123" s="9">
        <f>IF($A123="","",IF(F123&lt;&gt;"",F123,IFERROR(VLOOKUP(C123,'Cost Library'!$A$5:$D$204,3,FALSE),"")))</f>
        <v/>
      </c>
      <c r="K123" s="39">
        <f>IF($A123="","",E123*I123)</f>
        <v/>
      </c>
      <c r="L123" s="36" t="n"/>
      <c r="M123" s="39">
        <f>IF($A123="","",K123*(1+N123))</f>
        <v/>
      </c>
      <c r="N123" s="26">
        <f>IF($A123="","",IF(L123="",IFERROR(VLOOKUP(H123,Settings!$A$22:$B$27,2,FALSE),0),L123))</f>
        <v/>
      </c>
      <c r="O123" s="9">
        <f>IF(AND($A123&lt;&gt;"",$A123=Proposal!$I$2),COUNTIF($A$5:$A123,Proposal!$I$2),"")</f>
        <v/>
      </c>
      <c r="P123" s="9">
        <f>IF($A123="","",IF(COUNTIF(Jobs!$A$5:$A$44,$A123)=0,"Unknown Job ID",IF(B123="","Missing cost code",IF(COUNTIF(Settings!$E$5:$E$28,B123)=0,"Unknown cost code",IF(AND(G123="",C123=""),"No unit cost",IF(E123="","Missing qty",""))))))</f>
        <v/>
      </c>
      <c r="Q123" s="35" t="n"/>
    </row>
    <row r="124">
      <c r="A124" s="35" t="n"/>
      <c r="B124" s="35" t="n"/>
      <c r="C124" s="35" t="n"/>
      <c r="D124" s="35" t="n"/>
      <c r="E124" s="35" t="n"/>
      <c r="F124" s="35" t="n"/>
      <c r="G124" s="37" t="n"/>
      <c r="H124" s="9">
        <f>IF(B124="","",IFERROR(VLOOKUP(B124,Settings!$E$5:$G$28,3,FALSE),"Other"))</f>
        <v/>
      </c>
      <c r="I124" s="39">
        <f>IF($A124="","",IF(G124&lt;&gt;"",G124,IFERROR(VLOOKUP(C124,'Cost Library'!$A$5:$D$204,4,FALSE),0)))</f>
        <v/>
      </c>
      <c r="J124" s="9">
        <f>IF($A124="","",IF(F124&lt;&gt;"",F124,IFERROR(VLOOKUP(C124,'Cost Library'!$A$5:$D$204,3,FALSE),"")))</f>
        <v/>
      </c>
      <c r="K124" s="39">
        <f>IF($A124="","",E124*I124)</f>
        <v/>
      </c>
      <c r="L124" s="36" t="n"/>
      <c r="M124" s="39">
        <f>IF($A124="","",K124*(1+N124))</f>
        <v/>
      </c>
      <c r="N124" s="26">
        <f>IF($A124="","",IF(L124="",IFERROR(VLOOKUP(H124,Settings!$A$22:$B$27,2,FALSE),0),L124))</f>
        <v/>
      </c>
      <c r="O124" s="9">
        <f>IF(AND($A124&lt;&gt;"",$A124=Proposal!$I$2),COUNTIF($A$5:$A124,Proposal!$I$2),"")</f>
        <v/>
      </c>
      <c r="P124" s="9">
        <f>IF($A124="","",IF(COUNTIF(Jobs!$A$5:$A$44,$A124)=0,"Unknown Job ID",IF(B124="","Missing cost code",IF(COUNTIF(Settings!$E$5:$E$28,B124)=0,"Unknown cost code",IF(AND(G124="",C124=""),"No unit cost",IF(E124="","Missing qty",""))))))</f>
        <v/>
      </c>
      <c r="Q124" s="35" t="n"/>
    </row>
    <row r="125">
      <c r="A125" s="35" t="n"/>
      <c r="B125" s="35" t="n"/>
      <c r="C125" s="35" t="n"/>
      <c r="D125" s="35" t="n"/>
      <c r="E125" s="35" t="n"/>
      <c r="F125" s="35" t="n"/>
      <c r="G125" s="37" t="n"/>
      <c r="H125" s="9">
        <f>IF(B125="","",IFERROR(VLOOKUP(B125,Settings!$E$5:$G$28,3,FALSE),"Other"))</f>
        <v/>
      </c>
      <c r="I125" s="39">
        <f>IF($A125="","",IF(G125&lt;&gt;"",G125,IFERROR(VLOOKUP(C125,'Cost Library'!$A$5:$D$204,4,FALSE),0)))</f>
        <v/>
      </c>
      <c r="J125" s="9">
        <f>IF($A125="","",IF(F125&lt;&gt;"",F125,IFERROR(VLOOKUP(C125,'Cost Library'!$A$5:$D$204,3,FALSE),"")))</f>
        <v/>
      </c>
      <c r="K125" s="39">
        <f>IF($A125="","",E125*I125)</f>
        <v/>
      </c>
      <c r="L125" s="36" t="n"/>
      <c r="M125" s="39">
        <f>IF($A125="","",K125*(1+N125))</f>
        <v/>
      </c>
      <c r="N125" s="26">
        <f>IF($A125="","",IF(L125="",IFERROR(VLOOKUP(H125,Settings!$A$22:$B$27,2,FALSE),0),L125))</f>
        <v/>
      </c>
      <c r="O125" s="9">
        <f>IF(AND($A125&lt;&gt;"",$A125=Proposal!$I$2),COUNTIF($A$5:$A125,Proposal!$I$2),"")</f>
        <v/>
      </c>
      <c r="P125" s="9">
        <f>IF($A125="","",IF(COUNTIF(Jobs!$A$5:$A$44,$A125)=0,"Unknown Job ID",IF(B125="","Missing cost code",IF(COUNTIF(Settings!$E$5:$E$28,B125)=0,"Unknown cost code",IF(AND(G125="",C125=""),"No unit cost",IF(E125="","Missing qty",""))))))</f>
        <v/>
      </c>
      <c r="Q125" s="35" t="n"/>
    </row>
    <row r="126">
      <c r="A126" s="35" t="n"/>
      <c r="B126" s="35" t="n"/>
      <c r="C126" s="35" t="n"/>
      <c r="D126" s="35" t="n"/>
      <c r="E126" s="35" t="n"/>
      <c r="F126" s="35" t="n"/>
      <c r="G126" s="37" t="n"/>
      <c r="H126" s="9">
        <f>IF(B126="","",IFERROR(VLOOKUP(B126,Settings!$E$5:$G$28,3,FALSE),"Other"))</f>
        <v/>
      </c>
      <c r="I126" s="39">
        <f>IF($A126="","",IF(G126&lt;&gt;"",G126,IFERROR(VLOOKUP(C126,'Cost Library'!$A$5:$D$204,4,FALSE),0)))</f>
        <v/>
      </c>
      <c r="J126" s="9">
        <f>IF($A126="","",IF(F126&lt;&gt;"",F126,IFERROR(VLOOKUP(C126,'Cost Library'!$A$5:$D$204,3,FALSE),"")))</f>
        <v/>
      </c>
      <c r="K126" s="39">
        <f>IF($A126="","",E126*I126)</f>
        <v/>
      </c>
      <c r="L126" s="36" t="n"/>
      <c r="M126" s="39">
        <f>IF($A126="","",K126*(1+N126))</f>
        <v/>
      </c>
      <c r="N126" s="26">
        <f>IF($A126="","",IF(L126="",IFERROR(VLOOKUP(H126,Settings!$A$22:$B$27,2,FALSE),0),L126))</f>
        <v/>
      </c>
      <c r="O126" s="9">
        <f>IF(AND($A126&lt;&gt;"",$A126=Proposal!$I$2),COUNTIF($A$5:$A126,Proposal!$I$2),"")</f>
        <v/>
      </c>
      <c r="P126" s="9">
        <f>IF($A126="","",IF(COUNTIF(Jobs!$A$5:$A$44,$A126)=0,"Unknown Job ID",IF(B126="","Missing cost code",IF(COUNTIF(Settings!$E$5:$E$28,B126)=0,"Unknown cost code",IF(AND(G126="",C126=""),"No unit cost",IF(E126="","Missing qty",""))))))</f>
        <v/>
      </c>
      <c r="Q126" s="35" t="n"/>
    </row>
    <row r="127">
      <c r="A127" s="35" t="n"/>
      <c r="B127" s="35" t="n"/>
      <c r="C127" s="35" t="n"/>
      <c r="D127" s="35" t="n"/>
      <c r="E127" s="35" t="n"/>
      <c r="F127" s="35" t="n"/>
      <c r="G127" s="37" t="n"/>
      <c r="H127" s="9">
        <f>IF(B127="","",IFERROR(VLOOKUP(B127,Settings!$E$5:$G$28,3,FALSE),"Other"))</f>
        <v/>
      </c>
      <c r="I127" s="39">
        <f>IF($A127="","",IF(G127&lt;&gt;"",G127,IFERROR(VLOOKUP(C127,'Cost Library'!$A$5:$D$204,4,FALSE),0)))</f>
        <v/>
      </c>
      <c r="J127" s="9">
        <f>IF($A127="","",IF(F127&lt;&gt;"",F127,IFERROR(VLOOKUP(C127,'Cost Library'!$A$5:$D$204,3,FALSE),"")))</f>
        <v/>
      </c>
      <c r="K127" s="39">
        <f>IF($A127="","",E127*I127)</f>
        <v/>
      </c>
      <c r="L127" s="36" t="n"/>
      <c r="M127" s="39">
        <f>IF($A127="","",K127*(1+N127))</f>
        <v/>
      </c>
      <c r="N127" s="26">
        <f>IF($A127="","",IF(L127="",IFERROR(VLOOKUP(H127,Settings!$A$22:$B$27,2,FALSE),0),L127))</f>
        <v/>
      </c>
      <c r="O127" s="9">
        <f>IF(AND($A127&lt;&gt;"",$A127=Proposal!$I$2),COUNTIF($A$5:$A127,Proposal!$I$2),"")</f>
        <v/>
      </c>
      <c r="P127" s="9">
        <f>IF($A127="","",IF(COUNTIF(Jobs!$A$5:$A$44,$A127)=0,"Unknown Job ID",IF(B127="","Missing cost code",IF(COUNTIF(Settings!$E$5:$E$28,B127)=0,"Unknown cost code",IF(AND(G127="",C127=""),"No unit cost",IF(E127="","Missing qty",""))))))</f>
        <v/>
      </c>
      <c r="Q127" s="35" t="n"/>
    </row>
    <row r="128">
      <c r="A128" s="35" t="n"/>
      <c r="B128" s="35" t="n"/>
      <c r="C128" s="35" t="n"/>
      <c r="D128" s="35" t="n"/>
      <c r="E128" s="35" t="n"/>
      <c r="F128" s="35" t="n"/>
      <c r="G128" s="37" t="n"/>
      <c r="H128" s="9">
        <f>IF(B128="","",IFERROR(VLOOKUP(B128,Settings!$E$5:$G$28,3,FALSE),"Other"))</f>
        <v/>
      </c>
      <c r="I128" s="39">
        <f>IF($A128="","",IF(G128&lt;&gt;"",G128,IFERROR(VLOOKUP(C128,'Cost Library'!$A$5:$D$204,4,FALSE),0)))</f>
        <v/>
      </c>
      <c r="J128" s="9">
        <f>IF($A128="","",IF(F128&lt;&gt;"",F128,IFERROR(VLOOKUP(C128,'Cost Library'!$A$5:$D$204,3,FALSE),"")))</f>
        <v/>
      </c>
      <c r="K128" s="39">
        <f>IF($A128="","",E128*I128)</f>
        <v/>
      </c>
      <c r="L128" s="36" t="n"/>
      <c r="M128" s="39">
        <f>IF($A128="","",K128*(1+N128))</f>
        <v/>
      </c>
      <c r="N128" s="26">
        <f>IF($A128="","",IF(L128="",IFERROR(VLOOKUP(H128,Settings!$A$22:$B$27,2,FALSE),0),L128))</f>
        <v/>
      </c>
      <c r="O128" s="9">
        <f>IF(AND($A128&lt;&gt;"",$A128=Proposal!$I$2),COUNTIF($A$5:$A128,Proposal!$I$2),"")</f>
        <v/>
      </c>
      <c r="P128" s="9">
        <f>IF($A128="","",IF(COUNTIF(Jobs!$A$5:$A$44,$A128)=0,"Unknown Job ID",IF(B128="","Missing cost code",IF(COUNTIF(Settings!$E$5:$E$28,B128)=0,"Unknown cost code",IF(AND(G128="",C128=""),"No unit cost",IF(E128="","Missing qty",""))))))</f>
        <v/>
      </c>
      <c r="Q128" s="35" t="n"/>
    </row>
    <row r="129">
      <c r="A129" s="35" t="n"/>
      <c r="B129" s="35" t="n"/>
      <c r="C129" s="35" t="n"/>
      <c r="D129" s="35" t="n"/>
      <c r="E129" s="35" t="n"/>
      <c r="F129" s="35" t="n"/>
      <c r="G129" s="37" t="n"/>
      <c r="H129" s="9">
        <f>IF(B129="","",IFERROR(VLOOKUP(B129,Settings!$E$5:$G$28,3,FALSE),"Other"))</f>
        <v/>
      </c>
      <c r="I129" s="39">
        <f>IF($A129="","",IF(G129&lt;&gt;"",G129,IFERROR(VLOOKUP(C129,'Cost Library'!$A$5:$D$204,4,FALSE),0)))</f>
        <v/>
      </c>
      <c r="J129" s="9">
        <f>IF($A129="","",IF(F129&lt;&gt;"",F129,IFERROR(VLOOKUP(C129,'Cost Library'!$A$5:$D$204,3,FALSE),"")))</f>
        <v/>
      </c>
      <c r="K129" s="39">
        <f>IF($A129="","",E129*I129)</f>
        <v/>
      </c>
      <c r="L129" s="36" t="n"/>
      <c r="M129" s="39">
        <f>IF($A129="","",K129*(1+N129))</f>
        <v/>
      </c>
      <c r="N129" s="26">
        <f>IF($A129="","",IF(L129="",IFERROR(VLOOKUP(H129,Settings!$A$22:$B$27,2,FALSE),0),L129))</f>
        <v/>
      </c>
      <c r="O129" s="9">
        <f>IF(AND($A129&lt;&gt;"",$A129=Proposal!$I$2),COUNTIF($A$5:$A129,Proposal!$I$2),"")</f>
        <v/>
      </c>
      <c r="P129" s="9">
        <f>IF($A129="","",IF(COUNTIF(Jobs!$A$5:$A$44,$A129)=0,"Unknown Job ID",IF(B129="","Missing cost code",IF(COUNTIF(Settings!$E$5:$E$28,B129)=0,"Unknown cost code",IF(AND(G129="",C129=""),"No unit cost",IF(E129="","Missing qty",""))))))</f>
        <v/>
      </c>
      <c r="Q129" s="35" t="n"/>
    </row>
    <row r="130">
      <c r="A130" s="35" t="n"/>
      <c r="B130" s="35" t="n"/>
      <c r="C130" s="35" t="n"/>
      <c r="D130" s="35" t="n"/>
      <c r="E130" s="35" t="n"/>
      <c r="F130" s="35" t="n"/>
      <c r="G130" s="37" t="n"/>
      <c r="H130" s="9">
        <f>IF(B130="","",IFERROR(VLOOKUP(B130,Settings!$E$5:$G$28,3,FALSE),"Other"))</f>
        <v/>
      </c>
      <c r="I130" s="39">
        <f>IF($A130="","",IF(G130&lt;&gt;"",G130,IFERROR(VLOOKUP(C130,'Cost Library'!$A$5:$D$204,4,FALSE),0)))</f>
        <v/>
      </c>
      <c r="J130" s="9">
        <f>IF($A130="","",IF(F130&lt;&gt;"",F130,IFERROR(VLOOKUP(C130,'Cost Library'!$A$5:$D$204,3,FALSE),"")))</f>
        <v/>
      </c>
      <c r="K130" s="39">
        <f>IF($A130="","",E130*I130)</f>
        <v/>
      </c>
      <c r="L130" s="36" t="n"/>
      <c r="M130" s="39">
        <f>IF($A130="","",K130*(1+N130))</f>
        <v/>
      </c>
      <c r="N130" s="26">
        <f>IF($A130="","",IF(L130="",IFERROR(VLOOKUP(H130,Settings!$A$22:$B$27,2,FALSE),0),L130))</f>
        <v/>
      </c>
      <c r="O130" s="9">
        <f>IF(AND($A130&lt;&gt;"",$A130=Proposal!$I$2),COUNTIF($A$5:$A130,Proposal!$I$2),"")</f>
        <v/>
      </c>
      <c r="P130" s="9">
        <f>IF($A130="","",IF(COUNTIF(Jobs!$A$5:$A$44,$A130)=0,"Unknown Job ID",IF(B130="","Missing cost code",IF(COUNTIF(Settings!$E$5:$E$28,B130)=0,"Unknown cost code",IF(AND(G130="",C130=""),"No unit cost",IF(E130="","Missing qty",""))))))</f>
        <v/>
      </c>
      <c r="Q130" s="35" t="n"/>
    </row>
    <row r="131">
      <c r="A131" s="35" t="n"/>
      <c r="B131" s="35" t="n"/>
      <c r="C131" s="35" t="n"/>
      <c r="D131" s="35" t="n"/>
      <c r="E131" s="35" t="n"/>
      <c r="F131" s="35" t="n"/>
      <c r="G131" s="37" t="n"/>
      <c r="H131" s="9">
        <f>IF(B131="","",IFERROR(VLOOKUP(B131,Settings!$E$5:$G$28,3,FALSE),"Other"))</f>
        <v/>
      </c>
      <c r="I131" s="39">
        <f>IF($A131="","",IF(G131&lt;&gt;"",G131,IFERROR(VLOOKUP(C131,'Cost Library'!$A$5:$D$204,4,FALSE),0)))</f>
        <v/>
      </c>
      <c r="J131" s="9">
        <f>IF($A131="","",IF(F131&lt;&gt;"",F131,IFERROR(VLOOKUP(C131,'Cost Library'!$A$5:$D$204,3,FALSE),"")))</f>
        <v/>
      </c>
      <c r="K131" s="39">
        <f>IF($A131="","",E131*I131)</f>
        <v/>
      </c>
      <c r="L131" s="36" t="n"/>
      <c r="M131" s="39">
        <f>IF($A131="","",K131*(1+N131))</f>
        <v/>
      </c>
      <c r="N131" s="26">
        <f>IF($A131="","",IF(L131="",IFERROR(VLOOKUP(H131,Settings!$A$22:$B$27,2,FALSE),0),L131))</f>
        <v/>
      </c>
      <c r="O131" s="9">
        <f>IF(AND($A131&lt;&gt;"",$A131=Proposal!$I$2),COUNTIF($A$5:$A131,Proposal!$I$2),"")</f>
        <v/>
      </c>
      <c r="P131" s="9">
        <f>IF($A131="","",IF(COUNTIF(Jobs!$A$5:$A$44,$A131)=0,"Unknown Job ID",IF(B131="","Missing cost code",IF(COUNTIF(Settings!$E$5:$E$28,B131)=0,"Unknown cost code",IF(AND(G131="",C131=""),"No unit cost",IF(E131="","Missing qty",""))))))</f>
        <v/>
      </c>
      <c r="Q131" s="35" t="n"/>
    </row>
    <row r="132">
      <c r="A132" s="35" t="n"/>
      <c r="B132" s="35" t="n"/>
      <c r="C132" s="35" t="n"/>
      <c r="D132" s="35" t="n"/>
      <c r="E132" s="35" t="n"/>
      <c r="F132" s="35" t="n"/>
      <c r="G132" s="37" t="n"/>
      <c r="H132" s="9">
        <f>IF(B132="","",IFERROR(VLOOKUP(B132,Settings!$E$5:$G$28,3,FALSE),"Other"))</f>
        <v/>
      </c>
      <c r="I132" s="39">
        <f>IF($A132="","",IF(G132&lt;&gt;"",G132,IFERROR(VLOOKUP(C132,'Cost Library'!$A$5:$D$204,4,FALSE),0)))</f>
        <v/>
      </c>
      <c r="J132" s="9">
        <f>IF($A132="","",IF(F132&lt;&gt;"",F132,IFERROR(VLOOKUP(C132,'Cost Library'!$A$5:$D$204,3,FALSE),"")))</f>
        <v/>
      </c>
      <c r="K132" s="39">
        <f>IF($A132="","",E132*I132)</f>
        <v/>
      </c>
      <c r="L132" s="36" t="n"/>
      <c r="M132" s="39">
        <f>IF($A132="","",K132*(1+N132))</f>
        <v/>
      </c>
      <c r="N132" s="26">
        <f>IF($A132="","",IF(L132="",IFERROR(VLOOKUP(H132,Settings!$A$22:$B$27,2,FALSE),0),L132))</f>
        <v/>
      </c>
      <c r="O132" s="9">
        <f>IF(AND($A132&lt;&gt;"",$A132=Proposal!$I$2),COUNTIF($A$5:$A132,Proposal!$I$2),"")</f>
        <v/>
      </c>
      <c r="P132" s="9">
        <f>IF($A132="","",IF(COUNTIF(Jobs!$A$5:$A$44,$A132)=0,"Unknown Job ID",IF(B132="","Missing cost code",IF(COUNTIF(Settings!$E$5:$E$28,B132)=0,"Unknown cost code",IF(AND(G132="",C132=""),"No unit cost",IF(E132="","Missing qty",""))))))</f>
        <v/>
      </c>
      <c r="Q132" s="35" t="n"/>
    </row>
    <row r="133">
      <c r="A133" s="35" t="n"/>
      <c r="B133" s="35" t="n"/>
      <c r="C133" s="35" t="n"/>
      <c r="D133" s="35" t="n"/>
      <c r="E133" s="35" t="n"/>
      <c r="F133" s="35" t="n"/>
      <c r="G133" s="37" t="n"/>
      <c r="H133" s="9">
        <f>IF(B133="","",IFERROR(VLOOKUP(B133,Settings!$E$5:$G$28,3,FALSE),"Other"))</f>
        <v/>
      </c>
      <c r="I133" s="39">
        <f>IF($A133="","",IF(G133&lt;&gt;"",G133,IFERROR(VLOOKUP(C133,'Cost Library'!$A$5:$D$204,4,FALSE),0)))</f>
        <v/>
      </c>
      <c r="J133" s="9">
        <f>IF($A133="","",IF(F133&lt;&gt;"",F133,IFERROR(VLOOKUP(C133,'Cost Library'!$A$5:$D$204,3,FALSE),"")))</f>
        <v/>
      </c>
      <c r="K133" s="39">
        <f>IF($A133="","",E133*I133)</f>
        <v/>
      </c>
      <c r="L133" s="36" t="n"/>
      <c r="M133" s="39">
        <f>IF($A133="","",K133*(1+N133))</f>
        <v/>
      </c>
      <c r="N133" s="26">
        <f>IF($A133="","",IF(L133="",IFERROR(VLOOKUP(H133,Settings!$A$22:$B$27,2,FALSE),0),L133))</f>
        <v/>
      </c>
      <c r="O133" s="9">
        <f>IF(AND($A133&lt;&gt;"",$A133=Proposal!$I$2),COUNTIF($A$5:$A133,Proposal!$I$2),"")</f>
        <v/>
      </c>
      <c r="P133" s="9">
        <f>IF($A133="","",IF(COUNTIF(Jobs!$A$5:$A$44,$A133)=0,"Unknown Job ID",IF(B133="","Missing cost code",IF(COUNTIF(Settings!$E$5:$E$28,B133)=0,"Unknown cost code",IF(AND(G133="",C133=""),"No unit cost",IF(E133="","Missing qty",""))))))</f>
        <v/>
      </c>
      <c r="Q133" s="35" t="n"/>
    </row>
    <row r="134">
      <c r="A134" s="35" t="n"/>
      <c r="B134" s="35" t="n"/>
      <c r="C134" s="35" t="n"/>
      <c r="D134" s="35" t="n"/>
      <c r="E134" s="35" t="n"/>
      <c r="F134" s="35" t="n"/>
      <c r="G134" s="37" t="n"/>
      <c r="H134" s="9">
        <f>IF(B134="","",IFERROR(VLOOKUP(B134,Settings!$E$5:$G$28,3,FALSE),"Other"))</f>
        <v/>
      </c>
      <c r="I134" s="39">
        <f>IF($A134="","",IF(G134&lt;&gt;"",G134,IFERROR(VLOOKUP(C134,'Cost Library'!$A$5:$D$204,4,FALSE),0)))</f>
        <v/>
      </c>
      <c r="J134" s="9">
        <f>IF($A134="","",IF(F134&lt;&gt;"",F134,IFERROR(VLOOKUP(C134,'Cost Library'!$A$5:$D$204,3,FALSE),"")))</f>
        <v/>
      </c>
      <c r="K134" s="39">
        <f>IF($A134="","",E134*I134)</f>
        <v/>
      </c>
      <c r="L134" s="36" t="n"/>
      <c r="M134" s="39">
        <f>IF($A134="","",K134*(1+N134))</f>
        <v/>
      </c>
      <c r="N134" s="26">
        <f>IF($A134="","",IF(L134="",IFERROR(VLOOKUP(H134,Settings!$A$22:$B$27,2,FALSE),0),L134))</f>
        <v/>
      </c>
      <c r="O134" s="9">
        <f>IF(AND($A134&lt;&gt;"",$A134=Proposal!$I$2),COUNTIF($A$5:$A134,Proposal!$I$2),"")</f>
        <v/>
      </c>
      <c r="P134" s="9">
        <f>IF($A134="","",IF(COUNTIF(Jobs!$A$5:$A$44,$A134)=0,"Unknown Job ID",IF(B134="","Missing cost code",IF(COUNTIF(Settings!$E$5:$E$28,B134)=0,"Unknown cost code",IF(AND(G134="",C134=""),"No unit cost",IF(E134="","Missing qty",""))))))</f>
        <v/>
      </c>
      <c r="Q134" s="35" t="n"/>
    </row>
    <row r="135">
      <c r="A135" s="35" t="n"/>
      <c r="B135" s="35" t="n"/>
      <c r="C135" s="35" t="n"/>
      <c r="D135" s="35" t="n"/>
      <c r="E135" s="35" t="n"/>
      <c r="F135" s="35" t="n"/>
      <c r="G135" s="37" t="n"/>
      <c r="H135" s="9">
        <f>IF(B135="","",IFERROR(VLOOKUP(B135,Settings!$E$5:$G$28,3,FALSE),"Other"))</f>
        <v/>
      </c>
      <c r="I135" s="39">
        <f>IF($A135="","",IF(G135&lt;&gt;"",G135,IFERROR(VLOOKUP(C135,'Cost Library'!$A$5:$D$204,4,FALSE),0)))</f>
        <v/>
      </c>
      <c r="J135" s="9">
        <f>IF($A135="","",IF(F135&lt;&gt;"",F135,IFERROR(VLOOKUP(C135,'Cost Library'!$A$5:$D$204,3,FALSE),"")))</f>
        <v/>
      </c>
      <c r="K135" s="39">
        <f>IF($A135="","",E135*I135)</f>
        <v/>
      </c>
      <c r="L135" s="36" t="n"/>
      <c r="M135" s="39">
        <f>IF($A135="","",K135*(1+N135))</f>
        <v/>
      </c>
      <c r="N135" s="26">
        <f>IF($A135="","",IF(L135="",IFERROR(VLOOKUP(H135,Settings!$A$22:$B$27,2,FALSE),0),L135))</f>
        <v/>
      </c>
      <c r="O135" s="9">
        <f>IF(AND($A135&lt;&gt;"",$A135=Proposal!$I$2),COUNTIF($A$5:$A135,Proposal!$I$2),"")</f>
        <v/>
      </c>
      <c r="P135" s="9">
        <f>IF($A135="","",IF(COUNTIF(Jobs!$A$5:$A$44,$A135)=0,"Unknown Job ID",IF(B135="","Missing cost code",IF(COUNTIF(Settings!$E$5:$E$28,B135)=0,"Unknown cost code",IF(AND(G135="",C135=""),"No unit cost",IF(E135="","Missing qty",""))))))</f>
        <v/>
      </c>
      <c r="Q135" s="35" t="n"/>
    </row>
    <row r="136">
      <c r="A136" s="35" t="n"/>
      <c r="B136" s="35" t="n"/>
      <c r="C136" s="35" t="n"/>
      <c r="D136" s="35" t="n"/>
      <c r="E136" s="35" t="n"/>
      <c r="F136" s="35" t="n"/>
      <c r="G136" s="37" t="n"/>
      <c r="H136" s="9">
        <f>IF(B136="","",IFERROR(VLOOKUP(B136,Settings!$E$5:$G$28,3,FALSE),"Other"))</f>
        <v/>
      </c>
      <c r="I136" s="39">
        <f>IF($A136="","",IF(G136&lt;&gt;"",G136,IFERROR(VLOOKUP(C136,'Cost Library'!$A$5:$D$204,4,FALSE),0)))</f>
        <v/>
      </c>
      <c r="J136" s="9">
        <f>IF($A136="","",IF(F136&lt;&gt;"",F136,IFERROR(VLOOKUP(C136,'Cost Library'!$A$5:$D$204,3,FALSE),"")))</f>
        <v/>
      </c>
      <c r="K136" s="39">
        <f>IF($A136="","",E136*I136)</f>
        <v/>
      </c>
      <c r="L136" s="36" t="n"/>
      <c r="M136" s="39">
        <f>IF($A136="","",K136*(1+N136))</f>
        <v/>
      </c>
      <c r="N136" s="26">
        <f>IF($A136="","",IF(L136="",IFERROR(VLOOKUP(H136,Settings!$A$22:$B$27,2,FALSE),0),L136))</f>
        <v/>
      </c>
      <c r="O136" s="9">
        <f>IF(AND($A136&lt;&gt;"",$A136=Proposal!$I$2),COUNTIF($A$5:$A136,Proposal!$I$2),"")</f>
        <v/>
      </c>
      <c r="P136" s="9">
        <f>IF($A136="","",IF(COUNTIF(Jobs!$A$5:$A$44,$A136)=0,"Unknown Job ID",IF(B136="","Missing cost code",IF(COUNTIF(Settings!$E$5:$E$28,B136)=0,"Unknown cost code",IF(AND(G136="",C136=""),"No unit cost",IF(E136="","Missing qty",""))))))</f>
        <v/>
      </c>
      <c r="Q136" s="35" t="n"/>
    </row>
    <row r="137">
      <c r="A137" s="35" t="n"/>
      <c r="B137" s="35" t="n"/>
      <c r="C137" s="35" t="n"/>
      <c r="D137" s="35" t="n"/>
      <c r="E137" s="35" t="n"/>
      <c r="F137" s="35" t="n"/>
      <c r="G137" s="37" t="n"/>
      <c r="H137" s="9">
        <f>IF(B137="","",IFERROR(VLOOKUP(B137,Settings!$E$5:$G$28,3,FALSE),"Other"))</f>
        <v/>
      </c>
      <c r="I137" s="39">
        <f>IF($A137="","",IF(G137&lt;&gt;"",G137,IFERROR(VLOOKUP(C137,'Cost Library'!$A$5:$D$204,4,FALSE),0)))</f>
        <v/>
      </c>
      <c r="J137" s="9">
        <f>IF($A137="","",IF(F137&lt;&gt;"",F137,IFERROR(VLOOKUP(C137,'Cost Library'!$A$5:$D$204,3,FALSE),"")))</f>
        <v/>
      </c>
      <c r="K137" s="39">
        <f>IF($A137="","",E137*I137)</f>
        <v/>
      </c>
      <c r="L137" s="36" t="n"/>
      <c r="M137" s="39">
        <f>IF($A137="","",K137*(1+N137))</f>
        <v/>
      </c>
      <c r="N137" s="26">
        <f>IF($A137="","",IF(L137="",IFERROR(VLOOKUP(H137,Settings!$A$22:$B$27,2,FALSE),0),L137))</f>
        <v/>
      </c>
      <c r="O137" s="9">
        <f>IF(AND($A137&lt;&gt;"",$A137=Proposal!$I$2),COUNTIF($A$5:$A137,Proposal!$I$2),"")</f>
        <v/>
      </c>
      <c r="P137" s="9">
        <f>IF($A137="","",IF(COUNTIF(Jobs!$A$5:$A$44,$A137)=0,"Unknown Job ID",IF(B137="","Missing cost code",IF(COUNTIF(Settings!$E$5:$E$28,B137)=0,"Unknown cost code",IF(AND(G137="",C137=""),"No unit cost",IF(E137="","Missing qty",""))))))</f>
        <v/>
      </c>
      <c r="Q137" s="35" t="n"/>
    </row>
    <row r="138">
      <c r="A138" s="35" t="n"/>
      <c r="B138" s="35" t="n"/>
      <c r="C138" s="35" t="n"/>
      <c r="D138" s="35" t="n"/>
      <c r="E138" s="35" t="n"/>
      <c r="F138" s="35" t="n"/>
      <c r="G138" s="37" t="n"/>
      <c r="H138" s="9">
        <f>IF(B138="","",IFERROR(VLOOKUP(B138,Settings!$E$5:$G$28,3,FALSE),"Other"))</f>
        <v/>
      </c>
      <c r="I138" s="39">
        <f>IF($A138="","",IF(G138&lt;&gt;"",G138,IFERROR(VLOOKUP(C138,'Cost Library'!$A$5:$D$204,4,FALSE),0)))</f>
        <v/>
      </c>
      <c r="J138" s="9">
        <f>IF($A138="","",IF(F138&lt;&gt;"",F138,IFERROR(VLOOKUP(C138,'Cost Library'!$A$5:$D$204,3,FALSE),"")))</f>
        <v/>
      </c>
      <c r="K138" s="39">
        <f>IF($A138="","",E138*I138)</f>
        <v/>
      </c>
      <c r="L138" s="36" t="n"/>
      <c r="M138" s="39">
        <f>IF($A138="","",K138*(1+N138))</f>
        <v/>
      </c>
      <c r="N138" s="26">
        <f>IF($A138="","",IF(L138="",IFERROR(VLOOKUP(H138,Settings!$A$22:$B$27,2,FALSE),0),L138))</f>
        <v/>
      </c>
      <c r="O138" s="9">
        <f>IF(AND($A138&lt;&gt;"",$A138=Proposal!$I$2),COUNTIF($A$5:$A138,Proposal!$I$2),"")</f>
        <v/>
      </c>
      <c r="P138" s="9">
        <f>IF($A138="","",IF(COUNTIF(Jobs!$A$5:$A$44,$A138)=0,"Unknown Job ID",IF(B138="","Missing cost code",IF(COUNTIF(Settings!$E$5:$E$28,B138)=0,"Unknown cost code",IF(AND(G138="",C138=""),"No unit cost",IF(E138="","Missing qty",""))))))</f>
        <v/>
      </c>
      <c r="Q138" s="35" t="n"/>
    </row>
    <row r="139">
      <c r="A139" s="35" t="n"/>
      <c r="B139" s="35" t="n"/>
      <c r="C139" s="35" t="n"/>
      <c r="D139" s="35" t="n"/>
      <c r="E139" s="35" t="n"/>
      <c r="F139" s="35" t="n"/>
      <c r="G139" s="37" t="n"/>
      <c r="H139" s="9">
        <f>IF(B139="","",IFERROR(VLOOKUP(B139,Settings!$E$5:$G$28,3,FALSE),"Other"))</f>
        <v/>
      </c>
      <c r="I139" s="39">
        <f>IF($A139="","",IF(G139&lt;&gt;"",G139,IFERROR(VLOOKUP(C139,'Cost Library'!$A$5:$D$204,4,FALSE),0)))</f>
        <v/>
      </c>
      <c r="J139" s="9">
        <f>IF($A139="","",IF(F139&lt;&gt;"",F139,IFERROR(VLOOKUP(C139,'Cost Library'!$A$5:$D$204,3,FALSE),"")))</f>
        <v/>
      </c>
      <c r="K139" s="39">
        <f>IF($A139="","",E139*I139)</f>
        <v/>
      </c>
      <c r="L139" s="36" t="n"/>
      <c r="M139" s="39">
        <f>IF($A139="","",K139*(1+N139))</f>
        <v/>
      </c>
      <c r="N139" s="26">
        <f>IF($A139="","",IF(L139="",IFERROR(VLOOKUP(H139,Settings!$A$22:$B$27,2,FALSE),0),L139))</f>
        <v/>
      </c>
      <c r="O139" s="9">
        <f>IF(AND($A139&lt;&gt;"",$A139=Proposal!$I$2),COUNTIF($A$5:$A139,Proposal!$I$2),"")</f>
        <v/>
      </c>
      <c r="P139" s="9">
        <f>IF($A139="","",IF(COUNTIF(Jobs!$A$5:$A$44,$A139)=0,"Unknown Job ID",IF(B139="","Missing cost code",IF(COUNTIF(Settings!$E$5:$E$28,B139)=0,"Unknown cost code",IF(AND(G139="",C139=""),"No unit cost",IF(E139="","Missing qty",""))))))</f>
        <v/>
      </c>
      <c r="Q139" s="35" t="n"/>
    </row>
    <row r="140">
      <c r="A140" s="35" t="n"/>
      <c r="B140" s="35" t="n"/>
      <c r="C140" s="35" t="n"/>
      <c r="D140" s="35" t="n"/>
      <c r="E140" s="35" t="n"/>
      <c r="F140" s="35" t="n"/>
      <c r="G140" s="37" t="n"/>
      <c r="H140" s="9">
        <f>IF(B140="","",IFERROR(VLOOKUP(B140,Settings!$E$5:$G$28,3,FALSE),"Other"))</f>
        <v/>
      </c>
      <c r="I140" s="39">
        <f>IF($A140="","",IF(G140&lt;&gt;"",G140,IFERROR(VLOOKUP(C140,'Cost Library'!$A$5:$D$204,4,FALSE),0)))</f>
        <v/>
      </c>
      <c r="J140" s="9">
        <f>IF($A140="","",IF(F140&lt;&gt;"",F140,IFERROR(VLOOKUP(C140,'Cost Library'!$A$5:$D$204,3,FALSE),"")))</f>
        <v/>
      </c>
      <c r="K140" s="39">
        <f>IF($A140="","",E140*I140)</f>
        <v/>
      </c>
      <c r="L140" s="36" t="n"/>
      <c r="M140" s="39">
        <f>IF($A140="","",K140*(1+N140))</f>
        <v/>
      </c>
      <c r="N140" s="26">
        <f>IF($A140="","",IF(L140="",IFERROR(VLOOKUP(H140,Settings!$A$22:$B$27,2,FALSE),0),L140))</f>
        <v/>
      </c>
      <c r="O140" s="9">
        <f>IF(AND($A140&lt;&gt;"",$A140=Proposal!$I$2),COUNTIF($A$5:$A140,Proposal!$I$2),"")</f>
        <v/>
      </c>
      <c r="P140" s="9">
        <f>IF($A140="","",IF(COUNTIF(Jobs!$A$5:$A$44,$A140)=0,"Unknown Job ID",IF(B140="","Missing cost code",IF(COUNTIF(Settings!$E$5:$E$28,B140)=0,"Unknown cost code",IF(AND(G140="",C140=""),"No unit cost",IF(E140="","Missing qty",""))))))</f>
        <v/>
      </c>
      <c r="Q140" s="35" t="n"/>
    </row>
    <row r="141">
      <c r="A141" s="35" t="n"/>
      <c r="B141" s="35" t="n"/>
      <c r="C141" s="35" t="n"/>
      <c r="D141" s="35" t="n"/>
      <c r="E141" s="35" t="n"/>
      <c r="F141" s="35" t="n"/>
      <c r="G141" s="37" t="n"/>
      <c r="H141" s="9">
        <f>IF(B141="","",IFERROR(VLOOKUP(B141,Settings!$E$5:$G$28,3,FALSE),"Other"))</f>
        <v/>
      </c>
      <c r="I141" s="39">
        <f>IF($A141="","",IF(G141&lt;&gt;"",G141,IFERROR(VLOOKUP(C141,'Cost Library'!$A$5:$D$204,4,FALSE),0)))</f>
        <v/>
      </c>
      <c r="J141" s="9">
        <f>IF($A141="","",IF(F141&lt;&gt;"",F141,IFERROR(VLOOKUP(C141,'Cost Library'!$A$5:$D$204,3,FALSE),"")))</f>
        <v/>
      </c>
      <c r="K141" s="39">
        <f>IF($A141="","",E141*I141)</f>
        <v/>
      </c>
      <c r="L141" s="36" t="n"/>
      <c r="M141" s="39">
        <f>IF($A141="","",K141*(1+N141))</f>
        <v/>
      </c>
      <c r="N141" s="26">
        <f>IF($A141="","",IF(L141="",IFERROR(VLOOKUP(H141,Settings!$A$22:$B$27,2,FALSE),0),L141))</f>
        <v/>
      </c>
      <c r="O141" s="9">
        <f>IF(AND($A141&lt;&gt;"",$A141=Proposal!$I$2),COUNTIF($A$5:$A141,Proposal!$I$2),"")</f>
        <v/>
      </c>
      <c r="P141" s="9">
        <f>IF($A141="","",IF(COUNTIF(Jobs!$A$5:$A$44,$A141)=0,"Unknown Job ID",IF(B141="","Missing cost code",IF(COUNTIF(Settings!$E$5:$E$28,B141)=0,"Unknown cost code",IF(AND(G141="",C141=""),"No unit cost",IF(E141="","Missing qty",""))))))</f>
        <v/>
      </c>
      <c r="Q141" s="35" t="n"/>
    </row>
    <row r="142">
      <c r="A142" s="35" t="n"/>
      <c r="B142" s="35" t="n"/>
      <c r="C142" s="35" t="n"/>
      <c r="D142" s="35" t="n"/>
      <c r="E142" s="35" t="n"/>
      <c r="F142" s="35" t="n"/>
      <c r="G142" s="37" t="n"/>
      <c r="H142" s="9">
        <f>IF(B142="","",IFERROR(VLOOKUP(B142,Settings!$E$5:$G$28,3,FALSE),"Other"))</f>
        <v/>
      </c>
      <c r="I142" s="39">
        <f>IF($A142="","",IF(G142&lt;&gt;"",G142,IFERROR(VLOOKUP(C142,'Cost Library'!$A$5:$D$204,4,FALSE),0)))</f>
        <v/>
      </c>
      <c r="J142" s="9">
        <f>IF($A142="","",IF(F142&lt;&gt;"",F142,IFERROR(VLOOKUP(C142,'Cost Library'!$A$5:$D$204,3,FALSE),"")))</f>
        <v/>
      </c>
      <c r="K142" s="39">
        <f>IF($A142="","",E142*I142)</f>
        <v/>
      </c>
      <c r="L142" s="36" t="n"/>
      <c r="M142" s="39">
        <f>IF($A142="","",K142*(1+N142))</f>
        <v/>
      </c>
      <c r="N142" s="26">
        <f>IF($A142="","",IF(L142="",IFERROR(VLOOKUP(H142,Settings!$A$22:$B$27,2,FALSE),0),L142))</f>
        <v/>
      </c>
      <c r="O142" s="9">
        <f>IF(AND($A142&lt;&gt;"",$A142=Proposal!$I$2),COUNTIF($A$5:$A142,Proposal!$I$2),"")</f>
        <v/>
      </c>
      <c r="P142" s="9">
        <f>IF($A142="","",IF(COUNTIF(Jobs!$A$5:$A$44,$A142)=0,"Unknown Job ID",IF(B142="","Missing cost code",IF(COUNTIF(Settings!$E$5:$E$28,B142)=0,"Unknown cost code",IF(AND(G142="",C142=""),"No unit cost",IF(E142="","Missing qty",""))))))</f>
        <v/>
      </c>
      <c r="Q142" s="35" t="n"/>
    </row>
    <row r="143">
      <c r="A143" s="35" t="n"/>
      <c r="B143" s="35" t="n"/>
      <c r="C143" s="35" t="n"/>
      <c r="D143" s="35" t="n"/>
      <c r="E143" s="35" t="n"/>
      <c r="F143" s="35" t="n"/>
      <c r="G143" s="37" t="n"/>
      <c r="H143" s="9">
        <f>IF(B143="","",IFERROR(VLOOKUP(B143,Settings!$E$5:$G$28,3,FALSE),"Other"))</f>
        <v/>
      </c>
      <c r="I143" s="39">
        <f>IF($A143="","",IF(G143&lt;&gt;"",G143,IFERROR(VLOOKUP(C143,'Cost Library'!$A$5:$D$204,4,FALSE),0)))</f>
        <v/>
      </c>
      <c r="J143" s="9">
        <f>IF($A143="","",IF(F143&lt;&gt;"",F143,IFERROR(VLOOKUP(C143,'Cost Library'!$A$5:$D$204,3,FALSE),"")))</f>
        <v/>
      </c>
      <c r="K143" s="39">
        <f>IF($A143="","",E143*I143)</f>
        <v/>
      </c>
      <c r="L143" s="36" t="n"/>
      <c r="M143" s="39">
        <f>IF($A143="","",K143*(1+N143))</f>
        <v/>
      </c>
      <c r="N143" s="26">
        <f>IF($A143="","",IF(L143="",IFERROR(VLOOKUP(H143,Settings!$A$22:$B$27,2,FALSE),0),L143))</f>
        <v/>
      </c>
      <c r="O143" s="9">
        <f>IF(AND($A143&lt;&gt;"",$A143=Proposal!$I$2),COUNTIF($A$5:$A143,Proposal!$I$2),"")</f>
        <v/>
      </c>
      <c r="P143" s="9">
        <f>IF($A143="","",IF(COUNTIF(Jobs!$A$5:$A$44,$A143)=0,"Unknown Job ID",IF(B143="","Missing cost code",IF(COUNTIF(Settings!$E$5:$E$28,B143)=0,"Unknown cost code",IF(AND(G143="",C143=""),"No unit cost",IF(E143="","Missing qty",""))))))</f>
        <v/>
      </c>
      <c r="Q143" s="35" t="n"/>
    </row>
    <row r="144">
      <c r="A144" s="35" t="n"/>
      <c r="B144" s="35" t="n"/>
      <c r="C144" s="35" t="n"/>
      <c r="D144" s="35" t="n"/>
      <c r="E144" s="35" t="n"/>
      <c r="F144" s="35" t="n"/>
      <c r="G144" s="37" t="n"/>
      <c r="H144" s="9">
        <f>IF(B144="","",IFERROR(VLOOKUP(B144,Settings!$E$5:$G$28,3,FALSE),"Other"))</f>
        <v/>
      </c>
      <c r="I144" s="39">
        <f>IF($A144="","",IF(G144&lt;&gt;"",G144,IFERROR(VLOOKUP(C144,'Cost Library'!$A$5:$D$204,4,FALSE),0)))</f>
        <v/>
      </c>
      <c r="J144" s="9">
        <f>IF($A144="","",IF(F144&lt;&gt;"",F144,IFERROR(VLOOKUP(C144,'Cost Library'!$A$5:$D$204,3,FALSE),"")))</f>
        <v/>
      </c>
      <c r="K144" s="39">
        <f>IF($A144="","",E144*I144)</f>
        <v/>
      </c>
      <c r="L144" s="36" t="n"/>
      <c r="M144" s="39">
        <f>IF($A144="","",K144*(1+N144))</f>
        <v/>
      </c>
      <c r="N144" s="26">
        <f>IF($A144="","",IF(L144="",IFERROR(VLOOKUP(H144,Settings!$A$22:$B$27,2,FALSE),0),L144))</f>
        <v/>
      </c>
      <c r="O144" s="9">
        <f>IF(AND($A144&lt;&gt;"",$A144=Proposal!$I$2),COUNTIF($A$5:$A144,Proposal!$I$2),"")</f>
        <v/>
      </c>
      <c r="P144" s="9">
        <f>IF($A144="","",IF(COUNTIF(Jobs!$A$5:$A$44,$A144)=0,"Unknown Job ID",IF(B144="","Missing cost code",IF(COUNTIF(Settings!$E$5:$E$28,B144)=0,"Unknown cost code",IF(AND(G144="",C144=""),"No unit cost",IF(E144="","Missing qty",""))))))</f>
        <v/>
      </c>
      <c r="Q144" s="35" t="n"/>
    </row>
    <row r="145">
      <c r="A145" s="35" t="n"/>
      <c r="B145" s="35" t="n"/>
      <c r="C145" s="35" t="n"/>
      <c r="D145" s="35" t="n"/>
      <c r="E145" s="35" t="n"/>
      <c r="F145" s="35" t="n"/>
      <c r="G145" s="37" t="n"/>
      <c r="H145" s="9">
        <f>IF(B145="","",IFERROR(VLOOKUP(B145,Settings!$E$5:$G$28,3,FALSE),"Other"))</f>
        <v/>
      </c>
      <c r="I145" s="39">
        <f>IF($A145="","",IF(G145&lt;&gt;"",G145,IFERROR(VLOOKUP(C145,'Cost Library'!$A$5:$D$204,4,FALSE),0)))</f>
        <v/>
      </c>
      <c r="J145" s="9">
        <f>IF($A145="","",IF(F145&lt;&gt;"",F145,IFERROR(VLOOKUP(C145,'Cost Library'!$A$5:$D$204,3,FALSE),"")))</f>
        <v/>
      </c>
      <c r="K145" s="39">
        <f>IF($A145="","",E145*I145)</f>
        <v/>
      </c>
      <c r="L145" s="36" t="n"/>
      <c r="M145" s="39">
        <f>IF($A145="","",K145*(1+N145))</f>
        <v/>
      </c>
      <c r="N145" s="26">
        <f>IF($A145="","",IF(L145="",IFERROR(VLOOKUP(H145,Settings!$A$22:$B$27,2,FALSE),0),L145))</f>
        <v/>
      </c>
      <c r="O145" s="9">
        <f>IF(AND($A145&lt;&gt;"",$A145=Proposal!$I$2),COUNTIF($A$5:$A145,Proposal!$I$2),"")</f>
        <v/>
      </c>
      <c r="P145" s="9">
        <f>IF($A145="","",IF(COUNTIF(Jobs!$A$5:$A$44,$A145)=0,"Unknown Job ID",IF(B145="","Missing cost code",IF(COUNTIF(Settings!$E$5:$E$28,B145)=0,"Unknown cost code",IF(AND(G145="",C145=""),"No unit cost",IF(E145="","Missing qty",""))))))</f>
        <v/>
      </c>
      <c r="Q145" s="35" t="n"/>
    </row>
    <row r="146">
      <c r="A146" s="35" t="n"/>
      <c r="B146" s="35" t="n"/>
      <c r="C146" s="35" t="n"/>
      <c r="D146" s="35" t="n"/>
      <c r="E146" s="35" t="n"/>
      <c r="F146" s="35" t="n"/>
      <c r="G146" s="37" t="n"/>
      <c r="H146" s="9">
        <f>IF(B146="","",IFERROR(VLOOKUP(B146,Settings!$E$5:$G$28,3,FALSE),"Other"))</f>
        <v/>
      </c>
      <c r="I146" s="39">
        <f>IF($A146="","",IF(G146&lt;&gt;"",G146,IFERROR(VLOOKUP(C146,'Cost Library'!$A$5:$D$204,4,FALSE),0)))</f>
        <v/>
      </c>
      <c r="J146" s="9">
        <f>IF($A146="","",IF(F146&lt;&gt;"",F146,IFERROR(VLOOKUP(C146,'Cost Library'!$A$5:$D$204,3,FALSE),"")))</f>
        <v/>
      </c>
      <c r="K146" s="39">
        <f>IF($A146="","",E146*I146)</f>
        <v/>
      </c>
      <c r="L146" s="36" t="n"/>
      <c r="M146" s="39">
        <f>IF($A146="","",K146*(1+N146))</f>
        <v/>
      </c>
      <c r="N146" s="26">
        <f>IF($A146="","",IF(L146="",IFERROR(VLOOKUP(H146,Settings!$A$22:$B$27,2,FALSE),0),L146))</f>
        <v/>
      </c>
      <c r="O146" s="9">
        <f>IF(AND($A146&lt;&gt;"",$A146=Proposal!$I$2),COUNTIF($A$5:$A146,Proposal!$I$2),"")</f>
        <v/>
      </c>
      <c r="P146" s="9">
        <f>IF($A146="","",IF(COUNTIF(Jobs!$A$5:$A$44,$A146)=0,"Unknown Job ID",IF(B146="","Missing cost code",IF(COUNTIF(Settings!$E$5:$E$28,B146)=0,"Unknown cost code",IF(AND(G146="",C146=""),"No unit cost",IF(E146="","Missing qty",""))))))</f>
        <v/>
      </c>
      <c r="Q146" s="35" t="n"/>
    </row>
    <row r="147">
      <c r="A147" s="35" t="n"/>
      <c r="B147" s="35" t="n"/>
      <c r="C147" s="35" t="n"/>
      <c r="D147" s="35" t="n"/>
      <c r="E147" s="35" t="n"/>
      <c r="F147" s="35" t="n"/>
      <c r="G147" s="37" t="n"/>
      <c r="H147" s="9">
        <f>IF(B147="","",IFERROR(VLOOKUP(B147,Settings!$E$5:$G$28,3,FALSE),"Other"))</f>
        <v/>
      </c>
      <c r="I147" s="39">
        <f>IF($A147="","",IF(G147&lt;&gt;"",G147,IFERROR(VLOOKUP(C147,'Cost Library'!$A$5:$D$204,4,FALSE),0)))</f>
        <v/>
      </c>
      <c r="J147" s="9">
        <f>IF($A147="","",IF(F147&lt;&gt;"",F147,IFERROR(VLOOKUP(C147,'Cost Library'!$A$5:$D$204,3,FALSE),"")))</f>
        <v/>
      </c>
      <c r="K147" s="39">
        <f>IF($A147="","",E147*I147)</f>
        <v/>
      </c>
      <c r="L147" s="36" t="n"/>
      <c r="M147" s="39">
        <f>IF($A147="","",K147*(1+N147))</f>
        <v/>
      </c>
      <c r="N147" s="26">
        <f>IF($A147="","",IF(L147="",IFERROR(VLOOKUP(H147,Settings!$A$22:$B$27,2,FALSE),0),L147))</f>
        <v/>
      </c>
      <c r="O147" s="9">
        <f>IF(AND($A147&lt;&gt;"",$A147=Proposal!$I$2),COUNTIF($A$5:$A147,Proposal!$I$2),"")</f>
        <v/>
      </c>
      <c r="P147" s="9">
        <f>IF($A147="","",IF(COUNTIF(Jobs!$A$5:$A$44,$A147)=0,"Unknown Job ID",IF(B147="","Missing cost code",IF(COUNTIF(Settings!$E$5:$E$28,B147)=0,"Unknown cost code",IF(AND(G147="",C147=""),"No unit cost",IF(E147="","Missing qty",""))))))</f>
        <v/>
      </c>
      <c r="Q147" s="35" t="n"/>
    </row>
    <row r="148">
      <c r="A148" s="35" t="n"/>
      <c r="B148" s="35" t="n"/>
      <c r="C148" s="35" t="n"/>
      <c r="D148" s="35" t="n"/>
      <c r="E148" s="35" t="n"/>
      <c r="F148" s="35" t="n"/>
      <c r="G148" s="37" t="n"/>
      <c r="H148" s="9">
        <f>IF(B148="","",IFERROR(VLOOKUP(B148,Settings!$E$5:$G$28,3,FALSE),"Other"))</f>
        <v/>
      </c>
      <c r="I148" s="39">
        <f>IF($A148="","",IF(G148&lt;&gt;"",G148,IFERROR(VLOOKUP(C148,'Cost Library'!$A$5:$D$204,4,FALSE),0)))</f>
        <v/>
      </c>
      <c r="J148" s="9">
        <f>IF($A148="","",IF(F148&lt;&gt;"",F148,IFERROR(VLOOKUP(C148,'Cost Library'!$A$5:$D$204,3,FALSE),"")))</f>
        <v/>
      </c>
      <c r="K148" s="39">
        <f>IF($A148="","",E148*I148)</f>
        <v/>
      </c>
      <c r="L148" s="36" t="n"/>
      <c r="M148" s="39">
        <f>IF($A148="","",K148*(1+N148))</f>
        <v/>
      </c>
      <c r="N148" s="26">
        <f>IF($A148="","",IF(L148="",IFERROR(VLOOKUP(H148,Settings!$A$22:$B$27,2,FALSE),0),L148))</f>
        <v/>
      </c>
      <c r="O148" s="9">
        <f>IF(AND($A148&lt;&gt;"",$A148=Proposal!$I$2),COUNTIF($A$5:$A148,Proposal!$I$2),"")</f>
        <v/>
      </c>
      <c r="P148" s="9">
        <f>IF($A148="","",IF(COUNTIF(Jobs!$A$5:$A$44,$A148)=0,"Unknown Job ID",IF(B148="","Missing cost code",IF(COUNTIF(Settings!$E$5:$E$28,B148)=0,"Unknown cost code",IF(AND(G148="",C148=""),"No unit cost",IF(E148="","Missing qty",""))))))</f>
        <v/>
      </c>
      <c r="Q148" s="35" t="n"/>
    </row>
    <row r="149">
      <c r="A149" s="35" t="n"/>
      <c r="B149" s="35" t="n"/>
      <c r="C149" s="35" t="n"/>
      <c r="D149" s="35" t="n"/>
      <c r="E149" s="35" t="n"/>
      <c r="F149" s="35" t="n"/>
      <c r="G149" s="37" t="n"/>
      <c r="H149" s="9">
        <f>IF(B149="","",IFERROR(VLOOKUP(B149,Settings!$E$5:$G$28,3,FALSE),"Other"))</f>
        <v/>
      </c>
      <c r="I149" s="39">
        <f>IF($A149="","",IF(G149&lt;&gt;"",G149,IFERROR(VLOOKUP(C149,'Cost Library'!$A$5:$D$204,4,FALSE),0)))</f>
        <v/>
      </c>
      <c r="J149" s="9">
        <f>IF($A149="","",IF(F149&lt;&gt;"",F149,IFERROR(VLOOKUP(C149,'Cost Library'!$A$5:$D$204,3,FALSE),"")))</f>
        <v/>
      </c>
      <c r="K149" s="39">
        <f>IF($A149="","",E149*I149)</f>
        <v/>
      </c>
      <c r="L149" s="36" t="n"/>
      <c r="M149" s="39">
        <f>IF($A149="","",K149*(1+N149))</f>
        <v/>
      </c>
      <c r="N149" s="26">
        <f>IF($A149="","",IF(L149="",IFERROR(VLOOKUP(H149,Settings!$A$22:$B$27,2,FALSE),0),L149))</f>
        <v/>
      </c>
      <c r="O149" s="9">
        <f>IF(AND($A149&lt;&gt;"",$A149=Proposal!$I$2),COUNTIF($A$5:$A149,Proposal!$I$2),"")</f>
        <v/>
      </c>
      <c r="P149" s="9">
        <f>IF($A149="","",IF(COUNTIF(Jobs!$A$5:$A$44,$A149)=0,"Unknown Job ID",IF(B149="","Missing cost code",IF(COUNTIF(Settings!$E$5:$E$28,B149)=0,"Unknown cost code",IF(AND(G149="",C149=""),"No unit cost",IF(E149="","Missing qty",""))))))</f>
        <v/>
      </c>
      <c r="Q149" s="35" t="n"/>
    </row>
    <row r="150">
      <c r="A150" s="35" t="n"/>
      <c r="B150" s="35" t="n"/>
      <c r="C150" s="35" t="n"/>
      <c r="D150" s="35" t="n"/>
      <c r="E150" s="35" t="n"/>
      <c r="F150" s="35" t="n"/>
      <c r="G150" s="37" t="n"/>
      <c r="H150" s="9">
        <f>IF(B150="","",IFERROR(VLOOKUP(B150,Settings!$E$5:$G$28,3,FALSE),"Other"))</f>
        <v/>
      </c>
      <c r="I150" s="39">
        <f>IF($A150="","",IF(G150&lt;&gt;"",G150,IFERROR(VLOOKUP(C150,'Cost Library'!$A$5:$D$204,4,FALSE),0)))</f>
        <v/>
      </c>
      <c r="J150" s="9">
        <f>IF($A150="","",IF(F150&lt;&gt;"",F150,IFERROR(VLOOKUP(C150,'Cost Library'!$A$5:$D$204,3,FALSE),"")))</f>
        <v/>
      </c>
      <c r="K150" s="39">
        <f>IF($A150="","",E150*I150)</f>
        <v/>
      </c>
      <c r="L150" s="36" t="n"/>
      <c r="M150" s="39">
        <f>IF($A150="","",K150*(1+N150))</f>
        <v/>
      </c>
      <c r="N150" s="26">
        <f>IF($A150="","",IF(L150="",IFERROR(VLOOKUP(H150,Settings!$A$22:$B$27,2,FALSE),0),L150))</f>
        <v/>
      </c>
      <c r="O150" s="9">
        <f>IF(AND($A150&lt;&gt;"",$A150=Proposal!$I$2),COUNTIF($A$5:$A150,Proposal!$I$2),"")</f>
        <v/>
      </c>
      <c r="P150" s="9">
        <f>IF($A150="","",IF(COUNTIF(Jobs!$A$5:$A$44,$A150)=0,"Unknown Job ID",IF(B150="","Missing cost code",IF(COUNTIF(Settings!$E$5:$E$28,B150)=0,"Unknown cost code",IF(AND(G150="",C150=""),"No unit cost",IF(E150="","Missing qty",""))))))</f>
        <v/>
      </c>
      <c r="Q150" s="35" t="n"/>
    </row>
    <row r="151">
      <c r="A151" s="35" t="n"/>
      <c r="B151" s="35" t="n"/>
      <c r="C151" s="35" t="n"/>
      <c r="D151" s="35" t="n"/>
      <c r="E151" s="35" t="n"/>
      <c r="F151" s="35" t="n"/>
      <c r="G151" s="37" t="n"/>
      <c r="H151" s="9">
        <f>IF(B151="","",IFERROR(VLOOKUP(B151,Settings!$E$5:$G$28,3,FALSE),"Other"))</f>
        <v/>
      </c>
      <c r="I151" s="39">
        <f>IF($A151="","",IF(G151&lt;&gt;"",G151,IFERROR(VLOOKUP(C151,'Cost Library'!$A$5:$D$204,4,FALSE),0)))</f>
        <v/>
      </c>
      <c r="J151" s="9">
        <f>IF($A151="","",IF(F151&lt;&gt;"",F151,IFERROR(VLOOKUP(C151,'Cost Library'!$A$5:$D$204,3,FALSE),"")))</f>
        <v/>
      </c>
      <c r="K151" s="39">
        <f>IF($A151="","",E151*I151)</f>
        <v/>
      </c>
      <c r="L151" s="36" t="n"/>
      <c r="M151" s="39">
        <f>IF($A151="","",K151*(1+N151))</f>
        <v/>
      </c>
      <c r="N151" s="26">
        <f>IF($A151="","",IF(L151="",IFERROR(VLOOKUP(H151,Settings!$A$22:$B$27,2,FALSE),0),L151))</f>
        <v/>
      </c>
      <c r="O151" s="9">
        <f>IF(AND($A151&lt;&gt;"",$A151=Proposal!$I$2),COUNTIF($A$5:$A151,Proposal!$I$2),"")</f>
        <v/>
      </c>
      <c r="P151" s="9">
        <f>IF($A151="","",IF(COUNTIF(Jobs!$A$5:$A$44,$A151)=0,"Unknown Job ID",IF(B151="","Missing cost code",IF(COUNTIF(Settings!$E$5:$E$28,B151)=0,"Unknown cost code",IF(AND(G151="",C151=""),"No unit cost",IF(E151="","Missing qty",""))))))</f>
        <v/>
      </c>
      <c r="Q151" s="35" t="n"/>
    </row>
    <row r="152">
      <c r="A152" s="35" t="n"/>
      <c r="B152" s="35" t="n"/>
      <c r="C152" s="35" t="n"/>
      <c r="D152" s="35" t="n"/>
      <c r="E152" s="35" t="n"/>
      <c r="F152" s="35" t="n"/>
      <c r="G152" s="37" t="n"/>
      <c r="H152" s="9">
        <f>IF(B152="","",IFERROR(VLOOKUP(B152,Settings!$E$5:$G$28,3,FALSE),"Other"))</f>
        <v/>
      </c>
      <c r="I152" s="39">
        <f>IF($A152="","",IF(G152&lt;&gt;"",G152,IFERROR(VLOOKUP(C152,'Cost Library'!$A$5:$D$204,4,FALSE),0)))</f>
        <v/>
      </c>
      <c r="J152" s="9">
        <f>IF($A152="","",IF(F152&lt;&gt;"",F152,IFERROR(VLOOKUP(C152,'Cost Library'!$A$5:$D$204,3,FALSE),"")))</f>
        <v/>
      </c>
      <c r="K152" s="39">
        <f>IF($A152="","",E152*I152)</f>
        <v/>
      </c>
      <c r="L152" s="36" t="n"/>
      <c r="M152" s="39">
        <f>IF($A152="","",K152*(1+N152))</f>
        <v/>
      </c>
      <c r="N152" s="26">
        <f>IF($A152="","",IF(L152="",IFERROR(VLOOKUP(H152,Settings!$A$22:$B$27,2,FALSE),0),L152))</f>
        <v/>
      </c>
      <c r="O152" s="9">
        <f>IF(AND($A152&lt;&gt;"",$A152=Proposal!$I$2),COUNTIF($A$5:$A152,Proposal!$I$2),"")</f>
        <v/>
      </c>
      <c r="P152" s="9">
        <f>IF($A152="","",IF(COUNTIF(Jobs!$A$5:$A$44,$A152)=0,"Unknown Job ID",IF(B152="","Missing cost code",IF(COUNTIF(Settings!$E$5:$E$28,B152)=0,"Unknown cost code",IF(AND(G152="",C152=""),"No unit cost",IF(E152="","Missing qty",""))))))</f>
        <v/>
      </c>
      <c r="Q152" s="35" t="n"/>
    </row>
    <row r="153">
      <c r="A153" s="35" t="n"/>
      <c r="B153" s="35" t="n"/>
      <c r="C153" s="35" t="n"/>
      <c r="D153" s="35" t="n"/>
      <c r="E153" s="35" t="n"/>
      <c r="F153" s="35" t="n"/>
      <c r="G153" s="37" t="n"/>
      <c r="H153" s="9">
        <f>IF(B153="","",IFERROR(VLOOKUP(B153,Settings!$E$5:$G$28,3,FALSE),"Other"))</f>
        <v/>
      </c>
      <c r="I153" s="39">
        <f>IF($A153="","",IF(G153&lt;&gt;"",G153,IFERROR(VLOOKUP(C153,'Cost Library'!$A$5:$D$204,4,FALSE),0)))</f>
        <v/>
      </c>
      <c r="J153" s="9">
        <f>IF($A153="","",IF(F153&lt;&gt;"",F153,IFERROR(VLOOKUP(C153,'Cost Library'!$A$5:$D$204,3,FALSE),"")))</f>
        <v/>
      </c>
      <c r="K153" s="39">
        <f>IF($A153="","",E153*I153)</f>
        <v/>
      </c>
      <c r="L153" s="36" t="n"/>
      <c r="M153" s="39">
        <f>IF($A153="","",K153*(1+N153))</f>
        <v/>
      </c>
      <c r="N153" s="26">
        <f>IF($A153="","",IF(L153="",IFERROR(VLOOKUP(H153,Settings!$A$22:$B$27,2,FALSE),0),L153))</f>
        <v/>
      </c>
      <c r="O153" s="9">
        <f>IF(AND($A153&lt;&gt;"",$A153=Proposal!$I$2),COUNTIF($A$5:$A153,Proposal!$I$2),"")</f>
        <v/>
      </c>
      <c r="P153" s="9">
        <f>IF($A153="","",IF(COUNTIF(Jobs!$A$5:$A$44,$A153)=0,"Unknown Job ID",IF(B153="","Missing cost code",IF(COUNTIF(Settings!$E$5:$E$28,B153)=0,"Unknown cost code",IF(AND(G153="",C153=""),"No unit cost",IF(E153="","Missing qty",""))))))</f>
        <v/>
      </c>
      <c r="Q153" s="35" t="n"/>
    </row>
    <row r="154">
      <c r="A154" s="35" t="n"/>
      <c r="B154" s="35" t="n"/>
      <c r="C154" s="35" t="n"/>
      <c r="D154" s="35" t="n"/>
      <c r="E154" s="35" t="n"/>
      <c r="F154" s="35" t="n"/>
      <c r="G154" s="37" t="n"/>
      <c r="H154" s="9">
        <f>IF(B154="","",IFERROR(VLOOKUP(B154,Settings!$E$5:$G$28,3,FALSE),"Other"))</f>
        <v/>
      </c>
      <c r="I154" s="39">
        <f>IF($A154="","",IF(G154&lt;&gt;"",G154,IFERROR(VLOOKUP(C154,'Cost Library'!$A$5:$D$204,4,FALSE),0)))</f>
        <v/>
      </c>
      <c r="J154" s="9">
        <f>IF($A154="","",IF(F154&lt;&gt;"",F154,IFERROR(VLOOKUP(C154,'Cost Library'!$A$5:$D$204,3,FALSE),"")))</f>
        <v/>
      </c>
      <c r="K154" s="39">
        <f>IF($A154="","",E154*I154)</f>
        <v/>
      </c>
      <c r="L154" s="36" t="n"/>
      <c r="M154" s="39">
        <f>IF($A154="","",K154*(1+N154))</f>
        <v/>
      </c>
      <c r="N154" s="26">
        <f>IF($A154="","",IF(L154="",IFERROR(VLOOKUP(H154,Settings!$A$22:$B$27,2,FALSE),0),L154))</f>
        <v/>
      </c>
      <c r="O154" s="9">
        <f>IF(AND($A154&lt;&gt;"",$A154=Proposal!$I$2),COUNTIF($A$5:$A154,Proposal!$I$2),"")</f>
        <v/>
      </c>
      <c r="P154" s="9">
        <f>IF($A154="","",IF(COUNTIF(Jobs!$A$5:$A$44,$A154)=0,"Unknown Job ID",IF(B154="","Missing cost code",IF(COUNTIF(Settings!$E$5:$E$28,B154)=0,"Unknown cost code",IF(AND(G154="",C154=""),"No unit cost",IF(E154="","Missing qty",""))))))</f>
        <v/>
      </c>
      <c r="Q154" s="35" t="n"/>
    </row>
    <row r="155">
      <c r="A155" s="35" t="n"/>
      <c r="B155" s="35" t="n"/>
      <c r="C155" s="35" t="n"/>
      <c r="D155" s="35" t="n"/>
      <c r="E155" s="35" t="n"/>
      <c r="F155" s="35" t="n"/>
      <c r="G155" s="37" t="n"/>
      <c r="H155" s="9">
        <f>IF(B155="","",IFERROR(VLOOKUP(B155,Settings!$E$5:$G$28,3,FALSE),"Other"))</f>
        <v/>
      </c>
      <c r="I155" s="39">
        <f>IF($A155="","",IF(G155&lt;&gt;"",G155,IFERROR(VLOOKUP(C155,'Cost Library'!$A$5:$D$204,4,FALSE),0)))</f>
        <v/>
      </c>
      <c r="J155" s="9">
        <f>IF($A155="","",IF(F155&lt;&gt;"",F155,IFERROR(VLOOKUP(C155,'Cost Library'!$A$5:$D$204,3,FALSE),"")))</f>
        <v/>
      </c>
      <c r="K155" s="39">
        <f>IF($A155="","",E155*I155)</f>
        <v/>
      </c>
      <c r="L155" s="36" t="n"/>
      <c r="M155" s="39">
        <f>IF($A155="","",K155*(1+N155))</f>
        <v/>
      </c>
      <c r="N155" s="26">
        <f>IF($A155="","",IF(L155="",IFERROR(VLOOKUP(H155,Settings!$A$22:$B$27,2,FALSE),0),L155))</f>
        <v/>
      </c>
      <c r="O155" s="9">
        <f>IF(AND($A155&lt;&gt;"",$A155=Proposal!$I$2),COUNTIF($A$5:$A155,Proposal!$I$2),"")</f>
        <v/>
      </c>
      <c r="P155" s="9">
        <f>IF($A155="","",IF(COUNTIF(Jobs!$A$5:$A$44,$A155)=0,"Unknown Job ID",IF(B155="","Missing cost code",IF(COUNTIF(Settings!$E$5:$E$28,B155)=0,"Unknown cost code",IF(AND(G155="",C155=""),"No unit cost",IF(E155="","Missing qty",""))))))</f>
        <v/>
      </c>
      <c r="Q155" s="35" t="n"/>
    </row>
    <row r="156">
      <c r="A156" s="35" t="n"/>
      <c r="B156" s="35" t="n"/>
      <c r="C156" s="35" t="n"/>
      <c r="D156" s="35" t="n"/>
      <c r="E156" s="35" t="n"/>
      <c r="F156" s="35" t="n"/>
      <c r="G156" s="37" t="n"/>
      <c r="H156" s="9">
        <f>IF(B156="","",IFERROR(VLOOKUP(B156,Settings!$E$5:$G$28,3,FALSE),"Other"))</f>
        <v/>
      </c>
      <c r="I156" s="39">
        <f>IF($A156="","",IF(G156&lt;&gt;"",G156,IFERROR(VLOOKUP(C156,'Cost Library'!$A$5:$D$204,4,FALSE),0)))</f>
        <v/>
      </c>
      <c r="J156" s="9">
        <f>IF($A156="","",IF(F156&lt;&gt;"",F156,IFERROR(VLOOKUP(C156,'Cost Library'!$A$5:$D$204,3,FALSE),"")))</f>
        <v/>
      </c>
      <c r="K156" s="39">
        <f>IF($A156="","",E156*I156)</f>
        <v/>
      </c>
      <c r="L156" s="36" t="n"/>
      <c r="M156" s="39">
        <f>IF($A156="","",K156*(1+N156))</f>
        <v/>
      </c>
      <c r="N156" s="26">
        <f>IF($A156="","",IF(L156="",IFERROR(VLOOKUP(H156,Settings!$A$22:$B$27,2,FALSE),0),L156))</f>
        <v/>
      </c>
      <c r="O156" s="9">
        <f>IF(AND($A156&lt;&gt;"",$A156=Proposal!$I$2),COUNTIF($A$5:$A156,Proposal!$I$2),"")</f>
        <v/>
      </c>
      <c r="P156" s="9">
        <f>IF($A156="","",IF(COUNTIF(Jobs!$A$5:$A$44,$A156)=0,"Unknown Job ID",IF(B156="","Missing cost code",IF(COUNTIF(Settings!$E$5:$E$28,B156)=0,"Unknown cost code",IF(AND(G156="",C156=""),"No unit cost",IF(E156="","Missing qty",""))))))</f>
        <v/>
      </c>
      <c r="Q156" s="35" t="n"/>
    </row>
    <row r="157">
      <c r="A157" s="35" t="n"/>
      <c r="B157" s="35" t="n"/>
      <c r="C157" s="35" t="n"/>
      <c r="D157" s="35" t="n"/>
      <c r="E157" s="35" t="n"/>
      <c r="F157" s="35" t="n"/>
      <c r="G157" s="37" t="n"/>
      <c r="H157" s="9">
        <f>IF(B157="","",IFERROR(VLOOKUP(B157,Settings!$E$5:$G$28,3,FALSE),"Other"))</f>
        <v/>
      </c>
      <c r="I157" s="39">
        <f>IF($A157="","",IF(G157&lt;&gt;"",G157,IFERROR(VLOOKUP(C157,'Cost Library'!$A$5:$D$204,4,FALSE),0)))</f>
        <v/>
      </c>
      <c r="J157" s="9">
        <f>IF($A157="","",IF(F157&lt;&gt;"",F157,IFERROR(VLOOKUP(C157,'Cost Library'!$A$5:$D$204,3,FALSE),"")))</f>
        <v/>
      </c>
      <c r="K157" s="39">
        <f>IF($A157="","",E157*I157)</f>
        <v/>
      </c>
      <c r="L157" s="36" t="n"/>
      <c r="M157" s="39">
        <f>IF($A157="","",K157*(1+N157))</f>
        <v/>
      </c>
      <c r="N157" s="26">
        <f>IF($A157="","",IF(L157="",IFERROR(VLOOKUP(H157,Settings!$A$22:$B$27,2,FALSE),0),L157))</f>
        <v/>
      </c>
      <c r="O157" s="9">
        <f>IF(AND($A157&lt;&gt;"",$A157=Proposal!$I$2),COUNTIF($A$5:$A157,Proposal!$I$2),"")</f>
        <v/>
      </c>
      <c r="P157" s="9">
        <f>IF($A157="","",IF(COUNTIF(Jobs!$A$5:$A$44,$A157)=0,"Unknown Job ID",IF(B157="","Missing cost code",IF(COUNTIF(Settings!$E$5:$E$28,B157)=0,"Unknown cost code",IF(AND(G157="",C157=""),"No unit cost",IF(E157="","Missing qty",""))))))</f>
        <v/>
      </c>
      <c r="Q157" s="35" t="n"/>
    </row>
    <row r="158">
      <c r="A158" s="35" t="n"/>
      <c r="B158" s="35" t="n"/>
      <c r="C158" s="35" t="n"/>
      <c r="D158" s="35" t="n"/>
      <c r="E158" s="35" t="n"/>
      <c r="F158" s="35" t="n"/>
      <c r="G158" s="37" t="n"/>
      <c r="H158" s="9">
        <f>IF(B158="","",IFERROR(VLOOKUP(B158,Settings!$E$5:$G$28,3,FALSE),"Other"))</f>
        <v/>
      </c>
      <c r="I158" s="39">
        <f>IF($A158="","",IF(G158&lt;&gt;"",G158,IFERROR(VLOOKUP(C158,'Cost Library'!$A$5:$D$204,4,FALSE),0)))</f>
        <v/>
      </c>
      <c r="J158" s="9">
        <f>IF($A158="","",IF(F158&lt;&gt;"",F158,IFERROR(VLOOKUP(C158,'Cost Library'!$A$5:$D$204,3,FALSE),"")))</f>
        <v/>
      </c>
      <c r="K158" s="39">
        <f>IF($A158="","",E158*I158)</f>
        <v/>
      </c>
      <c r="L158" s="36" t="n"/>
      <c r="M158" s="39">
        <f>IF($A158="","",K158*(1+N158))</f>
        <v/>
      </c>
      <c r="N158" s="26">
        <f>IF($A158="","",IF(L158="",IFERROR(VLOOKUP(H158,Settings!$A$22:$B$27,2,FALSE),0),L158))</f>
        <v/>
      </c>
      <c r="O158" s="9">
        <f>IF(AND($A158&lt;&gt;"",$A158=Proposal!$I$2),COUNTIF($A$5:$A158,Proposal!$I$2),"")</f>
        <v/>
      </c>
      <c r="P158" s="9">
        <f>IF($A158="","",IF(COUNTIF(Jobs!$A$5:$A$44,$A158)=0,"Unknown Job ID",IF(B158="","Missing cost code",IF(COUNTIF(Settings!$E$5:$E$28,B158)=0,"Unknown cost code",IF(AND(G158="",C158=""),"No unit cost",IF(E158="","Missing qty",""))))))</f>
        <v/>
      </c>
      <c r="Q158" s="35" t="n"/>
    </row>
    <row r="159">
      <c r="A159" s="35" t="n"/>
      <c r="B159" s="35" t="n"/>
      <c r="C159" s="35" t="n"/>
      <c r="D159" s="35" t="n"/>
      <c r="E159" s="35" t="n"/>
      <c r="F159" s="35" t="n"/>
      <c r="G159" s="37" t="n"/>
      <c r="H159" s="9">
        <f>IF(B159="","",IFERROR(VLOOKUP(B159,Settings!$E$5:$G$28,3,FALSE),"Other"))</f>
        <v/>
      </c>
      <c r="I159" s="39">
        <f>IF($A159="","",IF(G159&lt;&gt;"",G159,IFERROR(VLOOKUP(C159,'Cost Library'!$A$5:$D$204,4,FALSE),0)))</f>
        <v/>
      </c>
      <c r="J159" s="9">
        <f>IF($A159="","",IF(F159&lt;&gt;"",F159,IFERROR(VLOOKUP(C159,'Cost Library'!$A$5:$D$204,3,FALSE),"")))</f>
        <v/>
      </c>
      <c r="K159" s="39">
        <f>IF($A159="","",E159*I159)</f>
        <v/>
      </c>
      <c r="L159" s="36" t="n"/>
      <c r="M159" s="39">
        <f>IF($A159="","",K159*(1+N159))</f>
        <v/>
      </c>
      <c r="N159" s="26">
        <f>IF($A159="","",IF(L159="",IFERROR(VLOOKUP(H159,Settings!$A$22:$B$27,2,FALSE),0),L159))</f>
        <v/>
      </c>
      <c r="O159" s="9">
        <f>IF(AND($A159&lt;&gt;"",$A159=Proposal!$I$2),COUNTIF($A$5:$A159,Proposal!$I$2),"")</f>
        <v/>
      </c>
      <c r="P159" s="9">
        <f>IF($A159="","",IF(COUNTIF(Jobs!$A$5:$A$44,$A159)=0,"Unknown Job ID",IF(B159="","Missing cost code",IF(COUNTIF(Settings!$E$5:$E$28,B159)=0,"Unknown cost code",IF(AND(G159="",C159=""),"No unit cost",IF(E159="","Missing qty",""))))))</f>
        <v/>
      </c>
      <c r="Q159" s="35" t="n"/>
    </row>
    <row r="160">
      <c r="A160" s="35" t="n"/>
      <c r="B160" s="35" t="n"/>
      <c r="C160" s="35" t="n"/>
      <c r="D160" s="35" t="n"/>
      <c r="E160" s="35" t="n"/>
      <c r="F160" s="35" t="n"/>
      <c r="G160" s="37" t="n"/>
      <c r="H160" s="9">
        <f>IF(B160="","",IFERROR(VLOOKUP(B160,Settings!$E$5:$G$28,3,FALSE),"Other"))</f>
        <v/>
      </c>
      <c r="I160" s="39">
        <f>IF($A160="","",IF(G160&lt;&gt;"",G160,IFERROR(VLOOKUP(C160,'Cost Library'!$A$5:$D$204,4,FALSE),0)))</f>
        <v/>
      </c>
      <c r="J160" s="9">
        <f>IF($A160="","",IF(F160&lt;&gt;"",F160,IFERROR(VLOOKUP(C160,'Cost Library'!$A$5:$D$204,3,FALSE),"")))</f>
        <v/>
      </c>
      <c r="K160" s="39">
        <f>IF($A160="","",E160*I160)</f>
        <v/>
      </c>
      <c r="L160" s="36" t="n"/>
      <c r="M160" s="39">
        <f>IF($A160="","",K160*(1+N160))</f>
        <v/>
      </c>
      <c r="N160" s="26">
        <f>IF($A160="","",IF(L160="",IFERROR(VLOOKUP(H160,Settings!$A$22:$B$27,2,FALSE),0),L160))</f>
        <v/>
      </c>
      <c r="O160" s="9">
        <f>IF(AND($A160&lt;&gt;"",$A160=Proposal!$I$2),COUNTIF($A$5:$A160,Proposal!$I$2),"")</f>
        <v/>
      </c>
      <c r="P160" s="9">
        <f>IF($A160="","",IF(COUNTIF(Jobs!$A$5:$A$44,$A160)=0,"Unknown Job ID",IF(B160="","Missing cost code",IF(COUNTIF(Settings!$E$5:$E$28,B160)=0,"Unknown cost code",IF(AND(G160="",C160=""),"No unit cost",IF(E160="","Missing qty",""))))))</f>
        <v/>
      </c>
      <c r="Q160" s="35" t="n"/>
    </row>
    <row r="161">
      <c r="A161" s="35" t="n"/>
      <c r="B161" s="35" t="n"/>
      <c r="C161" s="35" t="n"/>
      <c r="D161" s="35" t="n"/>
      <c r="E161" s="35" t="n"/>
      <c r="F161" s="35" t="n"/>
      <c r="G161" s="37" t="n"/>
      <c r="H161" s="9">
        <f>IF(B161="","",IFERROR(VLOOKUP(B161,Settings!$E$5:$G$28,3,FALSE),"Other"))</f>
        <v/>
      </c>
      <c r="I161" s="39">
        <f>IF($A161="","",IF(G161&lt;&gt;"",G161,IFERROR(VLOOKUP(C161,'Cost Library'!$A$5:$D$204,4,FALSE),0)))</f>
        <v/>
      </c>
      <c r="J161" s="9">
        <f>IF($A161="","",IF(F161&lt;&gt;"",F161,IFERROR(VLOOKUP(C161,'Cost Library'!$A$5:$D$204,3,FALSE),"")))</f>
        <v/>
      </c>
      <c r="K161" s="39">
        <f>IF($A161="","",E161*I161)</f>
        <v/>
      </c>
      <c r="L161" s="36" t="n"/>
      <c r="M161" s="39">
        <f>IF($A161="","",K161*(1+N161))</f>
        <v/>
      </c>
      <c r="N161" s="26">
        <f>IF($A161="","",IF(L161="",IFERROR(VLOOKUP(H161,Settings!$A$22:$B$27,2,FALSE),0),L161))</f>
        <v/>
      </c>
      <c r="O161" s="9">
        <f>IF(AND($A161&lt;&gt;"",$A161=Proposal!$I$2),COUNTIF($A$5:$A161,Proposal!$I$2),"")</f>
        <v/>
      </c>
      <c r="P161" s="9">
        <f>IF($A161="","",IF(COUNTIF(Jobs!$A$5:$A$44,$A161)=0,"Unknown Job ID",IF(B161="","Missing cost code",IF(COUNTIF(Settings!$E$5:$E$28,B161)=0,"Unknown cost code",IF(AND(G161="",C161=""),"No unit cost",IF(E161="","Missing qty",""))))))</f>
        <v/>
      </c>
      <c r="Q161" s="35" t="n"/>
    </row>
    <row r="162">
      <c r="A162" s="35" t="n"/>
      <c r="B162" s="35" t="n"/>
      <c r="C162" s="35" t="n"/>
      <c r="D162" s="35" t="n"/>
      <c r="E162" s="35" t="n"/>
      <c r="F162" s="35" t="n"/>
      <c r="G162" s="37" t="n"/>
      <c r="H162" s="9">
        <f>IF(B162="","",IFERROR(VLOOKUP(B162,Settings!$E$5:$G$28,3,FALSE),"Other"))</f>
        <v/>
      </c>
      <c r="I162" s="39">
        <f>IF($A162="","",IF(G162&lt;&gt;"",G162,IFERROR(VLOOKUP(C162,'Cost Library'!$A$5:$D$204,4,FALSE),0)))</f>
        <v/>
      </c>
      <c r="J162" s="9">
        <f>IF($A162="","",IF(F162&lt;&gt;"",F162,IFERROR(VLOOKUP(C162,'Cost Library'!$A$5:$D$204,3,FALSE),"")))</f>
        <v/>
      </c>
      <c r="K162" s="39">
        <f>IF($A162="","",E162*I162)</f>
        <v/>
      </c>
      <c r="L162" s="36" t="n"/>
      <c r="M162" s="39">
        <f>IF($A162="","",K162*(1+N162))</f>
        <v/>
      </c>
      <c r="N162" s="26">
        <f>IF($A162="","",IF(L162="",IFERROR(VLOOKUP(H162,Settings!$A$22:$B$27,2,FALSE),0),L162))</f>
        <v/>
      </c>
      <c r="O162" s="9">
        <f>IF(AND($A162&lt;&gt;"",$A162=Proposal!$I$2),COUNTIF($A$5:$A162,Proposal!$I$2),"")</f>
        <v/>
      </c>
      <c r="P162" s="9">
        <f>IF($A162="","",IF(COUNTIF(Jobs!$A$5:$A$44,$A162)=0,"Unknown Job ID",IF(B162="","Missing cost code",IF(COUNTIF(Settings!$E$5:$E$28,B162)=0,"Unknown cost code",IF(AND(G162="",C162=""),"No unit cost",IF(E162="","Missing qty",""))))))</f>
        <v/>
      </c>
      <c r="Q162" s="35" t="n"/>
    </row>
    <row r="163">
      <c r="A163" s="35" t="n"/>
      <c r="B163" s="35" t="n"/>
      <c r="C163" s="35" t="n"/>
      <c r="D163" s="35" t="n"/>
      <c r="E163" s="35" t="n"/>
      <c r="F163" s="35" t="n"/>
      <c r="G163" s="37" t="n"/>
      <c r="H163" s="9">
        <f>IF(B163="","",IFERROR(VLOOKUP(B163,Settings!$E$5:$G$28,3,FALSE),"Other"))</f>
        <v/>
      </c>
      <c r="I163" s="39">
        <f>IF($A163="","",IF(G163&lt;&gt;"",G163,IFERROR(VLOOKUP(C163,'Cost Library'!$A$5:$D$204,4,FALSE),0)))</f>
        <v/>
      </c>
      <c r="J163" s="9">
        <f>IF($A163="","",IF(F163&lt;&gt;"",F163,IFERROR(VLOOKUP(C163,'Cost Library'!$A$5:$D$204,3,FALSE),"")))</f>
        <v/>
      </c>
      <c r="K163" s="39">
        <f>IF($A163="","",E163*I163)</f>
        <v/>
      </c>
      <c r="L163" s="36" t="n"/>
      <c r="M163" s="39">
        <f>IF($A163="","",K163*(1+N163))</f>
        <v/>
      </c>
      <c r="N163" s="26">
        <f>IF($A163="","",IF(L163="",IFERROR(VLOOKUP(H163,Settings!$A$22:$B$27,2,FALSE),0),L163))</f>
        <v/>
      </c>
      <c r="O163" s="9">
        <f>IF(AND($A163&lt;&gt;"",$A163=Proposal!$I$2),COUNTIF($A$5:$A163,Proposal!$I$2),"")</f>
        <v/>
      </c>
      <c r="P163" s="9">
        <f>IF($A163="","",IF(COUNTIF(Jobs!$A$5:$A$44,$A163)=0,"Unknown Job ID",IF(B163="","Missing cost code",IF(COUNTIF(Settings!$E$5:$E$28,B163)=0,"Unknown cost code",IF(AND(G163="",C163=""),"No unit cost",IF(E163="","Missing qty",""))))))</f>
        <v/>
      </c>
      <c r="Q163" s="35" t="n"/>
    </row>
    <row r="164">
      <c r="A164" s="35" t="n"/>
      <c r="B164" s="35" t="n"/>
      <c r="C164" s="35" t="n"/>
      <c r="D164" s="35" t="n"/>
      <c r="E164" s="35" t="n"/>
      <c r="F164" s="35" t="n"/>
      <c r="G164" s="37" t="n"/>
      <c r="H164" s="9">
        <f>IF(B164="","",IFERROR(VLOOKUP(B164,Settings!$E$5:$G$28,3,FALSE),"Other"))</f>
        <v/>
      </c>
      <c r="I164" s="39">
        <f>IF($A164="","",IF(G164&lt;&gt;"",G164,IFERROR(VLOOKUP(C164,'Cost Library'!$A$5:$D$204,4,FALSE),0)))</f>
        <v/>
      </c>
      <c r="J164" s="9">
        <f>IF($A164="","",IF(F164&lt;&gt;"",F164,IFERROR(VLOOKUP(C164,'Cost Library'!$A$5:$D$204,3,FALSE),"")))</f>
        <v/>
      </c>
      <c r="K164" s="39">
        <f>IF($A164="","",E164*I164)</f>
        <v/>
      </c>
      <c r="L164" s="36" t="n"/>
      <c r="M164" s="39">
        <f>IF($A164="","",K164*(1+N164))</f>
        <v/>
      </c>
      <c r="N164" s="26">
        <f>IF($A164="","",IF(L164="",IFERROR(VLOOKUP(H164,Settings!$A$22:$B$27,2,FALSE),0),L164))</f>
        <v/>
      </c>
      <c r="O164" s="9">
        <f>IF(AND($A164&lt;&gt;"",$A164=Proposal!$I$2),COUNTIF($A$5:$A164,Proposal!$I$2),"")</f>
        <v/>
      </c>
      <c r="P164" s="9">
        <f>IF($A164="","",IF(COUNTIF(Jobs!$A$5:$A$44,$A164)=0,"Unknown Job ID",IF(B164="","Missing cost code",IF(COUNTIF(Settings!$E$5:$E$28,B164)=0,"Unknown cost code",IF(AND(G164="",C164=""),"No unit cost",IF(E164="","Missing qty",""))))))</f>
        <v/>
      </c>
      <c r="Q164" s="35" t="n"/>
    </row>
    <row r="165">
      <c r="A165" s="35" t="n"/>
      <c r="B165" s="35" t="n"/>
      <c r="C165" s="35" t="n"/>
      <c r="D165" s="35" t="n"/>
      <c r="E165" s="35" t="n"/>
      <c r="F165" s="35" t="n"/>
      <c r="G165" s="37" t="n"/>
      <c r="H165" s="9">
        <f>IF(B165="","",IFERROR(VLOOKUP(B165,Settings!$E$5:$G$28,3,FALSE),"Other"))</f>
        <v/>
      </c>
      <c r="I165" s="39">
        <f>IF($A165="","",IF(G165&lt;&gt;"",G165,IFERROR(VLOOKUP(C165,'Cost Library'!$A$5:$D$204,4,FALSE),0)))</f>
        <v/>
      </c>
      <c r="J165" s="9">
        <f>IF($A165="","",IF(F165&lt;&gt;"",F165,IFERROR(VLOOKUP(C165,'Cost Library'!$A$5:$D$204,3,FALSE),"")))</f>
        <v/>
      </c>
      <c r="K165" s="39">
        <f>IF($A165="","",E165*I165)</f>
        <v/>
      </c>
      <c r="L165" s="36" t="n"/>
      <c r="M165" s="39">
        <f>IF($A165="","",K165*(1+N165))</f>
        <v/>
      </c>
      <c r="N165" s="26">
        <f>IF($A165="","",IF(L165="",IFERROR(VLOOKUP(H165,Settings!$A$22:$B$27,2,FALSE),0),L165))</f>
        <v/>
      </c>
      <c r="O165" s="9">
        <f>IF(AND($A165&lt;&gt;"",$A165=Proposal!$I$2),COUNTIF($A$5:$A165,Proposal!$I$2),"")</f>
        <v/>
      </c>
      <c r="P165" s="9">
        <f>IF($A165="","",IF(COUNTIF(Jobs!$A$5:$A$44,$A165)=0,"Unknown Job ID",IF(B165="","Missing cost code",IF(COUNTIF(Settings!$E$5:$E$28,B165)=0,"Unknown cost code",IF(AND(G165="",C165=""),"No unit cost",IF(E165="","Missing qty",""))))))</f>
        <v/>
      </c>
      <c r="Q165" s="35" t="n"/>
    </row>
    <row r="166">
      <c r="A166" s="35" t="n"/>
      <c r="B166" s="35" t="n"/>
      <c r="C166" s="35" t="n"/>
      <c r="D166" s="35" t="n"/>
      <c r="E166" s="35" t="n"/>
      <c r="F166" s="35" t="n"/>
      <c r="G166" s="37" t="n"/>
      <c r="H166" s="9">
        <f>IF(B166="","",IFERROR(VLOOKUP(B166,Settings!$E$5:$G$28,3,FALSE),"Other"))</f>
        <v/>
      </c>
      <c r="I166" s="39">
        <f>IF($A166="","",IF(G166&lt;&gt;"",G166,IFERROR(VLOOKUP(C166,'Cost Library'!$A$5:$D$204,4,FALSE),0)))</f>
        <v/>
      </c>
      <c r="J166" s="9">
        <f>IF($A166="","",IF(F166&lt;&gt;"",F166,IFERROR(VLOOKUP(C166,'Cost Library'!$A$5:$D$204,3,FALSE),"")))</f>
        <v/>
      </c>
      <c r="K166" s="39">
        <f>IF($A166="","",E166*I166)</f>
        <v/>
      </c>
      <c r="L166" s="36" t="n"/>
      <c r="M166" s="39">
        <f>IF($A166="","",K166*(1+N166))</f>
        <v/>
      </c>
      <c r="N166" s="26">
        <f>IF($A166="","",IF(L166="",IFERROR(VLOOKUP(H166,Settings!$A$22:$B$27,2,FALSE),0),L166))</f>
        <v/>
      </c>
      <c r="O166" s="9">
        <f>IF(AND($A166&lt;&gt;"",$A166=Proposal!$I$2),COUNTIF($A$5:$A166,Proposal!$I$2),"")</f>
        <v/>
      </c>
      <c r="P166" s="9">
        <f>IF($A166="","",IF(COUNTIF(Jobs!$A$5:$A$44,$A166)=0,"Unknown Job ID",IF(B166="","Missing cost code",IF(COUNTIF(Settings!$E$5:$E$28,B166)=0,"Unknown cost code",IF(AND(G166="",C166=""),"No unit cost",IF(E166="","Missing qty",""))))))</f>
        <v/>
      </c>
      <c r="Q166" s="35" t="n"/>
    </row>
    <row r="167">
      <c r="A167" s="35" t="n"/>
      <c r="B167" s="35" t="n"/>
      <c r="C167" s="35" t="n"/>
      <c r="D167" s="35" t="n"/>
      <c r="E167" s="35" t="n"/>
      <c r="F167" s="35" t="n"/>
      <c r="G167" s="37" t="n"/>
      <c r="H167" s="9">
        <f>IF(B167="","",IFERROR(VLOOKUP(B167,Settings!$E$5:$G$28,3,FALSE),"Other"))</f>
        <v/>
      </c>
      <c r="I167" s="39">
        <f>IF($A167="","",IF(G167&lt;&gt;"",G167,IFERROR(VLOOKUP(C167,'Cost Library'!$A$5:$D$204,4,FALSE),0)))</f>
        <v/>
      </c>
      <c r="J167" s="9">
        <f>IF($A167="","",IF(F167&lt;&gt;"",F167,IFERROR(VLOOKUP(C167,'Cost Library'!$A$5:$D$204,3,FALSE),"")))</f>
        <v/>
      </c>
      <c r="K167" s="39">
        <f>IF($A167="","",E167*I167)</f>
        <v/>
      </c>
      <c r="L167" s="36" t="n"/>
      <c r="M167" s="39">
        <f>IF($A167="","",K167*(1+N167))</f>
        <v/>
      </c>
      <c r="N167" s="26">
        <f>IF($A167="","",IF(L167="",IFERROR(VLOOKUP(H167,Settings!$A$22:$B$27,2,FALSE),0),L167))</f>
        <v/>
      </c>
      <c r="O167" s="9">
        <f>IF(AND($A167&lt;&gt;"",$A167=Proposal!$I$2),COUNTIF($A$5:$A167,Proposal!$I$2),"")</f>
        <v/>
      </c>
      <c r="P167" s="9">
        <f>IF($A167="","",IF(COUNTIF(Jobs!$A$5:$A$44,$A167)=0,"Unknown Job ID",IF(B167="","Missing cost code",IF(COUNTIF(Settings!$E$5:$E$28,B167)=0,"Unknown cost code",IF(AND(G167="",C167=""),"No unit cost",IF(E167="","Missing qty",""))))))</f>
        <v/>
      </c>
      <c r="Q167" s="35" t="n"/>
    </row>
    <row r="168">
      <c r="A168" s="35" t="n"/>
      <c r="B168" s="35" t="n"/>
      <c r="C168" s="35" t="n"/>
      <c r="D168" s="35" t="n"/>
      <c r="E168" s="35" t="n"/>
      <c r="F168" s="35" t="n"/>
      <c r="G168" s="37" t="n"/>
      <c r="H168" s="9">
        <f>IF(B168="","",IFERROR(VLOOKUP(B168,Settings!$E$5:$G$28,3,FALSE),"Other"))</f>
        <v/>
      </c>
      <c r="I168" s="39">
        <f>IF($A168="","",IF(G168&lt;&gt;"",G168,IFERROR(VLOOKUP(C168,'Cost Library'!$A$5:$D$204,4,FALSE),0)))</f>
        <v/>
      </c>
      <c r="J168" s="9">
        <f>IF($A168="","",IF(F168&lt;&gt;"",F168,IFERROR(VLOOKUP(C168,'Cost Library'!$A$5:$D$204,3,FALSE),"")))</f>
        <v/>
      </c>
      <c r="K168" s="39">
        <f>IF($A168="","",E168*I168)</f>
        <v/>
      </c>
      <c r="L168" s="36" t="n"/>
      <c r="M168" s="39">
        <f>IF($A168="","",K168*(1+N168))</f>
        <v/>
      </c>
      <c r="N168" s="26">
        <f>IF($A168="","",IF(L168="",IFERROR(VLOOKUP(H168,Settings!$A$22:$B$27,2,FALSE),0),L168))</f>
        <v/>
      </c>
      <c r="O168" s="9">
        <f>IF(AND($A168&lt;&gt;"",$A168=Proposal!$I$2),COUNTIF($A$5:$A168,Proposal!$I$2),"")</f>
        <v/>
      </c>
      <c r="P168" s="9">
        <f>IF($A168="","",IF(COUNTIF(Jobs!$A$5:$A$44,$A168)=0,"Unknown Job ID",IF(B168="","Missing cost code",IF(COUNTIF(Settings!$E$5:$E$28,B168)=0,"Unknown cost code",IF(AND(G168="",C168=""),"No unit cost",IF(E168="","Missing qty",""))))))</f>
        <v/>
      </c>
      <c r="Q168" s="35" t="n"/>
    </row>
    <row r="169">
      <c r="A169" s="35" t="n"/>
      <c r="B169" s="35" t="n"/>
      <c r="C169" s="35" t="n"/>
      <c r="D169" s="35" t="n"/>
      <c r="E169" s="35" t="n"/>
      <c r="F169" s="35" t="n"/>
      <c r="G169" s="37" t="n"/>
      <c r="H169" s="9">
        <f>IF(B169="","",IFERROR(VLOOKUP(B169,Settings!$E$5:$G$28,3,FALSE),"Other"))</f>
        <v/>
      </c>
      <c r="I169" s="39">
        <f>IF($A169="","",IF(G169&lt;&gt;"",G169,IFERROR(VLOOKUP(C169,'Cost Library'!$A$5:$D$204,4,FALSE),0)))</f>
        <v/>
      </c>
      <c r="J169" s="9">
        <f>IF($A169="","",IF(F169&lt;&gt;"",F169,IFERROR(VLOOKUP(C169,'Cost Library'!$A$5:$D$204,3,FALSE),"")))</f>
        <v/>
      </c>
      <c r="K169" s="39">
        <f>IF($A169="","",E169*I169)</f>
        <v/>
      </c>
      <c r="L169" s="36" t="n"/>
      <c r="M169" s="39">
        <f>IF($A169="","",K169*(1+N169))</f>
        <v/>
      </c>
      <c r="N169" s="26">
        <f>IF($A169="","",IF(L169="",IFERROR(VLOOKUP(H169,Settings!$A$22:$B$27,2,FALSE),0),L169))</f>
        <v/>
      </c>
      <c r="O169" s="9">
        <f>IF(AND($A169&lt;&gt;"",$A169=Proposal!$I$2),COUNTIF($A$5:$A169,Proposal!$I$2),"")</f>
        <v/>
      </c>
      <c r="P169" s="9">
        <f>IF($A169="","",IF(COUNTIF(Jobs!$A$5:$A$44,$A169)=0,"Unknown Job ID",IF(B169="","Missing cost code",IF(COUNTIF(Settings!$E$5:$E$28,B169)=0,"Unknown cost code",IF(AND(G169="",C169=""),"No unit cost",IF(E169="","Missing qty",""))))))</f>
        <v/>
      </c>
      <c r="Q169" s="35" t="n"/>
    </row>
    <row r="170">
      <c r="A170" s="35" t="n"/>
      <c r="B170" s="35" t="n"/>
      <c r="C170" s="35" t="n"/>
      <c r="D170" s="35" t="n"/>
      <c r="E170" s="35" t="n"/>
      <c r="F170" s="35" t="n"/>
      <c r="G170" s="37" t="n"/>
      <c r="H170" s="9">
        <f>IF(B170="","",IFERROR(VLOOKUP(B170,Settings!$E$5:$G$28,3,FALSE),"Other"))</f>
        <v/>
      </c>
      <c r="I170" s="39">
        <f>IF($A170="","",IF(G170&lt;&gt;"",G170,IFERROR(VLOOKUP(C170,'Cost Library'!$A$5:$D$204,4,FALSE),0)))</f>
        <v/>
      </c>
      <c r="J170" s="9">
        <f>IF($A170="","",IF(F170&lt;&gt;"",F170,IFERROR(VLOOKUP(C170,'Cost Library'!$A$5:$D$204,3,FALSE),"")))</f>
        <v/>
      </c>
      <c r="K170" s="39">
        <f>IF($A170="","",E170*I170)</f>
        <v/>
      </c>
      <c r="L170" s="36" t="n"/>
      <c r="M170" s="39">
        <f>IF($A170="","",K170*(1+N170))</f>
        <v/>
      </c>
      <c r="N170" s="26">
        <f>IF($A170="","",IF(L170="",IFERROR(VLOOKUP(H170,Settings!$A$22:$B$27,2,FALSE),0),L170))</f>
        <v/>
      </c>
      <c r="O170" s="9">
        <f>IF(AND($A170&lt;&gt;"",$A170=Proposal!$I$2),COUNTIF($A$5:$A170,Proposal!$I$2),"")</f>
        <v/>
      </c>
      <c r="P170" s="9">
        <f>IF($A170="","",IF(COUNTIF(Jobs!$A$5:$A$44,$A170)=0,"Unknown Job ID",IF(B170="","Missing cost code",IF(COUNTIF(Settings!$E$5:$E$28,B170)=0,"Unknown cost code",IF(AND(G170="",C170=""),"No unit cost",IF(E170="","Missing qty",""))))))</f>
        <v/>
      </c>
      <c r="Q170" s="35" t="n"/>
    </row>
    <row r="171">
      <c r="A171" s="35" t="n"/>
      <c r="B171" s="35" t="n"/>
      <c r="C171" s="35" t="n"/>
      <c r="D171" s="35" t="n"/>
      <c r="E171" s="35" t="n"/>
      <c r="F171" s="35" t="n"/>
      <c r="G171" s="37" t="n"/>
      <c r="H171" s="9">
        <f>IF(B171="","",IFERROR(VLOOKUP(B171,Settings!$E$5:$G$28,3,FALSE),"Other"))</f>
        <v/>
      </c>
      <c r="I171" s="39">
        <f>IF($A171="","",IF(G171&lt;&gt;"",G171,IFERROR(VLOOKUP(C171,'Cost Library'!$A$5:$D$204,4,FALSE),0)))</f>
        <v/>
      </c>
      <c r="J171" s="9">
        <f>IF($A171="","",IF(F171&lt;&gt;"",F171,IFERROR(VLOOKUP(C171,'Cost Library'!$A$5:$D$204,3,FALSE),"")))</f>
        <v/>
      </c>
      <c r="K171" s="39">
        <f>IF($A171="","",E171*I171)</f>
        <v/>
      </c>
      <c r="L171" s="36" t="n"/>
      <c r="M171" s="39">
        <f>IF($A171="","",K171*(1+N171))</f>
        <v/>
      </c>
      <c r="N171" s="26">
        <f>IF($A171="","",IF(L171="",IFERROR(VLOOKUP(H171,Settings!$A$22:$B$27,2,FALSE),0),L171))</f>
        <v/>
      </c>
      <c r="O171" s="9">
        <f>IF(AND($A171&lt;&gt;"",$A171=Proposal!$I$2),COUNTIF($A$5:$A171,Proposal!$I$2),"")</f>
        <v/>
      </c>
      <c r="P171" s="9">
        <f>IF($A171="","",IF(COUNTIF(Jobs!$A$5:$A$44,$A171)=0,"Unknown Job ID",IF(B171="","Missing cost code",IF(COUNTIF(Settings!$E$5:$E$28,B171)=0,"Unknown cost code",IF(AND(G171="",C171=""),"No unit cost",IF(E171="","Missing qty",""))))))</f>
        <v/>
      </c>
      <c r="Q171" s="35" t="n"/>
    </row>
    <row r="172">
      <c r="A172" s="35" t="n"/>
      <c r="B172" s="35" t="n"/>
      <c r="C172" s="35" t="n"/>
      <c r="D172" s="35" t="n"/>
      <c r="E172" s="35" t="n"/>
      <c r="F172" s="35" t="n"/>
      <c r="G172" s="37" t="n"/>
      <c r="H172" s="9">
        <f>IF(B172="","",IFERROR(VLOOKUP(B172,Settings!$E$5:$G$28,3,FALSE),"Other"))</f>
        <v/>
      </c>
      <c r="I172" s="39">
        <f>IF($A172="","",IF(G172&lt;&gt;"",G172,IFERROR(VLOOKUP(C172,'Cost Library'!$A$5:$D$204,4,FALSE),0)))</f>
        <v/>
      </c>
      <c r="J172" s="9">
        <f>IF($A172="","",IF(F172&lt;&gt;"",F172,IFERROR(VLOOKUP(C172,'Cost Library'!$A$5:$D$204,3,FALSE),"")))</f>
        <v/>
      </c>
      <c r="K172" s="39">
        <f>IF($A172="","",E172*I172)</f>
        <v/>
      </c>
      <c r="L172" s="36" t="n"/>
      <c r="M172" s="39">
        <f>IF($A172="","",K172*(1+N172))</f>
        <v/>
      </c>
      <c r="N172" s="26">
        <f>IF($A172="","",IF(L172="",IFERROR(VLOOKUP(H172,Settings!$A$22:$B$27,2,FALSE),0),L172))</f>
        <v/>
      </c>
      <c r="O172" s="9">
        <f>IF(AND($A172&lt;&gt;"",$A172=Proposal!$I$2),COUNTIF($A$5:$A172,Proposal!$I$2),"")</f>
        <v/>
      </c>
      <c r="P172" s="9">
        <f>IF($A172="","",IF(COUNTIF(Jobs!$A$5:$A$44,$A172)=0,"Unknown Job ID",IF(B172="","Missing cost code",IF(COUNTIF(Settings!$E$5:$E$28,B172)=0,"Unknown cost code",IF(AND(G172="",C172=""),"No unit cost",IF(E172="","Missing qty",""))))))</f>
        <v/>
      </c>
      <c r="Q172" s="35" t="n"/>
    </row>
    <row r="173">
      <c r="A173" s="35" t="n"/>
      <c r="B173" s="35" t="n"/>
      <c r="C173" s="35" t="n"/>
      <c r="D173" s="35" t="n"/>
      <c r="E173" s="35" t="n"/>
      <c r="F173" s="35" t="n"/>
      <c r="G173" s="37" t="n"/>
      <c r="H173" s="9">
        <f>IF(B173="","",IFERROR(VLOOKUP(B173,Settings!$E$5:$G$28,3,FALSE),"Other"))</f>
        <v/>
      </c>
      <c r="I173" s="39">
        <f>IF($A173="","",IF(G173&lt;&gt;"",G173,IFERROR(VLOOKUP(C173,'Cost Library'!$A$5:$D$204,4,FALSE),0)))</f>
        <v/>
      </c>
      <c r="J173" s="9">
        <f>IF($A173="","",IF(F173&lt;&gt;"",F173,IFERROR(VLOOKUP(C173,'Cost Library'!$A$5:$D$204,3,FALSE),"")))</f>
        <v/>
      </c>
      <c r="K173" s="39">
        <f>IF($A173="","",E173*I173)</f>
        <v/>
      </c>
      <c r="L173" s="36" t="n"/>
      <c r="M173" s="39">
        <f>IF($A173="","",K173*(1+N173))</f>
        <v/>
      </c>
      <c r="N173" s="26">
        <f>IF($A173="","",IF(L173="",IFERROR(VLOOKUP(H173,Settings!$A$22:$B$27,2,FALSE),0),L173))</f>
        <v/>
      </c>
      <c r="O173" s="9">
        <f>IF(AND($A173&lt;&gt;"",$A173=Proposal!$I$2),COUNTIF($A$5:$A173,Proposal!$I$2),"")</f>
        <v/>
      </c>
      <c r="P173" s="9">
        <f>IF($A173="","",IF(COUNTIF(Jobs!$A$5:$A$44,$A173)=0,"Unknown Job ID",IF(B173="","Missing cost code",IF(COUNTIF(Settings!$E$5:$E$28,B173)=0,"Unknown cost code",IF(AND(G173="",C173=""),"No unit cost",IF(E173="","Missing qty",""))))))</f>
        <v/>
      </c>
      <c r="Q173" s="35" t="n"/>
    </row>
    <row r="174">
      <c r="A174" s="35" t="n"/>
      <c r="B174" s="35" t="n"/>
      <c r="C174" s="35" t="n"/>
      <c r="D174" s="35" t="n"/>
      <c r="E174" s="35" t="n"/>
      <c r="F174" s="35" t="n"/>
      <c r="G174" s="37" t="n"/>
      <c r="H174" s="9">
        <f>IF(B174="","",IFERROR(VLOOKUP(B174,Settings!$E$5:$G$28,3,FALSE),"Other"))</f>
        <v/>
      </c>
      <c r="I174" s="39">
        <f>IF($A174="","",IF(G174&lt;&gt;"",G174,IFERROR(VLOOKUP(C174,'Cost Library'!$A$5:$D$204,4,FALSE),0)))</f>
        <v/>
      </c>
      <c r="J174" s="9">
        <f>IF($A174="","",IF(F174&lt;&gt;"",F174,IFERROR(VLOOKUP(C174,'Cost Library'!$A$5:$D$204,3,FALSE),"")))</f>
        <v/>
      </c>
      <c r="K174" s="39">
        <f>IF($A174="","",E174*I174)</f>
        <v/>
      </c>
      <c r="L174" s="36" t="n"/>
      <c r="M174" s="39">
        <f>IF($A174="","",K174*(1+N174))</f>
        <v/>
      </c>
      <c r="N174" s="26">
        <f>IF($A174="","",IF(L174="",IFERROR(VLOOKUP(H174,Settings!$A$22:$B$27,2,FALSE),0),L174))</f>
        <v/>
      </c>
      <c r="O174" s="9">
        <f>IF(AND($A174&lt;&gt;"",$A174=Proposal!$I$2),COUNTIF($A$5:$A174,Proposal!$I$2),"")</f>
        <v/>
      </c>
      <c r="P174" s="9">
        <f>IF($A174="","",IF(COUNTIF(Jobs!$A$5:$A$44,$A174)=0,"Unknown Job ID",IF(B174="","Missing cost code",IF(COUNTIF(Settings!$E$5:$E$28,B174)=0,"Unknown cost code",IF(AND(G174="",C174=""),"No unit cost",IF(E174="","Missing qty",""))))))</f>
        <v/>
      </c>
      <c r="Q174" s="35" t="n"/>
    </row>
    <row r="175">
      <c r="A175" s="35" t="n"/>
      <c r="B175" s="35" t="n"/>
      <c r="C175" s="35" t="n"/>
      <c r="D175" s="35" t="n"/>
      <c r="E175" s="35" t="n"/>
      <c r="F175" s="35" t="n"/>
      <c r="G175" s="37" t="n"/>
      <c r="H175" s="9">
        <f>IF(B175="","",IFERROR(VLOOKUP(B175,Settings!$E$5:$G$28,3,FALSE),"Other"))</f>
        <v/>
      </c>
      <c r="I175" s="39">
        <f>IF($A175="","",IF(G175&lt;&gt;"",G175,IFERROR(VLOOKUP(C175,'Cost Library'!$A$5:$D$204,4,FALSE),0)))</f>
        <v/>
      </c>
      <c r="J175" s="9">
        <f>IF($A175="","",IF(F175&lt;&gt;"",F175,IFERROR(VLOOKUP(C175,'Cost Library'!$A$5:$D$204,3,FALSE),"")))</f>
        <v/>
      </c>
      <c r="K175" s="39">
        <f>IF($A175="","",E175*I175)</f>
        <v/>
      </c>
      <c r="L175" s="36" t="n"/>
      <c r="M175" s="39">
        <f>IF($A175="","",K175*(1+N175))</f>
        <v/>
      </c>
      <c r="N175" s="26">
        <f>IF($A175="","",IF(L175="",IFERROR(VLOOKUP(H175,Settings!$A$22:$B$27,2,FALSE),0),L175))</f>
        <v/>
      </c>
      <c r="O175" s="9">
        <f>IF(AND($A175&lt;&gt;"",$A175=Proposal!$I$2),COUNTIF($A$5:$A175,Proposal!$I$2),"")</f>
        <v/>
      </c>
      <c r="P175" s="9">
        <f>IF($A175="","",IF(COUNTIF(Jobs!$A$5:$A$44,$A175)=0,"Unknown Job ID",IF(B175="","Missing cost code",IF(COUNTIF(Settings!$E$5:$E$28,B175)=0,"Unknown cost code",IF(AND(G175="",C175=""),"No unit cost",IF(E175="","Missing qty",""))))))</f>
        <v/>
      </c>
      <c r="Q175" s="35" t="n"/>
    </row>
    <row r="176">
      <c r="A176" s="35" t="n"/>
      <c r="B176" s="35" t="n"/>
      <c r="C176" s="35" t="n"/>
      <c r="D176" s="35" t="n"/>
      <c r="E176" s="35" t="n"/>
      <c r="F176" s="35" t="n"/>
      <c r="G176" s="37" t="n"/>
      <c r="H176" s="9">
        <f>IF(B176="","",IFERROR(VLOOKUP(B176,Settings!$E$5:$G$28,3,FALSE),"Other"))</f>
        <v/>
      </c>
      <c r="I176" s="39">
        <f>IF($A176="","",IF(G176&lt;&gt;"",G176,IFERROR(VLOOKUP(C176,'Cost Library'!$A$5:$D$204,4,FALSE),0)))</f>
        <v/>
      </c>
      <c r="J176" s="9">
        <f>IF($A176="","",IF(F176&lt;&gt;"",F176,IFERROR(VLOOKUP(C176,'Cost Library'!$A$5:$D$204,3,FALSE),"")))</f>
        <v/>
      </c>
      <c r="K176" s="39">
        <f>IF($A176="","",E176*I176)</f>
        <v/>
      </c>
      <c r="L176" s="36" t="n"/>
      <c r="M176" s="39">
        <f>IF($A176="","",K176*(1+N176))</f>
        <v/>
      </c>
      <c r="N176" s="26">
        <f>IF($A176="","",IF(L176="",IFERROR(VLOOKUP(H176,Settings!$A$22:$B$27,2,FALSE),0),L176))</f>
        <v/>
      </c>
      <c r="O176" s="9">
        <f>IF(AND($A176&lt;&gt;"",$A176=Proposal!$I$2),COUNTIF($A$5:$A176,Proposal!$I$2),"")</f>
        <v/>
      </c>
      <c r="P176" s="9">
        <f>IF($A176="","",IF(COUNTIF(Jobs!$A$5:$A$44,$A176)=0,"Unknown Job ID",IF(B176="","Missing cost code",IF(COUNTIF(Settings!$E$5:$E$28,B176)=0,"Unknown cost code",IF(AND(G176="",C176=""),"No unit cost",IF(E176="","Missing qty",""))))))</f>
        <v/>
      </c>
      <c r="Q176" s="35" t="n"/>
    </row>
    <row r="177">
      <c r="A177" s="35" t="n"/>
      <c r="B177" s="35" t="n"/>
      <c r="C177" s="35" t="n"/>
      <c r="D177" s="35" t="n"/>
      <c r="E177" s="35" t="n"/>
      <c r="F177" s="35" t="n"/>
      <c r="G177" s="37" t="n"/>
      <c r="H177" s="9">
        <f>IF(B177="","",IFERROR(VLOOKUP(B177,Settings!$E$5:$G$28,3,FALSE),"Other"))</f>
        <v/>
      </c>
      <c r="I177" s="39">
        <f>IF($A177="","",IF(G177&lt;&gt;"",G177,IFERROR(VLOOKUP(C177,'Cost Library'!$A$5:$D$204,4,FALSE),0)))</f>
        <v/>
      </c>
      <c r="J177" s="9">
        <f>IF($A177="","",IF(F177&lt;&gt;"",F177,IFERROR(VLOOKUP(C177,'Cost Library'!$A$5:$D$204,3,FALSE),"")))</f>
        <v/>
      </c>
      <c r="K177" s="39">
        <f>IF($A177="","",E177*I177)</f>
        <v/>
      </c>
      <c r="L177" s="36" t="n"/>
      <c r="M177" s="39">
        <f>IF($A177="","",K177*(1+N177))</f>
        <v/>
      </c>
      <c r="N177" s="26">
        <f>IF($A177="","",IF(L177="",IFERROR(VLOOKUP(H177,Settings!$A$22:$B$27,2,FALSE),0),L177))</f>
        <v/>
      </c>
      <c r="O177" s="9">
        <f>IF(AND($A177&lt;&gt;"",$A177=Proposal!$I$2),COUNTIF($A$5:$A177,Proposal!$I$2),"")</f>
        <v/>
      </c>
      <c r="P177" s="9">
        <f>IF($A177="","",IF(COUNTIF(Jobs!$A$5:$A$44,$A177)=0,"Unknown Job ID",IF(B177="","Missing cost code",IF(COUNTIF(Settings!$E$5:$E$28,B177)=0,"Unknown cost code",IF(AND(G177="",C177=""),"No unit cost",IF(E177="","Missing qty",""))))))</f>
        <v/>
      </c>
      <c r="Q177" s="35" t="n"/>
    </row>
    <row r="178">
      <c r="A178" s="35" t="n"/>
      <c r="B178" s="35" t="n"/>
      <c r="C178" s="35" t="n"/>
      <c r="D178" s="35" t="n"/>
      <c r="E178" s="35" t="n"/>
      <c r="F178" s="35" t="n"/>
      <c r="G178" s="37" t="n"/>
      <c r="H178" s="9">
        <f>IF(B178="","",IFERROR(VLOOKUP(B178,Settings!$E$5:$G$28,3,FALSE),"Other"))</f>
        <v/>
      </c>
      <c r="I178" s="39">
        <f>IF($A178="","",IF(G178&lt;&gt;"",G178,IFERROR(VLOOKUP(C178,'Cost Library'!$A$5:$D$204,4,FALSE),0)))</f>
        <v/>
      </c>
      <c r="J178" s="9">
        <f>IF($A178="","",IF(F178&lt;&gt;"",F178,IFERROR(VLOOKUP(C178,'Cost Library'!$A$5:$D$204,3,FALSE),"")))</f>
        <v/>
      </c>
      <c r="K178" s="39">
        <f>IF($A178="","",E178*I178)</f>
        <v/>
      </c>
      <c r="L178" s="36" t="n"/>
      <c r="M178" s="39">
        <f>IF($A178="","",K178*(1+N178))</f>
        <v/>
      </c>
      <c r="N178" s="26">
        <f>IF($A178="","",IF(L178="",IFERROR(VLOOKUP(H178,Settings!$A$22:$B$27,2,FALSE),0),L178))</f>
        <v/>
      </c>
      <c r="O178" s="9">
        <f>IF(AND($A178&lt;&gt;"",$A178=Proposal!$I$2),COUNTIF($A$5:$A178,Proposal!$I$2),"")</f>
        <v/>
      </c>
      <c r="P178" s="9">
        <f>IF($A178="","",IF(COUNTIF(Jobs!$A$5:$A$44,$A178)=0,"Unknown Job ID",IF(B178="","Missing cost code",IF(COUNTIF(Settings!$E$5:$E$28,B178)=0,"Unknown cost code",IF(AND(G178="",C178=""),"No unit cost",IF(E178="","Missing qty",""))))))</f>
        <v/>
      </c>
      <c r="Q178" s="35" t="n"/>
    </row>
    <row r="179">
      <c r="A179" s="35" t="n"/>
      <c r="B179" s="35" t="n"/>
      <c r="C179" s="35" t="n"/>
      <c r="D179" s="35" t="n"/>
      <c r="E179" s="35" t="n"/>
      <c r="F179" s="35" t="n"/>
      <c r="G179" s="37" t="n"/>
      <c r="H179" s="9">
        <f>IF(B179="","",IFERROR(VLOOKUP(B179,Settings!$E$5:$G$28,3,FALSE),"Other"))</f>
        <v/>
      </c>
      <c r="I179" s="39">
        <f>IF($A179="","",IF(G179&lt;&gt;"",G179,IFERROR(VLOOKUP(C179,'Cost Library'!$A$5:$D$204,4,FALSE),0)))</f>
        <v/>
      </c>
      <c r="J179" s="9">
        <f>IF($A179="","",IF(F179&lt;&gt;"",F179,IFERROR(VLOOKUP(C179,'Cost Library'!$A$5:$D$204,3,FALSE),"")))</f>
        <v/>
      </c>
      <c r="K179" s="39">
        <f>IF($A179="","",E179*I179)</f>
        <v/>
      </c>
      <c r="L179" s="36" t="n"/>
      <c r="M179" s="39">
        <f>IF($A179="","",K179*(1+N179))</f>
        <v/>
      </c>
      <c r="N179" s="26">
        <f>IF($A179="","",IF(L179="",IFERROR(VLOOKUP(H179,Settings!$A$22:$B$27,2,FALSE),0),L179))</f>
        <v/>
      </c>
      <c r="O179" s="9">
        <f>IF(AND($A179&lt;&gt;"",$A179=Proposal!$I$2),COUNTIF($A$5:$A179,Proposal!$I$2),"")</f>
        <v/>
      </c>
      <c r="P179" s="9">
        <f>IF($A179="","",IF(COUNTIF(Jobs!$A$5:$A$44,$A179)=0,"Unknown Job ID",IF(B179="","Missing cost code",IF(COUNTIF(Settings!$E$5:$E$28,B179)=0,"Unknown cost code",IF(AND(G179="",C179=""),"No unit cost",IF(E179="","Missing qty",""))))))</f>
        <v/>
      </c>
      <c r="Q179" s="35" t="n"/>
    </row>
    <row r="180">
      <c r="A180" s="35" t="n"/>
      <c r="B180" s="35" t="n"/>
      <c r="C180" s="35" t="n"/>
      <c r="D180" s="35" t="n"/>
      <c r="E180" s="35" t="n"/>
      <c r="F180" s="35" t="n"/>
      <c r="G180" s="37" t="n"/>
      <c r="H180" s="9">
        <f>IF(B180="","",IFERROR(VLOOKUP(B180,Settings!$E$5:$G$28,3,FALSE),"Other"))</f>
        <v/>
      </c>
      <c r="I180" s="39">
        <f>IF($A180="","",IF(G180&lt;&gt;"",G180,IFERROR(VLOOKUP(C180,'Cost Library'!$A$5:$D$204,4,FALSE),0)))</f>
        <v/>
      </c>
      <c r="J180" s="9">
        <f>IF($A180="","",IF(F180&lt;&gt;"",F180,IFERROR(VLOOKUP(C180,'Cost Library'!$A$5:$D$204,3,FALSE),"")))</f>
        <v/>
      </c>
      <c r="K180" s="39">
        <f>IF($A180="","",E180*I180)</f>
        <v/>
      </c>
      <c r="L180" s="36" t="n"/>
      <c r="M180" s="39">
        <f>IF($A180="","",K180*(1+N180))</f>
        <v/>
      </c>
      <c r="N180" s="26">
        <f>IF($A180="","",IF(L180="",IFERROR(VLOOKUP(H180,Settings!$A$22:$B$27,2,FALSE),0),L180))</f>
        <v/>
      </c>
      <c r="O180" s="9">
        <f>IF(AND($A180&lt;&gt;"",$A180=Proposal!$I$2),COUNTIF($A$5:$A180,Proposal!$I$2),"")</f>
        <v/>
      </c>
      <c r="P180" s="9">
        <f>IF($A180="","",IF(COUNTIF(Jobs!$A$5:$A$44,$A180)=0,"Unknown Job ID",IF(B180="","Missing cost code",IF(COUNTIF(Settings!$E$5:$E$28,B180)=0,"Unknown cost code",IF(AND(G180="",C180=""),"No unit cost",IF(E180="","Missing qty",""))))))</f>
        <v/>
      </c>
      <c r="Q180" s="35" t="n"/>
    </row>
    <row r="181">
      <c r="A181" s="35" t="n"/>
      <c r="B181" s="35" t="n"/>
      <c r="C181" s="35" t="n"/>
      <c r="D181" s="35" t="n"/>
      <c r="E181" s="35" t="n"/>
      <c r="F181" s="35" t="n"/>
      <c r="G181" s="37" t="n"/>
      <c r="H181" s="9">
        <f>IF(B181="","",IFERROR(VLOOKUP(B181,Settings!$E$5:$G$28,3,FALSE),"Other"))</f>
        <v/>
      </c>
      <c r="I181" s="39">
        <f>IF($A181="","",IF(G181&lt;&gt;"",G181,IFERROR(VLOOKUP(C181,'Cost Library'!$A$5:$D$204,4,FALSE),0)))</f>
        <v/>
      </c>
      <c r="J181" s="9">
        <f>IF($A181="","",IF(F181&lt;&gt;"",F181,IFERROR(VLOOKUP(C181,'Cost Library'!$A$5:$D$204,3,FALSE),"")))</f>
        <v/>
      </c>
      <c r="K181" s="39">
        <f>IF($A181="","",E181*I181)</f>
        <v/>
      </c>
      <c r="L181" s="36" t="n"/>
      <c r="M181" s="39">
        <f>IF($A181="","",K181*(1+N181))</f>
        <v/>
      </c>
      <c r="N181" s="26">
        <f>IF($A181="","",IF(L181="",IFERROR(VLOOKUP(H181,Settings!$A$22:$B$27,2,FALSE),0),L181))</f>
        <v/>
      </c>
      <c r="O181" s="9">
        <f>IF(AND($A181&lt;&gt;"",$A181=Proposal!$I$2),COUNTIF($A$5:$A181,Proposal!$I$2),"")</f>
        <v/>
      </c>
      <c r="P181" s="9">
        <f>IF($A181="","",IF(COUNTIF(Jobs!$A$5:$A$44,$A181)=0,"Unknown Job ID",IF(B181="","Missing cost code",IF(COUNTIF(Settings!$E$5:$E$28,B181)=0,"Unknown cost code",IF(AND(G181="",C181=""),"No unit cost",IF(E181="","Missing qty",""))))))</f>
        <v/>
      </c>
      <c r="Q181" s="35" t="n"/>
    </row>
    <row r="182">
      <c r="A182" s="35" t="n"/>
      <c r="B182" s="35" t="n"/>
      <c r="C182" s="35" t="n"/>
      <c r="D182" s="35" t="n"/>
      <c r="E182" s="35" t="n"/>
      <c r="F182" s="35" t="n"/>
      <c r="G182" s="37" t="n"/>
      <c r="H182" s="9">
        <f>IF(B182="","",IFERROR(VLOOKUP(B182,Settings!$E$5:$G$28,3,FALSE),"Other"))</f>
        <v/>
      </c>
      <c r="I182" s="39">
        <f>IF($A182="","",IF(G182&lt;&gt;"",G182,IFERROR(VLOOKUP(C182,'Cost Library'!$A$5:$D$204,4,FALSE),0)))</f>
        <v/>
      </c>
      <c r="J182" s="9">
        <f>IF($A182="","",IF(F182&lt;&gt;"",F182,IFERROR(VLOOKUP(C182,'Cost Library'!$A$5:$D$204,3,FALSE),"")))</f>
        <v/>
      </c>
      <c r="K182" s="39">
        <f>IF($A182="","",E182*I182)</f>
        <v/>
      </c>
      <c r="L182" s="36" t="n"/>
      <c r="M182" s="39">
        <f>IF($A182="","",K182*(1+N182))</f>
        <v/>
      </c>
      <c r="N182" s="26">
        <f>IF($A182="","",IF(L182="",IFERROR(VLOOKUP(H182,Settings!$A$22:$B$27,2,FALSE),0),L182))</f>
        <v/>
      </c>
      <c r="O182" s="9">
        <f>IF(AND($A182&lt;&gt;"",$A182=Proposal!$I$2),COUNTIF($A$5:$A182,Proposal!$I$2),"")</f>
        <v/>
      </c>
      <c r="P182" s="9">
        <f>IF($A182="","",IF(COUNTIF(Jobs!$A$5:$A$44,$A182)=0,"Unknown Job ID",IF(B182="","Missing cost code",IF(COUNTIF(Settings!$E$5:$E$28,B182)=0,"Unknown cost code",IF(AND(G182="",C182=""),"No unit cost",IF(E182="","Missing qty",""))))))</f>
        <v/>
      </c>
      <c r="Q182" s="35" t="n"/>
    </row>
    <row r="183">
      <c r="A183" s="35" t="n"/>
      <c r="B183" s="35" t="n"/>
      <c r="C183" s="35" t="n"/>
      <c r="D183" s="35" t="n"/>
      <c r="E183" s="35" t="n"/>
      <c r="F183" s="35" t="n"/>
      <c r="G183" s="37" t="n"/>
      <c r="H183" s="9">
        <f>IF(B183="","",IFERROR(VLOOKUP(B183,Settings!$E$5:$G$28,3,FALSE),"Other"))</f>
        <v/>
      </c>
      <c r="I183" s="39">
        <f>IF($A183="","",IF(G183&lt;&gt;"",G183,IFERROR(VLOOKUP(C183,'Cost Library'!$A$5:$D$204,4,FALSE),0)))</f>
        <v/>
      </c>
      <c r="J183" s="9">
        <f>IF($A183="","",IF(F183&lt;&gt;"",F183,IFERROR(VLOOKUP(C183,'Cost Library'!$A$5:$D$204,3,FALSE),"")))</f>
        <v/>
      </c>
      <c r="K183" s="39">
        <f>IF($A183="","",E183*I183)</f>
        <v/>
      </c>
      <c r="L183" s="36" t="n"/>
      <c r="M183" s="39">
        <f>IF($A183="","",K183*(1+N183))</f>
        <v/>
      </c>
      <c r="N183" s="26">
        <f>IF($A183="","",IF(L183="",IFERROR(VLOOKUP(H183,Settings!$A$22:$B$27,2,FALSE),0),L183))</f>
        <v/>
      </c>
      <c r="O183" s="9">
        <f>IF(AND($A183&lt;&gt;"",$A183=Proposal!$I$2),COUNTIF($A$5:$A183,Proposal!$I$2),"")</f>
        <v/>
      </c>
      <c r="P183" s="9">
        <f>IF($A183="","",IF(COUNTIF(Jobs!$A$5:$A$44,$A183)=0,"Unknown Job ID",IF(B183="","Missing cost code",IF(COUNTIF(Settings!$E$5:$E$28,B183)=0,"Unknown cost code",IF(AND(G183="",C183=""),"No unit cost",IF(E183="","Missing qty",""))))))</f>
        <v/>
      </c>
      <c r="Q183" s="35" t="n"/>
    </row>
    <row r="184">
      <c r="A184" s="35" t="n"/>
      <c r="B184" s="35" t="n"/>
      <c r="C184" s="35" t="n"/>
      <c r="D184" s="35" t="n"/>
      <c r="E184" s="35" t="n"/>
      <c r="F184" s="35" t="n"/>
      <c r="G184" s="37" t="n"/>
      <c r="H184" s="9">
        <f>IF(B184="","",IFERROR(VLOOKUP(B184,Settings!$E$5:$G$28,3,FALSE),"Other"))</f>
        <v/>
      </c>
      <c r="I184" s="39">
        <f>IF($A184="","",IF(G184&lt;&gt;"",G184,IFERROR(VLOOKUP(C184,'Cost Library'!$A$5:$D$204,4,FALSE),0)))</f>
        <v/>
      </c>
      <c r="J184" s="9">
        <f>IF($A184="","",IF(F184&lt;&gt;"",F184,IFERROR(VLOOKUP(C184,'Cost Library'!$A$5:$D$204,3,FALSE),"")))</f>
        <v/>
      </c>
      <c r="K184" s="39">
        <f>IF($A184="","",E184*I184)</f>
        <v/>
      </c>
      <c r="L184" s="36" t="n"/>
      <c r="M184" s="39">
        <f>IF($A184="","",K184*(1+N184))</f>
        <v/>
      </c>
      <c r="N184" s="26">
        <f>IF($A184="","",IF(L184="",IFERROR(VLOOKUP(H184,Settings!$A$22:$B$27,2,FALSE),0),L184))</f>
        <v/>
      </c>
      <c r="O184" s="9">
        <f>IF(AND($A184&lt;&gt;"",$A184=Proposal!$I$2),COUNTIF($A$5:$A184,Proposal!$I$2),"")</f>
        <v/>
      </c>
      <c r="P184" s="9">
        <f>IF($A184="","",IF(COUNTIF(Jobs!$A$5:$A$44,$A184)=0,"Unknown Job ID",IF(B184="","Missing cost code",IF(COUNTIF(Settings!$E$5:$E$28,B184)=0,"Unknown cost code",IF(AND(G184="",C184=""),"No unit cost",IF(E184="","Missing qty",""))))))</f>
        <v/>
      </c>
      <c r="Q184" s="35" t="n"/>
    </row>
    <row r="185">
      <c r="A185" s="35" t="n"/>
      <c r="B185" s="35" t="n"/>
      <c r="C185" s="35" t="n"/>
      <c r="D185" s="35" t="n"/>
      <c r="E185" s="35" t="n"/>
      <c r="F185" s="35" t="n"/>
      <c r="G185" s="37" t="n"/>
      <c r="H185" s="9">
        <f>IF(B185="","",IFERROR(VLOOKUP(B185,Settings!$E$5:$G$28,3,FALSE),"Other"))</f>
        <v/>
      </c>
      <c r="I185" s="39">
        <f>IF($A185="","",IF(G185&lt;&gt;"",G185,IFERROR(VLOOKUP(C185,'Cost Library'!$A$5:$D$204,4,FALSE),0)))</f>
        <v/>
      </c>
      <c r="J185" s="9">
        <f>IF($A185="","",IF(F185&lt;&gt;"",F185,IFERROR(VLOOKUP(C185,'Cost Library'!$A$5:$D$204,3,FALSE),"")))</f>
        <v/>
      </c>
      <c r="K185" s="39">
        <f>IF($A185="","",E185*I185)</f>
        <v/>
      </c>
      <c r="L185" s="36" t="n"/>
      <c r="M185" s="39">
        <f>IF($A185="","",K185*(1+N185))</f>
        <v/>
      </c>
      <c r="N185" s="26">
        <f>IF($A185="","",IF(L185="",IFERROR(VLOOKUP(H185,Settings!$A$22:$B$27,2,FALSE),0),L185))</f>
        <v/>
      </c>
      <c r="O185" s="9">
        <f>IF(AND($A185&lt;&gt;"",$A185=Proposal!$I$2),COUNTIF($A$5:$A185,Proposal!$I$2),"")</f>
        <v/>
      </c>
      <c r="P185" s="9">
        <f>IF($A185="","",IF(COUNTIF(Jobs!$A$5:$A$44,$A185)=0,"Unknown Job ID",IF(B185="","Missing cost code",IF(COUNTIF(Settings!$E$5:$E$28,B185)=0,"Unknown cost code",IF(AND(G185="",C185=""),"No unit cost",IF(E185="","Missing qty",""))))))</f>
        <v/>
      </c>
      <c r="Q185" s="35" t="n"/>
    </row>
    <row r="186">
      <c r="A186" s="35" t="n"/>
      <c r="B186" s="35" t="n"/>
      <c r="C186" s="35" t="n"/>
      <c r="D186" s="35" t="n"/>
      <c r="E186" s="35" t="n"/>
      <c r="F186" s="35" t="n"/>
      <c r="G186" s="37" t="n"/>
      <c r="H186" s="9">
        <f>IF(B186="","",IFERROR(VLOOKUP(B186,Settings!$E$5:$G$28,3,FALSE),"Other"))</f>
        <v/>
      </c>
      <c r="I186" s="39">
        <f>IF($A186="","",IF(G186&lt;&gt;"",G186,IFERROR(VLOOKUP(C186,'Cost Library'!$A$5:$D$204,4,FALSE),0)))</f>
        <v/>
      </c>
      <c r="J186" s="9">
        <f>IF($A186="","",IF(F186&lt;&gt;"",F186,IFERROR(VLOOKUP(C186,'Cost Library'!$A$5:$D$204,3,FALSE),"")))</f>
        <v/>
      </c>
      <c r="K186" s="39">
        <f>IF($A186="","",E186*I186)</f>
        <v/>
      </c>
      <c r="L186" s="36" t="n"/>
      <c r="M186" s="39">
        <f>IF($A186="","",K186*(1+N186))</f>
        <v/>
      </c>
      <c r="N186" s="26">
        <f>IF($A186="","",IF(L186="",IFERROR(VLOOKUP(H186,Settings!$A$22:$B$27,2,FALSE),0),L186))</f>
        <v/>
      </c>
      <c r="O186" s="9">
        <f>IF(AND($A186&lt;&gt;"",$A186=Proposal!$I$2),COUNTIF($A$5:$A186,Proposal!$I$2),"")</f>
        <v/>
      </c>
      <c r="P186" s="9">
        <f>IF($A186="","",IF(COUNTIF(Jobs!$A$5:$A$44,$A186)=0,"Unknown Job ID",IF(B186="","Missing cost code",IF(COUNTIF(Settings!$E$5:$E$28,B186)=0,"Unknown cost code",IF(AND(G186="",C186=""),"No unit cost",IF(E186="","Missing qty",""))))))</f>
        <v/>
      </c>
      <c r="Q186" s="35" t="n"/>
    </row>
    <row r="187">
      <c r="A187" s="35" t="n"/>
      <c r="B187" s="35" t="n"/>
      <c r="C187" s="35" t="n"/>
      <c r="D187" s="35" t="n"/>
      <c r="E187" s="35" t="n"/>
      <c r="F187" s="35" t="n"/>
      <c r="G187" s="37" t="n"/>
      <c r="H187" s="9">
        <f>IF(B187="","",IFERROR(VLOOKUP(B187,Settings!$E$5:$G$28,3,FALSE),"Other"))</f>
        <v/>
      </c>
      <c r="I187" s="39">
        <f>IF($A187="","",IF(G187&lt;&gt;"",G187,IFERROR(VLOOKUP(C187,'Cost Library'!$A$5:$D$204,4,FALSE),0)))</f>
        <v/>
      </c>
      <c r="J187" s="9">
        <f>IF($A187="","",IF(F187&lt;&gt;"",F187,IFERROR(VLOOKUP(C187,'Cost Library'!$A$5:$D$204,3,FALSE),"")))</f>
        <v/>
      </c>
      <c r="K187" s="39">
        <f>IF($A187="","",E187*I187)</f>
        <v/>
      </c>
      <c r="L187" s="36" t="n"/>
      <c r="M187" s="39">
        <f>IF($A187="","",K187*(1+N187))</f>
        <v/>
      </c>
      <c r="N187" s="26">
        <f>IF($A187="","",IF(L187="",IFERROR(VLOOKUP(H187,Settings!$A$22:$B$27,2,FALSE),0),L187))</f>
        <v/>
      </c>
      <c r="O187" s="9">
        <f>IF(AND($A187&lt;&gt;"",$A187=Proposal!$I$2),COUNTIF($A$5:$A187,Proposal!$I$2),"")</f>
        <v/>
      </c>
      <c r="P187" s="9">
        <f>IF($A187="","",IF(COUNTIF(Jobs!$A$5:$A$44,$A187)=0,"Unknown Job ID",IF(B187="","Missing cost code",IF(COUNTIF(Settings!$E$5:$E$28,B187)=0,"Unknown cost code",IF(AND(G187="",C187=""),"No unit cost",IF(E187="","Missing qty",""))))))</f>
        <v/>
      </c>
      <c r="Q187" s="35" t="n"/>
    </row>
    <row r="188">
      <c r="A188" s="35" t="n"/>
      <c r="B188" s="35" t="n"/>
      <c r="C188" s="35" t="n"/>
      <c r="D188" s="35" t="n"/>
      <c r="E188" s="35" t="n"/>
      <c r="F188" s="35" t="n"/>
      <c r="G188" s="37" t="n"/>
      <c r="H188" s="9">
        <f>IF(B188="","",IFERROR(VLOOKUP(B188,Settings!$E$5:$G$28,3,FALSE),"Other"))</f>
        <v/>
      </c>
      <c r="I188" s="39">
        <f>IF($A188="","",IF(G188&lt;&gt;"",G188,IFERROR(VLOOKUP(C188,'Cost Library'!$A$5:$D$204,4,FALSE),0)))</f>
        <v/>
      </c>
      <c r="J188" s="9">
        <f>IF($A188="","",IF(F188&lt;&gt;"",F188,IFERROR(VLOOKUP(C188,'Cost Library'!$A$5:$D$204,3,FALSE),"")))</f>
        <v/>
      </c>
      <c r="K188" s="39">
        <f>IF($A188="","",E188*I188)</f>
        <v/>
      </c>
      <c r="L188" s="36" t="n"/>
      <c r="M188" s="39">
        <f>IF($A188="","",K188*(1+N188))</f>
        <v/>
      </c>
      <c r="N188" s="26">
        <f>IF($A188="","",IF(L188="",IFERROR(VLOOKUP(H188,Settings!$A$22:$B$27,2,FALSE),0),L188))</f>
        <v/>
      </c>
      <c r="O188" s="9">
        <f>IF(AND($A188&lt;&gt;"",$A188=Proposal!$I$2),COUNTIF($A$5:$A188,Proposal!$I$2),"")</f>
        <v/>
      </c>
      <c r="P188" s="9">
        <f>IF($A188="","",IF(COUNTIF(Jobs!$A$5:$A$44,$A188)=0,"Unknown Job ID",IF(B188="","Missing cost code",IF(COUNTIF(Settings!$E$5:$E$28,B188)=0,"Unknown cost code",IF(AND(G188="",C188=""),"No unit cost",IF(E188="","Missing qty",""))))))</f>
        <v/>
      </c>
      <c r="Q188" s="35" t="n"/>
    </row>
    <row r="189">
      <c r="A189" s="35" t="n"/>
      <c r="B189" s="35" t="n"/>
      <c r="C189" s="35" t="n"/>
      <c r="D189" s="35" t="n"/>
      <c r="E189" s="35" t="n"/>
      <c r="F189" s="35" t="n"/>
      <c r="G189" s="37" t="n"/>
      <c r="H189" s="9">
        <f>IF(B189="","",IFERROR(VLOOKUP(B189,Settings!$E$5:$G$28,3,FALSE),"Other"))</f>
        <v/>
      </c>
      <c r="I189" s="39">
        <f>IF($A189="","",IF(G189&lt;&gt;"",G189,IFERROR(VLOOKUP(C189,'Cost Library'!$A$5:$D$204,4,FALSE),0)))</f>
        <v/>
      </c>
      <c r="J189" s="9">
        <f>IF($A189="","",IF(F189&lt;&gt;"",F189,IFERROR(VLOOKUP(C189,'Cost Library'!$A$5:$D$204,3,FALSE),"")))</f>
        <v/>
      </c>
      <c r="K189" s="39">
        <f>IF($A189="","",E189*I189)</f>
        <v/>
      </c>
      <c r="L189" s="36" t="n"/>
      <c r="M189" s="39">
        <f>IF($A189="","",K189*(1+N189))</f>
        <v/>
      </c>
      <c r="N189" s="26">
        <f>IF($A189="","",IF(L189="",IFERROR(VLOOKUP(H189,Settings!$A$22:$B$27,2,FALSE),0),L189))</f>
        <v/>
      </c>
      <c r="O189" s="9">
        <f>IF(AND($A189&lt;&gt;"",$A189=Proposal!$I$2),COUNTIF($A$5:$A189,Proposal!$I$2),"")</f>
        <v/>
      </c>
      <c r="P189" s="9">
        <f>IF($A189="","",IF(COUNTIF(Jobs!$A$5:$A$44,$A189)=0,"Unknown Job ID",IF(B189="","Missing cost code",IF(COUNTIF(Settings!$E$5:$E$28,B189)=0,"Unknown cost code",IF(AND(G189="",C189=""),"No unit cost",IF(E189="","Missing qty",""))))))</f>
        <v/>
      </c>
      <c r="Q189" s="35" t="n"/>
    </row>
    <row r="190">
      <c r="A190" s="35" t="n"/>
      <c r="B190" s="35" t="n"/>
      <c r="C190" s="35" t="n"/>
      <c r="D190" s="35" t="n"/>
      <c r="E190" s="35" t="n"/>
      <c r="F190" s="35" t="n"/>
      <c r="G190" s="37" t="n"/>
      <c r="H190" s="9">
        <f>IF(B190="","",IFERROR(VLOOKUP(B190,Settings!$E$5:$G$28,3,FALSE),"Other"))</f>
        <v/>
      </c>
      <c r="I190" s="39">
        <f>IF($A190="","",IF(G190&lt;&gt;"",G190,IFERROR(VLOOKUP(C190,'Cost Library'!$A$5:$D$204,4,FALSE),0)))</f>
        <v/>
      </c>
      <c r="J190" s="9">
        <f>IF($A190="","",IF(F190&lt;&gt;"",F190,IFERROR(VLOOKUP(C190,'Cost Library'!$A$5:$D$204,3,FALSE),"")))</f>
        <v/>
      </c>
      <c r="K190" s="39">
        <f>IF($A190="","",E190*I190)</f>
        <v/>
      </c>
      <c r="L190" s="36" t="n"/>
      <c r="M190" s="39">
        <f>IF($A190="","",K190*(1+N190))</f>
        <v/>
      </c>
      <c r="N190" s="26">
        <f>IF($A190="","",IF(L190="",IFERROR(VLOOKUP(H190,Settings!$A$22:$B$27,2,FALSE),0),L190))</f>
        <v/>
      </c>
      <c r="O190" s="9">
        <f>IF(AND($A190&lt;&gt;"",$A190=Proposal!$I$2),COUNTIF($A$5:$A190,Proposal!$I$2),"")</f>
        <v/>
      </c>
      <c r="P190" s="9">
        <f>IF($A190="","",IF(COUNTIF(Jobs!$A$5:$A$44,$A190)=0,"Unknown Job ID",IF(B190="","Missing cost code",IF(COUNTIF(Settings!$E$5:$E$28,B190)=0,"Unknown cost code",IF(AND(G190="",C190=""),"No unit cost",IF(E190="","Missing qty",""))))))</f>
        <v/>
      </c>
      <c r="Q190" s="35" t="n"/>
    </row>
    <row r="191">
      <c r="A191" s="35" t="n"/>
      <c r="B191" s="35" t="n"/>
      <c r="C191" s="35" t="n"/>
      <c r="D191" s="35" t="n"/>
      <c r="E191" s="35" t="n"/>
      <c r="F191" s="35" t="n"/>
      <c r="G191" s="37" t="n"/>
      <c r="H191" s="9">
        <f>IF(B191="","",IFERROR(VLOOKUP(B191,Settings!$E$5:$G$28,3,FALSE),"Other"))</f>
        <v/>
      </c>
      <c r="I191" s="39">
        <f>IF($A191="","",IF(G191&lt;&gt;"",G191,IFERROR(VLOOKUP(C191,'Cost Library'!$A$5:$D$204,4,FALSE),0)))</f>
        <v/>
      </c>
      <c r="J191" s="9">
        <f>IF($A191="","",IF(F191&lt;&gt;"",F191,IFERROR(VLOOKUP(C191,'Cost Library'!$A$5:$D$204,3,FALSE),"")))</f>
        <v/>
      </c>
      <c r="K191" s="39">
        <f>IF($A191="","",E191*I191)</f>
        <v/>
      </c>
      <c r="L191" s="36" t="n"/>
      <c r="M191" s="39">
        <f>IF($A191="","",K191*(1+N191))</f>
        <v/>
      </c>
      <c r="N191" s="26">
        <f>IF($A191="","",IF(L191="",IFERROR(VLOOKUP(H191,Settings!$A$22:$B$27,2,FALSE),0),L191))</f>
        <v/>
      </c>
      <c r="O191" s="9">
        <f>IF(AND($A191&lt;&gt;"",$A191=Proposal!$I$2),COUNTIF($A$5:$A191,Proposal!$I$2),"")</f>
        <v/>
      </c>
      <c r="P191" s="9">
        <f>IF($A191="","",IF(COUNTIF(Jobs!$A$5:$A$44,$A191)=0,"Unknown Job ID",IF(B191="","Missing cost code",IF(COUNTIF(Settings!$E$5:$E$28,B191)=0,"Unknown cost code",IF(AND(G191="",C191=""),"No unit cost",IF(E191="","Missing qty",""))))))</f>
        <v/>
      </c>
      <c r="Q191" s="35" t="n"/>
    </row>
    <row r="192">
      <c r="A192" s="35" t="n"/>
      <c r="B192" s="35" t="n"/>
      <c r="C192" s="35" t="n"/>
      <c r="D192" s="35" t="n"/>
      <c r="E192" s="35" t="n"/>
      <c r="F192" s="35" t="n"/>
      <c r="G192" s="37" t="n"/>
      <c r="H192" s="9">
        <f>IF(B192="","",IFERROR(VLOOKUP(B192,Settings!$E$5:$G$28,3,FALSE),"Other"))</f>
        <v/>
      </c>
      <c r="I192" s="39">
        <f>IF($A192="","",IF(G192&lt;&gt;"",G192,IFERROR(VLOOKUP(C192,'Cost Library'!$A$5:$D$204,4,FALSE),0)))</f>
        <v/>
      </c>
      <c r="J192" s="9">
        <f>IF($A192="","",IF(F192&lt;&gt;"",F192,IFERROR(VLOOKUP(C192,'Cost Library'!$A$5:$D$204,3,FALSE),"")))</f>
        <v/>
      </c>
      <c r="K192" s="39">
        <f>IF($A192="","",E192*I192)</f>
        <v/>
      </c>
      <c r="L192" s="36" t="n"/>
      <c r="M192" s="39">
        <f>IF($A192="","",K192*(1+N192))</f>
        <v/>
      </c>
      <c r="N192" s="26">
        <f>IF($A192="","",IF(L192="",IFERROR(VLOOKUP(H192,Settings!$A$22:$B$27,2,FALSE),0),L192))</f>
        <v/>
      </c>
      <c r="O192" s="9">
        <f>IF(AND($A192&lt;&gt;"",$A192=Proposal!$I$2),COUNTIF($A$5:$A192,Proposal!$I$2),"")</f>
        <v/>
      </c>
      <c r="P192" s="9">
        <f>IF($A192="","",IF(COUNTIF(Jobs!$A$5:$A$44,$A192)=0,"Unknown Job ID",IF(B192="","Missing cost code",IF(COUNTIF(Settings!$E$5:$E$28,B192)=0,"Unknown cost code",IF(AND(G192="",C192=""),"No unit cost",IF(E192="","Missing qty",""))))))</f>
        <v/>
      </c>
      <c r="Q192" s="35" t="n"/>
    </row>
    <row r="193">
      <c r="A193" s="35" t="n"/>
      <c r="B193" s="35" t="n"/>
      <c r="C193" s="35" t="n"/>
      <c r="D193" s="35" t="n"/>
      <c r="E193" s="35" t="n"/>
      <c r="F193" s="35" t="n"/>
      <c r="G193" s="37" t="n"/>
      <c r="H193" s="9">
        <f>IF(B193="","",IFERROR(VLOOKUP(B193,Settings!$E$5:$G$28,3,FALSE),"Other"))</f>
        <v/>
      </c>
      <c r="I193" s="39">
        <f>IF($A193="","",IF(G193&lt;&gt;"",G193,IFERROR(VLOOKUP(C193,'Cost Library'!$A$5:$D$204,4,FALSE),0)))</f>
        <v/>
      </c>
      <c r="J193" s="9">
        <f>IF($A193="","",IF(F193&lt;&gt;"",F193,IFERROR(VLOOKUP(C193,'Cost Library'!$A$5:$D$204,3,FALSE),"")))</f>
        <v/>
      </c>
      <c r="K193" s="39">
        <f>IF($A193="","",E193*I193)</f>
        <v/>
      </c>
      <c r="L193" s="36" t="n"/>
      <c r="M193" s="39">
        <f>IF($A193="","",K193*(1+N193))</f>
        <v/>
      </c>
      <c r="N193" s="26">
        <f>IF($A193="","",IF(L193="",IFERROR(VLOOKUP(H193,Settings!$A$22:$B$27,2,FALSE),0),L193))</f>
        <v/>
      </c>
      <c r="O193" s="9">
        <f>IF(AND($A193&lt;&gt;"",$A193=Proposal!$I$2),COUNTIF($A$5:$A193,Proposal!$I$2),"")</f>
        <v/>
      </c>
      <c r="P193" s="9">
        <f>IF($A193="","",IF(COUNTIF(Jobs!$A$5:$A$44,$A193)=0,"Unknown Job ID",IF(B193="","Missing cost code",IF(COUNTIF(Settings!$E$5:$E$28,B193)=0,"Unknown cost code",IF(AND(G193="",C193=""),"No unit cost",IF(E193="","Missing qty",""))))))</f>
        <v/>
      </c>
      <c r="Q193" s="35" t="n"/>
    </row>
    <row r="194">
      <c r="A194" s="35" t="n"/>
      <c r="B194" s="35" t="n"/>
      <c r="C194" s="35" t="n"/>
      <c r="D194" s="35" t="n"/>
      <c r="E194" s="35" t="n"/>
      <c r="F194" s="35" t="n"/>
      <c r="G194" s="37" t="n"/>
      <c r="H194" s="9">
        <f>IF(B194="","",IFERROR(VLOOKUP(B194,Settings!$E$5:$G$28,3,FALSE),"Other"))</f>
        <v/>
      </c>
      <c r="I194" s="39">
        <f>IF($A194="","",IF(G194&lt;&gt;"",G194,IFERROR(VLOOKUP(C194,'Cost Library'!$A$5:$D$204,4,FALSE),0)))</f>
        <v/>
      </c>
      <c r="J194" s="9">
        <f>IF($A194="","",IF(F194&lt;&gt;"",F194,IFERROR(VLOOKUP(C194,'Cost Library'!$A$5:$D$204,3,FALSE),"")))</f>
        <v/>
      </c>
      <c r="K194" s="39">
        <f>IF($A194="","",E194*I194)</f>
        <v/>
      </c>
      <c r="L194" s="36" t="n"/>
      <c r="M194" s="39">
        <f>IF($A194="","",K194*(1+N194))</f>
        <v/>
      </c>
      <c r="N194" s="26">
        <f>IF($A194="","",IF(L194="",IFERROR(VLOOKUP(H194,Settings!$A$22:$B$27,2,FALSE),0),L194))</f>
        <v/>
      </c>
      <c r="O194" s="9">
        <f>IF(AND($A194&lt;&gt;"",$A194=Proposal!$I$2),COUNTIF($A$5:$A194,Proposal!$I$2),"")</f>
        <v/>
      </c>
      <c r="P194" s="9">
        <f>IF($A194="","",IF(COUNTIF(Jobs!$A$5:$A$44,$A194)=0,"Unknown Job ID",IF(B194="","Missing cost code",IF(COUNTIF(Settings!$E$5:$E$28,B194)=0,"Unknown cost code",IF(AND(G194="",C194=""),"No unit cost",IF(E194="","Missing qty",""))))))</f>
        <v/>
      </c>
      <c r="Q194" s="35" t="n"/>
    </row>
    <row r="195">
      <c r="A195" s="35" t="n"/>
      <c r="B195" s="35" t="n"/>
      <c r="C195" s="35" t="n"/>
      <c r="D195" s="35" t="n"/>
      <c r="E195" s="35" t="n"/>
      <c r="F195" s="35" t="n"/>
      <c r="G195" s="37" t="n"/>
      <c r="H195" s="9">
        <f>IF(B195="","",IFERROR(VLOOKUP(B195,Settings!$E$5:$G$28,3,FALSE),"Other"))</f>
        <v/>
      </c>
      <c r="I195" s="39">
        <f>IF($A195="","",IF(G195&lt;&gt;"",G195,IFERROR(VLOOKUP(C195,'Cost Library'!$A$5:$D$204,4,FALSE),0)))</f>
        <v/>
      </c>
      <c r="J195" s="9">
        <f>IF($A195="","",IF(F195&lt;&gt;"",F195,IFERROR(VLOOKUP(C195,'Cost Library'!$A$5:$D$204,3,FALSE),"")))</f>
        <v/>
      </c>
      <c r="K195" s="39">
        <f>IF($A195="","",E195*I195)</f>
        <v/>
      </c>
      <c r="L195" s="36" t="n"/>
      <c r="M195" s="39">
        <f>IF($A195="","",K195*(1+N195))</f>
        <v/>
      </c>
      <c r="N195" s="26">
        <f>IF($A195="","",IF(L195="",IFERROR(VLOOKUP(H195,Settings!$A$22:$B$27,2,FALSE),0),L195))</f>
        <v/>
      </c>
      <c r="O195" s="9">
        <f>IF(AND($A195&lt;&gt;"",$A195=Proposal!$I$2),COUNTIF($A$5:$A195,Proposal!$I$2),"")</f>
        <v/>
      </c>
      <c r="P195" s="9">
        <f>IF($A195="","",IF(COUNTIF(Jobs!$A$5:$A$44,$A195)=0,"Unknown Job ID",IF(B195="","Missing cost code",IF(COUNTIF(Settings!$E$5:$E$28,B195)=0,"Unknown cost code",IF(AND(G195="",C195=""),"No unit cost",IF(E195="","Missing qty",""))))))</f>
        <v/>
      </c>
      <c r="Q195" s="35" t="n"/>
    </row>
    <row r="196">
      <c r="A196" s="35" t="n"/>
      <c r="B196" s="35" t="n"/>
      <c r="C196" s="35" t="n"/>
      <c r="D196" s="35" t="n"/>
      <c r="E196" s="35" t="n"/>
      <c r="F196" s="35" t="n"/>
      <c r="G196" s="37" t="n"/>
      <c r="H196" s="9">
        <f>IF(B196="","",IFERROR(VLOOKUP(B196,Settings!$E$5:$G$28,3,FALSE),"Other"))</f>
        <v/>
      </c>
      <c r="I196" s="39">
        <f>IF($A196="","",IF(G196&lt;&gt;"",G196,IFERROR(VLOOKUP(C196,'Cost Library'!$A$5:$D$204,4,FALSE),0)))</f>
        <v/>
      </c>
      <c r="J196" s="9">
        <f>IF($A196="","",IF(F196&lt;&gt;"",F196,IFERROR(VLOOKUP(C196,'Cost Library'!$A$5:$D$204,3,FALSE),"")))</f>
        <v/>
      </c>
      <c r="K196" s="39">
        <f>IF($A196="","",E196*I196)</f>
        <v/>
      </c>
      <c r="L196" s="36" t="n"/>
      <c r="M196" s="39">
        <f>IF($A196="","",K196*(1+N196))</f>
        <v/>
      </c>
      <c r="N196" s="26">
        <f>IF($A196="","",IF(L196="",IFERROR(VLOOKUP(H196,Settings!$A$22:$B$27,2,FALSE),0),L196))</f>
        <v/>
      </c>
      <c r="O196" s="9">
        <f>IF(AND($A196&lt;&gt;"",$A196=Proposal!$I$2),COUNTIF($A$5:$A196,Proposal!$I$2),"")</f>
        <v/>
      </c>
      <c r="P196" s="9">
        <f>IF($A196="","",IF(COUNTIF(Jobs!$A$5:$A$44,$A196)=0,"Unknown Job ID",IF(B196="","Missing cost code",IF(COUNTIF(Settings!$E$5:$E$28,B196)=0,"Unknown cost code",IF(AND(G196="",C196=""),"No unit cost",IF(E196="","Missing qty",""))))))</f>
        <v/>
      </c>
      <c r="Q196" s="35" t="n"/>
    </row>
    <row r="197">
      <c r="A197" s="35" t="n"/>
      <c r="B197" s="35" t="n"/>
      <c r="C197" s="35" t="n"/>
      <c r="D197" s="35" t="n"/>
      <c r="E197" s="35" t="n"/>
      <c r="F197" s="35" t="n"/>
      <c r="G197" s="37" t="n"/>
      <c r="H197" s="9">
        <f>IF(B197="","",IFERROR(VLOOKUP(B197,Settings!$E$5:$G$28,3,FALSE),"Other"))</f>
        <v/>
      </c>
      <c r="I197" s="39">
        <f>IF($A197="","",IF(G197&lt;&gt;"",G197,IFERROR(VLOOKUP(C197,'Cost Library'!$A$5:$D$204,4,FALSE),0)))</f>
        <v/>
      </c>
      <c r="J197" s="9">
        <f>IF($A197="","",IF(F197&lt;&gt;"",F197,IFERROR(VLOOKUP(C197,'Cost Library'!$A$5:$D$204,3,FALSE),"")))</f>
        <v/>
      </c>
      <c r="K197" s="39">
        <f>IF($A197="","",E197*I197)</f>
        <v/>
      </c>
      <c r="L197" s="36" t="n"/>
      <c r="M197" s="39">
        <f>IF($A197="","",K197*(1+N197))</f>
        <v/>
      </c>
      <c r="N197" s="26">
        <f>IF($A197="","",IF(L197="",IFERROR(VLOOKUP(H197,Settings!$A$22:$B$27,2,FALSE),0),L197))</f>
        <v/>
      </c>
      <c r="O197" s="9">
        <f>IF(AND($A197&lt;&gt;"",$A197=Proposal!$I$2),COUNTIF($A$5:$A197,Proposal!$I$2),"")</f>
        <v/>
      </c>
      <c r="P197" s="9">
        <f>IF($A197="","",IF(COUNTIF(Jobs!$A$5:$A$44,$A197)=0,"Unknown Job ID",IF(B197="","Missing cost code",IF(COUNTIF(Settings!$E$5:$E$28,B197)=0,"Unknown cost code",IF(AND(G197="",C197=""),"No unit cost",IF(E197="","Missing qty",""))))))</f>
        <v/>
      </c>
      <c r="Q197" s="35" t="n"/>
    </row>
    <row r="198">
      <c r="A198" s="35" t="n"/>
      <c r="B198" s="35" t="n"/>
      <c r="C198" s="35" t="n"/>
      <c r="D198" s="35" t="n"/>
      <c r="E198" s="35" t="n"/>
      <c r="F198" s="35" t="n"/>
      <c r="G198" s="37" t="n"/>
      <c r="H198" s="9">
        <f>IF(B198="","",IFERROR(VLOOKUP(B198,Settings!$E$5:$G$28,3,FALSE),"Other"))</f>
        <v/>
      </c>
      <c r="I198" s="39">
        <f>IF($A198="","",IF(G198&lt;&gt;"",G198,IFERROR(VLOOKUP(C198,'Cost Library'!$A$5:$D$204,4,FALSE),0)))</f>
        <v/>
      </c>
      <c r="J198" s="9">
        <f>IF($A198="","",IF(F198&lt;&gt;"",F198,IFERROR(VLOOKUP(C198,'Cost Library'!$A$5:$D$204,3,FALSE),"")))</f>
        <v/>
      </c>
      <c r="K198" s="39">
        <f>IF($A198="","",E198*I198)</f>
        <v/>
      </c>
      <c r="L198" s="36" t="n"/>
      <c r="M198" s="39">
        <f>IF($A198="","",K198*(1+N198))</f>
        <v/>
      </c>
      <c r="N198" s="26">
        <f>IF($A198="","",IF(L198="",IFERROR(VLOOKUP(H198,Settings!$A$22:$B$27,2,FALSE),0),L198))</f>
        <v/>
      </c>
      <c r="O198" s="9">
        <f>IF(AND($A198&lt;&gt;"",$A198=Proposal!$I$2),COUNTIF($A$5:$A198,Proposal!$I$2),"")</f>
        <v/>
      </c>
      <c r="P198" s="9">
        <f>IF($A198="","",IF(COUNTIF(Jobs!$A$5:$A$44,$A198)=0,"Unknown Job ID",IF(B198="","Missing cost code",IF(COUNTIF(Settings!$E$5:$E$28,B198)=0,"Unknown cost code",IF(AND(G198="",C198=""),"No unit cost",IF(E198="","Missing qty",""))))))</f>
        <v/>
      </c>
      <c r="Q198" s="35" t="n"/>
    </row>
    <row r="199">
      <c r="A199" s="35" t="n"/>
      <c r="B199" s="35" t="n"/>
      <c r="C199" s="35" t="n"/>
      <c r="D199" s="35" t="n"/>
      <c r="E199" s="35" t="n"/>
      <c r="F199" s="35" t="n"/>
      <c r="G199" s="37" t="n"/>
      <c r="H199" s="9">
        <f>IF(B199="","",IFERROR(VLOOKUP(B199,Settings!$E$5:$G$28,3,FALSE),"Other"))</f>
        <v/>
      </c>
      <c r="I199" s="39">
        <f>IF($A199="","",IF(G199&lt;&gt;"",G199,IFERROR(VLOOKUP(C199,'Cost Library'!$A$5:$D$204,4,FALSE),0)))</f>
        <v/>
      </c>
      <c r="J199" s="9">
        <f>IF($A199="","",IF(F199&lt;&gt;"",F199,IFERROR(VLOOKUP(C199,'Cost Library'!$A$5:$D$204,3,FALSE),"")))</f>
        <v/>
      </c>
      <c r="K199" s="39">
        <f>IF($A199="","",E199*I199)</f>
        <v/>
      </c>
      <c r="L199" s="36" t="n"/>
      <c r="M199" s="39">
        <f>IF($A199="","",K199*(1+N199))</f>
        <v/>
      </c>
      <c r="N199" s="26">
        <f>IF($A199="","",IF(L199="",IFERROR(VLOOKUP(H199,Settings!$A$22:$B$27,2,FALSE),0),L199))</f>
        <v/>
      </c>
      <c r="O199" s="9">
        <f>IF(AND($A199&lt;&gt;"",$A199=Proposal!$I$2),COUNTIF($A$5:$A199,Proposal!$I$2),"")</f>
        <v/>
      </c>
      <c r="P199" s="9">
        <f>IF($A199="","",IF(COUNTIF(Jobs!$A$5:$A$44,$A199)=0,"Unknown Job ID",IF(B199="","Missing cost code",IF(COUNTIF(Settings!$E$5:$E$28,B199)=0,"Unknown cost code",IF(AND(G199="",C199=""),"No unit cost",IF(E199="","Missing qty",""))))))</f>
        <v/>
      </c>
      <c r="Q199" s="35" t="n"/>
    </row>
    <row r="200">
      <c r="A200" s="35" t="n"/>
      <c r="B200" s="35" t="n"/>
      <c r="C200" s="35" t="n"/>
      <c r="D200" s="35" t="n"/>
      <c r="E200" s="35" t="n"/>
      <c r="F200" s="35" t="n"/>
      <c r="G200" s="37" t="n"/>
      <c r="H200" s="9">
        <f>IF(B200="","",IFERROR(VLOOKUP(B200,Settings!$E$5:$G$28,3,FALSE),"Other"))</f>
        <v/>
      </c>
      <c r="I200" s="39">
        <f>IF($A200="","",IF(G200&lt;&gt;"",G200,IFERROR(VLOOKUP(C200,'Cost Library'!$A$5:$D$204,4,FALSE),0)))</f>
        <v/>
      </c>
      <c r="J200" s="9">
        <f>IF($A200="","",IF(F200&lt;&gt;"",F200,IFERROR(VLOOKUP(C200,'Cost Library'!$A$5:$D$204,3,FALSE),"")))</f>
        <v/>
      </c>
      <c r="K200" s="39">
        <f>IF($A200="","",E200*I200)</f>
        <v/>
      </c>
      <c r="L200" s="36" t="n"/>
      <c r="M200" s="39">
        <f>IF($A200="","",K200*(1+N200))</f>
        <v/>
      </c>
      <c r="N200" s="26">
        <f>IF($A200="","",IF(L200="",IFERROR(VLOOKUP(H200,Settings!$A$22:$B$27,2,FALSE),0),L200))</f>
        <v/>
      </c>
      <c r="O200" s="9">
        <f>IF(AND($A200&lt;&gt;"",$A200=Proposal!$I$2),COUNTIF($A$5:$A200,Proposal!$I$2),"")</f>
        <v/>
      </c>
      <c r="P200" s="9">
        <f>IF($A200="","",IF(COUNTIF(Jobs!$A$5:$A$44,$A200)=0,"Unknown Job ID",IF(B200="","Missing cost code",IF(COUNTIF(Settings!$E$5:$E$28,B200)=0,"Unknown cost code",IF(AND(G200="",C200=""),"No unit cost",IF(E200="","Missing qty",""))))))</f>
        <v/>
      </c>
      <c r="Q200" s="35" t="n"/>
    </row>
    <row r="201">
      <c r="A201" s="35" t="n"/>
      <c r="B201" s="35" t="n"/>
      <c r="C201" s="35" t="n"/>
      <c r="D201" s="35" t="n"/>
      <c r="E201" s="35" t="n"/>
      <c r="F201" s="35" t="n"/>
      <c r="G201" s="37" t="n"/>
      <c r="H201" s="9">
        <f>IF(B201="","",IFERROR(VLOOKUP(B201,Settings!$E$5:$G$28,3,FALSE),"Other"))</f>
        <v/>
      </c>
      <c r="I201" s="39">
        <f>IF($A201="","",IF(G201&lt;&gt;"",G201,IFERROR(VLOOKUP(C201,'Cost Library'!$A$5:$D$204,4,FALSE),0)))</f>
        <v/>
      </c>
      <c r="J201" s="9">
        <f>IF($A201="","",IF(F201&lt;&gt;"",F201,IFERROR(VLOOKUP(C201,'Cost Library'!$A$5:$D$204,3,FALSE),"")))</f>
        <v/>
      </c>
      <c r="K201" s="39">
        <f>IF($A201="","",E201*I201)</f>
        <v/>
      </c>
      <c r="L201" s="36" t="n"/>
      <c r="M201" s="39">
        <f>IF($A201="","",K201*(1+N201))</f>
        <v/>
      </c>
      <c r="N201" s="26">
        <f>IF($A201="","",IF(L201="",IFERROR(VLOOKUP(H201,Settings!$A$22:$B$27,2,FALSE),0),L201))</f>
        <v/>
      </c>
      <c r="O201" s="9">
        <f>IF(AND($A201&lt;&gt;"",$A201=Proposal!$I$2),COUNTIF($A$5:$A201,Proposal!$I$2),"")</f>
        <v/>
      </c>
      <c r="P201" s="9">
        <f>IF($A201="","",IF(COUNTIF(Jobs!$A$5:$A$44,$A201)=0,"Unknown Job ID",IF(B201="","Missing cost code",IF(COUNTIF(Settings!$E$5:$E$28,B201)=0,"Unknown cost code",IF(AND(G201="",C201=""),"No unit cost",IF(E201="","Missing qty",""))))))</f>
        <v/>
      </c>
      <c r="Q201" s="35" t="n"/>
    </row>
    <row r="202">
      <c r="A202" s="35" t="n"/>
      <c r="B202" s="35" t="n"/>
      <c r="C202" s="35" t="n"/>
      <c r="D202" s="35" t="n"/>
      <c r="E202" s="35" t="n"/>
      <c r="F202" s="35" t="n"/>
      <c r="G202" s="37" t="n"/>
      <c r="H202" s="9">
        <f>IF(B202="","",IFERROR(VLOOKUP(B202,Settings!$E$5:$G$28,3,FALSE),"Other"))</f>
        <v/>
      </c>
      <c r="I202" s="39">
        <f>IF($A202="","",IF(G202&lt;&gt;"",G202,IFERROR(VLOOKUP(C202,'Cost Library'!$A$5:$D$204,4,FALSE),0)))</f>
        <v/>
      </c>
      <c r="J202" s="9">
        <f>IF($A202="","",IF(F202&lt;&gt;"",F202,IFERROR(VLOOKUP(C202,'Cost Library'!$A$5:$D$204,3,FALSE),"")))</f>
        <v/>
      </c>
      <c r="K202" s="39">
        <f>IF($A202="","",E202*I202)</f>
        <v/>
      </c>
      <c r="L202" s="36" t="n"/>
      <c r="M202" s="39">
        <f>IF($A202="","",K202*(1+N202))</f>
        <v/>
      </c>
      <c r="N202" s="26">
        <f>IF($A202="","",IF(L202="",IFERROR(VLOOKUP(H202,Settings!$A$22:$B$27,2,FALSE),0),L202))</f>
        <v/>
      </c>
      <c r="O202" s="9">
        <f>IF(AND($A202&lt;&gt;"",$A202=Proposal!$I$2),COUNTIF($A$5:$A202,Proposal!$I$2),"")</f>
        <v/>
      </c>
      <c r="P202" s="9">
        <f>IF($A202="","",IF(COUNTIF(Jobs!$A$5:$A$44,$A202)=0,"Unknown Job ID",IF(B202="","Missing cost code",IF(COUNTIF(Settings!$E$5:$E$28,B202)=0,"Unknown cost code",IF(AND(G202="",C202=""),"No unit cost",IF(E202="","Missing qty",""))))))</f>
        <v/>
      </c>
      <c r="Q202" s="35" t="n"/>
    </row>
    <row r="203">
      <c r="A203" s="35" t="n"/>
      <c r="B203" s="35" t="n"/>
      <c r="C203" s="35" t="n"/>
      <c r="D203" s="35" t="n"/>
      <c r="E203" s="35" t="n"/>
      <c r="F203" s="35" t="n"/>
      <c r="G203" s="37" t="n"/>
      <c r="H203" s="9">
        <f>IF(B203="","",IFERROR(VLOOKUP(B203,Settings!$E$5:$G$28,3,FALSE),"Other"))</f>
        <v/>
      </c>
      <c r="I203" s="39">
        <f>IF($A203="","",IF(G203&lt;&gt;"",G203,IFERROR(VLOOKUP(C203,'Cost Library'!$A$5:$D$204,4,FALSE),0)))</f>
        <v/>
      </c>
      <c r="J203" s="9">
        <f>IF($A203="","",IF(F203&lt;&gt;"",F203,IFERROR(VLOOKUP(C203,'Cost Library'!$A$5:$D$204,3,FALSE),"")))</f>
        <v/>
      </c>
      <c r="K203" s="39">
        <f>IF($A203="","",E203*I203)</f>
        <v/>
      </c>
      <c r="L203" s="36" t="n"/>
      <c r="M203" s="39">
        <f>IF($A203="","",K203*(1+N203))</f>
        <v/>
      </c>
      <c r="N203" s="26">
        <f>IF($A203="","",IF(L203="",IFERROR(VLOOKUP(H203,Settings!$A$22:$B$27,2,FALSE),0),L203))</f>
        <v/>
      </c>
      <c r="O203" s="9">
        <f>IF(AND($A203&lt;&gt;"",$A203=Proposal!$I$2),COUNTIF($A$5:$A203,Proposal!$I$2),"")</f>
        <v/>
      </c>
      <c r="P203" s="9">
        <f>IF($A203="","",IF(COUNTIF(Jobs!$A$5:$A$44,$A203)=0,"Unknown Job ID",IF(B203="","Missing cost code",IF(COUNTIF(Settings!$E$5:$E$28,B203)=0,"Unknown cost code",IF(AND(G203="",C203=""),"No unit cost",IF(E203="","Missing qty",""))))))</f>
        <v/>
      </c>
      <c r="Q203" s="35" t="n"/>
    </row>
    <row r="204">
      <c r="A204" s="35" t="n"/>
      <c r="B204" s="35" t="n"/>
      <c r="C204" s="35" t="n"/>
      <c r="D204" s="35" t="n"/>
      <c r="E204" s="35" t="n"/>
      <c r="F204" s="35" t="n"/>
      <c r="G204" s="37" t="n"/>
      <c r="H204" s="9">
        <f>IF(B204="","",IFERROR(VLOOKUP(B204,Settings!$E$5:$G$28,3,FALSE),"Other"))</f>
        <v/>
      </c>
      <c r="I204" s="39">
        <f>IF($A204="","",IF(G204&lt;&gt;"",G204,IFERROR(VLOOKUP(C204,'Cost Library'!$A$5:$D$204,4,FALSE),0)))</f>
        <v/>
      </c>
      <c r="J204" s="9">
        <f>IF($A204="","",IF(F204&lt;&gt;"",F204,IFERROR(VLOOKUP(C204,'Cost Library'!$A$5:$D$204,3,FALSE),"")))</f>
        <v/>
      </c>
      <c r="K204" s="39">
        <f>IF($A204="","",E204*I204)</f>
        <v/>
      </c>
      <c r="L204" s="36" t="n"/>
      <c r="M204" s="39">
        <f>IF($A204="","",K204*(1+N204))</f>
        <v/>
      </c>
      <c r="N204" s="26">
        <f>IF($A204="","",IF(L204="",IFERROR(VLOOKUP(H204,Settings!$A$22:$B$27,2,FALSE),0),L204))</f>
        <v/>
      </c>
      <c r="O204" s="9">
        <f>IF(AND($A204&lt;&gt;"",$A204=Proposal!$I$2),COUNTIF($A$5:$A204,Proposal!$I$2),"")</f>
        <v/>
      </c>
      <c r="P204" s="9">
        <f>IF($A204="","",IF(COUNTIF(Jobs!$A$5:$A$44,$A204)=0,"Unknown Job ID",IF(B204="","Missing cost code",IF(COUNTIF(Settings!$E$5:$E$28,B204)=0,"Unknown cost code",IF(AND(G204="",C204=""),"No unit cost",IF(E204="","Missing qty",""))))))</f>
        <v/>
      </c>
      <c r="Q204" s="35" t="n"/>
    </row>
    <row r="205">
      <c r="A205" s="35" t="n"/>
      <c r="B205" s="35" t="n"/>
      <c r="C205" s="35" t="n"/>
      <c r="D205" s="35" t="n"/>
      <c r="E205" s="35" t="n"/>
      <c r="F205" s="35" t="n"/>
      <c r="G205" s="37" t="n"/>
      <c r="H205" s="9">
        <f>IF(B205="","",IFERROR(VLOOKUP(B205,Settings!$E$5:$G$28,3,FALSE),"Other"))</f>
        <v/>
      </c>
      <c r="I205" s="39">
        <f>IF($A205="","",IF(G205&lt;&gt;"",G205,IFERROR(VLOOKUP(C205,'Cost Library'!$A$5:$D$204,4,FALSE),0)))</f>
        <v/>
      </c>
      <c r="J205" s="9">
        <f>IF($A205="","",IF(F205&lt;&gt;"",F205,IFERROR(VLOOKUP(C205,'Cost Library'!$A$5:$D$204,3,FALSE),"")))</f>
        <v/>
      </c>
      <c r="K205" s="39">
        <f>IF($A205="","",E205*I205)</f>
        <v/>
      </c>
      <c r="L205" s="36" t="n"/>
      <c r="M205" s="39">
        <f>IF($A205="","",K205*(1+N205))</f>
        <v/>
      </c>
      <c r="N205" s="26">
        <f>IF($A205="","",IF(L205="",IFERROR(VLOOKUP(H205,Settings!$A$22:$B$27,2,FALSE),0),L205))</f>
        <v/>
      </c>
      <c r="O205" s="9">
        <f>IF(AND($A205&lt;&gt;"",$A205=Proposal!$I$2),COUNTIF($A$5:$A205,Proposal!$I$2),"")</f>
        <v/>
      </c>
      <c r="P205" s="9">
        <f>IF($A205="","",IF(COUNTIF(Jobs!$A$5:$A$44,$A205)=0,"Unknown Job ID",IF(B205="","Missing cost code",IF(COUNTIF(Settings!$E$5:$E$28,B205)=0,"Unknown cost code",IF(AND(G205="",C205=""),"No unit cost",IF(E205="","Missing qty",""))))))</f>
        <v/>
      </c>
      <c r="Q205" s="35" t="n"/>
    </row>
    <row r="206">
      <c r="A206" s="35" t="n"/>
      <c r="B206" s="35" t="n"/>
      <c r="C206" s="35" t="n"/>
      <c r="D206" s="35" t="n"/>
      <c r="E206" s="35" t="n"/>
      <c r="F206" s="35" t="n"/>
      <c r="G206" s="37" t="n"/>
      <c r="H206" s="9">
        <f>IF(B206="","",IFERROR(VLOOKUP(B206,Settings!$E$5:$G$28,3,FALSE),"Other"))</f>
        <v/>
      </c>
      <c r="I206" s="39">
        <f>IF($A206="","",IF(G206&lt;&gt;"",G206,IFERROR(VLOOKUP(C206,'Cost Library'!$A$5:$D$204,4,FALSE),0)))</f>
        <v/>
      </c>
      <c r="J206" s="9">
        <f>IF($A206="","",IF(F206&lt;&gt;"",F206,IFERROR(VLOOKUP(C206,'Cost Library'!$A$5:$D$204,3,FALSE),"")))</f>
        <v/>
      </c>
      <c r="K206" s="39">
        <f>IF($A206="","",E206*I206)</f>
        <v/>
      </c>
      <c r="L206" s="36" t="n"/>
      <c r="M206" s="39">
        <f>IF($A206="","",K206*(1+N206))</f>
        <v/>
      </c>
      <c r="N206" s="26">
        <f>IF($A206="","",IF(L206="",IFERROR(VLOOKUP(H206,Settings!$A$22:$B$27,2,FALSE),0),L206))</f>
        <v/>
      </c>
      <c r="O206" s="9">
        <f>IF(AND($A206&lt;&gt;"",$A206=Proposal!$I$2),COUNTIF($A$5:$A206,Proposal!$I$2),"")</f>
        <v/>
      </c>
      <c r="P206" s="9">
        <f>IF($A206="","",IF(COUNTIF(Jobs!$A$5:$A$44,$A206)=0,"Unknown Job ID",IF(B206="","Missing cost code",IF(COUNTIF(Settings!$E$5:$E$28,B206)=0,"Unknown cost code",IF(AND(G206="",C206=""),"No unit cost",IF(E206="","Missing qty",""))))))</f>
        <v/>
      </c>
      <c r="Q206" s="35" t="n"/>
    </row>
    <row r="207">
      <c r="A207" s="35" t="n"/>
      <c r="B207" s="35" t="n"/>
      <c r="C207" s="35" t="n"/>
      <c r="D207" s="35" t="n"/>
      <c r="E207" s="35" t="n"/>
      <c r="F207" s="35" t="n"/>
      <c r="G207" s="37" t="n"/>
      <c r="H207" s="9">
        <f>IF(B207="","",IFERROR(VLOOKUP(B207,Settings!$E$5:$G$28,3,FALSE),"Other"))</f>
        <v/>
      </c>
      <c r="I207" s="39">
        <f>IF($A207="","",IF(G207&lt;&gt;"",G207,IFERROR(VLOOKUP(C207,'Cost Library'!$A$5:$D$204,4,FALSE),0)))</f>
        <v/>
      </c>
      <c r="J207" s="9">
        <f>IF($A207="","",IF(F207&lt;&gt;"",F207,IFERROR(VLOOKUP(C207,'Cost Library'!$A$5:$D$204,3,FALSE),"")))</f>
        <v/>
      </c>
      <c r="K207" s="39">
        <f>IF($A207="","",E207*I207)</f>
        <v/>
      </c>
      <c r="L207" s="36" t="n"/>
      <c r="M207" s="39">
        <f>IF($A207="","",K207*(1+N207))</f>
        <v/>
      </c>
      <c r="N207" s="26">
        <f>IF($A207="","",IF(L207="",IFERROR(VLOOKUP(H207,Settings!$A$22:$B$27,2,FALSE),0),L207))</f>
        <v/>
      </c>
      <c r="O207" s="9">
        <f>IF(AND($A207&lt;&gt;"",$A207=Proposal!$I$2),COUNTIF($A$5:$A207,Proposal!$I$2),"")</f>
        <v/>
      </c>
      <c r="P207" s="9">
        <f>IF($A207="","",IF(COUNTIF(Jobs!$A$5:$A$44,$A207)=0,"Unknown Job ID",IF(B207="","Missing cost code",IF(COUNTIF(Settings!$E$5:$E$28,B207)=0,"Unknown cost code",IF(AND(G207="",C207=""),"No unit cost",IF(E207="","Missing qty",""))))))</f>
        <v/>
      </c>
      <c r="Q207" s="35" t="n"/>
    </row>
    <row r="208">
      <c r="A208" s="35" t="n"/>
      <c r="B208" s="35" t="n"/>
      <c r="C208" s="35" t="n"/>
      <c r="D208" s="35" t="n"/>
      <c r="E208" s="35" t="n"/>
      <c r="F208" s="35" t="n"/>
      <c r="G208" s="37" t="n"/>
      <c r="H208" s="9">
        <f>IF(B208="","",IFERROR(VLOOKUP(B208,Settings!$E$5:$G$28,3,FALSE),"Other"))</f>
        <v/>
      </c>
      <c r="I208" s="39">
        <f>IF($A208="","",IF(G208&lt;&gt;"",G208,IFERROR(VLOOKUP(C208,'Cost Library'!$A$5:$D$204,4,FALSE),0)))</f>
        <v/>
      </c>
      <c r="J208" s="9">
        <f>IF($A208="","",IF(F208&lt;&gt;"",F208,IFERROR(VLOOKUP(C208,'Cost Library'!$A$5:$D$204,3,FALSE),"")))</f>
        <v/>
      </c>
      <c r="K208" s="39">
        <f>IF($A208="","",E208*I208)</f>
        <v/>
      </c>
      <c r="L208" s="36" t="n"/>
      <c r="M208" s="39">
        <f>IF($A208="","",K208*(1+N208))</f>
        <v/>
      </c>
      <c r="N208" s="26">
        <f>IF($A208="","",IF(L208="",IFERROR(VLOOKUP(H208,Settings!$A$22:$B$27,2,FALSE),0),L208))</f>
        <v/>
      </c>
      <c r="O208" s="9">
        <f>IF(AND($A208&lt;&gt;"",$A208=Proposal!$I$2),COUNTIF($A$5:$A208,Proposal!$I$2),"")</f>
        <v/>
      </c>
      <c r="P208" s="9">
        <f>IF($A208="","",IF(COUNTIF(Jobs!$A$5:$A$44,$A208)=0,"Unknown Job ID",IF(B208="","Missing cost code",IF(COUNTIF(Settings!$E$5:$E$28,B208)=0,"Unknown cost code",IF(AND(G208="",C208=""),"No unit cost",IF(E208="","Missing qty",""))))))</f>
        <v/>
      </c>
      <c r="Q208" s="35" t="n"/>
    </row>
    <row r="209">
      <c r="A209" s="35" t="n"/>
      <c r="B209" s="35" t="n"/>
      <c r="C209" s="35" t="n"/>
      <c r="D209" s="35" t="n"/>
      <c r="E209" s="35" t="n"/>
      <c r="F209" s="35" t="n"/>
      <c r="G209" s="37" t="n"/>
      <c r="H209" s="9">
        <f>IF(B209="","",IFERROR(VLOOKUP(B209,Settings!$E$5:$G$28,3,FALSE),"Other"))</f>
        <v/>
      </c>
      <c r="I209" s="39">
        <f>IF($A209="","",IF(G209&lt;&gt;"",G209,IFERROR(VLOOKUP(C209,'Cost Library'!$A$5:$D$204,4,FALSE),0)))</f>
        <v/>
      </c>
      <c r="J209" s="9">
        <f>IF($A209="","",IF(F209&lt;&gt;"",F209,IFERROR(VLOOKUP(C209,'Cost Library'!$A$5:$D$204,3,FALSE),"")))</f>
        <v/>
      </c>
      <c r="K209" s="39">
        <f>IF($A209="","",E209*I209)</f>
        <v/>
      </c>
      <c r="L209" s="36" t="n"/>
      <c r="M209" s="39">
        <f>IF($A209="","",K209*(1+N209))</f>
        <v/>
      </c>
      <c r="N209" s="26">
        <f>IF($A209="","",IF(L209="",IFERROR(VLOOKUP(H209,Settings!$A$22:$B$27,2,FALSE),0),L209))</f>
        <v/>
      </c>
      <c r="O209" s="9">
        <f>IF(AND($A209&lt;&gt;"",$A209=Proposal!$I$2),COUNTIF($A$5:$A209,Proposal!$I$2),"")</f>
        <v/>
      </c>
      <c r="P209" s="9">
        <f>IF($A209="","",IF(COUNTIF(Jobs!$A$5:$A$44,$A209)=0,"Unknown Job ID",IF(B209="","Missing cost code",IF(COUNTIF(Settings!$E$5:$E$28,B209)=0,"Unknown cost code",IF(AND(G209="",C209=""),"No unit cost",IF(E209="","Missing qty",""))))))</f>
        <v/>
      </c>
      <c r="Q209" s="35" t="n"/>
    </row>
    <row r="210">
      <c r="A210" s="35" t="n"/>
      <c r="B210" s="35" t="n"/>
      <c r="C210" s="35" t="n"/>
      <c r="D210" s="35" t="n"/>
      <c r="E210" s="35" t="n"/>
      <c r="F210" s="35" t="n"/>
      <c r="G210" s="37" t="n"/>
      <c r="H210" s="9">
        <f>IF(B210="","",IFERROR(VLOOKUP(B210,Settings!$E$5:$G$28,3,FALSE),"Other"))</f>
        <v/>
      </c>
      <c r="I210" s="39">
        <f>IF($A210="","",IF(G210&lt;&gt;"",G210,IFERROR(VLOOKUP(C210,'Cost Library'!$A$5:$D$204,4,FALSE),0)))</f>
        <v/>
      </c>
      <c r="J210" s="9">
        <f>IF($A210="","",IF(F210&lt;&gt;"",F210,IFERROR(VLOOKUP(C210,'Cost Library'!$A$5:$D$204,3,FALSE),"")))</f>
        <v/>
      </c>
      <c r="K210" s="39">
        <f>IF($A210="","",E210*I210)</f>
        <v/>
      </c>
      <c r="L210" s="36" t="n"/>
      <c r="M210" s="39">
        <f>IF($A210="","",K210*(1+N210))</f>
        <v/>
      </c>
      <c r="N210" s="26">
        <f>IF($A210="","",IF(L210="",IFERROR(VLOOKUP(H210,Settings!$A$22:$B$27,2,FALSE),0),L210))</f>
        <v/>
      </c>
      <c r="O210" s="9">
        <f>IF(AND($A210&lt;&gt;"",$A210=Proposal!$I$2),COUNTIF($A$5:$A210,Proposal!$I$2),"")</f>
        <v/>
      </c>
      <c r="P210" s="9">
        <f>IF($A210="","",IF(COUNTIF(Jobs!$A$5:$A$44,$A210)=0,"Unknown Job ID",IF(B210="","Missing cost code",IF(COUNTIF(Settings!$E$5:$E$28,B210)=0,"Unknown cost code",IF(AND(G210="",C210=""),"No unit cost",IF(E210="","Missing qty",""))))))</f>
        <v/>
      </c>
      <c r="Q210" s="35" t="n"/>
    </row>
    <row r="211">
      <c r="A211" s="35" t="n"/>
      <c r="B211" s="35" t="n"/>
      <c r="C211" s="35" t="n"/>
      <c r="D211" s="35" t="n"/>
      <c r="E211" s="35" t="n"/>
      <c r="F211" s="35" t="n"/>
      <c r="G211" s="37" t="n"/>
      <c r="H211" s="9">
        <f>IF(B211="","",IFERROR(VLOOKUP(B211,Settings!$E$5:$G$28,3,FALSE),"Other"))</f>
        <v/>
      </c>
      <c r="I211" s="39">
        <f>IF($A211="","",IF(G211&lt;&gt;"",G211,IFERROR(VLOOKUP(C211,'Cost Library'!$A$5:$D$204,4,FALSE),0)))</f>
        <v/>
      </c>
      <c r="J211" s="9">
        <f>IF($A211="","",IF(F211&lt;&gt;"",F211,IFERROR(VLOOKUP(C211,'Cost Library'!$A$5:$D$204,3,FALSE),"")))</f>
        <v/>
      </c>
      <c r="K211" s="39">
        <f>IF($A211="","",E211*I211)</f>
        <v/>
      </c>
      <c r="L211" s="36" t="n"/>
      <c r="M211" s="39">
        <f>IF($A211="","",K211*(1+N211))</f>
        <v/>
      </c>
      <c r="N211" s="26">
        <f>IF($A211="","",IF(L211="",IFERROR(VLOOKUP(H211,Settings!$A$22:$B$27,2,FALSE),0),L211))</f>
        <v/>
      </c>
      <c r="O211" s="9">
        <f>IF(AND($A211&lt;&gt;"",$A211=Proposal!$I$2),COUNTIF($A$5:$A211,Proposal!$I$2),"")</f>
        <v/>
      </c>
      <c r="P211" s="9">
        <f>IF($A211="","",IF(COUNTIF(Jobs!$A$5:$A$44,$A211)=0,"Unknown Job ID",IF(B211="","Missing cost code",IF(COUNTIF(Settings!$E$5:$E$28,B211)=0,"Unknown cost code",IF(AND(G211="",C211=""),"No unit cost",IF(E211="","Missing qty",""))))))</f>
        <v/>
      </c>
      <c r="Q211" s="35" t="n"/>
    </row>
    <row r="212">
      <c r="A212" s="35" t="n"/>
      <c r="B212" s="35" t="n"/>
      <c r="C212" s="35" t="n"/>
      <c r="D212" s="35" t="n"/>
      <c r="E212" s="35" t="n"/>
      <c r="F212" s="35" t="n"/>
      <c r="G212" s="37" t="n"/>
      <c r="H212" s="9">
        <f>IF(B212="","",IFERROR(VLOOKUP(B212,Settings!$E$5:$G$28,3,FALSE),"Other"))</f>
        <v/>
      </c>
      <c r="I212" s="39">
        <f>IF($A212="","",IF(G212&lt;&gt;"",G212,IFERROR(VLOOKUP(C212,'Cost Library'!$A$5:$D$204,4,FALSE),0)))</f>
        <v/>
      </c>
      <c r="J212" s="9">
        <f>IF($A212="","",IF(F212&lt;&gt;"",F212,IFERROR(VLOOKUP(C212,'Cost Library'!$A$5:$D$204,3,FALSE),"")))</f>
        <v/>
      </c>
      <c r="K212" s="39">
        <f>IF($A212="","",E212*I212)</f>
        <v/>
      </c>
      <c r="L212" s="36" t="n"/>
      <c r="M212" s="39">
        <f>IF($A212="","",K212*(1+N212))</f>
        <v/>
      </c>
      <c r="N212" s="26">
        <f>IF($A212="","",IF(L212="",IFERROR(VLOOKUP(H212,Settings!$A$22:$B$27,2,FALSE),0),L212))</f>
        <v/>
      </c>
      <c r="O212" s="9">
        <f>IF(AND($A212&lt;&gt;"",$A212=Proposal!$I$2),COUNTIF($A$5:$A212,Proposal!$I$2),"")</f>
        <v/>
      </c>
      <c r="P212" s="9">
        <f>IF($A212="","",IF(COUNTIF(Jobs!$A$5:$A$44,$A212)=0,"Unknown Job ID",IF(B212="","Missing cost code",IF(COUNTIF(Settings!$E$5:$E$28,B212)=0,"Unknown cost code",IF(AND(G212="",C212=""),"No unit cost",IF(E212="","Missing qty",""))))))</f>
        <v/>
      </c>
      <c r="Q212" s="35" t="n"/>
    </row>
    <row r="213">
      <c r="A213" s="35" t="n"/>
      <c r="B213" s="35" t="n"/>
      <c r="C213" s="35" t="n"/>
      <c r="D213" s="35" t="n"/>
      <c r="E213" s="35" t="n"/>
      <c r="F213" s="35" t="n"/>
      <c r="G213" s="37" t="n"/>
      <c r="H213" s="9">
        <f>IF(B213="","",IFERROR(VLOOKUP(B213,Settings!$E$5:$G$28,3,FALSE),"Other"))</f>
        <v/>
      </c>
      <c r="I213" s="39">
        <f>IF($A213="","",IF(G213&lt;&gt;"",G213,IFERROR(VLOOKUP(C213,'Cost Library'!$A$5:$D$204,4,FALSE),0)))</f>
        <v/>
      </c>
      <c r="J213" s="9">
        <f>IF($A213="","",IF(F213&lt;&gt;"",F213,IFERROR(VLOOKUP(C213,'Cost Library'!$A$5:$D$204,3,FALSE),"")))</f>
        <v/>
      </c>
      <c r="K213" s="39">
        <f>IF($A213="","",E213*I213)</f>
        <v/>
      </c>
      <c r="L213" s="36" t="n"/>
      <c r="M213" s="39">
        <f>IF($A213="","",K213*(1+N213))</f>
        <v/>
      </c>
      <c r="N213" s="26">
        <f>IF($A213="","",IF(L213="",IFERROR(VLOOKUP(H213,Settings!$A$22:$B$27,2,FALSE),0),L213))</f>
        <v/>
      </c>
      <c r="O213" s="9">
        <f>IF(AND($A213&lt;&gt;"",$A213=Proposal!$I$2),COUNTIF($A$5:$A213,Proposal!$I$2),"")</f>
        <v/>
      </c>
      <c r="P213" s="9">
        <f>IF($A213="","",IF(COUNTIF(Jobs!$A$5:$A$44,$A213)=0,"Unknown Job ID",IF(B213="","Missing cost code",IF(COUNTIF(Settings!$E$5:$E$28,B213)=0,"Unknown cost code",IF(AND(G213="",C213=""),"No unit cost",IF(E213="","Missing qty",""))))))</f>
        <v/>
      </c>
      <c r="Q213" s="35" t="n"/>
    </row>
    <row r="214">
      <c r="A214" s="35" t="n"/>
      <c r="B214" s="35" t="n"/>
      <c r="C214" s="35" t="n"/>
      <c r="D214" s="35" t="n"/>
      <c r="E214" s="35" t="n"/>
      <c r="F214" s="35" t="n"/>
      <c r="G214" s="37" t="n"/>
      <c r="H214" s="9">
        <f>IF(B214="","",IFERROR(VLOOKUP(B214,Settings!$E$5:$G$28,3,FALSE),"Other"))</f>
        <v/>
      </c>
      <c r="I214" s="39">
        <f>IF($A214="","",IF(G214&lt;&gt;"",G214,IFERROR(VLOOKUP(C214,'Cost Library'!$A$5:$D$204,4,FALSE),0)))</f>
        <v/>
      </c>
      <c r="J214" s="9">
        <f>IF($A214="","",IF(F214&lt;&gt;"",F214,IFERROR(VLOOKUP(C214,'Cost Library'!$A$5:$D$204,3,FALSE),"")))</f>
        <v/>
      </c>
      <c r="K214" s="39">
        <f>IF($A214="","",E214*I214)</f>
        <v/>
      </c>
      <c r="L214" s="36" t="n"/>
      <c r="M214" s="39">
        <f>IF($A214="","",K214*(1+N214))</f>
        <v/>
      </c>
      <c r="N214" s="26">
        <f>IF($A214="","",IF(L214="",IFERROR(VLOOKUP(H214,Settings!$A$22:$B$27,2,FALSE),0),L214))</f>
        <v/>
      </c>
      <c r="O214" s="9">
        <f>IF(AND($A214&lt;&gt;"",$A214=Proposal!$I$2),COUNTIF($A$5:$A214,Proposal!$I$2),"")</f>
        <v/>
      </c>
      <c r="P214" s="9">
        <f>IF($A214="","",IF(COUNTIF(Jobs!$A$5:$A$44,$A214)=0,"Unknown Job ID",IF(B214="","Missing cost code",IF(COUNTIF(Settings!$E$5:$E$28,B214)=0,"Unknown cost code",IF(AND(G214="",C214=""),"No unit cost",IF(E214="","Missing qty",""))))))</f>
        <v/>
      </c>
      <c r="Q214" s="35" t="n"/>
    </row>
    <row r="215">
      <c r="A215" s="35" t="n"/>
      <c r="B215" s="35" t="n"/>
      <c r="C215" s="35" t="n"/>
      <c r="D215" s="35" t="n"/>
      <c r="E215" s="35" t="n"/>
      <c r="F215" s="35" t="n"/>
      <c r="G215" s="37" t="n"/>
      <c r="H215" s="9">
        <f>IF(B215="","",IFERROR(VLOOKUP(B215,Settings!$E$5:$G$28,3,FALSE),"Other"))</f>
        <v/>
      </c>
      <c r="I215" s="39">
        <f>IF($A215="","",IF(G215&lt;&gt;"",G215,IFERROR(VLOOKUP(C215,'Cost Library'!$A$5:$D$204,4,FALSE),0)))</f>
        <v/>
      </c>
      <c r="J215" s="9">
        <f>IF($A215="","",IF(F215&lt;&gt;"",F215,IFERROR(VLOOKUP(C215,'Cost Library'!$A$5:$D$204,3,FALSE),"")))</f>
        <v/>
      </c>
      <c r="K215" s="39">
        <f>IF($A215="","",E215*I215)</f>
        <v/>
      </c>
      <c r="L215" s="36" t="n"/>
      <c r="M215" s="39">
        <f>IF($A215="","",K215*(1+N215))</f>
        <v/>
      </c>
      <c r="N215" s="26">
        <f>IF($A215="","",IF(L215="",IFERROR(VLOOKUP(H215,Settings!$A$22:$B$27,2,FALSE),0),L215))</f>
        <v/>
      </c>
      <c r="O215" s="9">
        <f>IF(AND($A215&lt;&gt;"",$A215=Proposal!$I$2),COUNTIF($A$5:$A215,Proposal!$I$2),"")</f>
        <v/>
      </c>
      <c r="P215" s="9">
        <f>IF($A215="","",IF(COUNTIF(Jobs!$A$5:$A$44,$A215)=0,"Unknown Job ID",IF(B215="","Missing cost code",IF(COUNTIF(Settings!$E$5:$E$28,B215)=0,"Unknown cost code",IF(AND(G215="",C215=""),"No unit cost",IF(E215="","Missing qty",""))))))</f>
        <v/>
      </c>
      <c r="Q215" s="35" t="n"/>
    </row>
    <row r="216">
      <c r="A216" s="35" t="n"/>
      <c r="B216" s="35" t="n"/>
      <c r="C216" s="35" t="n"/>
      <c r="D216" s="35" t="n"/>
      <c r="E216" s="35" t="n"/>
      <c r="F216" s="35" t="n"/>
      <c r="G216" s="37" t="n"/>
      <c r="H216" s="9">
        <f>IF(B216="","",IFERROR(VLOOKUP(B216,Settings!$E$5:$G$28,3,FALSE),"Other"))</f>
        <v/>
      </c>
      <c r="I216" s="39">
        <f>IF($A216="","",IF(G216&lt;&gt;"",G216,IFERROR(VLOOKUP(C216,'Cost Library'!$A$5:$D$204,4,FALSE),0)))</f>
        <v/>
      </c>
      <c r="J216" s="9">
        <f>IF($A216="","",IF(F216&lt;&gt;"",F216,IFERROR(VLOOKUP(C216,'Cost Library'!$A$5:$D$204,3,FALSE),"")))</f>
        <v/>
      </c>
      <c r="K216" s="39">
        <f>IF($A216="","",E216*I216)</f>
        <v/>
      </c>
      <c r="L216" s="36" t="n"/>
      <c r="M216" s="39">
        <f>IF($A216="","",K216*(1+N216))</f>
        <v/>
      </c>
      <c r="N216" s="26">
        <f>IF($A216="","",IF(L216="",IFERROR(VLOOKUP(H216,Settings!$A$22:$B$27,2,FALSE),0),L216))</f>
        <v/>
      </c>
      <c r="O216" s="9">
        <f>IF(AND($A216&lt;&gt;"",$A216=Proposal!$I$2),COUNTIF($A$5:$A216,Proposal!$I$2),"")</f>
        <v/>
      </c>
      <c r="P216" s="9">
        <f>IF($A216="","",IF(COUNTIF(Jobs!$A$5:$A$44,$A216)=0,"Unknown Job ID",IF(B216="","Missing cost code",IF(COUNTIF(Settings!$E$5:$E$28,B216)=0,"Unknown cost code",IF(AND(G216="",C216=""),"No unit cost",IF(E216="","Missing qty",""))))))</f>
        <v/>
      </c>
      <c r="Q216" s="35" t="n"/>
    </row>
    <row r="217">
      <c r="A217" s="35" t="n"/>
      <c r="B217" s="35" t="n"/>
      <c r="C217" s="35" t="n"/>
      <c r="D217" s="35" t="n"/>
      <c r="E217" s="35" t="n"/>
      <c r="F217" s="35" t="n"/>
      <c r="G217" s="37" t="n"/>
      <c r="H217" s="9">
        <f>IF(B217="","",IFERROR(VLOOKUP(B217,Settings!$E$5:$G$28,3,FALSE),"Other"))</f>
        <v/>
      </c>
      <c r="I217" s="39">
        <f>IF($A217="","",IF(G217&lt;&gt;"",G217,IFERROR(VLOOKUP(C217,'Cost Library'!$A$5:$D$204,4,FALSE),0)))</f>
        <v/>
      </c>
      <c r="J217" s="9">
        <f>IF($A217="","",IF(F217&lt;&gt;"",F217,IFERROR(VLOOKUP(C217,'Cost Library'!$A$5:$D$204,3,FALSE),"")))</f>
        <v/>
      </c>
      <c r="K217" s="39">
        <f>IF($A217="","",E217*I217)</f>
        <v/>
      </c>
      <c r="L217" s="36" t="n"/>
      <c r="M217" s="39">
        <f>IF($A217="","",K217*(1+N217))</f>
        <v/>
      </c>
      <c r="N217" s="26">
        <f>IF($A217="","",IF(L217="",IFERROR(VLOOKUP(H217,Settings!$A$22:$B$27,2,FALSE),0),L217))</f>
        <v/>
      </c>
      <c r="O217" s="9">
        <f>IF(AND($A217&lt;&gt;"",$A217=Proposal!$I$2),COUNTIF($A$5:$A217,Proposal!$I$2),"")</f>
        <v/>
      </c>
      <c r="P217" s="9">
        <f>IF($A217="","",IF(COUNTIF(Jobs!$A$5:$A$44,$A217)=0,"Unknown Job ID",IF(B217="","Missing cost code",IF(COUNTIF(Settings!$E$5:$E$28,B217)=0,"Unknown cost code",IF(AND(G217="",C217=""),"No unit cost",IF(E217="","Missing qty",""))))))</f>
        <v/>
      </c>
      <c r="Q217" s="35" t="n"/>
    </row>
    <row r="218">
      <c r="A218" s="35" t="n"/>
      <c r="B218" s="35" t="n"/>
      <c r="C218" s="35" t="n"/>
      <c r="D218" s="35" t="n"/>
      <c r="E218" s="35" t="n"/>
      <c r="F218" s="35" t="n"/>
      <c r="G218" s="37" t="n"/>
      <c r="H218" s="9">
        <f>IF(B218="","",IFERROR(VLOOKUP(B218,Settings!$E$5:$G$28,3,FALSE),"Other"))</f>
        <v/>
      </c>
      <c r="I218" s="39">
        <f>IF($A218="","",IF(G218&lt;&gt;"",G218,IFERROR(VLOOKUP(C218,'Cost Library'!$A$5:$D$204,4,FALSE),0)))</f>
        <v/>
      </c>
      <c r="J218" s="9">
        <f>IF($A218="","",IF(F218&lt;&gt;"",F218,IFERROR(VLOOKUP(C218,'Cost Library'!$A$5:$D$204,3,FALSE),"")))</f>
        <v/>
      </c>
      <c r="K218" s="39">
        <f>IF($A218="","",E218*I218)</f>
        <v/>
      </c>
      <c r="L218" s="36" t="n"/>
      <c r="M218" s="39">
        <f>IF($A218="","",K218*(1+N218))</f>
        <v/>
      </c>
      <c r="N218" s="26">
        <f>IF($A218="","",IF(L218="",IFERROR(VLOOKUP(H218,Settings!$A$22:$B$27,2,FALSE),0),L218))</f>
        <v/>
      </c>
      <c r="O218" s="9">
        <f>IF(AND($A218&lt;&gt;"",$A218=Proposal!$I$2),COUNTIF($A$5:$A218,Proposal!$I$2),"")</f>
        <v/>
      </c>
      <c r="P218" s="9">
        <f>IF($A218="","",IF(COUNTIF(Jobs!$A$5:$A$44,$A218)=0,"Unknown Job ID",IF(B218="","Missing cost code",IF(COUNTIF(Settings!$E$5:$E$28,B218)=0,"Unknown cost code",IF(AND(G218="",C218=""),"No unit cost",IF(E218="","Missing qty",""))))))</f>
        <v/>
      </c>
      <c r="Q218" s="35" t="n"/>
    </row>
    <row r="219">
      <c r="A219" s="35" t="n"/>
      <c r="B219" s="35" t="n"/>
      <c r="C219" s="35" t="n"/>
      <c r="D219" s="35" t="n"/>
      <c r="E219" s="35" t="n"/>
      <c r="F219" s="35" t="n"/>
      <c r="G219" s="37" t="n"/>
      <c r="H219" s="9">
        <f>IF(B219="","",IFERROR(VLOOKUP(B219,Settings!$E$5:$G$28,3,FALSE),"Other"))</f>
        <v/>
      </c>
      <c r="I219" s="39">
        <f>IF($A219="","",IF(G219&lt;&gt;"",G219,IFERROR(VLOOKUP(C219,'Cost Library'!$A$5:$D$204,4,FALSE),0)))</f>
        <v/>
      </c>
      <c r="J219" s="9">
        <f>IF($A219="","",IF(F219&lt;&gt;"",F219,IFERROR(VLOOKUP(C219,'Cost Library'!$A$5:$D$204,3,FALSE),"")))</f>
        <v/>
      </c>
      <c r="K219" s="39">
        <f>IF($A219="","",E219*I219)</f>
        <v/>
      </c>
      <c r="L219" s="36" t="n"/>
      <c r="M219" s="39">
        <f>IF($A219="","",K219*(1+N219))</f>
        <v/>
      </c>
      <c r="N219" s="26">
        <f>IF($A219="","",IF(L219="",IFERROR(VLOOKUP(H219,Settings!$A$22:$B$27,2,FALSE),0),L219))</f>
        <v/>
      </c>
      <c r="O219" s="9">
        <f>IF(AND($A219&lt;&gt;"",$A219=Proposal!$I$2),COUNTIF($A$5:$A219,Proposal!$I$2),"")</f>
        <v/>
      </c>
      <c r="P219" s="9">
        <f>IF($A219="","",IF(COUNTIF(Jobs!$A$5:$A$44,$A219)=0,"Unknown Job ID",IF(B219="","Missing cost code",IF(COUNTIF(Settings!$E$5:$E$28,B219)=0,"Unknown cost code",IF(AND(G219="",C219=""),"No unit cost",IF(E219="","Missing qty",""))))))</f>
        <v/>
      </c>
      <c r="Q219" s="35" t="n"/>
    </row>
    <row r="220">
      <c r="A220" s="35" t="n"/>
      <c r="B220" s="35" t="n"/>
      <c r="C220" s="35" t="n"/>
      <c r="D220" s="35" t="n"/>
      <c r="E220" s="35" t="n"/>
      <c r="F220" s="35" t="n"/>
      <c r="G220" s="37" t="n"/>
      <c r="H220" s="9">
        <f>IF(B220="","",IFERROR(VLOOKUP(B220,Settings!$E$5:$G$28,3,FALSE),"Other"))</f>
        <v/>
      </c>
      <c r="I220" s="39">
        <f>IF($A220="","",IF(G220&lt;&gt;"",G220,IFERROR(VLOOKUP(C220,'Cost Library'!$A$5:$D$204,4,FALSE),0)))</f>
        <v/>
      </c>
      <c r="J220" s="9">
        <f>IF($A220="","",IF(F220&lt;&gt;"",F220,IFERROR(VLOOKUP(C220,'Cost Library'!$A$5:$D$204,3,FALSE),"")))</f>
        <v/>
      </c>
      <c r="K220" s="39">
        <f>IF($A220="","",E220*I220)</f>
        <v/>
      </c>
      <c r="L220" s="36" t="n"/>
      <c r="M220" s="39">
        <f>IF($A220="","",K220*(1+N220))</f>
        <v/>
      </c>
      <c r="N220" s="26">
        <f>IF($A220="","",IF(L220="",IFERROR(VLOOKUP(H220,Settings!$A$22:$B$27,2,FALSE),0),L220))</f>
        <v/>
      </c>
      <c r="O220" s="9">
        <f>IF(AND($A220&lt;&gt;"",$A220=Proposal!$I$2),COUNTIF($A$5:$A220,Proposal!$I$2),"")</f>
        <v/>
      </c>
      <c r="P220" s="9">
        <f>IF($A220="","",IF(COUNTIF(Jobs!$A$5:$A$44,$A220)=0,"Unknown Job ID",IF(B220="","Missing cost code",IF(COUNTIF(Settings!$E$5:$E$28,B220)=0,"Unknown cost code",IF(AND(G220="",C220=""),"No unit cost",IF(E220="","Missing qty",""))))))</f>
        <v/>
      </c>
      <c r="Q220" s="35" t="n"/>
    </row>
    <row r="221">
      <c r="A221" s="35" t="n"/>
      <c r="B221" s="35" t="n"/>
      <c r="C221" s="35" t="n"/>
      <c r="D221" s="35" t="n"/>
      <c r="E221" s="35" t="n"/>
      <c r="F221" s="35" t="n"/>
      <c r="G221" s="37" t="n"/>
      <c r="H221" s="9">
        <f>IF(B221="","",IFERROR(VLOOKUP(B221,Settings!$E$5:$G$28,3,FALSE),"Other"))</f>
        <v/>
      </c>
      <c r="I221" s="39">
        <f>IF($A221="","",IF(G221&lt;&gt;"",G221,IFERROR(VLOOKUP(C221,'Cost Library'!$A$5:$D$204,4,FALSE),0)))</f>
        <v/>
      </c>
      <c r="J221" s="9">
        <f>IF($A221="","",IF(F221&lt;&gt;"",F221,IFERROR(VLOOKUP(C221,'Cost Library'!$A$5:$D$204,3,FALSE),"")))</f>
        <v/>
      </c>
      <c r="K221" s="39">
        <f>IF($A221="","",E221*I221)</f>
        <v/>
      </c>
      <c r="L221" s="36" t="n"/>
      <c r="M221" s="39">
        <f>IF($A221="","",K221*(1+N221))</f>
        <v/>
      </c>
      <c r="N221" s="26">
        <f>IF($A221="","",IF(L221="",IFERROR(VLOOKUP(H221,Settings!$A$22:$B$27,2,FALSE),0),L221))</f>
        <v/>
      </c>
      <c r="O221" s="9">
        <f>IF(AND($A221&lt;&gt;"",$A221=Proposal!$I$2),COUNTIF($A$5:$A221,Proposal!$I$2),"")</f>
        <v/>
      </c>
      <c r="P221" s="9">
        <f>IF($A221="","",IF(COUNTIF(Jobs!$A$5:$A$44,$A221)=0,"Unknown Job ID",IF(B221="","Missing cost code",IF(COUNTIF(Settings!$E$5:$E$28,B221)=0,"Unknown cost code",IF(AND(G221="",C221=""),"No unit cost",IF(E221="","Missing qty",""))))))</f>
        <v/>
      </c>
      <c r="Q221" s="35" t="n"/>
    </row>
    <row r="222">
      <c r="A222" s="35" t="n"/>
      <c r="B222" s="35" t="n"/>
      <c r="C222" s="35" t="n"/>
      <c r="D222" s="35" t="n"/>
      <c r="E222" s="35" t="n"/>
      <c r="F222" s="35" t="n"/>
      <c r="G222" s="37" t="n"/>
      <c r="H222" s="9">
        <f>IF(B222="","",IFERROR(VLOOKUP(B222,Settings!$E$5:$G$28,3,FALSE),"Other"))</f>
        <v/>
      </c>
      <c r="I222" s="39">
        <f>IF($A222="","",IF(G222&lt;&gt;"",G222,IFERROR(VLOOKUP(C222,'Cost Library'!$A$5:$D$204,4,FALSE),0)))</f>
        <v/>
      </c>
      <c r="J222" s="9">
        <f>IF($A222="","",IF(F222&lt;&gt;"",F222,IFERROR(VLOOKUP(C222,'Cost Library'!$A$5:$D$204,3,FALSE),"")))</f>
        <v/>
      </c>
      <c r="K222" s="39">
        <f>IF($A222="","",E222*I222)</f>
        <v/>
      </c>
      <c r="L222" s="36" t="n"/>
      <c r="M222" s="39">
        <f>IF($A222="","",K222*(1+N222))</f>
        <v/>
      </c>
      <c r="N222" s="26">
        <f>IF($A222="","",IF(L222="",IFERROR(VLOOKUP(H222,Settings!$A$22:$B$27,2,FALSE),0),L222))</f>
        <v/>
      </c>
      <c r="O222" s="9">
        <f>IF(AND($A222&lt;&gt;"",$A222=Proposal!$I$2),COUNTIF($A$5:$A222,Proposal!$I$2),"")</f>
        <v/>
      </c>
      <c r="P222" s="9">
        <f>IF($A222="","",IF(COUNTIF(Jobs!$A$5:$A$44,$A222)=0,"Unknown Job ID",IF(B222="","Missing cost code",IF(COUNTIF(Settings!$E$5:$E$28,B222)=0,"Unknown cost code",IF(AND(G222="",C222=""),"No unit cost",IF(E222="","Missing qty",""))))))</f>
        <v/>
      </c>
      <c r="Q222" s="35" t="n"/>
    </row>
    <row r="223">
      <c r="A223" s="35" t="n"/>
      <c r="B223" s="35" t="n"/>
      <c r="C223" s="35" t="n"/>
      <c r="D223" s="35" t="n"/>
      <c r="E223" s="35" t="n"/>
      <c r="F223" s="35" t="n"/>
      <c r="G223" s="37" t="n"/>
      <c r="H223" s="9">
        <f>IF(B223="","",IFERROR(VLOOKUP(B223,Settings!$E$5:$G$28,3,FALSE),"Other"))</f>
        <v/>
      </c>
      <c r="I223" s="39">
        <f>IF($A223="","",IF(G223&lt;&gt;"",G223,IFERROR(VLOOKUP(C223,'Cost Library'!$A$5:$D$204,4,FALSE),0)))</f>
        <v/>
      </c>
      <c r="J223" s="9">
        <f>IF($A223="","",IF(F223&lt;&gt;"",F223,IFERROR(VLOOKUP(C223,'Cost Library'!$A$5:$D$204,3,FALSE),"")))</f>
        <v/>
      </c>
      <c r="K223" s="39">
        <f>IF($A223="","",E223*I223)</f>
        <v/>
      </c>
      <c r="L223" s="36" t="n"/>
      <c r="M223" s="39">
        <f>IF($A223="","",K223*(1+N223))</f>
        <v/>
      </c>
      <c r="N223" s="26">
        <f>IF($A223="","",IF(L223="",IFERROR(VLOOKUP(H223,Settings!$A$22:$B$27,2,FALSE),0),L223))</f>
        <v/>
      </c>
      <c r="O223" s="9">
        <f>IF(AND($A223&lt;&gt;"",$A223=Proposal!$I$2),COUNTIF($A$5:$A223,Proposal!$I$2),"")</f>
        <v/>
      </c>
      <c r="P223" s="9">
        <f>IF($A223="","",IF(COUNTIF(Jobs!$A$5:$A$44,$A223)=0,"Unknown Job ID",IF(B223="","Missing cost code",IF(COUNTIF(Settings!$E$5:$E$28,B223)=0,"Unknown cost code",IF(AND(G223="",C223=""),"No unit cost",IF(E223="","Missing qty",""))))))</f>
        <v/>
      </c>
      <c r="Q223" s="35" t="n"/>
    </row>
    <row r="224">
      <c r="A224" s="35" t="n"/>
      <c r="B224" s="35" t="n"/>
      <c r="C224" s="35" t="n"/>
      <c r="D224" s="35" t="n"/>
      <c r="E224" s="35" t="n"/>
      <c r="F224" s="35" t="n"/>
      <c r="G224" s="37" t="n"/>
      <c r="H224" s="9">
        <f>IF(B224="","",IFERROR(VLOOKUP(B224,Settings!$E$5:$G$28,3,FALSE),"Other"))</f>
        <v/>
      </c>
      <c r="I224" s="39">
        <f>IF($A224="","",IF(G224&lt;&gt;"",G224,IFERROR(VLOOKUP(C224,'Cost Library'!$A$5:$D$204,4,FALSE),0)))</f>
        <v/>
      </c>
      <c r="J224" s="9">
        <f>IF($A224="","",IF(F224&lt;&gt;"",F224,IFERROR(VLOOKUP(C224,'Cost Library'!$A$5:$D$204,3,FALSE),"")))</f>
        <v/>
      </c>
      <c r="K224" s="39">
        <f>IF($A224="","",E224*I224)</f>
        <v/>
      </c>
      <c r="L224" s="36" t="n"/>
      <c r="M224" s="39">
        <f>IF($A224="","",K224*(1+N224))</f>
        <v/>
      </c>
      <c r="N224" s="26">
        <f>IF($A224="","",IF(L224="",IFERROR(VLOOKUP(H224,Settings!$A$22:$B$27,2,FALSE),0),L224))</f>
        <v/>
      </c>
      <c r="O224" s="9">
        <f>IF(AND($A224&lt;&gt;"",$A224=Proposal!$I$2),COUNTIF($A$5:$A224,Proposal!$I$2),"")</f>
        <v/>
      </c>
      <c r="P224" s="9">
        <f>IF($A224="","",IF(COUNTIF(Jobs!$A$5:$A$44,$A224)=0,"Unknown Job ID",IF(B224="","Missing cost code",IF(COUNTIF(Settings!$E$5:$E$28,B224)=0,"Unknown cost code",IF(AND(G224="",C224=""),"No unit cost",IF(E224="","Missing qty",""))))))</f>
        <v/>
      </c>
      <c r="Q224" s="35" t="n"/>
    </row>
    <row r="225">
      <c r="A225" s="35" t="n"/>
      <c r="B225" s="35" t="n"/>
      <c r="C225" s="35" t="n"/>
      <c r="D225" s="35" t="n"/>
      <c r="E225" s="35" t="n"/>
      <c r="F225" s="35" t="n"/>
      <c r="G225" s="37" t="n"/>
      <c r="H225" s="9">
        <f>IF(B225="","",IFERROR(VLOOKUP(B225,Settings!$E$5:$G$28,3,FALSE),"Other"))</f>
        <v/>
      </c>
      <c r="I225" s="39">
        <f>IF($A225="","",IF(G225&lt;&gt;"",G225,IFERROR(VLOOKUP(C225,'Cost Library'!$A$5:$D$204,4,FALSE),0)))</f>
        <v/>
      </c>
      <c r="J225" s="9">
        <f>IF($A225="","",IF(F225&lt;&gt;"",F225,IFERROR(VLOOKUP(C225,'Cost Library'!$A$5:$D$204,3,FALSE),"")))</f>
        <v/>
      </c>
      <c r="K225" s="39">
        <f>IF($A225="","",E225*I225)</f>
        <v/>
      </c>
      <c r="L225" s="36" t="n"/>
      <c r="M225" s="39">
        <f>IF($A225="","",K225*(1+N225))</f>
        <v/>
      </c>
      <c r="N225" s="26">
        <f>IF($A225="","",IF(L225="",IFERROR(VLOOKUP(H225,Settings!$A$22:$B$27,2,FALSE),0),L225))</f>
        <v/>
      </c>
      <c r="O225" s="9">
        <f>IF(AND($A225&lt;&gt;"",$A225=Proposal!$I$2),COUNTIF($A$5:$A225,Proposal!$I$2),"")</f>
        <v/>
      </c>
      <c r="P225" s="9">
        <f>IF($A225="","",IF(COUNTIF(Jobs!$A$5:$A$44,$A225)=0,"Unknown Job ID",IF(B225="","Missing cost code",IF(COUNTIF(Settings!$E$5:$E$28,B225)=0,"Unknown cost code",IF(AND(G225="",C225=""),"No unit cost",IF(E225="","Missing qty",""))))))</f>
        <v/>
      </c>
      <c r="Q225" s="35" t="n"/>
    </row>
    <row r="226">
      <c r="A226" s="35" t="n"/>
      <c r="B226" s="35" t="n"/>
      <c r="C226" s="35" t="n"/>
      <c r="D226" s="35" t="n"/>
      <c r="E226" s="35" t="n"/>
      <c r="F226" s="35" t="n"/>
      <c r="G226" s="37" t="n"/>
      <c r="H226" s="9">
        <f>IF(B226="","",IFERROR(VLOOKUP(B226,Settings!$E$5:$G$28,3,FALSE),"Other"))</f>
        <v/>
      </c>
      <c r="I226" s="39">
        <f>IF($A226="","",IF(G226&lt;&gt;"",G226,IFERROR(VLOOKUP(C226,'Cost Library'!$A$5:$D$204,4,FALSE),0)))</f>
        <v/>
      </c>
      <c r="J226" s="9">
        <f>IF($A226="","",IF(F226&lt;&gt;"",F226,IFERROR(VLOOKUP(C226,'Cost Library'!$A$5:$D$204,3,FALSE),"")))</f>
        <v/>
      </c>
      <c r="K226" s="39">
        <f>IF($A226="","",E226*I226)</f>
        <v/>
      </c>
      <c r="L226" s="36" t="n"/>
      <c r="M226" s="39">
        <f>IF($A226="","",K226*(1+N226))</f>
        <v/>
      </c>
      <c r="N226" s="26">
        <f>IF($A226="","",IF(L226="",IFERROR(VLOOKUP(H226,Settings!$A$22:$B$27,2,FALSE),0),L226))</f>
        <v/>
      </c>
      <c r="O226" s="9">
        <f>IF(AND($A226&lt;&gt;"",$A226=Proposal!$I$2),COUNTIF($A$5:$A226,Proposal!$I$2),"")</f>
        <v/>
      </c>
      <c r="P226" s="9">
        <f>IF($A226="","",IF(COUNTIF(Jobs!$A$5:$A$44,$A226)=0,"Unknown Job ID",IF(B226="","Missing cost code",IF(COUNTIF(Settings!$E$5:$E$28,B226)=0,"Unknown cost code",IF(AND(G226="",C226=""),"No unit cost",IF(E226="","Missing qty",""))))))</f>
        <v/>
      </c>
      <c r="Q226" s="35" t="n"/>
    </row>
    <row r="227">
      <c r="A227" s="35" t="n"/>
      <c r="B227" s="35" t="n"/>
      <c r="C227" s="35" t="n"/>
      <c r="D227" s="35" t="n"/>
      <c r="E227" s="35" t="n"/>
      <c r="F227" s="35" t="n"/>
      <c r="G227" s="37" t="n"/>
      <c r="H227" s="9">
        <f>IF(B227="","",IFERROR(VLOOKUP(B227,Settings!$E$5:$G$28,3,FALSE),"Other"))</f>
        <v/>
      </c>
      <c r="I227" s="39">
        <f>IF($A227="","",IF(G227&lt;&gt;"",G227,IFERROR(VLOOKUP(C227,'Cost Library'!$A$5:$D$204,4,FALSE),0)))</f>
        <v/>
      </c>
      <c r="J227" s="9">
        <f>IF($A227="","",IF(F227&lt;&gt;"",F227,IFERROR(VLOOKUP(C227,'Cost Library'!$A$5:$D$204,3,FALSE),"")))</f>
        <v/>
      </c>
      <c r="K227" s="39">
        <f>IF($A227="","",E227*I227)</f>
        <v/>
      </c>
      <c r="L227" s="36" t="n"/>
      <c r="M227" s="39">
        <f>IF($A227="","",K227*(1+N227))</f>
        <v/>
      </c>
      <c r="N227" s="26">
        <f>IF($A227="","",IF(L227="",IFERROR(VLOOKUP(H227,Settings!$A$22:$B$27,2,FALSE),0),L227))</f>
        <v/>
      </c>
      <c r="O227" s="9">
        <f>IF(AND($A227&lt;&gt;"",$A227=Proposal!$I$2),COUNTIF($A$5:$A227,Proposal!$I$2),"")</f>
        <v/>
      </c>
      <c r="P227" s="9">
        <f>IF($A227="","",IF(COUNTIF(Jobs!$A$5:$A$44,$A227)=0,"Unknown Job ID",IF(B227="","Missing cost code",IF(COUNTIF(Settings!$E$5:$E$28,B227)=0,"Unknown cost code",IF(AND(G227="",C227=""),"No unit cost",IF(E227="","Missing qty",""))))))</f>
        <v/>
      </c>
      <c r="Q227" s="35" t="n"/>
    </row>
    <row r="228">
      <c r="A228" s="35" t="n"/>
      <c r="B228" s="35" t="n"/>
      <c r="C228" s="35" t="n"/>
      <c r="D228" s="35" t="n"/>
      <c r="E228" s="35" t="n"/>
      <c r="F228" s="35" t="n"/>
      <c r="G228" s="37" t="n"/>
      <c r="H228" s="9">
        <f>IF(B228="","",IFERROR(VLOOKUP(B228,Settings!$E$5:$G$28,3,FALSE),"Other"))</f>
        <v/>
      </c>
      <c r="I228" s="39">
        <f>IF($A228="","",IF(G228&lt;&gt;"",G228,IFERROR(VLOOKUP(C228,'Cost Library'!$A$5:$D$204,4,FALSE),0)))</f>
        <v/>
      </c>
      <c r="J228" s="9">
        <f>IF($A228="","",IF(F228&lt;&gt;"",F228,IFERROR(VLOOKUP(C228,'Cost Library'!$A$5:$D$204,3,FALSE),"")))</f>
        <v/>
      </c>
      <c r="K228" s="39">
        <f>IF($A228="","",E228*I228)</f>
        <v/>
      </c>
      <c r="L228" s="36" t="n"/>
      <c r="M228" s="39">
        <f>IF($A228="","",K228*(1+N228))</f>
        <v/>
      </c>
      <c r="N228" s="26">
        <f>IF($A228="","",IF(L228="",IFERROR(VLOOKUP(H228,Settings!$A$22:$B$27,2,FALSE),0),L228))</f>
        <v/>
      </c>
      <c r="O228" s="9">
        <f>IF(AND($A228&lt;&gt;"",$A228=Proposal!$I$2),COUNTIF($A$5:$A228,Proposal!$I$2),"")</f>
        <v/>
      </c>
      <c r="P228" s="9">
        <f>IF($A228="","",IF(COUNTIF(Jobs!$A$5:$A$44,$A228)=0,"Unknown Job ID",IF(B228="","Missing cost code",IF(COUNTIF(Settings!$E$5:$E$28,B228)=0,"Unknown cost code",IF(AND(G228="",C228=""),"No unit cost",IF(E228="","Missing qty",""))))))</f>
        <v/>
      </c>
      <c r="Q228" s="35" t="n"/>
    </row>
    <row r="229">
      <c r="A229" s="35" t="n"/>
      <c r="B229" s="35" t="n"/>
      <c r="C229" s="35" t="n"/>
      <c r="D229" s="35" t="n"/>
      <c r="E229" s="35" t="n"/>
      <c r="F229" s="35" t="n"/>
      <c r="G229" s="37" t="n"/>
      <c r="H229" s="9">
        <f>IF(B229="","",IFERROR(VLOOKUP(B229,Settings!$E$5:$G$28,3,FALSE),"Other"))</f>
        <v/>
      </c>
      <c r="I229" s="39">
        <f>IF($A229="","",IF(G229&lt;&gt;"",G229,IFERROR(VLOOKUP(C229,'Cost Library'!$A$5:$D$204,4,FALSE),0)))</f>
        <v/>
      </c>
      <c r="J229" s="9">
        <f>IF($A229="","",IF(F229&lt;&gt;"",F229,IFERROR(VLOOKUP(C229,'Cost Library'!$A$5:$D$204,3,FALSE),"")))</f>
        <v/>
      </c>
      <c r="K229" s="39">
        <f>IF($A229="","",E229*I229)</f>
        <v/>
      </c>
      <c r="L229" s="36" t="n"/>
      <c r="M229" s="39">
        <f>IF($A229="","",K229*(1+N229))</f>
        <v/>
      </c>
      <c r="N229" s="26">
        <f>IF($A229="","",IF(L229="",IFERROR(VLOOKUP(H229,Settings!$A$22:$B$27,2,FALSE),0),L229))</f>
        <v/>
      </c>
      <c r="O229" s="9">
        <f>IF(AND($A229&lt;&gt;"",$A229=Proposal!$I$2),COUNTIF($A$5:$A229,Proposal!$I$2),"")</f>
        <v/>
      </c>
      <c r="P229" s="9">
        <f>IF($A229="","",IF(COUNTIF(Jobs!$A$5:$A$44,$A229)=0,"Unknown Job ID",IF(B229="","Missing cost code",IF(COUNTIF(Settings!$E$5:$E$28,B229)=0,"Unknown cost code",IF(AND(G229="",C229=""),"No unit cost",IF(E229="","Missing qty",""))))))</f>
        <v/>
      </c>
      <c r="Q229" s="35" t="n"/>
    </row>
    <row r="230">
      <c r="A230" s="35" t="n"/>
      <c r="B230" s="35" t="n"/>
      <c r="C230" s="35" t="n"/>
      <c r="D230" s="35" t="n"/>
      <c r="E230" s="35" t="n"/>
      <c r="F230" s="35" t="n"/>
      <c r="G230" s="37" t="n"/>
      <c r="H230" s="9">
        <f>IF(B230="","",IFERROR(VLOOKUP(B230,Settings!$E$5:$G$28,3,FALSE),"Other"))</f>
        <v/>
      </c>
      <c r="I230" s="39">
        <f>IF($A230="","",IF(G230&lt;&gt;"",G230,IFERROR(VLOOKUP(C230,'Cost Library'!$A$5:$D$204,4,FALSE),0)))</f>
        <v/>
      </c>
      <c r="J230" s="9">
        <f>IF($A230="","",IF(F230&lt;&gt;"",F230,IFERROR(VLOOKUP(C230,'Cost Library'!$A$5:$D$204,3,FALSE),"")))</f>
        <v/>
      </c>
      <c r="K230" s="39">
        <f>IF($A230="","",E230*I230)</f>
        <v/>
      </c>
      <c r="L230" s="36" t="n"/>
      <c r="M230" s="39">
        <f>IF($A230="","",K230*(1+N230))</f>
        <v/>
      </c>
      <c r="N230" s="26">
        <f>IF($A230="","",IF(L230="",IFERROR(VLOOKUP(H230,Settings!$A$22:$B$27,2,FALSE),0),L230))</f>
        <v/>
      </c>
      <c r="O230" s="9">
        <f>IF(AND($A230&lt;&gt;"",$A230=Proposal!$I$2),COUNTIF($A$5:$A230,Proposal!$I$2),"")</f>
        <v/>
      </c>
      <c r="P230" s="9">
        <f>IF($A230="","",IF(COUNTIF(Jobs!$A$5:$A$44,$A230)=0,"Unknown Job ID",IF(B230="","Missing cost code",IF(COUNTIF(Settings!$E$5:$E$28,B230)=0,"Unknown cost code",IF(AND(G230="",C230=""),"No unit cost",IF(E230="","Missing qty",""))))))</f>
        <v/>
      </c>
      <c r="Q230" s="35" t="n"/>
    </row>
    <row r="231">
      <c r="A231" s="35" t="n"/>
      <c r="B231" s="35" t="n"/>
      <c r="C231" s="35" t="n"/>
      <c r="D231" s="35" t="n"/>
      <c r="E231" s="35" t="n"/>
      <c r="F231" s="35" t="n"/>
      <c r="G231" s="37" t="n"/>
      <c r="H231" s="9">
        <f>IF(B231="","",IFERROR(VLOOKUP(B231,Settings!$E$5:$G$28,3,FALSE),"Other"))</f>
        <v/>
      </c>
      <c r="I231" s="39">
        <f>IF($A231="","",IF(G231&lt;&gt;"",G231,IFERROR(VLOOKUP(C231,'Cost Library'!$A$5:$D$204,4,FALSE),0)))</f>
        <v/>
      </c>
      <c r="J231" s="9">
        <f>IF($A231="","",IF(F231&lt;&gt;"",F231,IFERROR(VLOOKUP(C231,'Cost Library'!$A$5:$D$204,3,FALSE),"")))</f>
        <v/>
      </c>
      <c r="K231" s="39">
        <f>IF($A231="","",E231*I231)</f>
        <v/>
      </c>
      <c r="L231" s="36" t="n"/>
      <c r="M231" s="39">
        <f>IF($A231="","",K231*(1+N231))</f>
        <v/>
      </c>
      <c r="N231" s="26">
        <f>IF($A231="","",IF(L231="",IFERROR(VLOOKUP(H231,Settings!$A$22:$B$27,2,FALSE),0),L231))</f>
        <v/>
      </c>
      <c r="O231" s="9">
        <f>IF(AND($A231&lt;&gt;"",$A231=Proposal!$I$2),COUNTIF($A$5:$A231,Proposal!$I$2),"")</f>
        <v/>
      </c>
      <c r="P231" s="9">
        <f>IF($A231="","",IF(COUNTIF(Jobs!$A$5:$A$44,$A231)=0,"Unknown Job ID",IF(B231="","Missing cost code",IF(COUNTIF(Settings!$E$5:$E$28,B231)=0,"Unknown cost code",IF(AND(G231="",C231=""),"No unit cost",IF(E231="","Missing qty",""))))))</f>
        <v/>
      </c>
      <c r="Q231" s="35" t="n"/>
    </row>
    <row r="232">
      <c r="A232" s="35" t="n"/>
      <c r="B232" s="35" t="n"/>
      <c r="C232" s="35" t="n"/>
      <c r="D232" s="35" t="n"/>
      <c r="E232" s="35" t="n"/>
      <c r="F232" s="35" t="n"/>
      <c r="G232" s="37" t="n"/>
      <c r="H232" s="9">
        <f>IF(B232="","",IFERROR(VLOOKUP(B232,Settings!$E$5:$G$28,3,FALSE),"Other"))</f>
        <v/>
      </c>
      <c r="I232" s="39">
        <f>IF($A232="","",IF(G232&lt;&gt;"",G232,IFERROR(VLOOKUP(C232,'Cost Library'!$A$5:$D$204,4,FALSE),0)))</f>
        <v/>
      </c>
      <c r="J232" s="9">
        <f>IF($A232="","",IF(F232&lt;&gt;"",F232,IFERROR(VLOOKUP(C232,'Cost Library'!$A$5:$D$204,3,FALSE),"")))</f>
        <v/>
      </c>
      <c r="K232" s="39">
        <f>IF($A232="","",E232*I232)</f>
        <v/>
      </c>
      <c r="L232" s="36" t="n"/>
      <c r="M232" s="39">
        <f>IF($A232="","",K232*(1+N232))</f>
        <v/>
      </c>
      <c r="N232" s="26">
        <f>IF($A232="","",IF(L232="",IFERROR(VLOOKUP(H232,Settings!$A$22:$B$27,2,FALSE),0),L232))</f>
        <v/>
      </c>
      <c r="O232" s="9">
        <f>IF(AND($A232&lt;&gt;"",$A232=Proposal!$I$2),COUNTIF($A$5:$A232,Proposal!$I$2),"")</f>
        <v/>
      </c>
      <c r="P232" s="9">
        <f>IF($A232="","",IF(COUNTIF(Jobs!$A$5:$A$44,$A232)=0,"Unknown Job ID",IF(B232="","Missing cost code",IF(COUNTIF(Settings!$E$5:$E$28,B232)=0,"Unknown cost code",IF(AND(G232="",C232=""),"No unit cost",IF(E232="","Missing qty",""))))))</f>
        <v/>
      </c>
      <c r="Q232" s="35" t="n"/>
    </row>
    <row r="233">
      <c r="A233" s="35" t="n"/>
      <c r="B233" s="35" t="n"/>
      <c r="C233" s="35" t="n"/>
      <c r="D233" s="35" t="n"/>
      <c r="E233" s="35" t="n"/>
      <c r="F233" s="35" t="n"/>
      <c r="G233" s="37" t="n"/>
      <c r="H233" s="9">
        <f>IF(B233="","",IFERROR(VLOOKUP(B233,Settings!$E$5:$G$28,3,FALSE),"Other"))</f>
        <v/>
      </c>
      <c r="I233" s="39">
        <f>IF($A233="","",IF(G233&lt;&gt;"",G233,IFERROR(VLOOKUP(C233,'Cost Library'!$A$5:$D$204,4,FALSE),0)))</f>
        <v/>
      </c>
      <c r="J233" s="9">
        <f>IF($A233="","",IF(F233&lt;&gt;"",F233,IFERROR(VLOOKUP(C233,'Cost Library'!$A$5:$D$204,3,FALSE),"")))</f>
        <v/>
      </c>
      <c r="K233" s="39">
        <f>IF($A233="","",E233*I233)</f>
        <v/>
      </c>
      <c r="L233" s="36" t="n"/>
      <c r="M233" s="39">
        <f>IF($A233="","",K233*(1+N233))</f>
        <v/>
      </c>
      <c r="N233" s="26">
        <f>IF($A233="","",IF(L233="",IFERROR(VLOOKUP(H233,Settings!$A$22:$B$27,2,FALSE),0),L233))</f>
        <v/>
      </c>
      <c r="O233" s="9">
        <f>IF(AND($A233&lt;&gt;"",$A233=Proposal!$I$2),COUNTIF($A$5:$A233,Proposal!$I$2),"")</f>
        <v/>
      </c>
      <c r="P233" s="9">
        <f>IF($A233="","",IF(COUNTIF(Jobs!$A$5:$A$44,$A233)=0,"Unknown Job ID",IF(B233="","Missing cost code",IF(COUNTIF(Settings!$E$5:$E$28,B233)=0,"Unknown cost code",IF(AND(G233="",C233=""),"No unit cost",IF(E233="","Missing qty",""))))))</f>
        <v/>
      </c>
      <c r="Q233" s="35" t="n"/>
    </row>
    <row r="234">
      <c r="A234" s="35" t="n"/>
      <c r="B234" s="35" t="n"/>
      <c r="C234" s="35" t="n"/>
      <c r="D234" s="35" t="n"/>
      <c r="E234" s="35" t="n"/>
      <c r="F234" s="35" t="n"/>
      <c r="G234" s="37" t="n"/>
      <c r="H234" s="9">
        <f>IF(B234="","",IFERROR(VLOOKUP(B234,Settings!$E$5:$G$28,3,FALSE),"Other"))</f>
        <v/>
      </c>
      <c r="I234" s="39">
        <f>IF($A234="","",IF(G234&lt;&gt;"",G234,IFERROR(VLOOKUP(C234,'Cost Library'!$A$5:$D$204,4,FALSE),0)))</f>
        <v/>
      </c>
      <c r="J234" s="9">
        <f>IF($A234="","",IF(F234&lt;&gt;"",F234,IFERROR(VLOOKUP(C234,'Cost Library'!$A$5:$D$204,3,FALSE),"")))</f>
        <v/>
      </c>
      <c r="K234" s="39">
        <f>IF($A234="","",E234*I234)</f>
        <v/>
      </c>
      <c r="L234" s="36" t="n"/>
      <c r="M234" s="39">
        <f>IF($A234="","",K234*(1+N234))</f>
        <v/>
      </c>
      <c r="N234" s="26">
        <f>IF($A234="","",IF(L234="",IFERROR(VLOOKUP(H234,Settings!$A$22:$B$27,2,FALSE),0),L234))</f>
        <v/>
      </c>
      <c r="O234" s="9">
        <f>IF(AND($A234&lt;&gt;"",$A234=Proposal!$I$2),COUNTIF($A$5:$A234,Proposal!$I$2),"")</f>
        <v/>
      </c>
      <c r="P234" s="9">
        <f>IF($A234="","",IF(COUNTIF(Jobs!$A$5:$A$44,$A234)=0,"Unknown Job ID",IF(B234="","Missing cost code",IF(COUNTIF(Settings!$E$5:$E$28,B234)=0,"Unknown cost code",IF(AND(G234="",C234=""),"No unit cost",IF(E234="","Missing qty",""))))))</f>
        <v/>
      </c>
      <c r="Q234" s="35" t="n"/>
    </row>
    <row r="235">
      <c r="A235" s="35" t="n"/>
      <c r="B235" s="35" t="n"/>
      <c r="C235" s="35" t="n"/>
      <c r="D235" s="35" t="n"/>
      <c r="E235" s="35" t="n"/>
      <c r="F235" s="35" t="n"/>
      <c r="G235" s="37" t="n"/>
      <c r="H235" s="9">
        <f>IF(B235="","",IFERROR(VLOOKUP(B235,Settings!$E$5:$G$28,3,FALSE),"Other"))</f>
        <v/>
      </c>
      <c r="I235" s="39">
        <f>IF($A235="","",IF(G235&lt;&gt;"",G235,IFERROR(VLOOKUP(C235,'Cost Library'!$A$5:$D$204,4,FALSE),0)))</f>
        <v/>
      </c>
      <c r="J235" s="9">
        <f>IF($A235="","",IF(F235&lt;&gt;"",F235,IFERROR(VLOOKUP(C235,'Cost Library'!$A$5:$D$204,3,FALSE),"")))</f>
        <v/>
      </c>
      <c r="K235" s="39">
        <f>IF($A235="","",E235*I235)</f>
        <v/>
      </c>
      <c r="L235" s="36" t="n"/>
      <c r="M235" s="39">
        <f>IF($A235="","",K235*(1+N235))</f>
        <v/>
      </c>
      <c r="N235" s="26">
        <f>IF($A235="","",IF(L235="",IFERROR(VLOOKUP(H235,Settings!$A$22:$B$27,2,FALSE),0),L235))</f>
        <v/>
      </c>
      <c r="O235" s="9">
        <f>IF(AND($A235&lt;&gt;"",$A235=Proposal!$I$2),COUNTIF($A$5:$A235,Proposal!$I$2),"")</f>
        <v/>
      </c>
      <c r="P235" s="9">
        <f>IF($A235="","",IF(COUNTIF(Jobs!$A$5:$A$44,$A235)=0,"Unknown Job ID",IF(B235="","Missing cost code",IF(COUNTIF(Settings!$E$5:$E$28,B235)=0,"Unknown cost code",IF(AND(G235="",C235=""),"No unit cost",IF(E235="","Missing qty",""))))))</f>
        <v/>
      </c>
      <c r="Q235" s="35" t="n"/>
    </row>
    <row r="236">
      <c r="A236" s="35" t="n"/>
      <c r="B236" s="35" t="n"/>
      <c r="C236" s="35" t="n"/>
      <c r="D236" s="35" t="n"/>
      <c r="E236" s="35" t="n"/>
      <c r="F236" s="35" t="n"/>
      <c r="G236" s="37" t="n"/>
      <c r="H236" s="9">
        <f>IF(B236="","",IFERROR(VLOOKUP(B236,Settings!$E$5:$G$28,3,FALSE),"Other"))</f>
        <v/>
      </c>
      <c r="I236" s="39">
        <f>IF($A236="","",IF(G236&lt;&gt;"",G236,IFERROR(VLOOKUP(C236,'Cost Library'!$A$5:$D$204,4,FALSE),0)))</f>
        <v/>
      </c>
      <c r="J236" s="9">
        <f>IF($A236="","",IF(F236&lt;&gt;"",F236,IFERROR(VLOOKUP(C236,'Cost Library'!$A$5:$D$204,3,FALSE),"")))</f>
        <v/>
      </c>
      <c r="K236" s="39">
        <f>IF($A236="","",E236*I236)</f>
        <v/>
      </c>
      <c r="L236" s="36" t="n"/>
      <c r="M236" s="39">
        <f>IF($A236="","",K236*(1+N236))</f>
        <v/>
      </c>
      <c r="N236" s="26">
        <f>IF($A236="","",IF(L236="",IFERROR(VLOOKUP(H236,Settings!$A$22:$B$27,2,FALSE),0),L236))</f>
        <v/>
      </c>
      <c r="O236" s="9">
        <f>IF(AND($A236&lt;&gt;"",$A236=Proposal!$I$2),COUNTIF($A$5:$A236,Proposal!$I$2),"")</f>
        <v/>
      </c>
      <c r="P236" s="9">
        <f>IF($A236="","",IF(COUNTIF(Jobs!$A$5:$A$44,$A236)=0,"Unknown Job ID",IF(B236="","Missing cost code",IF(COUNTIF(Settings!$E$5:$E$28,B236)=0,"Unknown cost code",IF(AND(G236="",C236=""),"No unit cost",IF(E236="","Missing qty",""))))))</f>
        <v/>
      </c>
      <c r="Q236" s="35" t="n"/>
    </row>
    <row r="237">
      <c r="A237" s="35" t="n"/>
      <c r="B237" s="35" t="n"/>
      <c r="C237" s="35" t="n"/>
      <c r="D237" s="35" t="n"/>
      <c r="E237" s="35" t="n"/>
      <c r="F237" s="35" t="n"/>
      <c r="G237" s="37" t="n"/>
      <c r="H237" s="9">
        <f>IF(B237="","",IFERROR(VLOOKUP(B237,Settings!$E$5:$G$28,3,FALSE),"Other"))</f>
        <v/>
      </c>
      <c r="I237" s="39">
        <f>IF($A237="","",IF(G237&lt;&gt;"",G237,IFERROR(VLOOKUP(C237,'Cost Library'!$A$5:$D$204,4,FALSE),0)))</f>
        <v/>
      </c>
      <c r="J237" s="9">
        <f>IF($A237="","",IF(F237&lt;&gt;"",F237,IFERROR(VLOOKUP(C237,'Cost Library'!$A$5:$D$204,3,FALSE),"")))</f>
        <v/>
      </c>
      <c r="K237" s="39">
        <f>IF($A237="","",E237*I237)</f>
        <v/>
      </c>
      <c r="L237" s="36" t="n"/>
      <c r="M237" s="39">
        <f>IF($A237="","",K237*(1+N237))</f>
        <v/>
      </c>
      <c r="N237" s="26">
        <f>IF($A237="","",IF(L237="",IFERROR(VLOOKUP(H237,Settings!$A$22:$B$27,2,FALSE),0),L237))</f>
        <v/>
      </c>
      <c r="O237" s="9">
        <f>IF(AND($A237&lt;&gt;"",$A237=Proposal!$I$2),COUNTIF($A$5:$A237,Proposal!$I$2),"")</f>
        <v/>
      </c>
      <c r="P237" s="9">
        <f>IF($A237="","",IF(COUNTIF(Jobs!$A$5:$A$44,$A237)=0,"Unknown Job ID",IF(B237="","Missing cost code",IF(COUNTIF(Settings!$E$5:$E$28,B237)=0,"Unknown cost code",IF(AND(G237="",C237=""),"No unit cost",IF(E237="","Missing qty",""))))))</f>
        <v/>
      </c>
      <c r="Q237" s="35" t="n"/>
    </row>
    <row r="238">
      <c r="A238" s="35" t="n"/>
      <c r="B238" s="35" t="n"/>
      <c r="C238" s="35" t="n"/>
      <c r="D238" s="35" t="n"/>
      <c r="E238" s="35" t="n"/>
      <c r="F238" s="35" t="n"/>
      <c r="G238" s="37" t="n"/>
      <c r="H238" s="9">
        <f>IF(B238="","",IFERROR(VLOOKUP(B238,Settings!$E$5:$G$28,3,FALSE),"Other"))</f>
        <v/>
      </c>
      <c r="I238" s="39">
        <f>IF($A238="","",IF(G238&lt;&gt;"",G238,IFERROR(VLOOKUP(C238,'Cost Library'!$A$5:$D$204,4,FALSE),0)))</f>
        <v/>
      </c>
      <c r="J238" s="9">
        <f>IF($A238="","",IF(F238&lt;&gt;"",F238,IFERROR(VLOOKUP(C238,'Cost Library'!$A$5:$D$204,3,FALSE),"")))</f>
        <v/>
      </c>
      <c r="K238" s="39">
        <f>IF($A238="","",E238*I238)</f>
        <v/>
      </c>
      <c r="L238" s="36" t="n"/>
      <c r="M238" s="39">
        <f>IF($A238="","",K238*(1+N238))</f>
        <v/>
      </c>
      <c r="N238" s="26">
        <f>IF($A238="","",IF(L238="",IFERROR(VLOOKUP(H238,Settings!$A$22:$B$27,2,FALSE),0),L238))</f>
        <v/>
      </c>
      <c r="O238" s="9">
        <f>IF(AND($A238&lt;&gt;"",$A238=Proposal!$I$2),COUNTIF($A$5:$A238,Proposal!$I$2),"")</f>
        <v/>
      </c>
      <c r="P238" s="9">
        <f>IF($A238="","",IF(COUNTIF(Jobs!$A$5:$A$44,$A238)=0,"Unknown Job ID",IF(B238="","Missing cost code",IF(COUNTIF(Settings!$E$5:$E$28,B238)=0,"Unknown cost code",IF(AND(G238="",C238=""),"No unit cost",IF(E238="","Missing qty",""))))))</f>
        <v/>
      </c>
      <c r="Q238" s="35" t="n"/>
    </row>
    <row r="239">
      <c r="A239" s="35" t="n"/>
      <c r="B239" s="35" t="n"/>
      <c r="C239" s="35" t="n"/>
      <c r="D239" s="35" t="n"/>
      <c r="E239" s="35" t="n"/>
      <c r="F239" s="35" t="n"/>
      <c r="G239" s="37" t="n"/>
      <c r="H239" s="9">
        <f>IF(B239="","",IFERROR(VLOOKUP(B239,Settings!$E$5:$G$28,3,FALSE),"Other"))</f>
        <v/>
      </c>
      <c r="I239" s="39">
        <f>IF($A239="","",IF(G239&lt;&gt;"",G239,IFERROR(VLOOKUP(C239,'Cost Library'!$A$5:$D$204,4,FALSE),0)))</f>
        <v/>
      </c>
      <c r="J239" s="9">
        <f>IF($A239="","",IF(F239&lt;&gt;"",F239,IFERROR(VLOOKUP(C239,'Cost Library'!$A$5:$D$204,3,FALSE),"")))</f>
        <v/>
      </c>
      <c r="K239" s="39">
        <f>IF($A239="","",E239*I239)</f>
        <v/>
      </c>
      <c r="L239" s="36" t="n"/>
      <c r="M239" s="39">
        <f>IF($A239="","",K239*(1+N239))</f>
        <v/>
      </c>
      <c r="N239" s="26">
        <f>IF($A239="","",IF(L239="",IFERROR(VLOOKUP(H239,Settings!$A$22:$B$27,2,FALSE),0),L239))</f>
        <v/>
      </c>
      <c r="O239" s="9">
        <f>IF(AND($A239&lt;&gt;"",$A239=Proposal!$I$2),COUNTIF($A$5:$A239,Proposal!$I$2),"")</f>
        <v/>
      </c>
      <c r="P239" s="9">
        <f>IF($A239="","",IF(COUNTIF(Jobs!$A$5:$A$44,$A239)=0,"Unknown Job ID",IF(B239="","Missing cost code",IF(COUNTIF(Settings!$E$5:$E$28,B239)=0,"Unknown cost code",IF(AND(G239="",C239=""),"No unit cost",IF(E239="","Missing qty",""))))))</f>
        <v/>
      </c>
      <c r="Q239" s="35" t="n"/>
    </row>
    <row r="240">
      <c r="A240" s="35" t="n"/>
      <c r="B240" s="35" t="n"/>
      <c r="C240" s="35" t="n"/>
      <c r="D240" s="35" t="n"/>
      <c r="E240" s="35" t="n"/>
      <c r="F240" s="35" t="n"/>
      <c r="G240" s="37" t="n"/>
      <c r="H240" s="9">
        <f>IF(B240="","",IFERROR(VLOOKUP(B240,Settings!$E$5:$G$28,3,FALSE),"Other"))</f>
        <v/>
      </c>
      <c r="I240" s="39">
        <f>IF($A240="","",IF(G240&lt;&gt;"",G240,IFERROR(VLOOKUP(C240,'Cost Library'!$A$5:$D$204,4,FALSE),0)))</f>
        <v/>
      </c>
      <c r="J240" s="9">
        <f>IF($A240="","",IF(F240&lt;&gt;"",F240,IFERROR(VLOOKUP(C240,'Cost Library'!$A$5:$D$204,3,FALSE),"")))</f>
        <v/>
      </c>
      <c r="K240" s="39">
        <f>IF($A240="","",E240*I240)</f>
        <v/>
      </c>
      <c r="L240" s="36" t="n"/>
      <c r="M240" s="39">
        <f>IF($A240="","",K240*(1+N240))</f>
        <v/>
      </c>
      <c r="N240" s="26">
        <f>IF($A240="","",IF(L240="",IFERROR(VLOOKUP(H240,Settings!$A$22:$B$27,2,FALSE),0),L240))</f>
        <v/>
      </c>
      <c r="O240" s="9">
        <f>IF(AND($A240&lt;&gt;"",$A240=Proposal!$I$2),COUNTIF($A$5:$A240,Proposal!$I$2),"")</f>
        <v/>
      </c>
      <c r="P240" s="9">
        <f>IF($A240="","",IF(COUNTIF(Jobs!$A$5:$A$44,$A240)=0,"Unknown Job ID",IF(B240="","Missing cost code",IF(COUNTIF(Settings!$E$5:$E$28,B240)=0,"Unknown cost code",IF(AND(G240="",C240=""),"No unit cost",IF(E240="","Missing qty",""))))))</f>
        <v/>
      </c>
      <c r="Q240" s="35" t="n"/>
    </row>
    <row r="241">
      <c r="A241" s="35" t="n"/>
      <c r="B241" s="35" t="n"/>
      <c r="C241" s="35" t="n"/>
      <c r="D241" s="35" t="n"/>
      <c r="E241" s="35" t="n"/>
      <c r="F241" s="35" t="n"/>
      <c r="G241" s="37" t="n"/>
      <c r="H241" s="9">
        <f>IF(B241="","",IFERROR(VLOOKUP(B241,Settings!$E$5:$G$28,3,FALSE),"Other"))</f>
        <v/>
      </c>
      <c r="I241" s="39">
        <f>IF($A241="","",IF(G241&lt;&gt;"",G241,IFERROR(VLOOKUP(C241,'Cost Library'!$A$5:$D$204,4,FALSE),0)))</f>
        <v/>
      </c>
      <c r="J241" s="9">
        <f>IF($A241="","",IF(F241&lt;&gt;"",F241,IFERROR(VLOOKUP(C241,'Cost Library'!$A$5:$D$204,3,FALSE),"")))</f>
        <v/>
      </c>
      <c r="K241" s="39">
        <f>IF($A241="","",E241*I241)</f>
        <v/>
      </c>
      <c r="L241" s="36" t="n"/>
      <c r="M241" s="39">
        <f>IF($A241="","",K241*(1+N241))</f>
        <v/>
      </c>
      <c r="N241" s="26">
        <f>IF($A241="","",IF(L241="",IFERROR(VLOOKUP(H241,Settings!$A$22:$B$27,2,FALSE),0),L241))</f>
        <v/>
      </c>
      <c r="O241" s="9">
        <f>IF(AND($A241&lt;&gt;"",$A241=Proposal!$I$2),COUNTIF($A$5:$A241,Proposal!$I$2),"")</f>
        <v/>
      </c>
      <c r="P241" s="9">
        <f>IF($A241="","",IF(COUNTIF(Jobs!$A$5:$A$44,$A241)=0,"Unknown Job ID",IF(B241="","Missing cost code",IF(COUNTIF(Settings!$E$5:$E$28,B241)=0,"Unknown cost code",IF(AND(G241="",C241=""),"No unit cost",IF(E241="","Missing qty",""))))))</f>
        <v/>
      </c>
      <c r="Q241" s="35" t="n"/>
    </row>
    <row r="242">
      <c r="A242" s="35" t="n"/>
      <c r="B242" s="35" t="n"/>
      <c r="C242" s="35" t="n"/>
      <c r="D242" s="35" t="n"/>
      <c r="E242" s="35" t="n"/>
      <c r="F242" s="35" t="n"/>
      <c r="G242" s="37" t="n"/>
      <c r="H242" s="9">
        <f>IF(B242="","",IFERROR(VLOOKUP(B242,Settings!$E$5:$G$28,3,FALSE),"Other"))</f>
        <v/>
      </c>
      <c r="I242" s="39">
        <f>IF($A242="","",IF(G242&lt;&gt;"",G242,IFERROR(VLOOKUP(C242,'Cost Library'!$A$5:$D$204,4,FALSE),0)))</f>
        <v/>
      </c>
      <c r="J242" s="9">
        <f>IF($A242="","",IF(F242&lt;&gt;"",F242,IFERROR(VLOOKUP(C242,'Cost Library'!$A$5:$D$204,3,FALSE),"")))</f>
        <v/>
      </c>
      <c r="K242" s="39">
        <f>IF($A242="","",E242*I242)</f>
        <v/>
      </c>
      <c r="L242" s="36" t="n"/>
      <c r="M242" s="39">
        <f>IF($A242="","",K242*(1+N242))</f>
        <v/>
      </c>
      <c r="N242" s="26">
        <f>IF($A242="","",IF(L242="",IFERROR(VLOOKUP(H242,Settings!$A$22:$B$27,2,FALSE),0),L242))</f>
        <v/>
      </c>
      <c r="O242" s="9">
        <f>IF(AND($A242&lt;&gt;"",$A242=Proposal!$I$2),COUNTIF($A$5:$A242,Proposal!$I$2),"")</f>
        <v/>
      </c>
      <c r="P242" s="9">
        <f>IF($A242="","",IF(COUNTIF(Jobs!$A$5:$A$44,$A242)=0,"Unknown Job ID",IF(B242="","Missing cost code",IF(COUNTIF(Settings!$E$5:$E$28,B242)=0,"Unknown cost code",IF(AND(G242="",C242=""),"No unit cost",IF(E242="","Missing qty",""))))))</f>
        <v/>
      </c>
      <c r="Q242" s="35" t="n"/>
    </row>
    <row r="243">
      <c r="A243" s="35" t="n"/>
      <c r="B243" s="35" t="n"/>
      <c r="C243" s="35" t="n"/>
      <c r="D243" s="35" t="n"/>
      <c r="E243" s="35" t="n"/>
      <c r="F243" s="35" t="n"/>
      <c r="G243" s="37" t="n"/>
      <c r="H243" s="9">
        <f>IF(B243="","",IFERROR(VLOOKUP(B243,Settings!$E$5:$G$28,3,FALSE),"Other"))</f>
        <v/>
      </c>
      <c r="I243" s="39">
        <f>IF($A243="","",IF(G243&lt;&gt;"",G243,IFERROR(VLOOKUP(C243,'Cost Library'!$A$5:$D$204,4,FALSE),0)))</f>
        <v/>
      </c>
      <c r="J243" s="9">
        <f>IF($A243="","",IF(F243&lt;&gt;"",F243,IFERROR(VLOOKUP(C243,'Cost Library'!$A$5:$D$204,3,FALSE),"")))</f>
        <v/>
      </c>
      <c r="K243" s="39">
        <f>IF($A243="","",E243*I243)</f>
        <v/>
      </c>
      <c r="L243" s="36" t="n"/>
      <c r="M243" s="39">
        <f>IF($A243="","",K243*(1+N243))</f>
        <v/>
      </c>
      <c r="N243" s="26">
        <f>IF($A243="","",IF(L243="",IFERROR(VLOOKUP(H243,Settings!$A$22:$B$27,2,FALSE),0),L243))</f>
        <v/>
      </c>
      <c r="O243" s="9">
        <f>IF(AND($A243&lt;&gt;"",$A243=Proposal!$I$2),COUNTIF($A$5:$A243,Proposal!$I$2),"")</f>
        <v/>
      </c>
      <c r="P243" s="9">
        <f>IF($A243="","",IF(COUNTIF(Jobs!$A$5:$A$44,$A243)=0,"Unknown Job ID",IF(B243="","Missing cost code",IF(COUNTIF(Settings!$E$5:$E$28,B243)=0,"Unknown cost code",IF(AND(G243="",C243=""),"No unit cost",IF(E243="","Missing qty",""))))))</f>
        <v/>
      </c>
      <c r="Q243" s="35" t="n"/>
    </row>
    <row r="244">
      <c r="A244" s="35" t="n"/>
      <c r="B244" s="35" t="n"/>
      <c r="C244" s="35" t="n"/>
      <c r="D244" s="35" t="n"/>
      <c r="E244" s="35" t="n"/>
      <c r="F244" s="35" t="n"/>
      <c r="G244" s="37" t="n"/>
      <c r="H244" s="9">
        <f>IF(B244="","",IFERROR(VLOOKUP(B244,Settings!$E$5:$G$28,3,FALSE),"Other"))</f>
        <v/>
      </c>
      <c r="I244" s="39">
        <f>IF($A244="","",IF(G244&lt;&gt;"",G244,IFERROR(VLOOKUP(C244,'Cost Library'!$A$5:$D$204,4,FALSE),0)))</f>
        <v/>
      </c>
      <c r="J244" s="9">
        <f>IF($A244="","",IF(F244&lt;&gt;"",F244,IFERROR(VLOOKUP(C244,'Cost Library'!$A$5:$D$204,3,FALSE),"")))</f>
        <v/>
      </c>
      <c r="K244" s="39">
        <f>IF($A244="","",E244*I244)</f>
        <v/>
      </c>
      <c r="L244" s="36" t="n"/>
      <c r="M244" s="39">
        <f>IF($A244="","",K244*(1+N244))</f>
        <v/>
      </c>
      <c r="N244" s="26">
        <f>IF($A244="","",IF(L244="",IFERROR(VLOOKUP(H244,Settings!$A$22:$B$27,2,FALSE),0),L244))</f>
        <v/>
      </c>
      <c r="O244" s="9">
        <f>IF(AND($A244&lt;&gt;"",$A244=Proposal!$I$2),COUNTIF($A$5:$A244,Proposal!$I$2),"")</f>
        <v/>
      </c>
      <c r="P244" s="9">
        <f>IF($A244="","",IF(COUNTIF(Jobs!$A$5:$A$44,$A244)=0,"Unknown Job ID",IF(B244="","Missing cost code",IF(COUNTIF(Settings!$E$5:$E$28,B244)=0,"Unknown cost code",IF(AND(G244="",C244=""),"No unit cost",IF(E244="","Missing qty",""))))))</f>
        <v/>
      </c>
      <c r="Q244" s="35" t="n"/>
    </row>
    <row r="245">
      <c r="A245" s="35" t="n"/>
      <c r="B245" s="35" t="n"/>
      <c r="C245" s="35" t="n"/>
      <c r="D245" s="35" t="n"/>
      <c r="E245" s="35" t="n"/>
      <c r="F245" s="35" t="n"/>
      <c r="G245" s="37" t="n"/>
      <c r="H245" s="9">
        <f>IF(B245="","",IFERROR(VLOOKUP(B245,Settings!$E$5:$G$28,3,FALSE),"Other"))</f>
        <v/>
      </c>
      <c r="I245" s="39">
        <f>IF($A245="","",IF(G245&lt;&gt;"",G245,IFERROR(VLOOKUP(C245,'Cost Library'!$A$5:$D$204,4,FALSE),0)))</f>
        <v/>
      </c>
      <c r="J245" s="9">
        <f>IF($A245="","",IF(F245&lt;&gt;"",F245,IFERROR(VLOOKUP(C245,'Cost Library'!$A$5:$D$204,3,FALSE),"")))</f>
        <v/>
      </c>
      <c r="K245" s="39">
        <f>IF($A245="","",E245*I245)</f>
        <v/>
      </c>
      <c r="L245" s="36" t="n"/>
      <c r="M245" s="39">
        <f>IF($A245="","",K245*(1+N245))</f>
        <v/>
      </c>
      <c r="N245" s="26">
        <f>IF($A245="","",IF(L245="",IFERROR(VLOOKUP(H245,Settings!$A$22:$B$27,2,FALSE),0),L245))</f>
        <v/>
      </c>
      <c r="O245" s="9">
        <f>IF(AND($A245&lt;&gt;"",$A245=Proposal!$I$2),COUNTIF($A$5:$A245,Proposal!$I$2),"")</f>
        <v/>
      </c>
      <c r="P245" s="9">
        <f>IF($A245="","",IF(COUNTIF(Jobs!$A$5:$A$44,$A245)=0,"Unknown Job ID",IF(B245="","Missing cost code",IF(COUNTIF(Settings!$E$5:$E$28,B245)=0,"Unknown cost code",IF(AND(G245="",C245=""),"No unit cost",IF(E245="","Missing qty",""))))))</f>
        <v/>
      </c>
      <c r="Q245" s="35" t="n"/>
    </row>
    <row r="246">
      <c r="A246" s="35" t="n"/>
      <c r="B246" s="35" t="n"/>
      <c r="C246" s="35" t="n"/>
      <c r="D246" s="35" t="n"/>
      <c r="E246" s="35" t="n"/>
      <c r="F246" s="35" t="n"/>
      <c r="G246" s="37" t="n"/>
      <c r="H246" s="9">
        <f>IF(B246="","",IFERROR(VLOOKUP(B246,Settings!$E$5:$G$28,3,FALSE),"Other"))</f>
        <v/>
      </c>
      <c r="I246" s="39">
        <f>IF($A246="","",IF(G246&lt;&gt;"",G246,IFERROR(VLOOKUP(C246,'Cost Library'!$A$5:$D$204,4,FALSE),0)))</f>
        <v/>
      </c>
      <c r="J246" s="9">
        <f>IF($A246="","",IF(F246&lt;&gt;"",F246,IFERROR(VLOOKUP(C246,'Cost Library'!$A$5:$D$204,3,FALSE),"")))</f>
        <v/>
      </c>
      <c r="K246" s="39">
        <f>IF($A246="","",E246*I246)</f>
        <v/>
      </c>
      <c r="L246" s="36" t="n"/>
      <c r="M246" s="39">
        <f>IF($A246="","",K246*(1+N246))</f>
        <v/>
      </c>
      <c r="N246" s="26">
        <f>IF($A246="","",IF(L246="",IFERROR(VLOOKUP(H246,Settings!$A$22:$B$27,2,FALSE),0),L246))</f>
        <v/>
      </c>
      <c r="O246" s="9">
        <f>IF(AND($A246&lt;&gt;"",$A246=Proposal!$I$2),COUNTIF($A$5:$A246,Proposal!$I$2),"")</f>
        <v/>
      </c>
      <c r="P246" s="9">
        <f>IF($A246="","",IF(COUNTIF(Jobs!$A$5:$A$44,$A246)=0,"Unknown Job ID",IF(B246="","Missing cost code",IF(COUNTIF(Settings!$E$5:$E$28,B246)=0,"Unknown cost code",IF(AND(G246="",C246=""),"No unit cost",IF(E246="","Missing qty",""))))))</f>
        <v/>
      </c>
      <c r="Q246" s="35" t="n"/>
    </row>
    <row r="247">
      <c r="A247" s="35" t="n"/>
      <c r="B247" s="35" t="n"/>
      <c r="C247" s="35" t="n"/>
      <c r="D247" s="35" t="n"/>
      <c r="E247" s="35" t="n"/>
      <c r="F247" s="35" t="n"/>
      <c r="G247" s="37" t="n"/>
      <c r="H247" s="9">
        <f>IF(B247="","",IFERROR(VLOOKUP(B247,Settings!$E$5:$G$28,3,FALSE),"Other"))</f>
        <v/>
      </c>
      <c r="I247" s="39">
        <f>IF($A247="","",IF(G247&lt;&gt;"",G247,IFERROR(VLOOKUP(C247,'Cost Library'!$A$5:$D$204,4,FALSE),0)))</f>
        <v/>
      </c>
      <c r="J247" s="9">
        <f>IF($A247="","",IF(F247&lt;&gt;"",F247,IFERROR(VLOOKUP(C247,'Cost Library'!$A$5:$D$204,3,FALSE),"")))</f>
        <v/>
      </c>
      <c r="K247" s="39">
        <f>IF($A247="","",E247*I247)</f>
        <v/>
      </c>
      <c r="L247" s="36" t="n"/>
      <c r="M247" s="39">
        <f>IF($A247="","",K247*(1+N247))</f>
        <v/>
      </c>
      <c r="N247" s="26">
        <f>IF($A247="","",IF(L247="",IFERROR(VLOOKUP(H247,Settings!$A$22:$B$27,2,FALSE),0),L247))</f>
        <v/>
      </c>
      <c r="O247" s="9">
        <f>IF(AND($A247&lt;&gt;"",$A247=Proposal!$I$2),COUNTIF($A$5:$A247,Proposal!$I$2),"")</f>
        <v/>
      </c>
      <c r="P247" s="9">
        <f>IF($A247="","",IF(COUNTIF(Jobs!$A$5:$A$44,$A247)=0,"Unknown Job ID",IF(B247="","Missing cost code",IF(COUNTIF(Settings!$E$5:$E$28,B247)=0,"Unknown cost code",IF(AND(G247="",C247=""),"No unit cost",IF(E247="","Missing qty",""))))))</f>
        <v/>
      </c>
      <c r="Q247" s="35" t="n"/>
    </row>
    <row r="248">
      <c r="A248" s="35" t="n"/>
      <c r="B248" s="35" t="n"/>
      <c r="C248" s="35" t="n"/>
      <c r="D248" s="35" t="n"/>
      <c r="E248" s="35" t="n"/>
      <c r="F248" s="35" t="n"/>
      <c r="G248" s="37" t="n"/>
      <c r="H248" s="9">
        <f>IF(B248="","",IFERROR(VLOOKUP(B248,Settings!$E$5:$G$28,3,FALSE),"Other"))</f>
        <v/>
      </c>
      <c r="I248" s="39">
        <f>IF($A248="","",IF(G248&lt;&gt;"",G248,IFERROR(VLOOKUP(C248,'Cost Library'!$A$5:$D$204,4,FALSE),0)))</f>
        <v/>
      </c>
      <c r="J248" s="9">
        <f>IF($A248="","",IF(F248&lt;&gt;"",F248,IFERROR(VLOOKUP(C248,'Cost Library'!$A$5:$D$204,3,FALSE),"")))</f>
        <v/>
      </c>
      <c r="K248" s="39">
        <f>IF($A248="","",E248*I248)</f>
        <v/>
      </c>
      <c r="L248" s="36" t="n"/>
      <c r="M248" s="39">
        <f>IF($A248="","",K248*(1+N248))</f>
        <v/>
      </c>
      <c r="N248" s="26">
        <f>IF($A248="","",IF(L248="",IFERROR(VLOOKUP(H248,Settings!$A$22:$B$27,2,FALSE),0),L248))</f>
        <v/>
      </c>
      <c r="O248" s="9">
        <f>IF(AND($A248&lt;&gt;"",$A248=Proposal!$I$2),COUNTIF($A$5:$A248,Proposal!$I$2),"")</f>
        <v/>
      </c>
      <c r="P248" s="9">
        <f>IF($A248="","",IF(COUNTIF(Jobs!$A$5:$A$44,$A248)=0,"Unknown Job ID",IF(B248="","Missing cost code",IF(COUNTIF(Settings!$E$5:$E$28,B248)=0,"Unknown cost code",IF(AND(G248="",C248=""),"No unit cost",IF(E248="","Missing qty",""))))))</f>
        <v/>
      </c>
      <c r="Q248" s="35" t="n"/>
    </row>
    <row r="249">
      <c r="A249" s="35" t="n"/>
      <c r="B249" s="35" t="n"/>
      <c r="C249" s="35" t="n"/>
      <c r="D249" s="35" t="n"/>
      <c r="E249" s="35" t="n"/>
      <c r="F249" s="35" t="n"/>
      <c r="G249" s="37" t="n"/>
      <c r="H249" s="9">
        <f>IF(B249="","",IFERROR(VLOOKUP(B249,Settings!$E$5:$G$28,3,FALSE),"Other"))</f>
        <v/>
      </c>
      <c r="I249" s="39">
        <f>IF($A249="","",IF(G249&lt;&gt;"",G249,IFERROR(VLOOKUP(C249,'Cost Library'!$A$5:$D$204,4,FALSE),0)))</f>
        <v/>
      </c>
      <c r="J249" s="9">
        <f>IF($A249="","",IF(F249&lt;&gt;"",F249,IFERROR(VLOOKUP(C249,'Cost Library'!$A$5:$D$204,3,FALSE),"")))</f>
        <v/>
      </c>
      <c r="K249" s="39">
        <f>IF($A249="","",E249*I249)</f>
        <v/>
      </c>
      <c r="L249" s="36" t="n"/>
      <c r="M249" s="39">
        <f>IF($A249="","",K249*(1+N249))</f>
        <v/>
      </c>
      <c r="N249" s="26">
        <f>IF($A249="","",IF(L249="",IFERROR(VLOOKUP(H249,Settings!$A$22:$B$27,2,FALSE),0),L249))</f>
        <v/>
      </c>
      <c r="O249" s="9">
        <f>IF(AND($A249&lt;&gt;"",$A249=Proposal!$I$2),COUNTIF($A$5:$A249,Proposal!$I$2),"")</f>
        <v/>
      </c>
      <c r="P249" s="9">
        <f>IF($A249="","",IF(COUNTIF(Jobs!$A$5:$A$44,$A249)=0,"Unknown Job ID",IF(B249="","Missing cost code",IF(COUNTIF(Settings!$E$5:$E$28,B249)=0,"Unknown cost code",IF(AND(G249="",C249=""),"No unit cost",IF(E249="","Missing qty",""))))))</f>
        <v/>
      </c>
      <c r="Q249" s="35" t="n"/>
    </row>
    <row r="250">
      <c r="A250" s="35" t="n"/>
      <c r="B250" s="35" t="n"/>
      <c r="C250" s="35" t="n"/>
      <c r="D250" s="35" t="n"/>
      <c r="E250" s="35" t="n"/>
      <c r="F250" s="35" t="n"/>
      <c r="G250" s="37" t="n"/>
      <c r="H250" s="9">
        <f>IF(B250="","",IFERROR(VLOOKUP(B250,Settings!$E$5:$G$28,3,FALSE),"Other"))</f>
        <v/>
      </c>
      <c r="I250" s="39">
        <f>IF($A250="","",IF(G250&lt;&gt;"",G250,IFERROR(VLOOKUP(C250,'Cost Library'!$A$5:$D$204,4,FALSE),0)))</f>
        <v/>
      </c>
      <c r="J250" s="9">
        <f>IF($A250="","",IF(F250&lt;&gt;"",F250,IFERROR(VLOOKUP(C250,'Cost Library'!$A$5:$D$204,3,FALSE),"")))</f>
        <v/>
      </c>
      <c r="K250" s="39">
        <f>IF($A250="","",E250*I250)</f>
        <v/>
      </c>
      <c r="L250" s="36" t="n"/>
      <c r="M250" s="39">
        <f>IF($A250="","",K250*(1+N250))</f>
        <v/>
      </c>
      <c r="N250" s="26">
        <f>IF($A250="","",IF(L250="",IFERROR(VLOOKUP(H250,Settings!$A$22:$B$27,2,FALSE),0),L250))</f>
        <v/>
      </c>
      <c r="O250" s="9">
        <f>IF(AND($A250&lt;&gt;"",$A250=Proposal!$I$2),COUNTIF($A$5:$A250,Proposal!$I$2),"")</f>
        <v/>
      </c>
      <c r="P250" s="9">
        <f>IF($A250="","",IF(COUNTIF(Jobs!$A$5:$A$44,$A250)=0,"Unknown Job ID",IF(B250="","Missing cost code",IF(COUNTIF(Settings!$E$5:$E$28,B250)=0,"Unknown cost code",IF(AND(G250="",C250=""),"No unit cost",IF(E250="","Missing qty",""))))))</f>
        <v/>
      </c>
      <c r="Q250" s="35" t="n"/>
    </row>
    <row r="251">
      <c r="A251" s="35" t="n"/>
      <c r="B251" s="35" t="n"/>
      <c r="C251" s="35" t="n"/>
      <c r="D251" s="35" t="n"/>
      <c r="E251" s="35" t="n"/>
      <c r="F251" s="35" t="n"/>
      <c r="G251" s="37" t="n"/>
      <c r="H251" s="9">
        <f>IF(B251="","",IFERROR(VLOOKUP(B251,Settings!$E$5:$G$28,3,FALSE),"Other"))</f>
        <v/>
      </c>
      <c r="I251" s="39">
        <f>IF($A251="","",IF(G251&lt;&gt;"",G251,IFERROR(VLOOKUP(C251,'Cost Library'!$A$5:$D$204,4,FALSE),0)))</f>
        <v/>
      </c>
      <c r="J251" s="9">
        <f>IF($A251="","",IF(F251&lt;&gt;"",F251,IFERROR(VLOOKUP(C251,'Cost Library'!$A$5:$D$204,3,FALSE),"")))</f>
        <v/>
      </c>
      <c r="K251" s="39">
        <f>IF($A251="","",E251*I251)</f>
        <v/>
      </c>
      <c r="L251" s="36" t="n"/>
      <c r="M251" s="39">
        <f>IF($A251="","",K251*(1+N251))</f>
        <v/>
      </c>
      <c r="N251" s="26">
        <f>IF($A251="","",IF(L251="",IFERROR(VLOOKUP(H251,Settings!$A$22:$B$27,2,FALSE),0),L251))</f>
        <v/>
      </c>
      <c r="O251" s="9">
        <f>IF(AND($A251&lt;&gt;"",$A251=Proposal!$I$2),COUNTIF($A$5:$A251,Proposal!$I$2),"")</f>
        <v/>
      </c>
      <c r="P251" s="9">
        <f>IF($A251="","",IF(COUNTIF(Jobs!$A$5:$A$44,$A251)=0,"Unknown Job ID",IF(B251="","Missing cost code",IF(COUNTIF(Settings!$E$5:$E$28,B251)=0,"Unknown cost code",IF(AND(G251="",C251=""),"No unit cost",IF(E251="","Missing qty",""))))))</f>
        <v/>
      </c>
      <c r="Q251" s="35" t="n"/>
    </row>
    <row r="252">
      <c r="A252" s="35" t="n"/>
      <c r="B252" s="35" t="n"/>
      <c r="C252" s="35" t="n"/>
      <c r="D252" s="35" t="n"/>
      <c r="E252" s="35" t="n"/>
      <c r="F252" s="35" t="n"/>
      <c r="G252" s="37" t="n"/>
      <c r="H252" s="9">
        <f>IF(B252="","",IFERROR(VLOOKUP(B252,Settings!$E$5:$G$28,3,FALSE),"Other"))</f>
        <v/>
      </c>
      <c r="I252" s="39">
        <f>IF($A252="","",IF(G252&lt;&gt;"",G252,IFERROR(VLOOKUP(C252,'Cost Library'!$A$5:$D$204,4,FALSE),0)))</f>
        <v/>
      </c>
      <c r="J252" s="9">
        <f>IF($A252="","",IF(F252&lt;&gt;"",F252,IFERROR(VLOOKUP(C252,'Cost Library'!$A$5:$D$204,3,FALSE),"")))</f>
        <v/>
      </c>
      <c r="K252" s="39">
        <f>IF($A252="","",E252*I252)</f>
        <v/>
      </c>
      <c r="L252" s="36" t="n"/>
      <c r="M252" s="39">
        <f>IF($A252="","",K252*(1+N252))</f>
        <v/>
      </c>
      <c r="N252" s="26">
        <f>IF($A252="","",IF(L252="",IFERROR(VLOOKUP(H252,Settings!$A$22:$B$27,2,FALSE),0),L252))</f>
        <v/>
      </c>
      <c r="O252" s="9">
        <f>IF(AND($A252&lt;&gt;"",$A252=Proposal!$I$2),COUNTIF($A$5:$A252,Proposal!$I$2),"")</f>
        <v/>
      </c>
      <c r="P252" s="9">
        <f>IF($A252="","",IF(COUNTIF(Jobs!$A$5:$A$44,$A252)=0,"Unknown Job ID",IF(B252="","Missing cost code",IF(COUNTIF(Settings!$E$5:$E$28,B252)=0,"Unknown cost code",IF(AND(G252="",C252=""),"No unit cost",IF(E252="","Missing qty",""))))))</f>
        <v/>
      </c>
      <c r="Q252" s="35" t="n"/>
    </row>
    <row r="253">
      <c r="A253" s="35" t="n"/>
      <c r="B253" s="35" t="n"/>
      <c r="C253" s="35" t="n"/>
      <c r="D253" s="35" t="n"/>
      <c r="E253" s="35" t="n"/>
      <c r="F253" s="35" t="n"/>
      <c r="G253" s="37" t="n"/>
      <c r="H253" s="9">
        <f>IF(B253="","",IFERROR(VLOOKUP(B253,Settings!$E$5:$G$28,3,FALSE),"Other"))</f>
        <v/>
      </c>
      <c r="I253" s="39">
        <f>IF($A253="","",IF(G253&lt;&gt;"",G253,IFERROR(VLOOKUP(C253,'Cost Library'!$A$5:$D$204,4,FALSE),0)))</f>
        <v/>
      </c>
      <c r="J253" s="9">
        <f>IF($A253="","",IF(F253&lt;&gt;"",F253,IFERROR(VLOOKUP(C253,'Cost Library'!$A$5:$D$204,3,FALSE),"")))</f>
        <v/>
      </c>
      <c r="K253" s="39">
        <f>IF($A253="","",E253*I253)</f>
        <v/>
      </c>
      <c r="L253" s="36" t="n"/>
      <c r="M253" s="39">
        <f>IF($A253="","",K253*(1+N253))</f>
        <v/>
      </c>
      <c r="N253" s="26">
        <f>IF($A253="","",IF(L253="",IFERROR(VLOOKUP(H253,Settings!$A$22:$B$27,2,FALSE),0),L253))</f>
        <v/>
      </c>
      <c r="O253" s="9">
        <f>IF(AND($A253&lt;&gt;"",$A253=Proposal!$I$2),COUNTIF($A$5:$A253,Proposal!$I$2),"")</f>
        <v/>
      </c>
      <c r="P253" s="9">
        <f>IF($A253="","",IF(COUNTIF(Jobs!$A$5:$A$44,$A253)=0,"Unknown Job ID",IF(B253="","Missing cost code",IF(COUNTIF(Settings!$E$5:$E$28,B253)=0,"Unknown cost code",IF(AND(G253="",C253=""),"No unit cost",IF(E253="","Missing qty",""))))))</f>
        <v/>
      </c>
      <c r="Q253" s="35" t="n"/>
    </row>
    <row r="254">
      <c r="A254" s="35" t="n"/>
      <c r="B254" s="35" t="n"/>
      <c r="C254" s="35" t="n"/>
      <c r="D254" s="35" t="n"/>
      <c r="E254" s="35" t="n"/>
      <c r="F254" s="35" t="n"/>
      <c r="G254" s="37" t="n"/>
      <c r="H254" s="9">
        <f>IF(B254="","",IFERROR(VLOOKUP(B254,Settings!$E$5:$G$28,3,FALSE),"Other"))</f>
        <v/>
      </c>
      <c r="I254" s="39">
        <f>IF($A254="","",IF(G254&lt;&gt;"",G254,IFERROR(VLOOKUP(C254,'Cost Library'!$A$5:$D$204,4,FALSE),0)))</f>
        <v/>
      </c>
      <c r="J254" s="9">
        <f>IF($A254="","",IF(F254&lt;&gt;"",F254,IFERROR(VLOOKUP(C254,'Cost Library'!$A$5:$D$204,3,FALSE),"")))</f>
        <v/>
      </c>
      <c r="K254" s="39">
        <f>IF($A254="","",E254*I254)</f>
        <v/>
      </c>
      <c r="L254" s="36" t="n"/>
      <c r="M254" s="39">
        <f>IF($A254="","",K254*(1+N254))</f>
        <v/>
      </c>
      <c r="N254" s="26">
        <f>IF($A254="","",IF(L254="",IFERROR(VLOOKUP(H254,Settings!$A$22:$B$27,2,FALSE),0),L254))</f>
        <v/>
      </c>
      <c r="O254" s="9">
        <f>IF(AND($A254&lt;&gt;"",$A254=Proposal!$I$2),COUNTIF($A$5:$A254,Proposal!$I$2),"")</f>
        <v/>
      </c>
      <c r="P254" s="9">
        <f>IF($A254="","",IF(COUNTIF(Jobs!$A$5:$A$44,$A254)=0,"Unknown Job ID",IF(B254="","Missing cost code",IF(COUNTIF(Settings!$E$5:$E$28,B254)=0,"Unknown cost code",IF(AND(G254="",C254=""),"No unit cost",IF(E254="","Missing qty",""))))))</f>
        <v/>
      </c>
      <c r="Q254" s="35" t="n"/>
    </row>
    <row r="255">
      <c r="A255" s="35" t="n"/>
      <c r="B255" s="35" t="n"/>
      <c r="C255" s="35" t="n"/>
      <c r="D255" s="35" t="n"/>
      <c r="E255" s="35" t="n"/>
      <c r="F255" s="35" t="n"/>
      <c r="G255" s="37" t="n"/>
      <c r="H255" s="9">
        <f>IF(B255="","",IFERROR(VLOOKUP(B255,Settings!$E$5:$G$28,3,FALSE),"Other"))</f>
        <v/>
      </c>
      <c r="I255" s="39">
        <f>IF($A255="","",IF(G255&lt;&gt;"",G255,IFERROR(VLOOKUP(C255,'Cost Library'!$A$5:$D$204,4,FALSE),0)))</f>
        <v/>
      </c>
      <c r="J255" s="9">
        <f>IF($A255="","",IF(F255&lt;&gt;"",F255,IFERROR(VLOOKUP(C255,'Cost Library'!$A$5:$D$204,3,FALSE),"")))</f>
        <v/>
      </c>
      <c r="K255" s="39">
        <f>IF($A255="","",E255*I255)</f>
        <v/>
      </c>
      <c r="L255" s="36" t="n"/>
      <c r="M255" s="39">
        <f>IF($A255="","",K255*(1+N255))</f>
        <v/>
      </c>
      <c r="N255" s="26">
        <f>IF($A255="","",IF(L255="",IFERROR(VLOOKUP(H255,Settings!$A$22:$B$27,2,FALSE),0),L255))</f>
        <v/>
      </c>
      <c r="O255" s="9">
        <f>IF(AND($A255&lt;&gt;"",$A255=Proposal!$I$2),COUNTIF($A$5:$A255,Proposal!$I$2),"")</f>
        <v/>
      </c>
      <c r="P255" s="9">
        <f>IF($A255="","",IF(COUNTIF(Jobs!$A$5:$A$44,$A255)=0,"Unknown Job ID",IF(B255="","Missing cost code",IF(COUNTIF(Settings!$E$5:$E$28,B255)=0,"Unknown cost code",IF(AND(G255="",C255=""),"No unit cost",IF(E255="","Missing qty",""))))))</f>
        <v/>
      </c>
      <c r="Q255" s="35" t="n"/>
    </row>
    <row r="256">
      <c r="A256" s="35" t="n"/>
      <c r="B256" s="35" t="n"/>
      <c r="C256" s="35" t="n"/>
      <c r="D256" s="35" t="n"/>
      <c r="E256" s="35" t="n"/>
      <c r="F256" s="35" t="n"/>
      <c r="G256" s="37" t="n"/>
      <c r="H256" s="9">
        <f>IF(B256="","",IFERROR(VLOOKUP(B256,Settings!$E$5:$G$28,3,FALSE),"Other"))</f>
        <v/>
      </c>
      <c r="I256" s="39">
        <f>IF($A256="","",IF(G256&lt;&gt;"",G256,IFERROR(VLOOKUP(C256,'Cost Library'!$A$5:$D$204,4,FALSE),0)))</f>
        <v/>
      </c>
      <c r="J256" s="9">
        <f>IF($A256="","",IF(F256&lt;&gt;"",F256,IFERROR(VLOOKUP(C256,'Cost Library'!$A$5:$D$204,3,FALSE),"")))</f>
        <v/>
      </c>
      <c r="K256" s="39">
        <f>IF($A256="","",E256*I256)</f>
        <v/>
      </c>
      <c r="L256" s="36" t="n"/>
      <c r="M256" s="39">
        <f>IF($A256="","",K256*(1+N256))</f>
        <v/>
      </c>
      <c r="N256" s="26">
        <f>IF($A256="","",IF(L256="",IFERROR(VLOOKUP(H256,Settings!$A$22:$B$27,2,FALSE),0),L256))</f>
        <v/>
      </c>
      <c r="O256" s="9">
        <f>IF(AND($A256&lt;&gt;"",$A256=Proposal!$I$2),COUNTIF($A$5:$A256,Proposal!$I$2),"")</f>
        <v/>
      </c>
      <c r="P256" s="9">
        <f>IF($A256="","",IF(COUNTIF(Jobs!$A$5:$A$44,$A256)=0,"Unknown Job ID",IF(B256="","Missing cost code",IF(COUNTIF(Settings!$E$5:$E$28,B256)=0,"Unknown cost code",IF(AND(G256="",C256=""),"No unit cost",IF(E256="","Missing qty",""))))))</f>
        <v/>
      </c>
      <c r="Q256" s="35" t="n"/>
    </row>
    <row r="257">
      <c r="A257" s="35" t="n"/>
      <c r="B257" s="35" t="n"/>
      <c r="C257" s="35" t="n"/>
      <c r="D257" s="35" t="n"/>
      <c r="E257" s="35" t="n"/>
      <c r="F257" s="35" t="n"/>
      <c r="G257" s="37" t="n"/>
      <c r="H257" s="9">
        <f>IF(B257="","",IFERROR(VLOOKUP(B257,Settings!$E$5:$G$28,3,FALSE),"Other"))</f>
        <v/>
      </c>
      <c r="I257" s="39">
        <f>IF($A257="","",IF(G257&lt;&gt;"",G257,IFERROR(VLOOKUP(C257,'Cost Library'!$A$5:$D$204,4,FALSE),0)))</f>
        <v/>
      </c>
      <c r="J257" s="9">
        <f>IF($A257="","",IF(F257&lt;&gt;"",F257,IFERROR(VLOOKUP(C257,'Cost Library'!$A$5:$D$204,3,FALSE),"")))</f>
        <v/>
      </c>
      <c r="K257" s="39">
        <f>IF($A257="","",E257*I257)</f>
        <v/>
      </c>
      <c r="L257" s="36" t="n"/>
      <c r="M257" s="39">
        <f>IF($A257="","",K257*(1+N257))</f>
        <v/>
      </c>
      <c r="N257" s="26">
        <f>IF($A257="","",IF(L257="",IFERROR(VLOOKUP(H257,Settings!$A$22:$B$27,2,FALSE),0),L257))</f>
        <v/>
      </c>
      <c r="O257" s="9">
        <f>IF(AND($A257&lt;&gt;"",$A257=Proposal!$I$2),COUNTIF($A$5:$A257,Proposal!$I$2),"")</f>
        <v/>
      </c>
      <c r="P257" s="9">
        <f>IF($A257="","",IF(COUNTIF(Jobs!$A$5:$A$44,$A257)=0,"Unknown Job ID",IF(B257="","Missing cost code",IF(COUNTIF(Settings!$E$5:$E$28,B257)=0,"Unknown cost code",IF(AND(G257="",C257=""),"No unit cost",IF(E257="","Missing qty",""))))))</f>
        <v/>
      </c>
      <c r="Q257" s="35" t="n"/>
    </row>
    <row r="258">
      <c r="A258" s="35" t="n"/>
      <c r="B258" s="35" t="n"/>
      <c r="C258" s="35" t="n"/>
      <c r="D258" s="35" t="n"/>
      <c r="E258" s="35" t="n"/>
      <c r="F258" s="35" t="n"/>
      <c r="G258" s="37" t="n"/>
      <c r="H258" s="9">
        <f>IF(B258="","",IFERROR(VLOOKUP(B258,Settings!$E$5:$G$28,3,FALSE),"Other"))</f>
        <v/>
      </c>
      <c r="I258" s="39">
        <f>IF($A258="","",IF(G258&lt;&gt;"",G258,IFERROR(VLOOKUP(C258,'Cost Library'!$A$5:$D$204,4,FALSE),0)))</f>
        <v/>
      </c>
      <c r="J258" s="9">
        <f>IF($A258="","",IF(F258&lt;&gt;"",F258,IFERROR(VLOOKUP(C258,'Cost Library'!$A$5:$D$204,3,FALSE),"")))</f>
        <v/>
      </c>
      <c r="K258" s="39">
        <f>IF($A258="","",E258*I258)</f>
        <v/>
      </c>
      <c r="L258" s="36" t="n"/>
      <c r="M258" s="39">
        <f>IF($A258="","",K258*(1+N258))</f>
        <v/>
      </c>
      <c r="N258" s="26">
        <f>IF($A258="","",IF(L258="",IFERROR(VLOOKUP(H258,Settings!$A$22:$B$27,2,FALSE),0),L258))</f>
        <v/>
      </c>
      <c r="O258" s="9">
        <f>IF(AND($A258&lt;&gt;"",$A258=Proposal!$I$2),COUNTIF($A$5:$A258,Proposal!$I$2),"")</f>
        <v/>
      </c>
      <c r="P258" s="9">
        <f>IF($A258="","",IF(COUNTIF(Jobs!$A$5:$A$44,$A258)=0,"Unknown Job ID",IF(B258="","Missing cost code",IF(COUNTIF(Settings!$E$5:$E$28,B258)=0,"Unknown cost code",IF(AND(G258="",C258=""),"No unit cost",IF(E258="","Missing qty",""))))))</f>
        <v/>
      </c>
      <c r="Q258" s="35" t="n"/>
    </row>
    <row r="259">
      <c r="A259" s="35" t="n"/>
      <c r="B259" s="35" t="n"/>
      <c r="C259" s="35" t="n"/>
      <c r="D259" s="35" t="n"/>
      <c r="E259" s="35" t="n"/>
      <c r="F259" s="35" t="n"/>
      <c r="G259" s="37" t="n"/>
      <c r="H259" s="9">
        <f>IF(B259="","",IFERROR(VLOOKUP(B259,Settings!$E$5:$G$28,3,FALSE),"Other"))</f>
        <v/>
      </c>
      <c r="I259" s="39">
        <f>IF($A259="","",IF(G259&lt;&gt;"",G259,IFERROR(VLOOKUP(C259,'Cost Library'!$A$5:$D$204,4,FALSE),0)))</f>
        <v/>
      </c>
      <c r="J259" s="9">
        <f>IF($A259="","",IF(F259&lt;&gt;"",F259,IFERROR(VLOOKUP(C259,'Cost Library'!$A$5:$D$204,3,FALSE),"")))</f>
        <v/>
      </c>
      <c r="K259" s="39">
        <f>IF($A259="","",E259*I259)</f>
        <v/>
      </c>
      <c r="L259" s="36" t="n"/>
      <c r="M259" s="39">
        <f>IF($A259="","",K259*(1+N259))</f>
        <v/>
      </c>
      <c r="N259" s="26">
        <f>IF($A259="","",IF(L259="",IFERROR(VLOOKUP(H259,Settings!$A$22:$B$27,2,FALSE),0),L259))</f>
        <v/>
      </c>
      <c r="O259" s="9">
        <f>IF(AND($A259&lt;&gt;"",$A259=Proposal!$I$2),COUNTIF($A$5:$A259,Proposal!$I$2),"")</f>
        <v/>
      </c>
      <c r="P259" s="9">
        <f>IF($A259="","",IF(COUNTIF(Jobs!$A$5:$A$44,$A259)=0,"Unknown Job ID",IF(B259="","Missing cost code",IF(COUNTIF(Settings!$E$5:$E$28,B259)=0,"Unknown cost code",IF(AND(G259="",C259=""),"No unit cost",IF(E259="","Missing qty",""))))))</f>
        <v/>
      </c>
      <c r="Q259" s="35" t="n"/>
    </row>
    <row r="260">
      <c r="A260" s="35" t="n"/>
      <c r="B260" s="35" t="n"/>
      <c r="C260" s="35" t="n"/>
      <c r="D260" s="35" t="n"/>
      <c r="E260" s="35" t="n"/>
      <c r="F260" s="35" t="n"/>
      <c r="G260" s="37" t="n"/>
      <c r="H260" s="9">
        <f>IF(B260="","",IFERROR(VLOOKUP(B260,Settings!$E$5:$G$28,3,FALSE),"Other"))</f>
        <v/>
      </c>
      <c r="I260" s="39">
        <f>IF($A260="","",IF(G260&lt;&gt;"",G260,IFERROR(VLOOKUP(C260,'Cost Library'!$A$5:$D$204,4,FALSE),0)))</f>
        <v/>
      </c>
      <c r="J260" s="9">
        <f>IF($A260="","",IF(F260&lt;&gt;"",F260,IFERROR(VLOOKUP(C260,'Cost Library'!$A$5:$D$204,3,FALSE),"")))</f>
        <v/>
      </c>
      <c r="K260" s="39">
        <f>IF($A260="","",E260*I260)</f>
        <v/>
      </c>
      <c r="L260" s="36" t="n"/>
      <c r="M260" s="39">
        <f>IF($A260="","",K260*(1+N260))</f>
        <v/>
      </c>
      <c r="N260" s="26">
        <f>IF($A260="","",IF(L260="",IFERROR(VLOOKUP(H260,Settings!$A$22:$B$27,2,FALSE),0),L260))</f>
        <v/>
      </c>
      <c r="O260" s="9">
        <f>IF(AND($A260&lt;&gt;"",$A260=Proposal!$I$2),COUNTIF($A$5:$A260,Proposal!$I$2),"")</f>
        <v/>
      </c>
      <c r="P260" s="9">
        <f>IF($A260="","",IF(COUNTIF(Jobs!$A$5:$A$44,$A260)=0,"Unknown Job ID",IF(B260="","Missing cost code",IF(COUNTIF(Settings!$E$5:$E$28,B260)=0,"Unknown cost code",IF(AND(G260="",C260=""),"No unit cost",IF(E260="","Missing qty",""))))))</f>
        <v/>
      </c>
      <c r="Q260" s="35" t="n"/>
    </row>
    <row r="261">
      <c r="A261" s="35" t="n"/>
      <c r="B261" s="35" t="n"/>
      <c r="C261" s="35" t="n"/>
      <c r="D261" s="35" t="n"/>
      <c r="E261" s="35" t="n"/>
      <c r="F261" s="35" t="n"/>
      <c r="G261" s="37" t="n"/>
      <c r="H261" s="9">
        <f>IF(B261="","",IFERROR(VLOOKUP(B261,Settings!$E$5:$G$28,3,FALSE),"Other"))</f>
        <v/>
      </c>
      <c r="I261" s="39">
        <f>IF($A261="","",IF(G261&lt;&gt;"",G261,IFERROR(VLOOKUP(C261,'Cost Library'!$A$5:$D$204,4,FALSE),0)))</f>
        <v/>
      </c>
      <c r="J261" s="9">
        <f>IF($A261="","",IF(F261&lt;&gt;"",F261,IFERROR(VLOOKUP(C261,'Cost Library'!$A$5:$D$204,3,FALSE),"")))</f>
        <v/>
      </c>
      <c r="K261" s="39">
        <f>IF($A261="","",E261*I261)</f>
        <v/>
      </c>
      <c r="L261" s="36" t="n"/>
      <c r="M261" s="39">
        <f>IF($A261="","",K261*(1+N261))</f>
        <v/>
      </c>
      <c r="N261" s="26">
        <f>IF($A261="","",IF(L261="",IFERROR(VLOOKUP(H261,Settings!$A$22:$B$27,2,FALSE),0),L261))</f>
        <v/>
      </c>
      <c r="O261" s="9">
        <f>IF(AND($A261&lt;&gt;"",$A261=Proposal!$I$2),COUNTIF($A$5:$A261,Proposal!$I$2),"")</f>
        <v/>
      </c>
      <c r="P261" s="9">
        <f>IF($A261="","",IF(COUNTIF(Jobs!$A$5:$A$44,$A261)=0,"Unknown Job ID",IF(B261="","Missing cost code",IF(COUNTIF(Settings!$E$5:$E$28,B261)=0,"Unknown cost code",IF(AND(G261="",C261=""),"No unit cost",IF(E261="","Missing qty",""))))))</f>
        <v/>
      </c>
      <c r="Q261" s="35" t="n"/>
    </row>
    <row r="262">
      <c r="A262" s="35" t="n"/>
      <c r="B262" s="35" t="n"/>
      <c r="C262" s="35" t="n"/>
      <c r="D262" s="35" t="n"/>
      <c r="E262" s="35" t="n"/>
      <c r="F262" s="35" t="n"/>
      <c r="G262" s="37" t="n"/>
      <c r="H262" s="9">
        <f>IF(B262="","",IFERROR(VLOOKUP(B262,Settings!$E$5:$G$28,3,FALSE),"Other"))</f>
        <v/>
      </c>
      <c r="I262" s="39">
        <f>IF($A262="","",IF(G262&lt;&gt;"",G262,IFERROR(VLOOKUP(C262,'Cost Library'!$A$5:$D$204,4,FALSE),0)))</f>
        <v/>
      </c>
      <c r="J262" s="9">
        <f>IF($A262="","",IF(F262&lt;&gt;"",F262,IFERROR(VLOOKUP(C262,'Cost Library'!$A$5:$D$204,3,FALSE),"")))</f>
        <v/>
      </c>
      <c r="K262" s="39">
        <f>IF($A262="","",E262*I262)</f>
        <v/>
      </c>
      <c r="L262" s="36" t="n"/>
      <c r="M262" s="39">
        <f>IF($A262="","",K262*(1+N262))</f>
        <v/>
      </c>
      <c r="N262" s="26">
        <f>IF($A262="","",IF(L262="",IFERROR(VLOOKUP(H262,Settings!$A$22:$B$27,2,FALSE),0),L262))</f>
        <v/>
      </c>
      <c r="O262" s="9">
        <f>IF(AND($A262&lt;&gt;"",$A262=Proposal!$I$2),COUNTIF($A$5:$A262,Proposal!$I$2),"")</f>
        <v/>
      </c>
      <c r="P262" s="9">
        <f>IF($A262="","",IF(COUNTIF(Jobs!$A$5:$A$44,$A262)=0,"Unknown Job ID",IF(B262="","Missing cost code",IF(COUNTIF(Settings!$E$5:$E$28,B262)=0,"Unknown cost code",IF(AND(G262="",C262=""),"No unit cost",IF(E262="","Missing qty",""))))))</f>
        <v/>
      </c>
      <c r="Q262" s="35" t="n"/>
    </row>
    <row r="263">
      <c r="A263" s="35" t="n"/>
      <c r="B263" s="35" t="n"/>
      <c r="C263" s="35" t="n"/>
      <c r="D263" s="35" t="n"/>
      <c r="E263" s="35" t="n"/>
      <c r="F263" s="35" t="n"/>
      <c r="G263" s="37" t="n"/>
      <c r="H263" s="9">
        <f>IF(B263="","",IFERROR(VLOOKUP(B263,Settings!$E$5:$G$28,3,FALSE),"Other"))</f>
        <v/>
      </c>
      <c r="I263" s="39">
        <f>IF($A263="","",IF(G263&lt;&gt;"",G263,IFERROR(VLOOKUP(C263,'Cost Library'!$A$5:$D$204,4,FALSE),0)))</f>
        <v/>
      </c>
      <c r="J263" s="9">
        <f>IF($A263="","",IF(F263&lt;&gt;"",F263,IFERROR(VLOOKUP(C263,'Cost Library'!$A$5:$D$204,3,FALSE),"")))</f>
        <v/>
      </c>
      <c r="K263" s="39">
        <f>IF($A263="","",E263*I263)</f>
        <v/>
      </c>
      <c r="L263" s="36" t="n"/>
      <c r="M263" s="39">
        <f>IF($A263="","",K263*(1+N263))</f>
        <v/>
      </c>
      <c r="N263" s="26">
        <f>IF($A263="","",IF(L263="",IFERROR(VLOOKUP(H263,Settings!$A$22:$B$27,2,FALSE),0),L263))</f>
        <v/>
      </c>
      <c r="O263" s="9">
        <f>IF(AND($A263&lt;&gt;"",$A263=Proposal!$I$2),COUNTIF($A$5:$A263,Proposal!$I$2),"")</f>
        <v/>
      </c>
      <c r="P263" s="9">
        <f>IF($A263="","",IF(COUNTIF(Jobs!$A$5:$A$44,$A263)=0,"Unknown Job ID",IF(B263="","Missing cost code",IF(COUNTIF(Settings!$E$5:$E$28,B263)=0,"Unknown cost code",IF(AND(G263="",C263=""),"No unit cost",IF(E263="","Missing qty",""))))))</f>
        <v/>
      </c>
      <c r="Q263" s="35" t="n"/>
    </row>
    <row r="264">
      <c r="A264" s="35" t="n"/>
      <c r="B264" s="35" t="n"/>
      <c r="C264" s="35" t="n"/>
      <c r="D264" s="35" t="n"/>
      <c r="E264" s="35" t="n"/>
      <c r="F264" s="35" t="n"/>
      <c r="G264" s="37" t="n"/>
      <c r="H264" s="9">
        <f>IF(B264="","",IFERROR(VLOOKUP(B264,Settings!$E$5:$G$28,3,FALSE),"Other"))</f>
        <v/>
      </c>
      <c r="I264" s="39">
        <f>IF($A264="","",IF(G264&lt;&gt;"",G264,IFERROR(VLOOKUP(C264,'Cost Library'!$A$5:$D$204,4,FALSE),0)))</f>
        <v/>
      </c>
      <c r="J264" s="9">
        <f>IF($A264="","",IF(F264&lt;&gt;"",F264,IFERROR(VLOOKUP(C264,'Cost Library'!$A$5:$D$204,3,FALSE),"")))</f>
        <v/>
      </c>
      <c r="K264" s="39">
        <f>IF($A264="","",E264*I264)</f>
        <v/>
      </c>
      <c r="L264" s="36" t="n"/>
      <c r="M264" s="39">
        <f>IF($A264="","",K264*(1+N264))</f>
        <v/>
      </c>
      <c r="N264" s="26">
        <f>IF($A264="","",IF(L264="",IFERROR(VLOOKUP(H264,Settings!$A$22:$B$27,2,FALSE),0),L264))</f>
        <v/>
      </c>
      <c r="O264" s="9">
        <f>IF(AND($A264&lt;&gt;"",$A264=Proposal!$I$2),COUNTIF($A$5:$A264,Proposal!$I$2),"")</f>
        <v/>
      </c>
      <c r="P264" s="9">
        <f>IF($A264="","",IF(COUNTIF(Jobs!$A$5:$A$44,$A264)=0,"Unknown Job ID",IF(B264="","Missing cost code",IF(COUNTIF(Settings!$E$5:$E$28,B264)=0,"Unknown cost code",IF(AND(G264="",C264=""),"No unit cost",IF(E264="","Missing qty",""))))))</f>
        <v/>
      </c>
      <c r="Q264" s="35" t="n"/>
    </row>
    <row r="265">
      <c r="A265" s="35" t="n"/>
      <c r="B265" s="35" t="n"/>
      <c r="C265" s="35" t="n"/>
      <c r="D265" s="35" t="n"/>
      <c r="E265" s="35" t="n"/>
      <c r="F265" s="35" t="n"/>
      <c r="G265" s="37" t="n"/>
      <c r="H265" s="9">
        <f>IF(B265="","",IFERROR(VLOOKUP(B265,Settings!$E$5:$G$28,3,FALSE),"Other"))</f>
        <v/>
      </c>
      <c r="I265" s="39">
        <f>IF($A265="","",IF(G265&lt;&gt;"",G265,IFERROR(VLOOKUP(C265,'Cost Library'!$A$5:$D$204,4,FALSE),0)))</f>
        <v/>
      </c>
      <c r="J265" s="9">
        <f>IF($A265="","",IF(F265&lt;&gt;"",F265,IFERROR(VLOOKUP(C265,'Cost Library'!$A$5:$D$204,3,FALSE),"")))</f>
        <v/>
      </c>
      <c r="K265" s="39">
        <f>IF($A265="","",E265*I265)</f>
        <v/>
      </c>
      <c r="L265" s="36" t="n"/>
      <c r="M265" s="39">
        <f>IF($A265="","",K265*(1+N265))</f>
        <v/>
      </c>
      <c r="N265" s="26">
        <f>IF($A265="","",IF(L265="",IFERROR(VLOOKUP(H265,Settings!$A$22:$B$27,2,FALSE),0),L265))</f>
        <v/>
      </c>
      <c r="O265" s="9">
        <f>IF(AND($A265&lt;&gt;"",$A265=Proposal!$I$2),COUNTIF($A$5:$A265,Proposal!$I$2),"")</f>
        <v/>
      </c>
      <c r="P265" s="9">
        <f>IF($A265="","",IF(COUNTIF(Jobs!$A$5:$A$44,$A265)=0,"Unknown Job ID",IF(B265="","Missing cost code",IF(COUNTIF(Settings!$E$5:$E$28,B265)=0,"Unknown cost code",IF(AND(G265="",C265=""),"No unit cost",IF(E265="","Missing qty",""))))))</f>
        <v/>
      </c>
      <c r="Q265" s="35" t="n"/>
    </row>
    <row r="266">
      <c r="A266" s="35" t="n"/>
      <c r="B266" s="35" t="n"/>
      <c r="C266" s="35" t="n"/>
      <c r="D266" s="35" t="n"/>
      <c r="E266" s="35" t="n"/>
      <c r="F266" s="35" t="n"/>
      <c r="G266" s="37" t="n"/>
      <c r="H266" s="9">
        <f>IF(B266="","",IFERROR(VLOOKUP(B266,Settings!$E$5:$G$28,3,FALSE),"Other"))</f>
        <v/>
      </c>
      <c r="I266" s="39">
        <f>IF($A266="","",IF(G266&lt;&gt;"",G266,IFERROR(VLOOKUP(C266,'Cost Library'!$A$5:$D$204,4,FALSE),0)))</f>
        <v/>
      </c>
      <c r="J266" s="9">
        <f>IF($A266="","",IF(F266&lt;&gt;"",F266,IFERROR(VLOOKUP(C266,'Cost Library'!$A$5:$D$204,3,FALSE),"")))</f>
        <v/>
      </c>
      <c r="K266" s="39">
        <f>IF($A266="","",E266*I266)</f>
        <v/>
      </c>
      <c r="L266" s="36" t="n"/>
      <c r="M266" s="39">
        <f>IF($A266="","",K266*(1+N266))</f>
        <v/>
      </c>
      <c r="N266" s="26">
        <f>IF($A266="","",IF(L266="",IFERROR(VLOOKUP(H266,Settings!$A$22:$B$27,2,FALSE),0),L266))</f>
        <v/>
      </c>
      <c r="O266" s="9">
        <f>IF(AND($A266&lt;&gt;"",$A266=Proposal!$I$2),COUNTIF($A$5:$A266,Proposal!$I$2),"")</f>
        <v/>
      </c>
      <c r="P266" s="9">
        <f>IF($A266="","",IF(COUNTIF(Jobs!$A$5:$A$44,$A266)=0,"Unknown Job ID",IF(B266="","Missing cost code",IF(COUNTIF(Settings!$E$5:$E$28,B266)=0,"Unknown cost code",IF(AND(G266="",C266=""),"No unit cost",IF(E266="","Missing qty",""))))))</f>
        <v/>
      </c>
      <c r="Q266" s="35" t="n"/>
    </row>
    <row r="267">
      <c r="A267" s="35" t="n"/>
      <c r="B267" s="35" t="n"/>
      <c r="C267" s="35" t="n"/>
      <c r="D267" s="35" t="n"/>
      <c r="E267" s="35" t="n"/>
      <c r="F267" s="35" t="n"/>
      <c r="G267" s="37" t="n"/>
      <c r="H267" s="9">
        <f>IF(B267="","",IFERROR(VLOOKUP(B267,Settings!$E$5:$G$28,3,FALSE),"Other"))</f>
        <v/>
      </c>
      <c r="I267" s="39">
        <f>IF($A267="","",IF(G267&lt;&gt;"",G267,IFERROR(VLOOKUP(C267,'Cost Library'!$A$5:$D$204,4,FALSE),0)))</f>
        <v/>
      </c>
      <c r="J267" s="9">
        <f>IF($A267="","",IF(F267&lt;&gt;"",F267,IFERROR(VLOOKUP(C267,'Cost Library'!$A$5:$D$204,3,FALSE),"")))</f>
        <v/>
      </c>
      <c r="K267" s="39">
        <f>IF($A267="","",E267*I267)</f>
        <v/>
      </c>
      <c r="L267" s="36" t="n"/>
      <c r="M267" s="39">
        <f>IF($A267="","",K267*(1+N267))</f>
        <v/>
      </c>
      <c r="N267" s="26">
        <f>IF($A267="","",IF(L267="",IFERROR(VLOOKUP(H267,Settings!$A$22:$B$27,2,FALSE),0),L267))</f>
        <v/>
      </c>
      <c r="O267" s="9">
        <f>IF(AND($A267&lt;&gt;"",$A267=Proposal!$I$2),COUNTIF($A$5:$A267,Proposal!$I$2),"")</f>
        <v/>
      </c>
      <c r="P267" s="9">
        <f>IF($A267="","",IF(COUNTIF(Jobs!$A$5:$A$44,$A267)=0,"Unknown Job ID",IF(B267="","Missing cost code",IF(COUNTIF(Settings!$E$5:$E$28,B267)=0,"Unknown cost code",IF(AND(G267="",C267=""),"No unit cost",IF(E267="","Missing qty",""))))))</f>
        <v/>
      </c>
      <c r="Q267" s="35" t="n"/>
    </row>
    <row r="268">
      <c r="A268" s="35" t="n"/>
      <c r="B268" s="35" t="n"/>
      <c r="C268" s="35" t="n"/>
      <c r="D268" s="35" t="n"/>
      <c r="E268" s="35" t="n"/>
      <c r="F268" s="35" t="n"/>
      <c r="G268" s="37" t="n"/>
      <c r="H268" s="9">
        <f>IF(B268="","",IFERROR(VLOOKUP(B268,Settings!$E$5:$G$28,3,FALSE),"Other"))</f>
        <v/>
      </c>
      <c r="I268" s="39">
        <f>IF($A268="","",IF(G268&lt;&gt;"",G268,IFERROR(VLOOKUP(C268,'Cost Library'!$A$5:$D$204,4,FALSE),0)))</f>
        <v/>
      </c>
      <c r="J268" s="9">
        <f>IF($A268="","",IF(F268&lt;&gt;"",F268,IFERROR(VLOOKUP(C268,'Cost Library'!$A$5:$D$204,3,FALSE),"")))</f>
        <v/>
      </c>
      <c r="K268" s="39">
        <f>IF($A268="","",E268*I268)</f>
        <v/>
      </c>
      <c r="L268" s="36" t="n"/>
      <c r="M268" s="39">
        <f>IF($A268="","",K268*(1+N268))</f>
        <v/>
      </c>
      <c r="N268" s="26">
        <f>IF($A268="","",IF(L268="",IFERROR(VLOOKUP(H268,Settings!$A$22:$B$27,2,FALSE),0),L268))</f>
        <v/>
      </c>
      <c r="O268" s="9">
        <f>IF(AND($A268&lt;&gt;"",$A268=Proposal!$I$2),COUNTIF($A$5:$A268,Proposal!$I$2),"")</f>
        <v/>
      </c>
      <c r="P268" s="9">
        <f>IF($A268="","",IF(COUNTIF(Jobs!$A$5:$A$44,$A268)=0,"Unknown Job ID",IF(B268="","Missing cost code",IF(COUNTIF(Settings!$E$5:$E$28,B268)=0,"Unknown cost code",IF(AND(G268="",C268=""),"No unit cost",IF(E268="","Missing qty",""))))))</f>
        <v/>
      </c>
      <c r="Q268" s="35" t="n"/>
    </row>
    <row r="269">
      <c r="A269" s="35" t="n"/>
      <c r="B269" s="35" t="n"/>
      <c r="C269" s="35" t="n"/>
      <c r="D269" s="35" t="n"/>
      <c r="E269" s="35" t="n"/>
      <c r="F269" s="35" t="n"/>
      <c r="G269" s="37" t="n"/>
      <c r="H269" s="9">
        <f>IF(B269="","",IFERROR(VLOOKUP(B269,Settings!$E$5:$G$28,3,FALSE),"Other"))</f>
        <v/>
      </c>
      <c r="I269" s="39">
        <f>IF($A269="","",IF(G269&lt;&gt;"",G269,IFERROR(VLOOKUP(C269,'Cost Library'!$A$5:$D$204,4,FALSE),0)))</f>
        <v/>
      </c>
      <c r="J269" s="9">
        <f>IF($A269="","",IF(F269&lt;&gt;"",F269,IFERROR(VLOOKUP(C269,'Cost Library'!$A$5:$D$204,3,FALSE),"")))</f>
        <v/>
      </c>
      <c r="K269" s="39">
        <f>IF($A269="","",E269*I269)</f>
        <v/>
      </c>
      <c r="L269" s="36" t="n"/>
      <c r="M269" s="39">
        <f>IF($A269="","",K269*(1+N269))</f>
        <v/>
      </c>
      <c r="N269" s="26">
        <f>IF($A269="","",IF(L269="",IFERROR(VLOOKUP(H269,Settings!$A$22:$B$27,2,FALSE),0),L269))</f>
        <v/>
      </c>
      <c r="O269" s="9">
        <f>IF(AND($A269&lt;&gt;"",$A269=Proposal!$I$2),COUNTIF($A$5:$A269,Proposal!$I$2),"")</f>
        <v/>
      </c>
      <c r="P269" s="9">
        <f>IF($A269="","",IF(COUNTIF(Jobs!$A$5:$A$44,$A269)=0,"Unknown Job ID",IF(B269="","Missing cost code",IF(COUNTIF(Settings!$E$5:$E$28,B269)=0,"Unknown cost code",IF(AND(G269="",C269=""),"No unit cost",IF(E269="","Missing qty",""))))))</f>
        <v/>
      </c>
      <c r="Q269" s="35" t="n"/>
    </row>
    <row r="270">
      <c r="A270" s="35" t="n"/>
      <c r="B270" s="35" t="n"/>
      <c r="C270" s="35" t="n"/>
      <c r="D270" s="35" t="n"/>
      <c r="E270" s="35" t="n"/>
      <c r="F270" s="35" t="n"/>
      <c r="G270" s="37" t="n"/>
      <c r="H270" s="9">
        <f>IF(B270="","",IFERROR(VLOOKUP(B270,Settings!$E$5:$G$28,3,FALSE),"Other"))</f>
        <v/>
      </c>
      <c r="I270" s="39">
        <f>IF($A270="","",IF(G270&lt;&gt;"",G270,IFERROR(VLOOKUP(C270,'Cost Library'!$A$5:$D$204,4,FALSE),0)))</f>
        <v/>
      </c>
      <c r="J270" s="9">
        <f>IF($A270="","",IF(F270&lt;&gt;"",F270,IFERROR(VLOOKUP(C270,'Cost Library'!$A$5:$D$204,3,FALSE),"")))</f>
        <v/>
      </c>
      <c r="K270" s="39">
        <f>IF($A270="","",E270*I270)</f>
        <v/>
      </c>
      <c r="L270" s="36" t="n"/>
      <c r="M270" s="39">
        <f>IF($A270="","",K270*(1+N270))</f>
        <v/>
      </c>
      <c r="N270" s="26">
        <f>IF($A270="","",IF(L270="",IFERROR(VLOOKUP(H270,Settings!$A$22:$B$27,2,FALSE),0),L270))</f>
        <v/>
      </c>
      <c r="O270" s="9">
        <f>IF(AND($A270&lt;&gt;"",$A270=Proposal!$I$2),COUNTIF($A$5:$A270,Proposal!$I$2),"")</f>
        <v/>
      </c>
      <c r="P270" s="9">
        <f>IF($A270="","",IF(COUNTIF(Jobs!$A$5:$A$44,$A270)=0,"Unknown Job ID",IF(B270="","Missing cost code",IF(COUNTIF(Settings!$E$5:$E$28,B270)=0,"Unknown cost code",IF(AND(G270="",C270=""),"No unit cost",IF(E270="","Missing qty",""))))))</f>
        <v/>
      </c>
      <c r="Q270" s="35" t="n"/>
    </row>
    <row r="271">
      <c r="A271" s="35" t="n"/>
      <c r="B271" s="35" t="n"/>
      <c r="C271" s="35" t="n"/>
      <c r="D271" s="35" t="n"/>
      <c r="E271" s="35" t="n"/>
      <c r="F271" s="35" t="n"/>
      <c r="G271" s="37" t="n"/>
      <c r="H271" s="9">
        <f>IF(B271="","",IFERROR(VLOOKUP(B271,Settings!$E$5:$G$28,3,FALSE),"Other"))</f>
        <v/>
      </c>
      <c r="I271" s="39">
        <f>IF($A271="","",IF(G271&lt;&gt;"",G271,IFERROR(VLOOKUP(C271,'Cost Library'!$A$5:$D$204,4,FALSE),0)))</f>
        <v/>
      </c>
      <c r="J271" s="9">
        <f>IF($A271="","",IF(F271&lt;&gt;"",F271,IFERROR(VLOOKUP(C271,'Cost Library'!$A$5:$D$204,3,FALSE),"")))</f>
        <v/>
      </c>
      <c r="K271" s="39">
        <f>IF($A271="","",E271*I271)</f>
        <v/>
      </c>
      <c r="L271" s="36" t="n"/>
      <c r="M271" s="39">
        <f>IF($A271="","",K271*(1+N271))</f>
        <v/>
      </c>
      <c r="N271" s="26">
        <f>IF($A271="","",IF(L271="",IFERROR(VLOOKUP(H271,Settings!$A$22:$B$27,2,FALSE),0),L271))</f>
        <v/>
      </c>
      <c r="O271" s="9">
        <f>IF(AND($A271&lt;&gt;"",$A271=Proposal!$I$2),COUNTIF($A$5:$A271,Proposal!$I$2),"")</f>
        <v/>
      </c>
      <c r="P271" s="9">
        <f>IF($A271="","",IF(COUNTIF(Jobs!$A$5:$A$44,$A271)=0,"Unknown Job ID",IF(B271="","Missing cost code",IF(COUNTIF(Settings!$E$5:$E$28,B271)=0,"Unknown cost code",IF(AND(G271="",C271=""),"No unit cost",IF(E271="","Missing qty",""))))))</f>
        <v/>
      </c>
      <c r="Q271" s="35" t="n"/>
    </row>
    <row r="272">
      <c r="A272" s="35" t="n"/>
      <c r="B272" s="35" t="n"/>
      <c r="C272" s="35" t="n"/>
      <c r="D272" s="35" t="n"/>
      <c r="E272" s="35" t="n"/>
      <c r="F272" s="35" t="n"/>
      <c r="G272" s="37" t="n"/>
      <c r="H272" s="9">
        <f>IF(B272="","",IFERROR(VLOOKUP(B272,Settings!$E$5:$G$28,3,FALSE),"Other"))</f>
        <v/>
      </c>
      <c r="I272" s="39">
        <f>IF($A272="","",IF(G272&lt;&gt;"",G272,IFERROR(VLOOKUP(C272,'Cost Library'!$A$5:$D$204,4,FALSE),0)))</f>
        <v/>
      </c>
      <c r="J272" s="9">
        <f>IF($A272="","",IF(F272&lt;&gt;"",F272,IFERROR(VLOOKUP(C272,'Cost Library'!$A$5:$D$204,3,FALSE),"")))</f>
        <v/>
      </c>
      <c r="K272" s="39">
        <f>IF($A272="","",E272*I272)</f>
        <v/>
      </c>
      <c r="L272" s="36" t="n"/>
      <c r="M272" s="39">
        <f>IF($A272="","",K272*(1+N272))</f>
        <v/>
      </c>
      <c r="N272" s="26">
        <f>IF($A272="","",IF(L272="",IFERROR(VLOOKUP(H272,Settings!$A$22:$B$27,2,FALSE),0),L272))</f>
        <v/>
      </c>
      <c r="O272" s="9">
        <f>IF(AND($A272&lt;&gt;"",$A272=Proposal!$I$2),COUNTIF($A$5:$A272,Proposal!$I$2),"")</f>
        <v/>
      </c>
      <c r="P272" s="9">
        <f>IF($A272="","",IF(COUNTIF(Jobs!$A$5:$A$44,$A272)=0,"Unknown Job ID",IF(B272="","Missing cost code",IF(COUNTIF(Settings!$E$5:$E$28,B272)=0,"Unknown cost code",IF(AND(G272="",C272=""),"No unit cost",IF(E272="","Missing qty",""))))))</f>
        <v/>
      </c>
      <c r="Q272" s="35" t="n"/>
    </row>
    <row r="273">
      <c r="A273" s="35" t="n"/>
      <c r="B273" s="35" t="n"/>
      <c r="C273" s="35" t="n"/>
      <c r="D273" s="35" t="n"/>
      <c r="E273" s="35" t="n"/>
      <c r="F273" s="35" t="n"/>
      <c r="G273" s="37" t="n"/>
      <c r="H273" s="9">
        <f>IF(B273="","",IFERROR(VLOOKUP(B273,Settings!$E$5:$G$28,3,FALSE),"Other"))</f>
        <v/>
      </c>
      <c r="I273" s="39">
        <f>IF($A273="","",IF(G273&lt;&gt;"",G273,IFERROR(VLOOKUP(C273,'Cost Library'!$A$5:$D$204,4,FALSE),0)))</f>
        <v/>
      </c>
      <c r="J273" s="9">
        <f>IF($A273="","",IF(F273&lt;&gt;"",F273,IFERROR(VLOOKUP(C273,'Cost Library'!$A$5:$D$204,3,FALSE),"")))</f>
        <v/>
      </c>
      <c r="K273" s="39">
        <f>IF($A273="","",E273*I273)</f>
        <v/>
      </c>
      <c r="L273" s="36" t="n"/>
      <c r="M273" s="39">
        <f>IF($A273="","",K273*(1+N273))</f>
        <v/>
      </c>
      <c r="N273" s="26">
        <f>IF($A273="","",IF(L273="",IFERROR(VLOOKUP(H273,Settings!$A$22:$B$27,2,FALSE),0),L273))</f>
        <v/>
      </c>
      <c r="O273" s="9">
        <f>IF(AND($A273&lt;&gt;"",$A273=Proposal!$I$2),COUNTIF($A$5:$A273,Proposal!$I$2),"")</f>
        <v/>
      </c>
      <c r="P273" s="9">
        <f>IF($A273="","",IF(COUNTIF(Jobs!$A$5:$A$44,$A273)=0,"Unknown Job ID",IF(B273="","Missing cost code",IF(COUNTIF(Settings!$E$5:$E$28,B273)=0,"Unknown cost code",IF(AND(G273="",C273=""),"No unit cost",IF(E273="","Missing qty",""))))))</f>
        <v/>
      </c>
      <c r="Q273" s="35" t="n"/>
    </row>
    <row r="274">
      <c r="A274" s="35" t="n"/>
      <c r="B274" s="35" t="n"/>
      <c r="C274" s="35" t="n"/>
      <c r="D274" s="35" t="n"/>
      <c r="E274" s="35" t="n"/>
      <c r="F274" s="35" t="n"/>
      <c r="G274" s="37" t="n"/>
      <c r="H274" s="9">
        <f>IF(B274="","",IFERROR(VLOOKUP(B274,Settings!$E$5:$G$28,3,FALSE),"Other"))</f>
        <v/>
      </c>
      <c r="I274" s="39">
        <f>IF($A274="","",IF(G274&lt;&gt;"",G274,IFERROR(VLOOKUP(C274,'Cost Library'!$A$5:$D$204,4,FALSE),0)))</f>
        <v/>
      </c>
      <c r="J274" s="9">
        <f>IF($A274="","",IF(F274&lt;&gt;"",F274,IFERROR(VLOOKUP(C274,'Cost Library'!$A$5:$D$204,3,FALSE),"")))</f>
        <v/>
      </c>
      <c r="K274" s="39">
        <f>IF($A274="","",E274*I274)</f>
        <v/>
      </c>
      <c r="L274" s="36" t="n"/>
      <c r="M274" s="39">
        <f>IF($A274="","",K274*(1+N274))</f>
        <v/>
      </c>
      <c r="N274" s="26">
        <f>IF($A274="","",IF(L274="",IFERROR(VLOOKUP(H274,Settings!$A$22:$B$27,2,FALSE),0),L274))</f>
        <v/>
      </c>
      <c r="O274" s="9">
        <f>IF(AND($A274&lt;&gt;"",$A274=Proposal!$I$2),COUNTIF($A$5:$A274,Proposal!$I$2),"")</f>
        <v/>
      </c>
      <c r="P274" s="9">
        <f>IF($A274="","",IF(COUNTIF(Jobs!$A$5:$A$44,$A274)=0,"Unknown Job ID",IF(B274="","Missing cost code",IF(COUNTIF(Settings!$E$5:$E$28,B274)=0,"Unknown cost code",IF(AND(G274="",C274=""),"No unit cost",IF(E274="","Missing qty",""))))))</f>
        <v/>
      </c>
      <c r="Q274" s="35" t="n"/>
    </row>
    <row r="275">
      <c r="A275" s="35" t="n"/>
      <c r="B275" s="35" t="n"/>
      <c r="C275" s="35" t="n"/>
      <c r="D275" s="35" t="n"/>
      <c r="E275" s="35" t="n"/>
      <c r="F275" s="35" t="n"/>
      <c r="G275" s="37" t="n"/>
      <c r="H275" s="9">
        <f>IF(B275="","",IFERROR(VLOOKUP(B275,Settings!$E$5:$G$28,3,FALSE),"Other"))</f>
        <v/>
      </c>
      <c r="I275" s="39">
        <f>IF($A275="","",IF(G275&lt;&gt;"",G275,IFERROR(VLOOKUP(C275,'Cost Library'!$A$5:$D$204,4,FALSE),0)))</f>
        <v/>
      </c>
      <c r="J275" s="9">
        <f>IF($A275="","",IF(F275&lt;&gt;"",F275,IFERROR(VLOOKUP(C275,'Cost Library'!$A$5:$D$204,3,FALSE),"")))</f>
        <v/>
      </c>
      <c r="K275" s="39">
        <f>IF($A275="","",E275*I275)</f>
        <v/>
      </c>
      <c r="L275" s="36" t="n"/>
      <c r="M275" s="39">
        <f>IF($A275="","",K275*(1+N275))</f>
        <v/>
      </c>
      <c r="N275" s="26">
        <f>IF($A275="","",IF(L275="",IFERROR(VLOOKUP(H275,Settings!$A$22:$B$27,2,FALSE),0),L275))</f>
        <v/>
      </c>
      <c r="O275" s="9">
        <f>IF(AND($A275&lt;&gt;"",$A275=Proposal!$I$2),COUNTIF($A$5:$A275,Proposal!$I$2),"")</f>
        <v/>
      </c>
      <c r="P275" s="9">
        <f>IF($A275="","",IF(COUNTIF(Jobs!$A$5:$A$44,$A275)=0,"Unknown Job ID",IF(B275="","Missing cost code",IF(COUNTIF(Settings!$E$5:$E$28,B275)=0,"Unknown cost code",IF(AND(G275="",C275=""),"No unit cost",IF(E275="","Missing qty",""))))))</f>
        <v/>
      </c>
      <c r="Q275" s="35" t="n"/>
    </row>
    <row r="276">
      <c r="A276" s="35" t="n"/>
      <c r="B276" s="35" t="n"/>
      <c r="C276" s="35" t="n"/>
      <c r="D276" s="35" t="n"/>
      <c r="E276" s="35" t="n"/>
      <c r="F276" s="35" t="n"/>
      <c r="G276" s="37" t="n"/>
      <c r="H276" s="9">
        <f>IF(B276="","",IFERROR(VLOOKUP(B276,Settings!$E$5:$G$28,3,FALSE),"Other"))</f>
        <v/>
      </c>
      <c r="I276" s="39">
        <f>IF($A276="","",IF(G276&lt;&gt;"",G276,IFERROR(VLOOKUP(C276,'Cost Library'!$A$5:$D$204,4,FALSE),0)))</f>
        <v/>
      </c>
      <c r="J276" s="9">
        <f>IF($A276="","",IF(F276&lt;&gt;"",F276,IFERROR(VLOOKUP(C276,'Cost Library'!$A$5:$D$204,3,FALSE),"")))</f>
        <v/>
      </c>
      <c r="K276" s="39">
        <f>IF($A276="","",E276*I276)</f>
        <v/>
      </c>
      <c r="L276" s="36" t="n"/>
      <c r="M276" s="39">
        <f>IF($A276="","",K276*(1+N276))</f>
        <v/>
      </c>
      <c r="N276" s="26">
        <f>IF($A276="","",IF(L276="",IFERROR(VLOOKUP(H276,Settings!$A$22:$B$27,2,FALSE),0),L276))</f>
        <v/>
      </c>
      <c r="O276" s="9">
        <f>IF(AND($A276&lt;&gt;"",$A276=Proposal!$I$2),COUNTIF($A$5:$A276,Proposal!$I$2),"")</f>
        <v/>
      </c>
      <c r="P276" s="9">
        <f>IF($A276="","",IF(COUNTIF(Jobs!$A$5:$A$44,$A276)=0,"Unknown Job ID",IF(B276="","Missing cost code",IF(COUNTIF(Settings!$E$5:$E$28,B276)=0,"Unknown cost code",IF(AND(G276="",C276=""),"No unit cost",IF(E276="","Missing qty",""))))))</f>
        <v/>
      </c>
      <c r="Q276" s="35" t="n"/>
    </row>
    <row r="277">
      <c r="A277" s="35" t="n"/>
      <c r="B277" s="35" t="n"/>
      <c r="C277" s="35" t="n"/>
      <c r="D277" s="35" t="n"/>
      <c r="E277" s="35" t="n"/>
      <c r="F277" s="35" t="n"/>
      <c r="G277" s="37" t="n"/>
      <c r="H277" s="9">
        <f>IF(B277="","",IFERROR(VLOOKUP(B277,Settings!$E$5:$G$28,3,FALSE),"Other"))</f>
        <v/>
      </c>
      <c r="I277" s="39">
        <f>IF($A277="","",IF(G277&lt;&gt;"",G277,IFERROR(VLOOKUP(C277,'Cost Library'!$A$5:$D$204,4,FALSE),0)))</f>
        <v/>
      </c>
      <c r="J277" s="9">
        <f>IF($A277="","",IF(F277&lt;&gt;"",F277,IFERROR(VLOOKUP(C277,'Cost Library'!$A$5:$D$204,3,FALSE),"")))</f>
        <v/>
      </c>
      <c r="K277" s="39">
        <f>IF($A277="","",E277*I277)</f>
        <v/>
      </c>
      <c r="L277" s="36" t="n"/>
      <c r="M277" s="39">
        <f>IF($A277="","",K277*(1+N277))</f>
        <v/>
      </c>
      <c r="N277" s="26">
        <f>IF($A277="","",IF(L277="",IFERROR(VLOOKUP(H277,Settings!$A$22:$B$27,2,FALSE),0),L277))</f>
        <v/>
      </c>
      <c r="O277" s="9">
        <f>IF(AND($A277&lt;&gt;"",$A277=Proposal!$I$2),COUNTIF($A$5:$A277,Proposal!$I$2),"")</f>
        <v/>
      </c>
      <c r="P277" s="9">
        <f>IF($A277="","",IF(COUNTIF(Jobs!$A$5:$A$44,$A277)=0,"Unknown Job ID",IF(B277="","Missing cost code",IF(COUNTIF(Settings!$E$5:$E$28,B277)=0,"Unknown cost code",IF(AND(G277="",C277=""),"No unit cost",IF(E277="","Missing qty",""))))))</f>
        <v/>
      </c>
      <c r="Q277" s="35" t="n"/>
    </row>
    <row r="278">
      <c r="A278" s="35" t="n"/>
      <c r="B278" s="35" t="n"/>
      <c r="C278" s="35" t="n"/>
      <c r="D278" s="35" t="n"/>
      <c r="E278" s="35" t="n"/>
      <c r="F278" s="35" t="n"/>
      <c r="G278" s="37" t="n"/>
      <c r="H278" s="9">
        <f>IF(B278="","",IFERROR(VLOOKUP(B278,Settings!$E$5:$G$28,3,FALSE),"Other"))</f>
        <v/>
      </c>
      <c r="I278" s="39">
        <f>IF($A278="","",IF(G278&lt;&gt;"",G278,IFERROR(VLOOKUP(C278,'Cost Library'!$A$5:$D$204,4,FALSE),0)))</f>
        <v/>
      </c>
      <c r="J278" s="9">
        <f>IF($A278="","",IF(F278&lt;&gt;"",F278,IFERROR(VLOOKUP(C278,'Cost Library'!$A$5:$D$204,3,FALSE),"")))</f>
        <v/>
      </c>
      <c r="K278" s="39">
        <f>IF($A278="","",E278*I278)</f>
        <v/>
      </c>
      <c r="L278" s="36" t="n"/>
      <c r="M278" s="39">
        <f>IF($A278="","",K278*(1+N278))</f>
        <v/>
      </c>
      <c r="N278" s="26">
        <f>IF($A278="","",IF(L278="",IFERROR(VLOOKUP(H278,Settings!$A$22:$B$27,2,FALSE),0),L278))</f>
        <v/>
      </c>
      <c r="O278" s="9">
        <f>IF(AND($A278&lt;&gt;"",$A278=Proposal!$I$2),COUNTIF($A$5:$A278,Proposal!$I$2),"")</f>
        <v/>
      </c>
      <c r="P278" s="9">
        <f>IF($A278="","",IF(COUNTIF(Jobs!$A$5:$A$44,$A278)=0,"Unknown Job ID",IF(B278="","Missing cost code",IF(COUNTIF(Settings!$E$5:$E$28,B278)=0,"Unknown cost code",IF(AND(G278="",C278=""),"No unit cost",IF(E278="","Missing qty",""))))))</f>
        <v/>
      </c>
      <c r="Q278" s="35" t="n"/>
    </row>
    <row r="279">
      <c r="A279" s="35" t="n"/>
      <c r="B279" s="35" t="n"/>
      <c r="C279" s="35" t="n"/>
      <c r="D279" s="35" t="n"/>
      <c r="E279" s="35" t="n"/>
      <c r="F279" s="35" t="n"/>
      <c r="G279" s="37" t="n"/>
      <c r="H279" s="9">
        <f>IF(B279="","",IFERROR(VLOOKUP(B279,Settings!$E$5:$G$28,3,FALSE),"Other"))</f>
        <v/>
      </c>
      <c r="I279" s="39">
        <f>IF($A279="","",IF(G279&lt;&gt;"",G279,IFERROR(VLOOKUP(C279,'Cost Library'!$A$5:$D$204,4,FALSE),0)))</f>
        <v/>
      </c>
      <c r="J279" s="9">
        <f>IF($A279="","",IF(F279&lt;&gt;"",F279,IFERROR(VLOOKUP(C279,'Cost Library'!$A$5:$D$204,3,FALSE),"")))</f>
        <v/>
      </c>
      <c r="K279" s="39">
        <f>IF($A279="","",E279*I279)</f>
        <v/>
      </c>
      <c r="L279" s="36" t="n"/>
      <c r="M279" s="39">
        <f>IF($A279="","",K279*(1+N279))</f>
        <v/>
      </c>
      <c r="N279" s="26">
        <f>IF($A279="","",IF(L279="",IFERROR(VLOOKUP(H279,Settings!$A$22:$B$27,2,FALSE),0),L279))</f>
        <v/>
      </c>
      <c r="O279" s="9">
        <f>IF(AND($A279&lt;&gt;"",$A279=Proposal!$I$2),COUNTIF($A$5:$A279,Proposal!$I$2),"")</f>
        <v/>
      </c>
      <c r="P279" s="9">
        <f>IF($A279="","",IF(COUNTIF(Jobs!$A$5:$A$44,$A279)=0,"Unknown Job ID",IF(B279="","Missing cost code",IF(COUNTIF(Settings!$E$5:$E$28,B279)=0,"Unknown cost code",IF(AND(G279="",C279=""),"No unit cost",IF(E279="","Missing qty",""))))))</f>
        <v/>
      </c>
      <c r="Q279" s="35" t="n"/>
    </row>
    <row r="280">
      <c r="A280" s="35" t="n"/>
      <c r="B280" s="35" t="n"/>
      <c r="C280" s="35" t="n"/>
      <c r="D280" s="35" t="n"/>
      <c r="E280" s="35" t="n"/>
      <c r="F280" s="35" t="n"/>
      <c r="G280" s="37" t="n"/>
      <c r="H280" s="9">
        <f>IF(B280="","",IFERROR(VLOOKUP(B280,Settings!$E$5:$G$28,3,FALSE),"Other"))</f>
        <v/>
      </c>
      <c r="I280" s="39">
        <f>IF($A280="","",IF(G280&lt;&gt;"",G280,IFERROR(VLOOKUP(C280,'Cost Library'!$A$5:$D$204,4,FALSE),0)))</f>
        <v/>
      </c>
      <c r="J280" s="9">
        <f>IF($A280="","",IF(F280&lt;&gt;"",F280,IFERROR(VLOOKUP(C280,'Cost Library'!$A$5:$D$204,3,FALSE),"")))</f>
        <v/>
      </c>
      <c r="K280" s="39">
        <f>IF($A280="","",E280*I280)</f>
        <v/>
      </c>
      <c r="L280" s="36" t="n"/>
      <c r="M280" s="39">
        <f>IF($A280="","",K280*(1+N280))</f>
        <v/>
      </c>
      <c r="N280" s="26">
        <f>IF($A280="","",IF(L280="",IFERROR(VLOOKUP(H280,Settings!$A$22:$B$27,2,FALSE),0),L280))</f>
        <v/>
      </c>
      <c r="O280" s="9">
        <f>IF(AND($A280&lt;&gt;"",$A280=Proposal!$I$2),COUNTIF($A$5:$A280,Proposal!$I$2),"")</f>
        <v/>
      </c>
      <c r="P280" s="9">
        <f>IF($A280="","",IF(COUNTIF(Jobs!$A$5:$A$44,$A280)=0,"Unknown Job ID",IF(B280="","Missing cost code",IF(COUNTIF(Settings!$E$5:$E$28,B280)=0,"Unknown cost code",IF(AND(G280="",C280=""),"No unit cost",IF(E280="","Missing qty",""))))))</f>
        <v/>
      </c>
      <c r="Q280" s="35" t="n"/>
    </row>
    <row r="281">
      <c r="A281" s="35" t="n"/>
      <c r="B281" s="35" t="n"/>
      <c r="C281" s="35" t="n"/>
      <c r="D281" s="35" t="n"/>
      <c r="E281" s="35" t="n"/>
      <c r="F281" s="35" t="n"/>
      <c r="G281" s="37" t="n"/>
      <c r="H281" s="9">
        <f>IF(B281="","",IFERROR(VLOOKUP(B281,Settings!$E$5:$G$28,3,FALSE),"Other"))</f>
        <v/>
      </c>
      <c r="I281" s="39">
        <f>IF($A281="","",IF(G281&lt;&gt;"",G281,IFERROR(VLOOKUP(C281,'Cost Library'!$A$5:$D$204,4,FALSE),0)))</f>
        <v/>
      </c>
      <c r="J281" s="9">
        <f>IF($A281="","",IF(F281&lt;&gt;"",F281,IFERROR(VLOOKUP(C281,'Cost Library'!$A$5:$D$204,3,FALSE),"")))</f>
        <v/>
      </c>
      <c r="K281" s="39">
        <f>IF($A281="","",E281*I281)</f>
        <v/>
      </c>
      <c r="L281" s="36" t="n"/>
      <c r="M281" s="39">
        <f>IF($A281="","",K281*(1+N281))</f>
        <v/>
      </c>
      <c r="N281" s="26">
        <f>IF($A281="","",IF(L281="",IFERROR(VLOOKUP(H281,Settings!$A$22:$B$27,2,FALSE),0),L281))</f>
        <v/>
      </c>
      <c r="O281" s="9">
        <f>IF(AND($A281&lt;&gt;"",$A281=Proposal!$I$2),COUNTIF($A$5:$A281,Proposal!$I$2),"")</f>
        <v/>
      </c>
      <c r="P281" s="9">
        <f>IF($A281="","",IF(COUNTIF(Jobs!$A$5:$A$44,$A281)=0,"Unknown Job ID",IF(B281="","Missing cost code",IF(COUNTIF(Settings!$E$5:$E$28,B281)=0,"Unknown cost code",IF(AND(G281="",C281=""),"No unit cost",IF(E281="","Missing qty",""))))))</f>
        <v/>
      </c>
      <c r="Q281" s="35" t="n"/>
    </row>
    <row r="282">
      <c r="A282" s="35" t="n"/>
      <c r="B282" s="35" t="n"/>
      <c r="C282" s="35" t="n"/>
      <c r="D282" s="35" t="n"/>
      <c r="E282" s="35" t="n"/>
      <c r="F282" s="35" t="n"/>
      <c r="G282" s="37" t="n"/>
      <c r="H282" s="9">
        <f>IF(B282="","",IFERROR(VLOOKUP(B282,Settings!$E$5:$G$28,3,FALSE),"Other"))</f>
        <v/>
      </c>
      <c r="I282" s="39">
        <f>IF($A282="","",IF(G282&lt;&gt;"",G282,IFERROR(VLOOKUP(C282,'Cost Library'!$A$5:$D$204,4,FALSE),0)))</f>
        <v/>
      </c>
      <c r="J282" s="9">
        <f>IF($A282="","",IF(F282&lt;&gt;"",F282,IFERROR(VLOOKUP(C282,'Cost Library'!$A$5:$D$204,3,FALSE),"")))</f>
        <v/>
      </c>
      <c r="K282" s="39">
        <f>IF($A282="","",E282*I282)</f>
        <v/>
      </c>
      <c r="L282" s="36" t="n"/>
      <c r="M282" s="39">
        <f>IF($A282="","",K282*(1+N282))</f>
        <v/>
      </c>
      <c r="N282" s="26">
        <f>IF($A282="","",IF(L282="",IFERROR(VLOOKUP(H282,Settings!$A$22:$B$27,2,FALSE),0),L282))</f>
        <v/>
      </c>
      <c r="O282" s="9">
        <f>IF(AND($A282&lt;&gt;"",$A282=Proposal!$I$2),COUNTIF($A$5:$A282,Proposal!$I$2),"")</f>
        <v/>
      </c>
      <c r="P282" s="9">
        <f>IF($A282="","",IF(COUNTIF(Jobs!$A$5:$A$44,$A282)=0,"Unknown Job ID",IF(B282="","Missing cost code",IF(COUNTIF(Settings!$E$5:$E$28,B282)=0,"Unknown cost code",IF(AND(G282="",C282=""),"No unit cost",IF(E282="","Missing qty",""))))))</f>
        <v/>
      </c>
      <c r="Q282" s="35" t="n"/>
    </row>
    <row r="283">
      <c r="A283" s="35" t="n"/>
      <c r="B283" s="35" t="n"/>
      <c r="C283" s="35" t="n"/>
      <c r="D283" s="35" t="n"/>
      <c r="E283" s="35" t="n"/>
      <c r="F283" s="35" t="n"/>
      <c r="G283" s="37" t="n"/>
      <c r="H283" s="9">
        <f>IF(B283="","",IFERROR(VLOOKUP(B283,Settings!$E$5:$G$28,3,FALSE),"Other"))</f>
        <v/>
      </c>
      <c r="I283" s="39">
        <f>IF($A283="","",IF(G283&lt;&gt;"",G283,IFERROR(VLOOKUP(C283,'Cost Library'!$A$5:$D$204,4,FALSE),0)))</f>
        <v/>
      </c>
      <c r="J283" s="9">
        <f>IF($A283="","",IF(F283&lt;&gt;"",F283,IFERROR(VLOOKUP(C283,'Cost Library'!$A$5:$D$204,3,FALSE),"")))</f>
        <v/>
      </c>
      <c r="K283" s="39">
        <f>IF($A283="","",E283*I283)</f>
        <v/>
      </c>
      <c r="L283" s="36" t="n"/>
      <c r="M283" s="39">
        <f>IF($A283="","",K283*(1+N283))</f>
        <v/>
      </c>
      <c r="N283" s="26">
        <f>IF($A283="","",IF(L283="",IFERROR(VLOOKUP(H283,Settings!$A$22:$B$27,2,FALSE),0),L283))</f>
        <v/>
      </c>
      <c r="O283" s="9">
        <f>IF(AND($A283&lt;&gt;"",$A283=Proposal!$I$2),COUNTIF($A$5:$A283,Proposal!$I$2),"")</f>
        <v/>
      </c>
      <c r="P283" s="9">
        <f>IF($A283="","",IF(COUNTIF(Jobs!$A$5:$A$44,$A283)=0,"Unknown Job ID",IF(B283="","Missing cost code",IF(COUNTIF(Settings!$E$5:$E$28,B283)=0,"Unknown cost code",IF(AND(G283="",C283=""),"No unit cost",IF(E283="","Missing qty",""))))))</f>
        <v/>
      </c>
      <c r="Q283" s="35" t="n"/>
    </row>
    <row r="284">
      <c r="A284" s="35" t="n"/>
      <c r="B284" s="35" t="n"/>
      <c r="C284" s="35" t="n"/>
      <c r="D284" s="35" t="n"/>
      <c r="E284" s="35" t="n"/>
      <c r="F284" s="35" t="n"/>
      <c r="G284" s="37" t="n"/>
      <c r="H284" s="9">
        <f>IF(B284="","",IFERROR(VLOOKUP(B284,Settings!$E$5:$G$28,3,FALSE),"Other"))</f>
        <v/>
      </c>
      <c r="I284" s="39">
        <f>IF($A284="","",IF(G284&lt;&gt;"",G284,IFERROR(VLOOKUP(C284,'Cost Library'!$A$5:$D$204,4,FALSE),0)))</f>
        <v/>
      </c>
      <c r="J284" s="9">
        <f>IF($A284="","",IF(F284&lt;&gt;"",F284,IFERROR(VLOOKUP(C284,'Cost Library'!$A$5:$D$204,3,FALSE),"")))</f>
        <v/>
      </c>
      <c r="K284" s="39">
        <f>IF($A284="","",E284*I284)</f>
        <v/>
      </c>
      <c r="L284" s="36" t="n"/>
      <c r="M284" s="39">
        <f>IF($A284="","",K284*(1+N284))</f>
        <v/>
      </c>
      <c r="N284" s="26">
        <f>IF($A284="","",IF(L284="",IFERROR(VLOOKUP(H284,Settings!$A$22:$B$27,2,FALSE),0),L284))</f>
        <v/>
      </c>
      <c r="O284" s="9">
        <f>IF(AND($A284&lt;&gt;"",$A284=Proposal!$I$2),COUNTIF($A$5:$A284,Proposal!$I$2),"")</f>
        <v/>
      </c>
      <c r="P284" s="9">
        <f>IF($A284="","",IF(COUNTIF(Jobs!$A$5:$A$44,$A284)=0,"Unknown Job ID",IF(B284="","Missing cost code",IF(COUNTIF(Settings!$E$5:$E$28,B284)=0,"Unknown cost code",IF(AND(G284="",C284=""),"No unit cost",IF(E284="","Missing qty",""))))))</f>
        <v/>
      </c>
      <c r="Q284" s="35" t="n"/>
    </row>
    <row r="285">
      <c r="A285" s="35" t="n"/>
      <c r="B285" s="35" t="n"/>
      <c r="C285" s="35" t="n"/>
      <c r="D285" s="35" t="n"/>
      <c r="E285" s="35" t="n"/>
      <c r="F285" s="35" t="n"/>
      <c r="G285" s="37" t="n"/>
      <c r="H285" s="9">
        <f>IF(B285="","",IFERROR(VLOOKUP(B285,Settings!$E$5:$G$28,3,FALSE),"Other"))</f>
        <v/>
      </c>
      <c r="I285" s="39">
        <f>IF($A285="","",IF(G285&lt;&gt;"",G285,IFERROR(VLOOKUP(C285,'Cost Library'!$A$5:$D$204,4,FALSE),0)))</f>
        <v/>
      </c>
      <c r="J285" s="9">
        <f>IF($A285="","",IF(F285&lt;&gt;"",F285,IFERROR(VLOOKUP(C285,'Cost Library'!$A$5:$D$204,3,FALSE),"")))</f>
        <v/>
      </c>
      <c r="K285" s="39">
        <f>IF($A285="","",E285*I285)</f>
        <v/>
      </c>
      <c r="L285" s="36" t="n"/>
      <c r="M285" s="39">
        <f>IF($A285="","",K285*(1+N285))</f>
        <v/>
      </c>
      <c r="N285" s="26">
        <f>IF($A285="","",IF(L285="",IFERROR(VLOOKUP(H285,Settings!$A$22:$B$27,2,FALSE),0),L285))</f>
        <v/>
      </c>
      <c r="O285" s="9">
        <f>IF(AND($A285&lt;&gt;"",$A285=Proposal!$I$2),COUNTIF($A$5:$A285,Proposal!$I$2),"")</f>
        <v/>
      </c>
      <c r="P285" s="9">
        <f>IF($A285="","",IF(COUNTIF(Jobs!$A$5:$A$44,$A285)=0,"Unknown Job ID",IF(B285="","Missing cost code",IF(COUNTIF(Settings!$E$5:$E$28,B285)=0,"Unknown cost code",IF(AND(G285="",C285=""),"No unit cost",IF(E285="","Missing qty",""))))))</f>
        <v/>
      </c>
      <c r="Q285" s="35" t="n"/>
    </row>
    <row r="286">
      <c r="A286" s="35" t="n"/>
      <c r="B286" s="35" t="n"/>
      <c r="C286" s="35" t="n"/>
      <c r="D286" s="35" t="n"/>
      <c r="E286" s="35" t="n"/>
      <c r="F286" s="35" t="n"/>
      <c r="G286" s="37" t="n"/>
      <c r="H286" s="9">
        <f>IF(B286="","",IFERROR(VLOOKUP(B286,Settings!$E$5:$G$28,3,FALSE),"Other"))</f>
        <v/>
      </c>
      <c r="I286" s="39">
        <f>IF($A286="","",IF(G286&lt;&gt;"",G286,IFERROR(VLOOKUP(C286,'Cost Library'!$A$5:$D$204,4,FALSE),0)))</f>
        <v/>
      </c>
      <c r="J286" s="9">
        <f>IF($A286="","",IF(F286&lt;&gt;"",F286,IFERROR(VLOOKUP(C286,'Cost Library'!$A$5:$D$204,3,FALSE),"")))</f>
        <v/>
      </c>
      <c r="K286" s="39">
        <f>IF($A286="","",E286*I286)</f>
        <v/>
      </c>
      <c r="L286" s="36" t="n"/>
      <c r="M286" s="39">
        <f>IF($A286="","",K286*(1+N286))</f>
        <v/>
      </c>
      <c r="N286" s="26">
        <f>IF($A286="","",IF(L286="",IFERROR(VLOOKUP(H286,Settings!$A$22:$B$27,2,FALSE),0),L286))</f>
        <v/>
      </c>
      <c r="O286" s="9">
        <f>IF(AND($A286&lt;&gt;"",$A286=Proposal!$I$2),COUNTIF($A$5:$A286,Proposal!$I$2),"")</f>
        <v/>
      </c>
      <c r="P286" s="9">
        <f>IF($A286="","",IF(COUNTIF(Jobs!$A$5:$A$44,$A286)=0,"Unknown Job ID",IF(B286="","Missing cost code",IF(COUNTIF(Settings!$E$5:$E$28,B286)=0,"Unknown cost code",IF(AND(G286="",C286=""),"No unit cost",IF(E286="","Missing qty",""))))))</f>
        <v/>
      </c>
      <c r="Q286" s="35" t="n"/>
    </row>
    <row r="287">
      <c r="A287" s="35" t="n"/>
      <c r="B287" s="35" t="n"/>
      <c r="C287" s="35" t="n"/>
      <c r="D287" s="35" t="n"/>
      <c r="E287" s="35" t="n"/>
      <c r="F287" s="35" t="n"/>
      <c r="G287" s="37" t="n"/>
      <c r="H287" s="9">
        <f>IF(B287="","",IFERROR(VLOOKUP(B287,Settings!$E$5:$G$28,3,FALSE),"Other"))</f>
        <v/>
      </c>
      <c r="I287" s="39">
        <f>IF($A287="","",IF(G287&lt;&gt;"",G287,IFERROR(VLOOKUP(C287,'Cost Library'!$A$5:$D$204,4,FALSE),0)))</f>
        <v/>
      </c>
      <c r="J287" s="9">
        <f>IF($A287="","",IF(F287&lt;&gt;"",F287,IFERROR(VLOOKUP(C287,'Cost Library'!$A$5:$D$204,3,FALSE),"")))</f>
        <v/>
      </c>
      <c r="K287" s="39">
        <f>IF($A287="","",E287*I287)</f>
        <v/>
      </c>
      <c r="L287" s="36" t="n"/>
      <c r="M287" s="39">
        <f>IF($A287="","",K287*(1+N287))</f>
        <v/>
      </c>
      <c r="N287" s="26">
        <f>IF($A287="","",IF(L287="",IFERROR(VLOOKUP(H287,Settings!$A$22:$B$27,2,FALSE),0),L287))</f>
        <v/>
      </c>
      <c r="O287" s="9">
        <f>IF(AND($A287&lt;&gt;"",$A287=Proposal!$I$2),COUNTIF($A$5:$A287,Proposal!$I$2),"")</f>
        <v/>
      </c>
      <c r="P287" s="9">
        <f>IF($A287="","",IF(COUNTIF(Jobs!$A$5:$A$44,$A287)=0,"Unknown Job ID",IF(B287="","Missing cost code",IF(COUNTIF(Settings!$E$5:$E$28,B287)=0,"Unknown cost code",IF(AND(G287="",C287=""),"No unit cost",IF(E287="","Missing qty",""))))))</f>
        <v/>
      </c>
      <c r="Q287" s="35" t="n"/>
    </row>
    <row r="288">
      <c r="A288" s="35" t="n"/>
      <c r="B288" s="35" t="n"/>
      <c r="C288" s="35" t="n"/>
      <c r="D288" s="35" t="n"/>
      <c r="E288" s="35" t="n"/>
      <c r="F288" s="35" t="n"/>
      <c r="G288" s="37" t="n"/>
      <c r="H288" s="9">
        <f>IF(B288="","",IFERROR(VLOOKUP(B288,Settings!$E$5:$G$28,3,FALSE),"Other"))</f>
        <v/>
      </c>
      <c r="I288" s="39">
        <f>IF($A288="","",IF(G288&lt;&gt;"",G288,IFERROR(VLOOKUP(C288,'Cost Library'!$A$5:$D$204,4,FALSE),0)))</f>
        <v/>
      </c>
      <c r="J288" s="9">
        <f>IF($A288="","",IF(F288&lt;&gt;"",F288,IFERROR(VLOOKUP(C288,'Cost Library'!$A$5:$D$204,3,FALSE),"")))</f>
        <v/>
      </c>
      <c r="K288" s="39">
        <f>IF($A288="","",E288*I288)</f>
        <v/>
      </c>
      <c r="L288" s="36" t="n"/>
      <c r="M288" s="39">
        <f>IF($A288="","",K288*(1+N288))</f>
        <v/>
      </c>
      <c r="N288" s="26">
        <f>IF($A288="","",IF(L288="",IFERROR(VLOOKUP(H288,Settings!$A$22:$B$27,2,FALSE),0),L288))</f>
        <v/>
      </c>
      <c r="O288" s="9">
        <f>IF(AND($A288&lt;&gt;"",$A288=Proposal!$I$2),COUNTIF($A$5:$A288,Proposal!$I$2),"")</f>
        <v/>
      </c>
      <c r="P288" s="9">
        <f>IF($A288="","",IF(COUNTIF(Jobs!$A$5:$A$44,$A288)=0,"Unknown Job ID",IF(B288="","Missing cost code",IF(COUNTIF(Settings!$E$5:$E$28,B288)=0,"Unknown cost code",IF(AND(G288="",C288=""),"No unit cost",IF(E288="","Missing qty",""))))))</f>
        <v/>
      </c>
      <c r="Q288" s="35" t="n"/>
    </row>
    <row r="289">
      <c r="A289" s="35" t="n"/>
      <c r="B289" s="35" t="n"/>
      <c r="C289" s="35" t="n"/>
      <c r="D289" s="35" t="n"/>
      <c r="E289" s="35" t="n"/>
      <c r="F289" s="35" t="n"/>
      <c r="G289" s="37" t="n"/>
      <c r="H289" s="9">
        <f>IF(B289="","",IFERROR(VLOOKUP(B289,Settings!$E$5:$G$28,3,FALSE),"Other"))</f>
        <v/>
      </c>
      <c r="I289" s="39">
        <f>IF($A289="","",IF(G289&lt;&gt;"",G289,IFERROR(VLOOKUP(C289,'Cost Library'!$A$5:$D$204,4,FALSE),0)))</f>
        <v/>
      </c>
      <c r="J289" s="9">
        <f>IF($A289="","",IF(F289&lt;&gt;"",F289,IFERROR(VLOOKUP(C289,'Cost Library'!$A$5:$D$204,3,FALSE),"")))</f>
        <v/>
      </c>
      <c r="K289" s="39">
        <f>IF($A289="","",E289*I289)</f>
        <v/>
      </c>
      <c r="L289" s="36" t="n"/>
      <c r="M289" s="39">
        <f>IF($A289="","",K289*(1+N289))</f>
        <v/>
      </c>
      <c r="N289" s="26">
        <f>IF($A289="","",IF(L289="",IFERROR(VLOOKUP(H289,Settings!$A$22:$B$27,2,FALSE),0),L289))</f>
        <v/>
      </c>
      <c r="O289" s="9">
        <f>IF(AND($A289&lt;&gt;"",$A289=Proposal!$I$2),COUNTIF($A$5:$A289,Proposal!$I$2),"")</f>
        <v/>
      </c>
      <c r="P289" s="9">
        <f>IF($A289="","",IF(COUNTIF(Jobs!$A$5:$A$44,$A289)=0,"Unknown Job ID",IF(B289="","Missing cost code",IF(COUNTIF(Settings!$E$5:$E$28,B289)=0,"Unknown cost code",IF(AND(G289="",C289=""),"No unit cost",IF(E289="","Missing qty",""))))))</f>
        <v/>
      </c>
      <c r="Q289" s="35" t="n"/>
    </row>
    <row r="290">
      <c r="A290" s="35" t="n"/>
      <c r="B290" s="35" t="n"/>
      <c r="C290" s="35" t="n"/>
      <c r="D290" s="35" t="n"/>
      <c r="E290" s="35" t="n"/>
      <c r="F290" s="35" t="n"/>
      <c r="G290" s="37" t="n"/>
      <c r="H290" s="9">
        <f>IF(B290="","",IFERROR(VLOOKUP(B290,Settings!$E$5:$G$28,3,FALSE),"Other"))</f>
        <v/>
      </c>
      <c r="I290" s="39">
        <f>IF($A290="","",IF(G290&lt;&gt;"",G290,IFERROR(VLOOKUP(C290,'Cost Library'!$A$5:$D$204,4,FALSE),0)))</f>
        <v/>
      </c>
      <c r="J290" s="9">
        <f>IF($A290="","",IF(F290&lt;&gt;"",F290,IFERROR(VLOOKUP(C290,'Cost Library'!$A$5:$D$204,3,FALSE),"")))</f>
        <v/>
      </c>
      <c r="K290" s="39">
        <f>IF($A290="","",E290*I290)</f>
        <v/>
      </c>
      <c r="L290" s="36" t="n"/>
      <c r="M290" s="39">
        <f>IF($A290="","",K290*(1+N290))</f>
        <v/>
      </c>
      <c r="N290" s="26">
        <f>IF($A290="","",IF(L290="",IFERROR(VLOOKUP(H290,Settings!$A$22:$B$27,2,FALSE),0),L290))</f>
        <v/>
      </c>
      <c r="O290" s="9">
        <f>IF(AND($A290&lt;&gt;"",$A290=Proposal!$I$2),COUNTIF($A$5:$A290,Proposal!$I$2),"")</f>
        <v/>
      </c>
      <c r="P290" s="9">
        <f>IF($A290="","",IF(COUNTIF(Jobs!$A$5:$A$44,$A290)=0,"Unknown Job ID",IF(B290="","Missing cost code",IF(COUNTIF(Settings!$E$5:$E$28,B290)=0,"Unknown cost code",IF(AND(G290="",C290=""),"No unit cost",IF(E290="","Missing qty",""))))))</f>
        <v/>
      </c>
      <c r="Q290" s="35" t="n"/>
    </row>
    <row r="291">
      <c r="A291" s="35" t="n"/>
      <c r="B291" s="35" t="n"/>
      <c r="C291" s="35" t="n"/>
      <c r="D291" s="35" t="n"/>
      <c r="E291" s="35" t="n"/>
      <c r="F291" s="35" t="n"/>
      <c r="G291" s="37" t="n"/>
      <c r="H291" s="9">
        <f>IF(B291="","",IFERROR(VLOOKUP(B291,Settings!$E$5:$G$28,3,FALSE),"Other"))</f>
        <v/>
      </c>
      <c r="I291" s="39">
        <f>IF($A291="","",IF(G291&lt;&gt;"",G291,IFERROR(VLOOKUP(C291,'Cost Library'!$A$5:$D$204,4,FALSE),0)))</f>
        <v/>
      </c>
      <c r="J291" s="9">
        <f>IF($A291="","",IF(F291&lt;&gt;"",F291,IFERROR(VLOOKUP(C291,'Cost Library'!$A$5:$D$204,3,FALSE),"")))</f>
        <v/>
      </c>
      <c r="K291" s="39">
        <f>IF($A291="","",E291*I291)</f>
        <v/>
      </c>
      <c r="L291" s="36" t="n"/>
      <c r="M291" s="39">
        <f>IF($A291="","",K291*(1+N291))</f>
        <v/>
      </c>
      <c r="N291" s="26">
        <f>IF($A291="","",IF(L291="",IFERROR(VLOOKUP(H291,Settings!$A$22:$B$27,2,FALSE),0),L291))</f>
        <v/>
      </c>
      <c r="O291" s="9">
        <f>IF(AND($A291&lt;&gt;"",$A291=Proposal!$I$2),COUNTIF($A$5:$A291,Proposal!$I$2),"")</f>
        <v/>
      </c>
      <c r="P291" s="9">
        <f>IF($A291="","",IF(COUNTIF(Jobs!$A$5:$A$44,$A291)=0,"Unknown Job ID",IF(B291="","Missing cost code",IF(COUNTIF(Settings!$E$5:$E$28,B291)=0,"Unknown cost code",IF(AND(G291="",C291=""),"No unit cost",IF(E291="","Missing qty",""))))))</f>
        <v/>
      </c>
      <c r="Q291" s="35" t="n"/>
    </row>
    <row r="292">
      <c r="A292" s="35" t="n"/>
      <c r="B292" s="35" t="n"/>
      <c r="C292" s="35" t="n"/>
      <c r="D292" s="35" t="n"/>
      <c r="E292" s="35" t="n"/>
      <c r="F292" s="35" t="n"/>
      <c r="G292" s="37" t="n"/>
      <c r="H292" s="9">
        <f>IF(B292="","",IFERROR(VLOOKUP(B292,Settings!$E$5:$G$28,3,FALSE),"Other"))</f>
        <v/>
      </c>
      <c r="I292" s="39">
        <f>IF($A292="","",IF(G292&lt;&gt;"",G292,IFERROR(VLOOKUP(C292,'Cost Library'!$A$5:$D$204,4,FALSE),0)))</f>
        <v/>
      </c>
      <c r="J292" s="9">
        <f>IF($A292="","",IF(F292&lt;&gt;"",F292,IFERROR(VLOOKUP(C292,'Cost Library'!$A$5:$D$204,3,FALSE),"")))</f>
        <v/>
      </c>
      <c r="K292" s="39">
        <f>IF($A292="","",E292*I292)</f>
        <v/>
      </c>
      <c r="L292" s="36" t="n"/>
      <c r="M292" s="39">
        <f>IF($A292="","",K292*(1+N292))</f>
        <v/>
      </c>
      <c r="N292" s="26">
        <f>IF($A292="","",IF(L292="",IFERROR(VLOOKUP(H292,Settings!$A$22:$B$27,2,FALSE),0),L292))</f>
        <v/>
      </c>
      <c r="O292" s="9">
        <f>IF(AND($A292&lt;&gt;"",$A292=Proposal!$I$2),COUNTIF($A$5:$A292,Proposal!$I$2),"")</f>
        <v/>
      </c>
      <c r="P292" s="9">
        <f>IF($A292="","",IF(COUNTIF(Jobs!$A$5:$A$44,$A292)=0,"Unknown Job ID",IF(B292="","Missing cost code",IF(COUNTIF(Settings!$E$5:$E$28,B292)=0,"Unknown cost code",IF(AND(G292="",C292=""),"No unit cost",IF(E292="","Missing qty",""))))))</f>
        <v/>
      </c>
      <c r="Q292" s="35" t="n"/>
    </row>
    <row r="293">
      <c r="A293" s="35" t="n"/>
      <c r="B293" s="35" t="n"/>
      <c r="C293" s="35" t="n"/>
      <c r="D293" s="35" t="n"/>
      <c r="E293" s="35" t="n"/>
      <c r="F293" s="35" t="n"/>
      <c r="G293" s="37" t="n"/>
      <c r="H293" s="9">
        <f>IF(B293="","",IFERROR(VLOOKUP(B293,Settings!$E$5:$G$28,3,FALSE),"Other"))</f>
        <v/>
      </c>
      <c r="I293" s="39">
        <f>IF($A293="","",IF(G293&lt;&gt;"",G293,IFERROR(VLOOKUP(C293,'Cost Library'!$A$5:$D$204,4,FALSE),0)))</f>
        <v/>
      </c>
      <c r="J293" s="9">
        <f>IF($A293="","",IF(F293&lt;&gt;"",F293,IFERROR(VLOOKUP(C293,'Cost Library'!$A$5:$D$204,3,FALSE),"")))</f>
        <v/>
      </c>
      <c r="K293" s="39">
        <f>IF($A293="","",E293*I293)</f>
        <v/>
      </c>
      <c r="L293" s="36" t="n"/>
      <c r="M293" s="39">
        <f>IF($A293="","",K293*(1+N293))</f>
        <v/>
      </c>
      <c r="N293" s="26">
        <f>IF($A293="","",IF(L293="",IFERROR(VLOOKUP(H293,Settings!$A$22:$B$27,2,FALSE),0),L293))</f>
        <v/>
      </c>
      <c r="O293" s="9">
        <f>IF(AND($A293&lt;&gt;"",$A293=Proposal!$I$2),COUNTIF($A$5:$A293,Proposal!$I$2),"")</f>
        <v/>
      </c>
      <c r="P293" s="9">
        <f>IF($A293="","",IF(COUNTIF(Jobs!$A$5:$A$44,$A293)=0,"Unknown Job ID",IF(B293="","Missing cost code",IF(COUNTIF(Settings!$E$5:$E$28,B293)=0,"Unknown cost code",IF(AND(G293="",C293=""),"No unit cost",IF(E293="","Missing qty",""))))))</f>
        <v/>
      </c>
      <c r="Q293" s="35" t="n"/>
    </row>
    <row r="294">
      <c r="A294" s="35" t="n"/>
      <c r="B294" s="35" t="n"/>
      <c r="C294" s="35" t="n"/>
      <c r="D294" s="35" t="n"/>
      <c r="E294" s="35" t="n"/>
      <c r="F294" s="35" t="n"/>
      <c r="G294" s="37" t="n"/>
      <c r="H294" s="9">
        <f>IF(B294="","",IFERROR(VLOOKUP(B294,Settings!$E$5:$G$28,3,FALSE),"Other"))</f>
        <v/>
      </c>
      <c r="I294" s="39">
        <f>IF($A294="","",IF(G294&lt;&gt;"",G294,IFERROR(VLOOKUP(C294,'Cost Library'!$A$5:$D$204,4,FALSE),0)))</f>
        <v/>
      </c>
      <c r="J294" s="9">
        <f>IF($A294="","",IF(F294&lt;&gt;"",F294,IFERROR(VLOOKUP(C294,'Cost Library'!$A$5:$D$204,3,FALSE),"")))</f>
        <v/>
      </c>
      <c r="K294" s="39">
        <f>IF($A294="","",E294*I294)</f>
        <v/>
      </c>
      <c r="L294" s="36" t="n"/>
      <c r="M294" s="39">
        <f>IF($A294="","",K294*(1+N294))</f>
        <v/>
      </c>
      <c r="N294" s="26">
        <f>IF($A294="","",IF(L294="",IFERROR(VLOOKUP(H294,Settings!$A$22:$B$27,2,FALSE),0),L294))</f>
        <v/>
      </c>
      <c r="O294" s="9">
        <f>IF(AND($A294&lt;&gt;"",$A294=Proposal!$I$2),COUNTIF($A$5:$A294,Proposal!$I$2),"")</f>
        <v/>
      </c>
      <c r="P294" s="9">
        <f>IF($A294="","",IF(COUNTIF(Jobs!$A$5:$A$44,$A294)=0,"Unknown Job ID",IF(B294="","Missing cost code",IF(COUNTIF(Settings!$E$5:$E$28,B294)=0,"Unknown cost code",IF(AND(G294="",C294=""),"No unit cost",IF(E294="","Missing qty",""))))))</f>
        <v/>
      </c>
      <c r="Q294" s="35" t="n"/>
    </row>
    <row r="295">
      <c r="A295" s="35" t="n"/>
      <c r="B295" s="35" t="n"/>
      <c r="C295" s="35" t="n"/>
      <c r="D295" s="35" t="n"/>
      <c r="E295" s="35" t="n"/>
      <c r="F295" s="35" t="n"/>
      <c r="G295" s="37" t="n"/>
      <c r="H295" s="9">
        <f>IF(B295="","",IFERROR(VLOOKUP(B295,Settings!$E$5:$G$28,3,FALSE),"Other"))</f>
        <v/>
      </c>
      <c r="I295" s="39">
        <f>IF($A295="","",IF(G295&lt;&gt;"",G295,IFERROR(VLOOKUP(C295,'Cost Library'!$A$5:$D$204,4,FALSE),0)))</f>
        <v/>
      </c>
      <c r="J295" s="9">
        <f>IF($A295="","",IF(F295&lt;&gt;"",F295,IFERROR(VLOOKUP(C295,'Cost Library'!$A$5:$D$204,3,FALSE),"")))</f>
        <v/>
      </c>
      <c r="K295" s="39">
        <f>IF($A295="","",E295*I295)</f>
        <v/>
      </c>
      <c r="L295" s="36" t="n"/>
      <c r="M295" s="39">
        <f>IF($A295="","",K295*(1+N295))</f>
        <v/>
      </c>
      <c r="N295" s="26">
        <f>IF($A295="","",IF(L295="",IFERROR(VLOOKUP(H295,Settings!$A$22:$B$27,2,FALSE),0),L295))</f>
        <v/>
      </c>
      <c r="O295" s="9">
        <f>IF(AND($A295&lt;&gt;"",$A295=Proposal!$I$2),COUNTIF($A$5:$A295,Proposal!$I$2),"")</f>
        <v/>
      </c>
      <c r="P295" s="9">
        <f>IF($A295="","",IF(COUNTIF(Jobs!$A$5:$A$44,$A295)=0,"Unknown Job ID",IF(B295="","Missing cost code",IF(COUNTIF(Settings!$E$5:$E$28,B295)=0,"Unknown cost code",IF(AND(G295="",C295=""),"No unit cost",IF(E295="","Missing qty",""))))))</f>
        <v/>
      </c>
      <c r="Q295" s="35" t="n"/>
    </row>
    <row r="296">
      <c r="A296" s="35" t="n"/>
      <c r="B296" s="35" t="n"/>
      <c r="C296" s="35" t="n"/>
      <c r="D296" s="35" t="n"/>
      <c r="E296" s="35" t="n"/>
      <c r="F296" s="35" t="n"/>
      <c r="G296" s="37" t="n"/>
      <c r="H296" s="9">
        <f>IF(B296="","",IFERROR(VLOOKUP(B296,Settings!$E$5:$G$28,3,FALSE),"Other"))</f>
        <v/>
      </c>
      <c r="I296" s="39">
        <f>IF($A296="","",IF(G296&lt;&gt;"",G296,IFERROR(VLOOKUP(C296,'Cost Library'!$A$5:$D$204,4,FALSE),0)))</f>
        <v/>
      </c>
      <c r="J296" s="9">
        <f>IF($A296="","",IF(F296&lt;&gt;"",F296,IFERROR(VLOOKUP(C296,'Cost Library'!$A$5:$D$204,3,FALSE),"")))</f>
        <v/>
      </c>
      <c r="K296" s="39">
        <f>IF($A296="","",E296*I296)</f>
        <v/>
      </c>
      <c r="L296" s="36" t="n"/>
      <c r="M296" s="39">
        <f>IF($A296="","",K296*(1+N296))</f>
        <v/>
      </c>
      <c r="N296" s="26">
        <f>IF($A296="","",IF(L296="",IFERROR(VLOOKUP(H296,Settings!$A$22:$B$27,2,FALSE),0),L296))</f>
        <v/>
      </c>
      <c r="O296" s="9">
        <f>IF(AND($A296&lt;&gt;"",$A296=Proposal!$I$2),COUNTIF($A$5:$A296,Proposal!$I$2),"")</f>
        <v/>
      </c>
      <c r="P296" s="9">
        <f>IF($A296="","",IF(COUNTIF(Jobs!$A$5:$A$44,$A296)=0,"Unknown Job ID",IF(B296="","Missing cost code",IF(COUNTIF(Settings!$E$5:$E$28,B296)=0,"Unknown cost code",IF(AND(G296="",C296=""),"No unit cost",IF(E296="","Missing qty",""))))))</f>
        <v/>
      </c>
      <c r="Q296" s="35" t="n"/>
    </row>
    <row r="297">
      <c r="A297" s="35" t="n"/>
      <c r="B297" s="35" t="n"/>
      <c r="C297" s="35" t="n"/>
      <c r="D297" s="35" t="n"/>
      <c r="E297" s="35" t="n"/>
      <c r="F297" s="35" t="n"/>
      <c r="G297" s="37" t="n"/>
      <c r="H297" s="9">
        <f>IF(B297="","",IFERROR(VLOOKUP(B297,Settings!$E$5:$G$28,3,FALSE),"Other"))</f>
        <v/>
      </c>
      <c r="I297" s="39">
        <f>IF($A297="","",IF(G297&lt;&gt;"",G297,IFERROR(VLOOKUP(C297,'Cost Library'!$A$5:$D$204,4,FALSE),0)))</f>
        <v/>
      </c>
      <c r="J297" s="9">
        <f>IF($A297="","",IF(F297&lt;&gt;"",F297,IFERROR(VLOOKUP(C297,'Cost Library'!$A$5:$D$204,3,FALSE),"")))</f>
        <v/>
      </c>
      <c r="K297" s="39">
        <f>IF($A297="","",E297*I297)</f>
        <v/>
      </c>
      <c r="L297" s="36" t="n"/>
      <c r="M297" s="39">
        <f>IF($A297="","",K297*(1+N297))</f>
        <v/>
      </c>
      <c r="N297" s="26">
        <f>IF($A297="","",IF(L297="",IFERROR(VLOOKUP(H297,Settings!$A$22:$B$27,2,FALSE),0),L297))</f>
        <v/>
      </c>
      <c r="O297" s="9">
        <f>IF(AND($A297&lt;&gt;"",$A297=Proposal!$I$2),COUNTIF($A$5:$A297,Proposal!$I$2),"")</f>
        <v/>
      </c>
      <c r="P297" s="9">
        <f>IF($A297="","",IF(COUNTIF(Jobs!$A$5:$A$44,$A297)=0,"Unknown Job ID",IF(B297="","Missing cost code",IF(COUNTIF(Settings!$E$5:$E$28,B297)=0,"Unknown cost code",IF(AND(G297="",C297=""),"No unit cost",IF(E297="","Missing qty",""))))))</f>
        <v/>
      </c>
      <c r="Q297" s="35" t="n"/>
    </row>
    <row r="298">
      <c r="A298" s="35" t="n"/>
      <c r="B298" s="35" t="n"/>
      <c r="C298" s="35" t="n"/>
      <c r="D298" s="35" t="n"/>
      <c r="E298" s="35" t="n"/>
      <c r="F298" s="35" t="n"/>
      <c r="G298" s="37" t="n"/>
      <c r="H298" s="9">
        <f>IF(B298="","",IFERROR(VLOOKUP(B298,Settings!$E$5:$G$28,3,FALSE),"Other"))</f>
        <v/>
      </c>
      <c r="I298" s="39">
        <f>IF($A298="","",IF(G298&lt;&gt;"",G298,IFERROR(VLOOKUP(C298,'Cost Library'!$A$5:$D$204,4,FALSE),0)))</f>
        <v/>
      </c>
      <c r="J298" s="9">
        <f>IF($A298="","",IF(F298&lt;&gt;"",F298,IFERROR(VLOOKUP(C298,'Cost Library'!$A$5:$D$204,3,FALSE),"")))</f>
        <v/>
      </c>
      <c r="K298" s="39">
        <f>IF($A298="","",E298*I298)</f>
        <v/>
      </c>
      <c r="L298" s="36" t="n"/>
      <c r="M298" s="39">
        <f>IF($A298="","",K298*(1+N298))</f>
        <v/>
      </c>
      <c r="N298" s="26">
        <f>IF($A298="","",IF(L298="",IFERROR(VLOOKUP(H298,Settings!$A$22:$B$27,2,FALSE),0),L298))</f>
        <v/>
      </c>
      <c r="O298" s="9">
        <f>IF(AND($A298&lt;&gt;"",$A298=Proposal!$I$2),COUNTIF($A$5:$A298,Proposal!$I$2),"")</f>
        <v/>
      </c>
      <c r="P298" s="9">
        <f>IF($A298="","",IF(COUNTIF(Jobs!$A$5:$A$44,$A298)=0,"Unknown Job ID",IF(B298="","Missing cost code",IF(COUNTIF(Settings!$E$5:$E$28,B298)=0,"Unknown cost code",IF(AND(G298="",C298=""),"No unit cost",IF(E298="","Missing qty",""))))))</f>
        <v/>
      </c>
      <c r="Q298" s="35" t="n"/>
    </row>
    <row r="299">
      <c r="A299" s="35" t="n"/>
      <c r="B299" s="35" t="n"/>
      <c r="C299" s="35" t="n"/>
      <c r="D299" s="35" t="n"/>
      <c r="E299" s="35" t="n"/>
      <c r="F299" s="35" t="n"/>
      <c r="G299" s="37" t="n"/>
      <c r="H299" s="9">
        <f>IF(B299="","",IFERROR(VLOOKUP(B299,Settings!$E$5:$G$28,3,FALSE),"Other"))</f>
        <v/>
      </c>
      <c r="I299" s="39">
        <f>IF($A299="","",IF(G299&lt;&gt;"",G299,IFERROR(VLOOKUP(C299,'Cost Library'!$A$5:$D$204,4,FALSE),0)))</f>
        <v/>
      </c>
      <c r="J299" s="9">
        <f>IF($A299="","",IF(F299&lt;&gt;"",F299,IFERROR(VLOOKUP(C299,'Cost Library'!$A$5:$D$204,3,FALSE),"")))</f>
        <v/>
      </c>
      <c r="K299" s="39">
        <f>IF($A299="","",E299*I299)</f>
        <v/>
      </c>
      <c r="L299" s="36" t="n"/>
      <c r="M299" s="39">
        <f>IF($A299="","",K299*(1+N299))</f>
        <v/>
      </c>
      <c r="N299" s="26">
        <f>IF($A299="","",IF(L299="",IFERROR(VLOOKUP(H299,Settings!$A$22:$B$27,2,FALSE),0),L299))</f>
        <v/>
      </c>
      <c r="O299" s="9">
        <f>IF(AND($A299&lt;&gt;"",$A299=Proposal!$I$2),COUNTIF($A$5:$A299,Proposal!$I$2),"")</f>
        <v/>
      </c>
      <c r="P299" s="9">
        <f>IF($A299="","",IF(COUNTIF(Jobs!$A$5:$A$44,$A299)=0,"Unknown Job ID",IF(B299="","Missing cost code",IF(COUNTIF(Settings!$E$5:$E$28,B299)=0,"Unknown cost code",IF(AND(G299="",C299=""),"No unit cost",IF(E299="","Missing qty",""))))))</f>
        <v/>
      </c>
      <c r="Q299" s="35" t="n"/>
    </row>
    <row r="300">
      <c r="A300" s="35" t="n"/>
      <c r="B300" s="35" t="n"/>
      <c r="C300" s="35" t="n"/>
      <c r="D300" s="35" t="n"/>
      <c r="E300" s="35" t="n"/>
      <c r="F300" s="35" t="n"/>
      <c r="G300" s="37" t="n"/>
      <c r="H300" s="9">
        <f>IF(B300="","",IFERROR(VLOOKUP(B300,Settings!$E$5:$G$28,3,FALSE),"Other"))</f>
        <v/>
      </c>
      <c r="I300" s="39">
        <f>IF($A300="","",IF(G300&lt;&gt;"",G300,IFERROR(VLOOKUP(C300,'Cost Library'!$A$5:$D$204,4,FALSE),0)))</f>
        <v/>
      </c>
      <c r="J300" s="9">
        <f>IF($A300="","",IF(F300&lt;&gt;"",F300,IFERROR(VLOOKUP(C300,'Cost Library'!$A$5:$D$204,3,FALSE),"")))</f>
        <v/>
      </c>
      <c r="K300" s="39">
        <f>IF($A300="","",E300*I300)</f>
        <v/>
      </c>
      <c r="L300" s="36" t="n"/>
      <c r="M300" s="39">
        <f>IF($A300="","",K300*(1+N300))</f>
        <v/>
      </c>
      <c r="N300" s="26">
        <f>IF($A300="","",IF(L300="",IFERROR(VLOOKUP(H300,Settings!$A$22:$B$27,2,FALSE),0),L300))</f>
        <v/>
      </c>
      <c r="O300" s="9">
        <f>IF(AND($A300&lt;&gt;"",$A300=Proposal!$I$2),COUNTIF($A$5:$A300,Proposal!$I$2),"")</f>
        <v/>
      </c>
      <c r="P300" s="9">
        <f>IF($A300="","",IF(COUNTIF(Jobs!$A$5:$A$44,$A300)=0,"Unknown Job ID",IF(B300="","Missing cost code",IF(COUNTIF(Settings!$E$5:$E$28,B300)=0,"Unknown cost code",IF(AND(G300="",C300=""),"No unit cost",IF(E300="","Missing qty",""))))))</f>
        <v/>
      </c>
      <c r="Q300" s="35" t="n"/>
    </row>
    <row r="301">
      <c r="A301" s="35" t="n"/>
      <c r="B301" s="35" t="n"/>
      <c r="C301" s="35" t="n"/>
      <c r="D301" s="35" t="n"/>
      <c r="E301" s="35" t="n"/>
      <c r="F301" s="35" t="n"/>
      <c r="G301" s="37" t="n"/>
      <c r="H301" s="9">
        <f>IF(B301="","",IFERROR(VLOOKUP(B301,Settings!$E$5:$G$28,3,FALSE),"Other"))</f>
        <v/>
      </c>
      <c r="I301" s="39">
        <f>IF($A301="","",IF(G301&lt;&gt;"",G301,IFERROR(VLOOKUP(C301,'Cost Library'!$A$5:$D$204,4,FALSE),0)))</f>
        <v/>
      </c>
      <c r="J301" s="9">
        <f>IF($A301="","",IF(F301&lt;&gt;"",F301,IFERROR(VLOOKUP(C301,'Cost Library'!$A$5:$D$204,3,FALSE),"")))</f>
        <v/>
      </c>
      <c r="K301" s="39">
        <f>IF($A301="","",E301*I301)</f>
        <v/>
      </c>
      <c r="L301" s="36" t="n"/>
      <c r="M301" s="39">
        <f>IF($A301="","",K301*(1+N301))</f>
        <v/>
      </c>
      <c r="N301" s="26">
        <f>IF($A301="","",IF(L301="",IFERROR(VLOOKUP(H301,Settings!$A$22:$B$27,2,FALSE),0),L301))</f>
        <v/>
      </c>
      <c r="O301" s="9">
        <f>IF(AND($A301&lt;&gt;"",$A301=Proposal!$I$2),COUNTIF($A$5:$A301,Proposal!$I$2),"")</f>
        <v/>
      </c>
      <c r="P301" s="9">
        <f>IF($A301="","",IF(COUNTIF(Jobs!$A$5:$A$44,$A301)=0,"Unknown Job ID",IF(B301="","Missing cost code",IF(COUNTIF(Settings!$E$5:$E$28,B301)=0,"Unknown cost code",IF(AND(G301="",C301=""),"No unit cost",IF(E301="","Missing qty",""))))))</f>
        <v/>
      </c>
      <c r="Q301" s="35" t="n"/>
    </row>
    <row r="302">
      <c r="A302" s="35" t="n"/>
      <c r="B302" s="35" t="n"/>
      <c r="C302" s="35" t="n"/>
      <c r="D302" s="35" t="n"/>
      <c r="E302" s="35" t="n"/>
      <c r="F302" s="35" t="n"/>
      <c r="G302" s="37" t="n"/>
      <c r="H302" s="9">
        <f>IF(B302="","",IFERROR(VLOOKUP(B302,Settings!$E$5:$G$28,3,FALSE),"Other"))</f>
        <v/>
      </c>
      <c r="I302" s="39">
        <f>IF($A302="","",IF(G302&lt;&gt;"",G302,IFERROR(VLOOKUP(C302,'Cost Library'!$A$5:$D$204,4,FALSE),0)))</f>
        <v/>
      </c>
      <c r="J302" s="9">
        <f>IF($A302="","",IF(F302&lt;&gt;"",F302,IFERROR(VLOOKUP(C302,'Cost Library'!$A$5:$D$204,3,FALSE),"")))</f>
        <v/>
      </c>
      <c r="K302" s="39">
        <f>IF($A302="","",E302*I302)</f>
        <v/>
      </c>
      <c r="L302" s="36" t="n"/>
      <c r="M302" s="39">
        <f>IF($A302="","",K302*(1+N302))</f>
        <v/>
      </c>
      <c r="N302" s="26">
        <f>IF($A302="","",IF(L302="",IFERROR(VLOOKUP(H302,Settings!$A$22:$B$27,2,FALSE),0),L302))</f>
        <v/>
      </c>
      <c r="O302" s="9">
        <f>IF(AND($A302&lt;&gt;"",$A302=Proposal!$I$2),COUNTIF($A$5:$A302,Proposal!$I$2),"")</f>
        <v/>
      </c>
      <c r="P302" s="9">
        <f>IF($A302="","",IF(COUNTIF(Jobs!$A$5:$A$44,$A302)=0,"Unknown Job ID",IF(B302="","Missing cost code",IF(COUNTIF(Settings!$E$5:$E$28,B302)=0,"Unknown cost code",IF(AND(G302="",C302=""),"No unit cost",IF(E302="","Missing qty",""))))))</f>
        <v/>
      </c>
      <c r="Q302" s="35" t="n"/>
    </row>
    <row r="303">
      <c r="A303" s="35" t="n"/>
      <c r="B303" s="35" t="n"/>
      <c r="C303" s="35" t="n"/>
      <c r="D303" s="35" t="n"/>
      <c r="E303" s="35" t="n"/>
      <c r="F303" s="35" t="n"/>
      <c r="G303" s="37" t="n"/>
      <c r="H303" s="9">
        <f>IF(B303="","",IFERROR(VLOOKUP(B303,Settings!$E$5:$G$28,3,FALSE),"Other"))</f>
        <v/>
      </c>
      <c r="I303" s="39">
        <f>IF($A303="","",IF(G303&lt;&gt;"",G303,IFERROR(VLOOKUP(C303,'Cost Library'!$A$5:$D$204,4,FALSE),0)))</f>
        <v/>
      </c>
      <c r="J303" s="9">
        <f>IF($A303="","",IF(F303&lt;&gt;"",F303,IFERROR(VLOOKUP(C303,'Cost Library'!$A$5:$D$204,3,FALSE),"")))</f>
        <v/>
      </c>
      <c r="K303" s="39">
        <f>IF($A303="","",E303*I303)</f>
        <v/>
      </c>
      <c r="L303" s="36" t="n"/>
      <c r="M303" s="39">
        <f>IF($A303="","",K303*(1+N303))</f>
        <v/>
      </c>
      <c r="N303" s="26">
        <f>IF($A303="","",IF(L303="",IFERROR(VLOOKUP(H303,Settings!$A$22:$B$27,2,FALSE),0),L303))</f>
        <v/>
      </c>
      <c r="O303" s="9">
        <f>IF(AND($A303&lt;&gt;"",$A303=Proposal!$I$2),COUNTIF($A$5:$A303,Proposal!$I$2),"")</f>
        <v/>
      </c>
      <c r="P303" s="9">
        <f>IF($A303="","",IF(COUNTIF(Jobs!$A$5:$A$44,$A303)=0,"Unknown Job ID",IF(B303="","Missing cost code",IF(COUNTIF(Settings!$E$5:$E$28,B303)=0,"Unknown cost code",IF(AND(G303="",C303=""),"No unit cost",IF(E303="","Missing qty",""))))))</f>
        <v/>
      </c>
      <c r="Q303" s="35" t="n"/>
    </row>
    <row r="304">
      <c r="A304" s="35" t="n"/>
      <c r="B304" s="35" t="n"/>
      <c r="C304" s="35" t="n"/>
      <c r="D304" s="35" t="n"/>
      <c r="E304" s="35" t="n"/>
      <c r="F304" s="35" t="n"/>
      <c r="G304" s="37" t="n"/>
      <c r="H304" s="9">
        <f>IF(B304="","",IFERROR(VLOOKUP(B304,Settings!$E$5:$G$28,3,FALSE),"Other"))</f>
        <v/>
      </c>
      <c r="I304" s="39">
        <f>IF($A304="","",IF(G304&lt;&gt;"",G304,IFERROR(VLOOKUP(C304,'Cost Library'!$A$5:$D$204,4,FALSE),0)))</f>
        <v/>
      </c>
      <c r="J304" s="9">
        <f>IF($A304="","",IF(F304&lt;&gt;"",F304,IFERROR(VLOOKUP(C304,'Cost Library'!$A$5:$D$204,3,FALSE),"")))</f>
        <v/>
      </c>
      <c r="K304" s="39">
        <f>IF($A304="","",E304*I304)</f>
        <v/>
      </c>
      <c r="L304" s="36" t="n"/>
      <c r="M304" s="39">
        <f>IF($A304="","",K304*(1+N304))</f>
        <v/>
      </c>
      <c r="N304" s="26">
        <f>IF($A304="","",IF(L304="",IFERROR(VLOOKUP(H304,Settings!$A$22:$B$27,2,FALSE),0),L304))</f>
        <v/>
      </c>
      <c r="O304" s="9">
        <f>IF(AND($A304&lt;&gt;"",$A304=Proposal!$I$2),COUNTIF($A$5:$A304,Proposal!$I$2),"")</f>
        <v/>
      </c>
      <c r="P304" s="9">
        <f>IF($A304="","",IF(COUNTIF(Jobs!$A$5:$A$44,$A304)=0,"Unknown Job ID",IF(B304="","Missing cost code",IF(COUNTIF(Settings!$E$5:$E$28,B304)=0,"Unknown cost code",IF(AND(G304="",C304=""),"No unit cost",IF(E304="","Missing qty",""))))))</f>
        <v/>
      </c>
      <c r="Q304" s="35" t="n"/>
    </row>
    <row r="305">
      <c r="A305" s="35" t="n"/>
      <c r="B305" s="35" t="n"/>
      <c r="C305" s="35" t="n"/>
      <c r="D305" s="35" t="n"/>
      <c r="E305" s="35" t="n"/>
      <c r="F305" s="35" t="n"/>
      <c r="G305" s="37" t="n"/>
      <c r="H305" s="9">
        <f>IF(B305="","",IFERROR(VLOOKUP(B305,Settings!$E$5:$G$28,3,FALSE),"Other"))</f>
        <v/>
      </c>
      <c r="I305" s="39">
        <f>IF($A305="","",IF(G305&lt;&gt;"",G305,IFERROR(VLOOKUP(C305,'Cost Library'!$A$5:$D$204,4,FALSE),0)))</f>
        <v/>
      </c>
      <c r="J305" s="9">
        <f>IF($A305="","",IF(F305&lt;&gt;"",F305,IFERROR(VLOOKUP(C305,'Cost Library'!$A$5:$D$204,3,FALSE),"")))</f>
        <v/>
      </c>
      <c r="K305" s="39">
        <f>IF($A305="","",E305*I305)</f>
        <v/>
      </c>
      <c r="L305" s="36" t="n"/>
      <c r="M305" s="39">
        <f>IF($A305="","",K305*(1+N305))</f>
        <v/>
      </c>
      <c r="N305" s="26">
        <f>IF($A305="","",IF(L305="",IFERROR(VLOOKUP(H305,Settings!$A$22:$B$27,2,FALSE),0),L305))</f>
        <v/>
      </c>
      <c r="O305" s="9">
        <f>IF(AND($A305&lt;&gt;"",$A305=Proposal!$I$2),COUNTIF($A$5:$A305,Proposal!$I$2),"")</f>
        <v/>
      </c>
      <c r="P305" s="9">
        <f>IF($A305="","",IF(COUNTIF(Jobs!$A$5:$A$44,$A305)=0,"Unknown Job ID",IF(B305="","Missing cost code",IF(COUNTIF(Settings!$E$5:$E$28,B305)=0,"Unknown cost code",IF(AND(G305="",C305=""),"No unit cost",IF(E305="","Missing qty",""))))))</f>
        <v/>
      </c>
      <c r="Q305" s="35" t="n"/>
    </row>
    <row r="306">
      <c r="A306" s="35" t="n"/>
      <c r="B306" s="35" t="n"/>
      <c r="C306" s="35" t="n"/>
      <c r="D306" s="35" t="n"/>
      <c r="E306" s="35" t="n"/>
      <c r="F306" s="35" t="n"/>
      <c r="G306" s="37" t="n"/>
      <c r="H306" s="9">
        <f>IF(B306="","",IFERROR(VLOOKUP(B306,Settings!$E$5:$G$28,3,FALSE),"Other"))</f>
        <v/>
      </c>
      <c r="I306" s="39">
        <f>IF($A306="","",IF(G306&lt;&gt;"",G306,IFERROR(VLOOKUP(C306,'Cost Library'!$A$5:$D$204,4,FALSE),0)))</f>
        <v/>
      </c>
      <c r="J306" s="9">
        <f>IF($A306="","",IF(F306&lt;&gt;"",F306,IFERROR(VLOOKUP(C306,'Cost Library'!$A$5:$D$204,3,FALSE),"")))</f>
        <v/>
      </c>
      <c r="K306" s="39">
        <f>IF($A306="","",E306*I306)</f>
        <v/>
      </c>
      <c r="L306" s="36" t="n"/>
      <c r="M306" s="39">
        <f>IF($A306="","",K306*(1+N306))</f>
        <v/>
      </c>
      <c r="N306" s="26">
        <f>IF($A306="","",IF(L306="",IFERROR(VLOOKUP(H306,Settings!$A$22:$B$27,2,FALSE),0),L306))</f>
        <v/>
      </c>
      <c r="O306" s="9">
        <f>IF(AND($A306&lt;&gt;"",$A306=Proposal!$I$2),COUNTIF($A$5:$A306,Proposal!$I$2),"")</f>
        <v/>
      </c>
      <c r="P306" s="9">
        <f>IF($A306="","",IF(COUNTIF(Jobs!$A$5:$A$44,$A306)=0,"Unknown Job ID",IF(B306="","Missing cost code",IF(COUNTIF(Settings!$E$5:$E$28,B306)=0,"Unknown cost code",IF(AND(G306="",C306=""),"No unit cost",IF(E306="","Missing qty",""))))))</f>
        <v/>
      </c>
      <c r="Q306" s="35" t="n"/>
    </row>
    <row r="307">
      <c r="A307" s="35" t="n"/>
      <c r="B307" s="35" t="n"/>
      <c r="C307" s="35" t="n"/>
      <c r="D307" s="35" t="n"/>
      <c r="E307" s="35" t="n"/>
      <c r="F307" s="35" t="n"/>
      <c r="G307" s="37" t="n"/>
      <c r="H307" s="9">
        <f>IF(B307="","",IFERROR(VLOOKUP(B307,Settings!$E$5:$G$28,3,FALSE),"Other"))</f>
        <v/>
      </c>
      <c r="I307" s="39">
        <f>IF($A307="","",IF(G307&lt;&gt;"",G307,IFERROR(VLOOKUP(C307,'Cost Library'!$A$5:$D$204,4,FALSE),0)))</f>
        <v/>
      </c>
      <c r="J307" s="9">
        <f>IF($A307="","",IF(F307&lt;&gt;"",F307,IFERROR(VLOOKUP(C307,'Cost Library'!$A$5:$D$204,3,FALSE),"")))</f>
        <v/>
      </c>
      <c r="K307" s="39">
        <f>IF($A307="","",E307*I307)</f>
        <v/>
      </c>
      <c r="L307" s="36" t="n"/>
      <c r="M307" s="39">
        <f>IF($A307="","",K307*(1+N307))</f>
        <v/>
      </c>
      <c r="N307" s="26">
        <f>IF($A307="","",IF(L307="",IFERROR(VLOOKUP(H307,Settings!$A$22:$B$27,2,FALSE),0),L307))</f>
        <v/>
      </c>
      <c r="O307" s="9">
        <f>IF(AND($A307&lt;&gt;"",$A307=Proposal!$I$2),COUNTIF($A$5:$A307,Proposal!$I$2),"")</f>
        <v/>
      </c>
      <c r="P307" s="9">
        <f>IF($A307="","",IF(COUNTIF(Jobs!$A$5:$A$44,$A307)=0,"Unknown Job ID",IF(B307="","Missing cost code",IF(COUNTIF(Settings!$E$5:$E$28,B307)=0,"Unknown cost code",IF(AND(G307="",C307=""),"No unit cost",IF(E307="","Missing qty",""))))))</f>
        <v/>
      </c>
      <c r="Q307" s="35" t="n"/>
    </row>
    <row r="308">
      <c r="A308" s="35" t="n"/>
      <c r="B308" s="35" t="n"/>
      <c r="C308" s="35" t="n"/>
      <c r="D308" s="35" t="n"/>
      <c r="E308" s="35" t="n"/>
      <c r="F308" s="35" t="n"/>
      <c r="G308" s="37" t="n"/>
      <c r="H308" s="9">
        <f>IF(B308="","",IFERROR(VLOOKUP(B308,Settings!$E$5:$G$28,3,FALSE),"Other"))</f>
        <v/>
      </c>
      <c r="I308" s="39">
        <f>IF($A308="","",IF(G308&lt;&gt;"",G308,IFERROR(VLOOKUP(C308,'Cost Library'!$A$5:$D$204,4,FALSE),0)))</f>
        <v/>
      </c>
      <c r="J308" s="9">
        <f>IF($A308="","",IF(F308&lt;&gt;"",F308,IFERROR(VLOOKUP(C308,'Cost Library'!$A$5:$D$204,3,FALSE),"")))</f>
        <v/>
      </c>
      <c r="K308" s="39">
        <f>IF($A308="","",E308*I308)</f>
        <v/>
      </c>
      <c r="L308" s="36" t="n"/>
      <c r="M308" s="39">
        <f>IF($A308="","",K308*(1+N308))</f>
        <v/>
      </c>
      <c r="N308" s="26">
        <f>IF($A308="","",IF(L308="",IFERROR(VLOOKUP(H308,Settings!$A$22:$B$27,2,FALSE),0),L308))</f>
        <v/>
      </c>
      <c r="O308" s="9">
        <f>IF(AND($A308&lt;&gt;"",$A308=Proposal!$I$2),COUNTIF($A$5:$A308,Proposal!$I$2),"")</f>
        <v/>
      </c>
      <c r="P308" s="9">
        <f>IF($A308="","",IF(COUNTIF(Jobs!$A$5:$A$44,$A308)=0,"Unknown Job ID",IF(B308="","Missing cost code",IF(COUNTIF(Settings!$E$5:$E$28,B308)=0,"Unknown cost code",IF(AND(G308="",C308=""),"No unit cost",IF(E308="","Missing qty",""))))))</f>
        <v/>
      </c>
      <c r="Q308" s="35" t="n"/>
    </row>
    <row r="309">
      <c r="A309" s="35" t="n"/>
      <c r="B309" s="35" t="n"/>
      <c r="C309" s="35" t="n"/>
      <c r="D309" s="35" t="n"/>
      <c r="E309" s="35" t="n"/>
      <c r="F309" s="35" t="n"/>
      <c r="G309" s="37" t="n"/>
      <c r="H309" s="9">
        <f>IF(B309="","",IFERROR(VLOOKUP(B309,Settings!$E$5:$G$28,3,FALSE),"Other"))</f>
        <v/>
      </c>
      <c r="I309" s="39">
        <f>IF($A309="","",IF(G309&lt;&gt;"",G309,IFERROR(VLOOKUP(C309,'Cost Library'!$A$5:$D$204,4,FALSE),0)))</f>
        <v/>
      </c>
      <c r="J309" s="9">
        <f>IF($A309="","",IF(F309&lt;&gt;"",F309,IFERROR(VLOOKUP(C309,'Cost Library'!$A$5:$D$204,3,FALSE),"")))</f>
        <v/>
      </c>
      <c r="K309" s="39">
        <f>IF($A309="","",E309*I309)</f>
        <v/>
      </c>
      <c r="L309" s="36" t="n"/>
      <c r="M309" s="39">
        <f>IF($A309="","",K309*(1+N309))</f>
        <v/>
      </c>
      <c r="N309" s="26">
        <f>IF($A309="","",IF(L309="",IFERROR(VLOOKUP(H309,Settings!$A$22:$B$27,2,FALSE),0),L309))</f>
        <v/>
      </c>
      <c r="O309" s="9">
        <f>IF(AND($A309&lt;&gt;"",$A309=Proposal!$I$2),COUNTIF($A$5:$A309,Proposal!$I$2),"")</f>
        <v/>
      </c>
      <c r="P309" s="9">
        <f>IF($A309="","",IF(COUNTIF(Jobs!$A$5:$A$44,$A309)=0,"Unknown Job ID",IF(B309="","Missing cost code",IF(COUNTIF(Settings!$E$5:$E$28,B309)=0,"Unknown cost code",IF(AND(G309="",C309=""),"No unit cost",IF(E309="","Missing qty",""))))))</f>
        <v/>
      </c>
      <c r="Q309" s="35" t="n"/>
    </row>
    <row r="310">
      <c r="A310" s="35" t="n"/>
      <c r="B310" s="35" t="n"/>
      <c r="C310" s="35" t="n"/>
      <c r="D310" s="35" t="n"/>
      <c r="E310" s="35" t="n"/>
      <c r="F310" s="35" t="n"/>
      <c r="G310" s="37" t="n"/>
      <c r="H310" s="9">
        <f>IF(B310="","",IFERROR(VLOOKUP(B310,Settings!$E$5:$G$28,3,FALSE),"Other"))</f>
        <v/>
      </c>
      <c r="I310" s="39">
        <f>IF($A310="","",IF(G310&lt;&gt;"",G310,IFERROR(VLOOKUP(C310,'Cost Library'!$A$5:$D$204,4,FALSE),0)))</f>
        <v/>
      </c>
      <c r="J310" s="9">
        <f>IF($A310="","",IF(F310&lt;&gt;"",F310,IFERROR(VLOOKUP(C310,'Cost Library'!$A$5:$D$204,3,FALSE),"")))</f>
        <v/>
      </c>
      <c r="K310" s="39">
        <f>IF($A310="","",E310*I310)</f>
        <v/>
      </c>
      <c r="L310" s="36" t="n"/>
      <c r="M310" s="39">
        <f>IF($A310="","",K310*(1+N310))</f>
        <v/>
      </c>
      <c r="N310" s="26">
        <f>IF($A310="","",IF(L310="",IFERROR(VLOOKUP(H310,Settings!$A$22:$B$27,2,FALSE),0),L310))</f>
        <v/>
      </c>
      <c r="O310" s="9">
        <f>IF(AND($A310&lt;&gt;"",$A310=Proposal!$I$2),COUNTIF($A$5:$A310,Proposal!$I$2),"")</f>
        <v/>
      </c>
      <c r="P310" s="9">
        <f>IF($A310="","",IF(COUNTIF(Jobs!$A$5:$A$44,$A310)=0,"Unknown Job ID",IF(B310="","Missing cost code",IF(COUNTIF(Settings!$E$5:$E$28,B310)=0,"Unknown cost code",IF(AND(G310="",C310=""),"No unit cost",IF(E310="","Missing qty",""))))))</f>
        <v/>
      </c>
      <c r="Q310" s="35" t="n"/>
    </row>
    <row r="311">
      <c r="A311" s="35" t="n"/>
      <c r="B311" s="35" t="n"/>
      <c r="C311" s="35" t="n"/>
      <c r="D311" s="35" t="n"/>
      <c r="E311" s="35" t="n"/>
      <c r="F311" s="35" t="n"/>
      <c r="G311" s="37" t="n"/>
      <c r="H311" s="9">
        <f>IF(B311="","",IFERROR(VLOOKUP(B311,Settings!$E$5:$G$28,3,FALSE),"Other"))</f>
        <v/>
      </c>
      <c r="I311" s="39">
        <f>IF($A311="","",IF(G311&lt;&gt;"",G311,IFERROR(VLOOKUP(C311,'Cost Library'!$A$5:$D$204,4,FALSE),0)))</f>
        <v/>
      </c>
      <c r="J311" s="9">
        <f>IF($A311="","",IF(F311&lt;&gt;"",F311,IFERROR(VLOOKUP(C311,'Cost Library'!$A$5:$D$204,3,FALSE),"")))</f>
        <v/>
      </c>
      <c r="K311" s="39">
        <f>IF($A311="","",E311*I311)</f>
        <v/>
      </c>
      <c r="L311" s="36" t="n"/>
      <c r="M311" s="39">
        <f>IF($A311="","",K311*(1+N311))</f>
        <v/>
      </c>
      <c r="N311" s="26">
        <f>IF($A311="","",IF(L311="",IFERROR(VLOOKUP(H311,Settings!$A$22:$B$27,2,FALSE),0),L311))</f>
        <v/>
      </c>
      <c r="O311" s="9">
        <f>IF(AND($A311&lt;&gt;"",$A311=Proposal!$I$2),COUNTIF($A$5:$A311,Proposal!$I$2),"")</f>
        <v/>
      </c>
      <c r="P311" s="9">
        <f>IF($A311="","",IF(COUNTIF(Jobs!$A$5:$A$44,$A311)=0,"Unknown Job ID",IF(B311="","Missing cost code",IF(COUNTIF(Settings!$E$5:$E$28,B311)=0,"Unknown cost code",IF(AND(G311="",C311=""),"No unit cost",IF(E311="","Missing qty",""))))))</f>
        <v/>
      </c>
      <c r="Q311" s="35" t="n"/>
    </row>
    <row r="312">
      <c r="A312" s="35" t="n"/>
      <c r="B312" s="35" t="n"/>
      <c r="C312" s="35" t="n"/>
      <c r="D312" s="35" t="n"/>
      <c r="E312" s="35" t="n"/>
      <c r="F312" s="35" t="n"/>
      <c r="G312" s="37" t="n"/>
      <c r="H312" s="9">
        <f>IF(B312="","",IFERROR(VLOOKUP(B312,Settings!$E$5:$G$28,3,FALSE),"Other"))</f>
        <v/>
      </c>
      <c r="I312" s="39">
        <f>IF($A312="","",IF(G312&lt;&gt;"",G312,IFERROR(VLOOKUP(C312,'Cost Library'!$A$5:$D$204,4,FALSE),0)))</f>
        <v/>
      </c>
      <c r="J312" s="9">
        <f>IF($A312="","",IF(F312&lt;&gt;"",F312,IFERROR(VLOOKUP(C312,'Cost Library'!$A$5:$D$204,3,FALSE),"")))</f>
        <v/>
      </c>
      <c r="K312" s="39">
        <f>IF($A312="","",E312*I312)</f>
        <v/>
      </c>
      <c r="L312" s="36" t="n"/>
      <c r="M312" s="39">
        <f>IF($A312="","",K312*(1+N312))</f>
        <v/>
      </c>
      <c r="N312" s="26">
        <f>IF($A312="","",IF(L312="",IFERROR(VLOOKUP(H312,Settings!$A$22:$B$27,2,FALSE),0),L312))</f>
        <v/>
      </c>
      <c r="O312" s="9">
        <f>IF(AND($A312&lt;&gt;"",$A312=Proposal!$I$2),COUNTIF($A$5:$A312,Proposal!$I$2),"")</f>
        <v/>
      </c>
      <c r="P312" s="9">
        <f>IF($A312="","",IF(COUNTIF(Jobs!$A$5:$A$44,$A312)=0,"Unknown Job ID",IF(B312="","Missing cost code",IF(COUNTIF(Settings!$E$5:$E$28,B312)=0,"Unknown cost code",IF(AND(G312="",C312=""),"No unit cost",IF(E312="","Missing qty",""))))))</f>
        <v/>
      </c>
      <c r="Q312" s="35" t="n"/>
    </row>
    <row r="313">
      <c r="A313" s="35" t="n"/>
      <c r="B313" s="35" t="n"/>
      <c r="C313" s="35" t="n"/>
      <c r="D313" s="35" t="n"/>
      <c r="E313" s="35" t="n"/>
      <c r="F313" s="35" t="n"/>
      <c r="G313" s="37" t="n"/>
      <c r="H313" s="9">
        <f>IF(B313="","",IFERROR(VLOOKUP(B313,Settings!$E$5:$G$28,3,FALSE),"Other"))</f>
        <v/>
      </c>
      <c r="I313" s="39">
        <f>IF($A313="","",IF(G313&lt;&gt;"",G313,IFERROR(VLOOKUP(C313,'Cost Library'!$A$5:$D$204,4,FALSE),0)))</f>
        <v/>
      </c>
      <c r="J313" s="9">
        <f>IF($A313="","",IF(F313&lt;&gt;"",F313,IFERROR(VLOOKUP(C313,'Cost Library'!$A$5:$D$204,3,FALSE),"")))</f>
        <v/>
      </c>
      <c r="K313" s="39">
        <f>IF($A313="","",E313*I313)</f>
        <v/>
      </c>
      <c r="L313" s="36" t="n"/>
      <c r="M313" s="39">
        <f>IF($A313="","",K313*(1+N313))</f>
        <v/>
      </c>
      <c r="N313" s="26">
        <f>IF($A313="","",IF(L313="",IFERROR(VLOOKUP(H313,Settings!$A$22:$B$27,2,FALSE),0),L313))</f>
        <v/>
      </c>
      <c r="O313" s="9">
        <f>IF(AND($A313&lt;&gt;"",$A313=Proposal!$I$2),COUNTIF($A$5:$A313,Proposal!$I$2),"")</f>
        <v/>
      </c>
      <c r="P313" s="9">
        <f>IF($A313="","",IF(COUNTIF(Jobs!$A$5:$A$44,$A313)=0,"Unknown Job ID",IF(B313="","Missing cost code",IF(COUNTIF(Settings!$E$5:$E$28,B313)=0,"Unknown cost code",IF(AND(G313="",C313=""),"No unit cost",IF(E313="","Missing qty",""))))))</f>
        <v/>
      </c>
      <c r="Q313" s="35" t="n"/>
    </row>
    <row r="314">
      <c r="A314" s="35" t="n"/>
      <c r="B314" s="35" t="n"/>
      <c r="C314" s="35" t="n"/>
      <c r="D314" s="35" t="n"/>
      <c r="E314" s="35" t="n"/>
      <c r="F314" s="35" t="n"/>
      <c r="G314" s="37" t="n"/>
      <c r="H314" s="9">
        <f>IF(B314="","",IFERROR(VLOOKUP(B314,Settings!$E$5:$G$28,3,FALSE),"Other"))</f>
        <v/>
      </c>
      <c r="I314" s="39">
        <f>IF($A314="","",IF(G314&lt;&gt;"",G314,IFERROR(VLOOKUP(C314,'Cost Library'!$A$5:$D$204,4,FALSE),0)))</f>
        <v/>
      </c>
      <c r="J314" s="9">
        <f>IF($A314="","",IF(F314&lt;&gt;"",F314,IFERROR(VLOOKUP(C314,'Cost Library'!$A$5:$D$204,3,FALSE),"")))</f>
        <v/>
      </c>
      <c r="K314" s="39">
        <f>IF($A314="","",E314*I314)</f>
        <v/>
      </c>
      <c r="L314" s="36" t="n"/>
      <c r="M314" s="39">
        <f>IF($A314="","",K314*(1+N314))</f>
        <v/>
      </c>
      <c r="N314" s="26">
        <f>IF($A314="","",IF(L314="",IFERROR(VLOOKUP(H314,Settings!$A$22:$B$27,2,FALSE),0),L314))</f>
        <v/>
      </c>
      <c r="O314" s="9">
        <f>IF(AND($A314&lt;&gt;"",$A314=Proposal!$I$2),COUNTIF($A$5:$A314,Proposal!$I$2),"")</f>
        <v/>
      </c>
      <c r="P314" s="9">
        <f>IF($A314="","",IF(COUNTIF(Jobs!$A$5:$A$44,$A314)=0,"Unknown Job ID",IF(B314="","Missing cost code",IF(COUNTIF(Settings!$E$5:$E$28,B314)=0,"Unknown cost code",IF(AND(G314="",C314=""),"No unit cost",IF(E314="","Missing qty",""))))))</f>
        <v/>
      </c>
      <c r="Q314" s="35" t="n"/>
    </row>
    <row r="315">
      <c r="A315" s="35" t="n"/>
      <c r="B315" s="35" t="n"/>
      <c r="C315" s="35" t="n"/>
      <c r="D315" s="35" t="n"/>
      <c r="E315" s="35" t="n"/>
      <c r="F315" s="35" t="n"/>
      <c r="G315" s="37" t="n"/>
      <c r="H315" s="9">
        <f>IF(B315="","",IFERROR(VLOOKUP(B315,Settings!$E$5:$G$28,3,FALSE),"Other"))</f>
        <v/>
      </c>
      <c r="I315" s="39">
        <f>IF($A315="","",IF(G315&lt;&gt;"",G315,IFERROR(VLOOKUP(C315,'Cost Library'!$A$5:$D$204,4,FALSE),0)))</f>
        <v/>
      </c>
      <c r="J315" s="9">
        <f>IF($A315="","",IF(F315&lt;&gt;"",F315,IFERROR(VLOOKUP(C315,'Cost Library'!$A$5:$D$204,3,FALSE),"")))</f>
        <v/>
      </c>
      <c r="K315" s="39">
        <f>IF($A315="","",E315*I315)</f>
        <v/>
      </c>
      <c r="L315" s="36" t="n"/>
      <c r="M315" s="39">
        <f>IF($A315="","",K315*(1+N315))</f>
        <v/>
      </c>
      <c r="N315" s="26">
        <f>IF($A315="","",IF(L315="",IFERROR(VLOOKUP(H315,Settings!$A$22:$B$27,2,FALSE),0),L315))</f>
        <v/>
      </c>
      <c r="O315" s="9">
        <f>IF(AND($A315&lt;&gt;"",$A315=Proposal!$I$2),COUNTIF($A$5:$A315,Proposal!$I$2),"")</f>
        <v/>
      </c>
      <c r="P315" s="9">
        <f>IF($A315="","",IF(COUNTIF(Jobs!$A$5:$A$44,$A315)=0,"Unknown Job ID",IF(B315="","Missing cost code",IF(COUNTIF(Settings!$E$5:$E$28,B315)=0,"Unknown cost code",IF(AND(G315="",C315=""),"No unit cost",IF(E315="","Missing qty",""))))))</f>
        <v/>
      </c>
      <c r="Q315" s="35" t="n"/>
    </row>
    <row r="316">
      <c r="A316" s="35" t="n"/>
      <c r="B316" s="35" t="n"/>
      <c r="C316" s="35" t="n"/>
      <c r="D316" s="35" t="n"/>
      <c r="E316" s="35" t="n"/>
      <c r="F316" s="35" t="n"/>
      <c r="G316" s="37" t="n"/>
      <c r="H316" s="9">
        <f>IF(B316="","",IFERROR(VLOOKUP(B316,Settings!$E$5:$G$28,3,FALSE),"Other"))</f>
        <v/>
      </c>
      <c r="I316" s="39">
        <f>IF($A316="","",IF(G316&lt;&gt;"",G316,IFERROR(VLOOKUP(C316,'Cost Library'!$A$5:$D$204,4,FALSE),0)))</f>
        <v/>
      </c>
      <c r="J316" s="9">
        <f>IF($A316="","",IF(F316&lt;&gt;"",F316,IFERROR(VLOOKUP(C316,'Cost Library'!$A$5:$D$204,3,FALSE),"")))</f>
        <v/>
      </c>
      <c r="K316" s="39">
        <f>IF($A316="","",E316*I316)</f>
        <v/>
      </c>
      <c r="L316" s="36" t="n"/>
      <c r="M316" s="39">
        <f>IF($A316="","",K316*(1+N316))</f>
        <v/>
      </c>
      <c r="N316" s="26">
        <f>IF($A316="","",IF(L316="",IFERROR(VLOOKUP(H316,Settings!$A$22:$B$27,2,FALSE),0),L316))</f>
        <v/>
      </c>
      <c r="O316" s="9">
        <f>IF(AND($A316&lt;&gt;"",$A316=Proposal!$I$2),COUNTIF($A$5:$A316,Proposal!$I$2),"")</f>
        <v/>
      </c>
      <c r="P316" s="9">
        <f>IF($A316="","",IF(COUNTIF(Jobs!$A$5:$A$44,$A316)=0,"Unknown Job ID",IF(B316="","Missing cost code",IF(COUNTIF(Settings!$E$5:$E$28,B316)=0,"Unknown cost code",IF(AND(G316="",C316=""),"No unit cost",IF(E316="","Missing qty",""))))))</f>
        <v/>
      </c>
      <c r="Q316" s="35" t="n"/>
    </row>
    <row r="317">
      <c r="A317" s="35" t="n"/>
      <c r="B317" s="35" t="n"/>
      <c r="C317" s="35" t="n"/>
      <c r="D317" s="35" t="n"/>
      <c r="E317" s="35" t="n"/>
      <c r="F317" s="35" t="n"/>
      <c r="G317" s="37" t="n"/>
      <c r="H317" s="9">
        <f>IF(B317="","",IFERROR(VLOOKUP(B317,Settings!$E$5:$G$28,3,FALSE),"Other"))</f>
        <v/>
      </c>
      <c r="I317" s="39">
        <f>IF($A317="","",IF(G317&lt;&gt;"",G317,IFERROR(VLOOKUP(C317,'Cost Library'!$A$5:$D$204,4,FALSE),0)))</f>
        <v/>
      </c>
      <c r="J317" s="9">
        <f>IF($A317="","",IF(F317&lt;&gt;"",F317,IFERROR(VLOOKUP(C317,'Cost Library'!$A$5:$D$204,3,FALSE),"")))</f>
        <v/>
      </c>
      <c r="K317" s="39">
        <f>IF($A317="","",E317*I317)</f>
        <v/>
      </c>
      <c r="L317" s="36" t="n"/>
      <c r="M317" s="39">
        <f>IF($A317="","",K317*(1+N317))</f>
        <v/>
      </c>
      <c r="N317" s="26">
        <f>IF($A317="","",IF(L317="",IFERROR(VLOOKUP(H317,Settings!$A$22:$B$27,2,FALSE),0),L317))</f>
        <v/>
      </c>
      <c r="O317" s="9">
        <f>IF(AND($A317&lt;&gt;"",$A317=Proposal!$I$2),COUNTIF($A$5:$A317,Proposal!$I$2),"")</f>
        <v/>
      </c>
      <c r="P317" s="9">
        <f>IF($A317="","",IF(COUNTIF(Jobs!$A$5:$A$44,$A317)=0,"Unknown Job ID",IF(B317="","Missing cost code",IF(COUNTIF(Settings!$E$5:$E$28,B317)=0,"Unknown cost code",IF(AND(G317="",C317=""),"No unit cost",IF(E317="","Missing qty",""))))))</f>
        <v/>
      </c>
      <c r="Q317" s="35" t="n"/>
    </row>
    <row r="318">
      <c r="A318" s="35" t="n"/>
      <c r="B318" s="35" t="n"/>
      <c r="C318" s="35" t="n"/>
      <c r="D318" s="35" t="n"/>
      <c r="E318" s="35" t="n"/>
      <c r="F318" s="35" t="n"/>
      <c r="G318" s="37" t="n"/>
      <c r="H318" s="9">
        <f>IF(B318="","",IFERROR(VLOOKUP(B318,Settings!$E$5:$G$28,3,FALSE),"Other"))</f>
        <v/>
      </c>
      <c r="I318" s="39">
        <f>IF($A318="","",IF(G318&lt;&gt;"",G318,IFERROR(VLOOKUP(C318,'Cost Library'!$A$5:$D$204,4,FALSE),0)))</f>
        <v/>
      </c>
      <c r="J318" s="9">
        <f>IF($A318="","",IF(F318&lt;&gt;"",F318,IFERROR(VLOOKUP(C318,'Cost Library'!$A$5:$D$204,3,FALSE),"")))</f>
        <v/>
      </c>
      <c r="K318" s="39">
        <f>IF($A318="","",E318*I318)</f>
        <v/>
      </c>
      <c r="L318" s="36" t="n"/>
      <c r="M318" s="39">
        <f>IF($A318="","",K318*(1+N318))</f>
        <v/>
      </c>
      <c r="N318" s="26">
        <f>IF($A318="","",IF(L318="",IFERROR(VLOOKUP(H318,Settings!$A$22:$B$27,2,FALSE),0),L318))</f>
        <v/>
      </c>
      <c r="O318" s="9">
        <f>IF(AND($A318&lt;&gt;"",$A318=Proposal!$I$2),COUNTIF($A$5:$A318,Proposal!$I$2),"")</f>
        <v/>
      </c>
      <c r="P318" s="9">
        <f>IF($A318="","",IF(COUNTIF(Jobs!$A$5:$A$44,$A318)=0,"Unknown Job ID",IF(B318="","Missing cost code",IF(COUNTIF(Settings!$E$5:$E$28,B318)=0,"Unknown cost code",IF(AND(G318="",C318=""),"No unit cost",IF(E318="","Missing qty",""))))))</f>
        <v/>
      </c>
      <c r="Q318" s="35" t="n"/>
    </row>
    <row r="319">
      <c r="A319" s="35" t="n"/>
      <c r="B319" s="35" t="n"/>
      <c r="C319" s="35" t="n"/>
      <c r="D319" s="35" t="n"/>
      <c r="E319" s="35" t="n"/>
      <c r="F319" s="35" t="n"/>
      <c r="G319" s="37" t="n"/>
      <c r="H319" s="9">
        <f>IF(B319="","",IFERROR(VLOOKUP(B319,Settings!$E$5:$G$28,3,FALSE),"Other"))</f>
        <v/>
      </c>
      <c r="I319" s="39">
        <f>IF($A319="","",IF(G319&lt;&gt;"",G319,IFERROR(VLOOKUP(C319,'Cost Library'!$A$5:$D$204,4,FALSE),0)))</f>
        <v/>
      </c>
      <c r="J319" s="9">
        <f>IF($A319="","",IF(F319&lt;&gt;"",F319,IFERROR(VLOOKUP(C319,'Cost Library'!$A$5:$D$204,3,FALSE),"")))</f>
        <v/>
      </c>
      <c r="K319" s="39">
        <f>IF($A319="","",E319*I319)</f>
        <v/>
      </c>
      <c r="L319" s="36" t="n"/>
      <c r="M319" s="39">
        <f>IF($A319="","",K319*(1+N319))</f>
        <v/>
      </c>
      <c r="N319" s="26">
        <f>IF($A319="","",IF(L319="",IFERROR(VLOOKUP(H319,Settings!$A$22:$B$27,2,FALSE),0),L319))</f>
        <v/>
      </c>
      <c r="O319" s="9">
        <f>IF(AND($A319&lt;&gt;"",$A319=Proposal!$I$2),COUNTIF($A$5:$A319,Proposal!$I$2),"")</f>
        <v/>
      </c>
      <c r="P319" s="9">
        <f>IF($A319="","",IF(COUNTIF(Jobs!$A$5:$A$44,$A319)=0,"Unknown Job ID",IF(B319="","Missing cost code",IF(COUNTIF(Settings!$E$5:$E$28,B319)=0,"Unknown cost code",IF(AND(G319="",C319=""),"No unit cost",IF(E319="","Missing qty",""))))))</f>
        <v/>
      </c>
      <c r="Q319" s="35" t="n"/>
    </row>
    <row r="320">
      <c r="A320" s="35" t="n"/>
      <c r="B320" s="35" t="n"/>
      <c r="C320" s="35" t="n"/>
      <c r="D320" s="35" t="n"/>
      <c r="E320" s="35" t="n"/>
      <c r="F320" s="35" t="n"/>
      <c r="G320" s="37" t="n"/>
      <c r="H320" s="9">
        <f>IF(B320="","",IFERROR(VLOOKUP(B320,Settings!$E$5:$G$28,3,FALSE),"Other"))</f>
        <v/>
      </c>
      <c r="I320" s="39">
        <f>IF($A320="","",IF(G320&lt;&gt;"",G320,IFERROR(VLOOKUP(C320,'Cost Library'!$A$5:$D$204,4,FALSE),0)))</f>
        <v/>
      </c>
      <c r="J320" s="9">
        <f>IF($A320="","",IF(F320&lt;&gt;"",F320,IFERROR(VLOOKUP(C320,'Cost Library'!$A$5:$D$204,3,FALSE),"")))</f>
        <v/>
      </c>
      <c r="K320" s="39">
        <f>IF($A320="","",E320*I320)</f>
        <v/>
      </c>
      <c r="L320" s="36" t="n"/>
      <c r="M320" s="39">
        <f>IF($A320="","",K320*(1+N320))</f>
        <v/>
      </c>
      <c r="N320" s="26">
        <f>IF($A320="","",IF(L320="",IFERROR(VLOOKUP(H320,Settings!$A$22:$B$27,2,FALSE),0),L320))</f>
        <v/>
      </c>
      <c r="O320" s="9">
        <f>IF(AND($A320&lt;&gt;"",$A320=Proposal!$I$2),COUNTIF($A$5:$A320,Proposal!$I$2),"")</f>
        <v/>
      </c>
      <c r="P320" s="9">
        <f>IF($A320="","",IF(COUNTIF(Jobs!$A$5:$A$44,$A320)=0,"Unknown Job ID",IF(B320="","Missing cost code",IF(COUNTIF(Settings!$E$5:$E$28,B320)=0,"Unknown cost code",IF(AND(G320="",C320=""),"No unit cost",IF(E320="","Missing qty",""))))))</f>
        <v/>
      </c>
      <c r="Q320" s="35" t="n"/>
    </row>
    <row r="321">
      <c r="A321" s="35" t="n"/>
      <c r="B321" s="35" t="n"/>
      <c r="C321" s="35" t="n"/>
      <c r="D321" s="35" t="n"/>
      <c r="E321" s="35" t="n"/>
      <c r="F321" s="35" t="n"/>
      <c r="G321" s="37" t="n"/>
      <c r="H321" s="9">
        <f>IF(B321="","",IFERROR(VLOOKUP(B321,Settings!$E$5:$G$28,3,FALSE),"Other"))</f>
        <v/>
      </c>
      <c r="I321" s="39">
        <f>IF($A321="","",IF(G321&lt;&gt;"",G321,IFERROR(VLOOKUP(C321,'Cost Library'!$A$5:$D$204,4,FALSE),0)))</f>
        <v/>
      </c>
      <c r="J321" s="9">
        <f>IF($A321="","",IF(F321&lt;&gt;"",F321,IFERROR(VLOOKUP(C321,'Cost Library'!$A$5:$D$204,3,FALSE),"")))</f>
        <v/>
      </c>
      <c r="K321" s="39">
        <f>IF($A321="","",E321*I321)</f>
        <v/>
      </c>
      <c r="L321" s="36" t="n"/>
      <c r="M321" s="39">
        <f>IF($A321="","",K321*(1+N321))</f>
        <v/>
      </c>
      <c r="N321" s="26">
        <f>IF($A321="","",IF(L321="",IFERROR(VLOOKUP(H321,Settings!$A$22:$B$27,2,FALSE),0),L321))</f>
        <v/>
      </c>
      <c r="O321" s="9">
        <f>IF(AND($A321&lt;&gt;"",$A321=Proposal!$I$2),COUNTIF($A$5:$A321,Proposal!$I$2),"")</f>
        <v/>
      </c>
      <c r="P321" s="9">
        <f>IF($A321="","",IF(COUNTIF(Jobs!$A$5:$A$44,$A321)=0,"Unknown Job ID",IF(B321="","Missing cost code",IF(COUNTIF(Settings!$E$5:$E$28,B321)=0,"Unknown cost code",IF(AND(G321="",C321=""),"No unit cost",IF(E321="","Missing qty",""))))))</f>
        <v/>
      </c>
      <c r="Q321" s="35" t="n"/>
    </row>
    <row r="322">
      <c r="A322" s="35" t="n"/>
      <c r="B322" s="35" t="n"/>
      <c r="C322" s="35" t="n"/>
      <c r="D322" s="35" t="n"/>
      <c r="E322" s="35" t="n"/>
      <c r="F322" s="35" t="n"/>
      <c r="G322" s="37" t="n"/>
      <c r="H322" s="9">
        <f>IF(B322="","",IFERROR(VLOOKUP(B322,Settings!$E$5:$G$28,3,FALSE),"Other"))</f>
        <v/>
      </c>
      <c r="I322" s="39">
        <f>IF($A322="","",IF(G322&lt;&gt;"",G322,IFERROR(VLOOKUP(C322,'Cost Library'!$A$5:$D$204,4,FALSE),0)))</f>
        <v/>
      </c>
      <c r="J322" s="9">
        <f>IF($A322="","",IF(F322&lt;&gt;"",F322,IFERROR(VLOOKUP(C322,'Cost Library'!$A$5:$D$204,3,FALSE),"")))</f>
        <v/>
      </c>
      <c r="K322" s="39">
        <f>IF($A322="","",E322*I322)</f>
        <v/>
      </c>
      <c r="L322" s="36" t="n"/>
      <c r="M322" s="39">
        <f>IF($A322="","",K322*(1+N322))</f>
        <v/>
      </c>
      <c r="N322" s="26">
        <f>IF($A322="","",IF(L322="",IFERROR(VLOOKUP(H322,Settings!$A$22:$B$27,2,FALSE),0),L322))</f>
        <v/>
      </c>
      <c r="O322" s="9">
        <f>IF(AND($A322&lt;&gt;"",$A322=Proposal!$I$2),COUNTIF($A$5:$A322,Proposal!$I$2),"")</f>
        <v/>
      </c>
      <c r="P322" s="9">
        <f>IF($A322="","",IF(COUNTIF(Jobs!$A$5:$A$44,$A322)=0,"Unknown Job ID",IF(B322="","Missing cost code",IF(COUNTIF(Settings!$E$5:$E$28,B322)=0,"Unknown cost code",IF(AND(G322="",C322=""),"No unit cost",IF(E322="","Missing qty",""))))))</f>
        <v/>
      </c>
      <c r="Q322" s="35" t="n"/>
    </row>
    <row r="323">
      <c r="A323" s="35" t="n"/>
      <c r="B323" s="35" t="n"/>
      <c r="C323" s="35" t="n"/>
      <c r="D323" s="35" t="n"/>
      <c r="E323" s="35" t="n"/>
      <c r="F323" s="35" t="n"/>
      <c r="G323" s="37" t="n"/>
      <c r="H323" s="9">
        <f>IF(B323="","",IFERROR(VLOOKUP(B323,Settings!$E$5:$G$28,3,FALSE),"Other"))</f>
        <v/>
      </c>
      <c r="I323" s="39">
        <f>IF($A323="","",IF(G323&lt;&gt;"",G323,IFERROR(VLOOKUP(C323,'Cost Library'!$A$5:$D$204,4,FALSE),0)))</f>
        <v/>
      </c>
      <c r="J323" s="9">
        <f>IF($A323="","",IF(F323&lt;&gt;"",F323,IFERROR(VLOOKUP(C323,'Cost Library'!$A$5:$D$204,3,FALSE),"")))</f>
        <v/>
      </c>
      <c r="K323" s="39">
        <f>IF($A323="","",E323*I323)</f>
        <v/>
      </c>
      <c r="L323" s="36" t="n"/>
      <c r="M323" s="39">
        <f>IF($A323="","",K323*(1+N323))</f>
        <v/>
      </c>
      <c r="N323" s="26">
        <f>IF($A323="","",IF(L323="",IFERROR(VLOOKUP(H323,Settings!$A$22:$B$27,2,FALSE),0),L323))</f>
        <v/>
      </c>
      <c r="O323" s="9">
        <f>IF(AND($A323&lt;&gt;"",$A323=Proposal!$I$2),COUNTIF($A$5:$A323,Proposal!$I$2),"")</f>
        <v/>
      </c>
      <c r="P323" s="9">
        <f>IF($A323="","",IF(COUNTIF(Jobs!$A$5:$A$44,$A323)=0,"Unknown Job ID",IF(B323="","Missing cost code",IF(COUNTIF(Settings!$E$5:$E$28,B323)=0,"Unknown cost code",IF(AND(G323="",C323=""),"No unit cost",IF(E323="","Missing qty",""))))))</f>
        <v/>
      </c>
      <c r="Q323" s="35" t="n"/>
    </row>
    <row r="324">
      <c r="A324" s="35" t="n"/>
      <c r="B324" s="35" t="n"/>
      <c r="C324" s="35" t="n"/>
      <c r="D324" s="35" t="n"/>
      <c r="E324" s="35" t="n"/>
      <c r="F324" s="35" t="n"/>
      <c r="G324" s="37" t="n"/>
      <c r="H324" s="9">
        <f>IF(B324="","",IFERROR(VLOOKUP(B324,Settings!$E$5:$G$28,3,FALSE),"Other"))</f>
        <v/>
      </c>
      <c r="I324" s="39">
        <f>IF($A324="","",IF(G324&lt;&gt;"",G324,IFERROR(VLOOKUP(C324,'Cost Library'!$A$5:$D$204,4,FALSE),0)))</f>
        <v/>
      </c>
      <c r="J324" s="9">
        <f>IF($A324="","",IF(F324&lt;&gt;"",F324,IFERROR(VLOOKUP(C324,'Cost Library'!$A$5:$D$204,3,FALSE),"")))</f>
        <v/>
      </c>
      <c r="K324" s="39">
        <f>IF($A324="","",E324*I324)</f>
        <v/>
      </c>
      <c r="L324" s="36" t="n"/>
      <c r="M324" s="39">
        <f>IF($A324="","",K324*(1+N324))</f>
        <v/>
      </c>
      <c r="N324" s="26">
        <f>IF($A324="","",IF(L324="",IFERROR(VLOOKUP(H324,Settings!$A$22:$B$27,2,FALSE),0),L324))</f>
        <v/>
      </c>
      <c r="O324" s="9">
        <f>IF(AND($A324&lt;&gt;"",$A324=Proposal!$I$2),COUNTIF($A$5:$A324,Proposal!$I$2),"")</f>
        <v/>
      </c>
      <c r="P324" s="9">
        <f>IF($A324="","",IF(COUNTIF(Jobs!$A$5:$A$44,$A324)=0,"Unknown Job ID",IF(B324="","Missing cost code",IF(COUNTIF(Settings!$E$5:$E$28,B324)=0,"Unknown cost code",IF(AND(G324="",C324=""),"No unit cost",IF(E324="","Missing qty",""))))))</f>
        <v/>
      </c>
      <c r="Q324" s="35" t="n"/>
    </row>
    <row r="325">
      <c r="A325" s="35" t="n"/>
      <c r="B325" s="35" t="n"/>
      <c r="C325" s="35" t="n"/>
      <c r="D325" s="35" t="n"/>
      <c r="E325" s="35" t="n"/>
      <c r="F325" s="35" t="n"/>
      <c r="G325" s="37" t="n"/>
      <c r="H325" s="9">
        <f>IF(B325="","",IFERROR(VLOOKUP(B325,Settings!$E$5:$G$28,3,FALSE),"Other"))</f>
        <v/>
      </c>
      <c r="I325" s="39">
        <f>IF($A325="","",IF(G325&lt;&gt;"",G325,IFERROR(VLOOKUP(C325,'Cost Library'!$A$5:$D$204,4,FALSE),0)))</f>
        <v/>
      </c>
      <c r="J325" s="9">
        <f>IF($A325="","",IF(F325&lt;&gt;"",F325,IFERROR(VLOOKUP(C325,'Cost Library'!$A$5:$D$204,3,FALSE),"")))</f>
        <v/>
      </c>
      <c r="K325" s="39">
        <f>IF($A325="","",E325*I325)</f>
        <v/>
      </c>
      <c r="L325" s="36" t="n"/>
      <c r="M325" s="39">
        <f>IF($A325="","",K325*(1+N325))</f>
        <v/>
      </c>
      <c r="N325" s="26">
        <f>IF($A325="","",IF(L325="",IFERROR(VLOOKUP(H325,Settings!$A$22:$B$27,2,FALSE),0),L325))</f>
        <v/>
      </c>
      <c r="O325" s="9">
        <f>IF(AND($A325&lt;&gt;"",$A325=Proposal!$I$2),COUNTIF($A$5:$A325,Proposal!$I$2),"")</f>
        <v/>
      </c>
      <c r="P325" s="9">
        <f>IF($A325="","",IF(COUNTIF(Jobs!$A$5:$A$44,$A325)=0,"Unknown Job ID",IF(B325="","Missing cost code",IF(COUNTIF(Settings!$E$5:$E$28,B325)=0,"Unknown cost code",IF(AND(G325="",C325=""),"No unit cost",IF(E325="","Missing qty",""))))))</f>
        <v/>
      </c>
      <c r="Q325" s="35" t="n"/>
    </row>
    <row r="326">
      <c r="A326" s="35" t="n"/>
      <c r="B326" s="35" t="n"/>
      <c r="C326" s="35" t="n"/>
      <c r="D326" s="35" t="n"/>
      <c r="E326" s="35" t="n"/>
      <c r="F326" s="35" t="n"/>
      <c r="G326" s="37" t="n"/>
      <c r="H326" s="9">
        <f>IF(B326="","",IFERROR(VLOOKUP(B326,Settings!$E$5:$G$28,3,FALSE),"Other"))</f>
        <v/>
      </c>
      <c r="I326" s="39">
        <f>IF($A326="","",IF(G326&lt;&gt;"",G326,IFERROR(VLOOKUP(C326,'Cost Library'!$A$5:$D$204,4,FALSE),0)))</f>
        <v/>
      </c>
      <c r="J326" s="9">
        <f>IF($A326="","",IF(F326&lt;&gt;"",F326,IFERROR(VLOOKUP(C326,'Cost Library'!$A$5:$D$204,3,FALSE),"")))</f>
        <v/>
      </c>
      <c r="K326" s="39">
        <f>IF($A326="","",E326*I326)</f>
        <v/>
      </c>
      <c r="L326" s="36" t="n"/>
      <c r="M326" s="39">
        <f>IF($A326="","",K326*(1+N326))</f>
        <v/>
      </c>
      <c r="N326" s="26">
        <f>IF($A326="","",IF(L326="",IFERROR(VLOOKUP(H326,Settings!$A$22:$B$27,2,FALSE),0),L326))</f>
        <v/>
      </c>
      <c r="O326" s="9">
        <f>IF(AND($A326&lt;&gt;"",$A326=Proposal!$I$2),COUNTIF($A$5:$A326,Proposal!$I$2),"")</f>
        <v/>
      </c>
      <c r="P326" s="9">
        <f>IF($A326="","",IF(COUNTIF(Jobs!$A$5:$A$44,$A326)=0,"Unknown Job ID",IF(B326="","Missing cost code",IF(COUNTIF(Settings!$E$5:$E$28,B326)=0,"Unknown cost code",IF(AND(G326="",C326=""),"No unit cost",IF(E326="","Missing qty",""))))))</f>
        <v/>
      </c>
      <c r="Q326" s="35" t="n"/>
    </row>
    <row r="327">
      <c r="A327" s="35" t="n"/>
      <c r="B327" s="35" t="n"/>
      <c r="C327" s="35" t="n"/>
      <c r="D327" s="35" t="n"/>
      <c r="E327" s="35" t="n"/>
      <c r="F327" s="35" t="n"/>
      <c r="G327" s="37" t="n"/>
      <c r="H327" s="9">
        <f>IF(B327="","",IFERROR(VLOOKUP(B327,Settings!$E$5:$G$28,3,FALSE),"Other"))</f>
        <v/>
      </c>
      <c r="I327" s="39">
        <f>IF($A327="","",IF(G327&lt;&gt;"",G327,IFERROR(VLOOKUP(C327,'Cost Library'!$A$5:$D$204,4,FALSE),0)))</f>
        <v/>
      </c>
      <c r="J327" s="9">
        <f>IF($A327="","",IF(F327&lt;&gt;"",F327,IFERROR(VLOOKUP(C327,'Cost Library'!$A$5:$D$204,3,FALSE),"")))</f>
        <v/>
      </c>
      <c r="K327" s="39">
        <f>IF($A327="","",E327*I327)</f>
        <v/>
      </c>
      <c r="L327" s="36" t="n"/>
      <c r="M327" s="39">
        <f>IF($A327="","",K327*(1+N327))</f>
        <v/>
      </c>
      <c r="N327" s="26">
        <f>IF($A327="","",IF(L327="",IFERROR(VLOOKUP(H327,Settings!$A$22:$B$27,2,FALSE),0),L327))</f>
        <v/>
      </c>
      <c r="O327" s="9">
        <f>IF(AND($A327&lt;&gt;"",$A327=Proposal!$I$2),COUNTIF($A$5:$A327,Proposal!$I$2),"")</f>
        <v/>
      </c>
      <c r="P327" s="9">
        <f>IF($A327="","",IF(COUNTIF(Jobs!$A$5:$A$44,$A327)=0,"Unknown Job ID",IF(B327="","Missing cost code",IF(COUNTIF(Settings!$E$5:$E$28,B327)=0,"Unknown cost code",IF(AND(G327="",C327=""),"No unit cost",IF(E327="","Missing qty",""))))))</f>
        <v/>
      </c>
      <c r="Q327" s="35" t="n"/>
    </row>
    <row r="328">
      <c r="A328" s="35" t="n"/>
      <c r="B328" s="35" t="n"/>
      <c r="C328" s="35" t="n"/>
      <c r="D328" s="35" t="n"/>
      <c r="E328" s="35" t="n"/>
      <c r="F328" s="35" t="n"/>
      <c r="G328" s="37" t="n"/>
      <c r="H328" s="9">
        <f>IF(B328="","",IFERROR(VLOOKUP(B328,Settings!$E$5:$G$28,3,FALSE),"Other"))</f>
        <v/>
      </c>
      <c r="I328" s="39">
        <f>IF($A328="","",IF(G328&lt;&gt;"",G328,IFERROR(VLOOKUP(C328,'Cost Library'!$A$5:$D$204,4,FALSE),0)))</f>
        <v/>
      </c>
      <c r="J328" s="9">
        <f>IF($A328="","",IF(F328&lt;&gt;"",F328,IFERROR(VLOOKUP(C328,'Cost Library'!$A$5:$D$204,3,FALSE),"")))</f>
        <v/>
      </c>
      <c r="K328" s="39">
        <f>IF($A328="","",E328*I328)</f>
        <v/>
      </c>
      <c r="L328" s="36" t="n"/>
      <c r="M328" s="39">
        <f>IF($A328="","",K328*(1+N328))</f>
        <v/>
      </c>
      <c r="N328" s="26">
        <f>IF($A328="","",IF(L328="",IFERROR(VLOOKUP(H328,Settings!$A$22:$B$27,2,FALSE),0),L328))</f>
        <v/>
      </c>
      <c r="O328" s="9">
        <f>IF(AND($A328&lt;&gt;"",$A328=Proposal!$I$2),COUNTIF($A$5:$A328,Proposal!$I$2),"")</f>
        <v/>
      </c>
      <c r="P328" s="9">
        <f>IF($A328="","",IF(COUNTIF(Jobs!$A$5:$A$44,$A328)=0,"Unknown Job ID",IF(B328="","Missing cost code",IF(COUNTIF(Settings!$E$5:$E$28,B328)=0,"Unknown cost code",IF(AND(G328="",C328=""),"No unit cost",IF(E328="","Missing qty",""))))))</f>
        <v/>
      </c>
      <c r="Q328" s="35" t="n"/>
    </row>
    <row r="329">
      <c r="A329" s="35" t="n"/>
      <c r="B329" s="35" t="n"/>
      <c r="C329" s="35" t="n"/>
      <c r="D329" s="35" t="n"/>
      <c r="E329" s="35" t="n"/>
      <c r="F329" s="35" t="n"/>
      <c r="G329" s="37" t="n"/>
      <c r="H329" s="9">
        <f>IF(B329="","",IFERROR(VLOOKUP(B329,Settings!$E$5:$G$28,3,FALSE),"Other"))</f>
        <v/>
      </c>
      <c r="I329" s="39">
        <f>IF($A329="","",IF(G329&lt;&gt;"",G329,IFERROR(VLOOKUP(C329,'Cost Library'!$A$5:$D$204,4,FALSE),0)))</f>
        <v/>
      </c>
      <c r="J329" s="9">
        <f>IF($A329="","",IF(F329&lt;&gt;"",F329,IFERROR(VLOOKUP(C329,'Cost Library'!$A$5:$D$204,3,FALSE),"")))</f>
        <v/>
      </c>
      <c r="K329" s="39">
        <f>IF($A329="","",E329*I329)</f>
        <v/>
      </c>
      <c r="L329" s="36" t="n"/>
      <c r="M329" s="39">
        <f>IF($A329="","",K329*(1+N329))</f>
        <v/>
      </c>
      <c r="N329" s="26">
        <f>IF($A329="","",IF(L329="",IFERROR(VLOOKUP(H329,Settings!$A$22:$B$27,2,FALSE),0),L329))</f>
        <v/>
      </c>
      <c r="O329" s="9">
        <f>IF(AND($A329&lt;&gt;"",$A329=Proposal!$I$2),COUNTIF($A$5:$A329,Proposal!$I$2),"")</f>
        <v/>
      </c>
      <c r="P329" s="9">
        <f>IF($A329="","",IF(COUNTIF(Jobs!$A$5:$A$44,$A329)=0,"Unknown Job ID",IF(B329="","Missing cost code",IF(COUNTIF(Settings!$E$5:$E$28,B329)=0,"Unknown cost code",IF(AND(G329="",C329=""),"No unit cost",IF(E329="","Missing qty",""))))))</f>
        <v/>
      </c>
      <c r="Q329" s="35" t="n"/>
    </row>
    <row r="330">
      <c r="A330" s="35" t="n"/>
      <c r="B330" s="35" t="n"/>
      <c r="C330" s="35" t="n"/>
      <c r="D330" s="35" t="n"/>
      <c r="E330" s="35" t="n"/>
      <c r="F330" s="35" t="n"/>
      <c r="G330" s="37" t="n"/>
      <c r="H330" s="9">
        <f>IF(B330="","",IFERROR(VLOOKUP(B330,Settings!$E$5:$G$28,3,FALSE),"Other"))</f>
        <v/>
      </c>
      <c r="I330" s="39">
        <f>IF($A330="","",IF(G330&lt;&gt;"",G330,IFERROR(VLOOKUP(C330,'Cost Library'!$A$5:$D$204,4,FALSE),0)))</f>
        <v/>
      </c>
      <c r="J330" s="9">
        <f>IF($A330="","",IF(F330&lt;&gt;"",F330,IFERROR(VLOOKUP(C330,'Cost Library'!$A$5:$D$204,3,FALSE),"")))</f>
        <v/>
      </c>
      <c r="K330" s="39">
        <f>IF($A330="","",E330*I330)</f>
        <v/>
      </c>
      <c r="L330" s="36" t="n"/>
      <c r="M330" s="39">
        <f>IF($A330="","",K330*(1+N330))</f>
        <v/>
      </c>
      <c r="N330" s="26">
        <f>IF($A330="","",IF(L330="",IFERROR(VLOOKUP(H330,Settings!$A$22:$B$27,2,FALSE),0),L330))</f>
        <v/>
      </c>
      <c r="O330" s="9">
        <f>IF(AND($A330&lt;&gt;"",$A330=Proposal!$I$2),COUNTIF($A$5:$A330,Proposal!$I$2),"")</f>
        <v/>
      </c>
      <c r="P330" s="9">
        <f>IF($A330="","",IF(COUNTIF(Jobs!$A$5:$A$44,$A330)=0,"Unknown Job ID",IF(B330="","Missing cost code",IF(COUNTIF(Settings!$E$5:$E$28,B330)=0,"Unknown cost code",IF(AND(G330="",C330=""),"No unit cost",IF(E330="","Missing qty",""))))))</f>
        <v/>
      </c>
      <c r="Q330" s="35" t="n"/>
    </row>
    <row r="331">
      <c r="A331" s="35" t="n"/>
      <c r="B331" s="35" t="n"/>
      <c r="C331" s="35" t="n"/>
      <c r="D331" s="35" t="n"/>
      <c r="E331" s="35" t="n"/>
      <c r="F331" s="35" t="n"/>
      <c r="G331" s="37" t="n"/>
      <c r="H331" s="9">
        <f>IF(B331="","",IFERROR(VLOOKUP(B331,Settings!$E$5:$G$28,3,FALSE),"Other"))</f>
        <v/>
      </c>
      <c r="I331" s="39">
        <f>IF($A331="","",IF(G331&lt;&gt;"",G331,IFERROR(VLOOKUP(C331,'Cost Library'!$A$5:$D$204,4,FALSE),0)))</f>
        <v/>
      </c>
      <c r="J331" s="9">
        <f>IF($A331="","",IF(F331&lt;&gt;"",F331,IFERROR(VLOOKUP(C331,'Cost Library'!$A$5:$D$204,3,FALSE),"")))</f>
        <v/>
      </c>
      <c r="K331" s="39">
        <f>IF($A331="","",E331*I331)</f>
        <v/>
      </c>
      <c r="L331" s="36" t="n"/>
      <c r="M331" s="39">
        <f>IF($A331="","",K331*(1+N331))</f>
        <v/>
      </c>
      <c r="N331" s="26">
        <f>IF($A331="","",IF(L331="",IFERROR(VLOOKUP(H331,Settings!$A$22:$B$27,2,FALSE),0),L331))</f>
        <v/>
      </c>
      <c r="O331" s="9">
        <f>IF(AND($A331&lt;&gt;"",$A331=Proposal!$I$2),COUNTIF($A$5:$A331,Proposal!$I$2),"")</f>
        <v/>
      </c>
      <c r="P331" s="9">
        <f>IF($A331="","",IF(COUNTIF(Jobs!$A$5:$A$44,$A331)=0,"Unknown Job ID",IF(B331="","Missing cost code",IF(COUNTIF(Settings!$E$5:$E$28,B331)=0,"Unknown cost code",IF(AND(G331="",C331=""),"No unit cost",IF(E331="","Missing qty",""))))))</f>
        <v/>
      </c>
      <c r="Q331" s="35" t="n"/>
    </row>
    <row r="332">
      <c r="A332" s="35" t="n"/>
      <c r="B332" s="35" t="n"/>
      <c r="C332" s="35" t="n"/>
      <c r="D332" s="35" t="n"/>
      <c r="E332" s="35" t="n"/>
      <c r="F332" s="35" t="n"/>
      <c r="G332" s="37" t="n"/>
      <c r="H332" s="9">
        <f>IF(B332="","",IFERROR(VLOOKUP(B332,Settings!$E$5:$G$28,3,FALSE),"Other"))</f>
        <v/>
      </c>
      <c r="I332" s="39">
        <f>IF($A332="","",IF(G332&lt;&gt;"",G332,IFERROR(VLOOKUP(C332,'Cost Library'!$A$5:$D$204,4,FALSE),0)))</f>
        <v/>
      </c>
      <c r="J332" s="9">
        <f>IF($A332="","",IF(F332&lt;&gt;"",F332,IFERROR(VLOOKUP(C332,'Cost Library'!$A$5:$D$204,3,FALSE),"")))</f>
        <v/>
      </c>
      <c r="K332" s="39">
        <f>IF($A332="","",E332*I332)</f>
        <v/>
      </c>
      <c r="L332" s="36" t="n"/>
      <c r="M332" s="39">
        <f>IF($A332="","",K332*(1+N332))</f>
        <v/>
      </c>
      <c r="N332" s="26">
        <f>IF($A332="","",IF(L332="",IFERROR(VLOOKUP(H332,Settings!$A$22:$B$27,2,FALSE),0),L332))</f>
        <v/>
      </c>
      <c r="O332" s="9">
        <f>IF(AND($A332&lt;&gt;"",$A332=Proposal!$I$2),COUNTIF($A$5:$A332,Proposal!$I$2),"")</f>
        <v/>
      </c>
      <c r="P332" s="9">
        <f>IF($A332="","",IF(COUNTIF(Jobs!$A$5:$A$44,$A332)=0,"Unknown Job ID",IF(B332="","Missing cost code",IF(COUNTIF(Settings!$E$5:$E$28,B332)=0,"Unknown cost code",IF(AND(G332="",C332=""),"No unit cost",IF(E332="","Missing qty",""))))))</f>
        <v/>
      </c>
      <c r="Q332" s="35" t="n"/>
    </row>
    <row r="333">
      <c r="A333" s="35" t="n"/>
      <c r="B333" s="35" t="n"/>
      <c r="C333" s="35" t="n"/>
      <c r="D333" s="35" t="n"/>
      <c r="E333" s="35" t="n"/>
      <c r="F333" s="35" t="n"/>
      <c r="G333" s="37" t="n"/>
      <c r="H333" s="9">
        <f>IF(B333="","",IFERROR(VLOOKUP(B333,Settings!$E$5:$G$28,3,FALSE),"Other"))</f>
        <v/>
      </c>
      <c r="I333" s="39">
        <f>IF($A333="","",IF(G333&lt;&gt;"",G333,IFERROR(VLOOKUP(C333,'Cost Library'!$A$5:$D$204,4,FALSE),0)))</f>
        <v/>
      </c>
      <c r="J333" s="9">
        <f>IF($A333="","",IF(F333&lt;&gt;"",F333,IFERROR(VLOOKUP(C333,'Cost Library'!$A$5:$D$204,3,FALSE),"")))</f>
        <v/>
      </c>
      <c r="K333" s="39">
        <f>IF($A333="","",E333*I333)</f>
        <v/>
      </c>
      <c r="L333" s="36" t="n"/>
      <c r="M333" s="39">
        <f>IF($A333="","",K333*(1+N333))</f>
        <v/>
      </c>
      <c r="N333" s="26">
        <f>IF($A333="","",IF(L333="",IFERROR(VLOOKUP(H333,Settings!$A$22:$B$27,2,FALSE),0),L333))</f>
        <v/>
      </c>
      <c r="O333" s="9">
        <f>IF(AND($A333&lt;&gt;"",$A333=Proposal!$I$2),COUNTIF($A$5:$A333,Proposal!$I$2),"")</f>
        <v/>
      </c>
      <c r="P333" s="9">
        <f>IF($A333="","",IF(COUNTIF(Jobs!$A$5:$A$44,$A333)=0,"Unknown Job ID",IF(B333="","Missing cost code",IF(COUNTIF(Settings!$E$5:$E$28,B333)=0,"Unknown cost code",IF(AND(G333="",C333=""),"No unit cost",IF(E333="","Missing qty",""))))))</f>
        <v/>
      </c>
      <c r="Q333" s="35" t="n"/>
    </row>
    <row r="334">
      <c r="A334" s="35" t="n"/>
      <c r="B334" s="35" t="n"/>
      <c r="C334" s="35" t="n"/>
      <c r="D334" s="35" t="n"/>
      <c r="E334" s="35" t="n"/>
      <c r="F334" s="35" t="n"/>
      <c r="G334" s="37" t="n"/>
      <c r="H334" s="9">
        <f>IF(B334="","",IFERROR(VLOOKUP(B334,Settings!$E$5:$G$28,3,FALSE),"Other"))</f>
        <v/>
      </c>
      <c r="I334" s="39">
        <f>IF($A334="","",IF(G334&lt;&gt;"",G334,IFERROR(VLOOKUP(C334,'Cost Library'!$A$5:$D$204,4,FALSE),0)))</f>
        <v/>
      </c>
      <c r="J334" s="9">
        <f>IF($A334="","",IF(F334&lt;&gt;"",F334,IFERROR(VLOOKUP(C334,'Cost Library'!$A$5:$D$204,3,FALSE),"")))</f>
        <v/>
      </c>
      <c r="K334" s="39">
        <f>IF($A334="","",E334*I334)</f>
        <v/>
      </c>
      <c r="L334" s="36" t="n"/>
      <c r="M334" s="39">
        <f>IF($A334="","",K334*(1+N334))</f>
        <v/>
      </c>
      <c r="N334" s="26">
        <f>IF($A334="","",IF(L334="",IFERROR(VLOOKUP(H334,Settings!$A$22:$B$27,2,FALSE),0),L334))</f>
        <v/>
      </c>
      <c r="O334" s="9">
        <f>IF(AND($A334&lt;&gt;"",$A334=Proposal!$I$2),COUNTIF($A$5:$A334,Proposal!$I$2),"")</f>
        <v/>
      </c>
      <c r="P334" s="9">
        <f>IF($A334="","",IF(COUNTIF(Jobs!$A$5:$A$44,$A334)=0,"Unknown Job ID",IF(B334="","Missing cost code",IF(COUNTIF(Settings!$E$5:$E$28,B334)=0,"Unknown cost code",IF(AND(G334="",C334=""),"No unit cost",IF(E334="","Missing qty",""))))))</f>
        <v/>
      </c>
      <c r="Q334" s="35" t="n"/>
    </row>
    <row r="335">
      <c r="A335" s="35" t="n"/>
      <c r="B335" s="35" t="n"/>
      <c r="C335" s="35" t="n"/>
      <c r="D335" s="35" t="n"/>
      <c r="E335" s="35" t="n"/>
      <c r="F335" s="35" t="n"/>
      <c r="G335" s="37" t="n"/>
      <c r="H335" s="9">
        <f>IF(B335="","",IFERROR(VLOOKUP(B335,Settings!$E$5:$G$28,3,FALSE),"Other"))</f>
        <v/>
      </c>
      <c r="I335" s="39">
        <f>IF($A335="","",IF(G335&lt;&gt;"",G335,IFERROR(VLOOKUP(C335,'Cost Library'!$A$5:$D$204,4,FALSE),0)))</f>
        <v/>
      </c>
      <c r="J335" s="9">
        <f>IF($A335="","",IF(F335&lt;&gt;"",F335,IFERROR(VLOOKUP(C335,'Cost Library'!$A$5:$D$204,3,FALSE),"")))</f>
        <v/>
      </c>
      <c r="K335" s="39">
        <f>IF($A335="","",E335*I335)</f>
        <v/>
      </c>
      <c r="L335" s="36" t="n"/>
      <c r="M335" s="39">
        <f>IF($A335="","",K335*(1+N335))</f>
        <v/>
      </c>
      <c r="N335" s="26">
        <f>IF($A335="","",IF(L335="",IFERROR(VLOOKUP(H335,Settings!$A$22:$B$27,2,FALSE),0),L335))</f>
        <v/>
      </c>
      <c r="O335" s="9">
        <f>IF(AND($A335&lt;&gt;"",$A335=Proposal!$I$2),COUNTIF($A$5:$A335,Proposal!$I$2),"")</f>
        <v/>
      </c>
      <c r="P335" s="9">
        <f>IF($A335="","",IF(COUNTIF(Jobs!$A$5:$A$44,$A335)=0,"Unknown Job ID",IF(B335="","Missing cost code",IF(COUNTIF(Settings!$E$5:$E$28,B335)=0,"Unknown cost code",IF(AND(G335="",C335=""),"No unit cost",IF(E335="","Missing qty",""))))))</f>
        <v/>
      </c>
      <c r="Q335" s="35" t="n"/>
    </row>
    <row r="336">
      <c r="A336" s="35" t="n"/>
      <c r="B336" s="35" t="n"/>
      <c r="C336" s="35" t="n"/>
      <c r="D336" s="35" t="n"/>
      <c r="E336" s="35" t="n"/>
      <c r="F336" s="35" t="n"/>
      <c r="G336" s="37" t="n"/>
      <c r="H336" s="9">
        <f>IF(B336="","",IFERROR(VLOOKUP(B336,Settings!$E$5:$G$28,3,FALSE),"Other"))</f>
        <v/>
      </c>
      <c r="I336" s="39">
        <f>IF($A336="","",IF(G336&lt;&gt;"",G336,IFERROR(VLOOKUP(C336,'Cost Library'!$A$5:$D$204,4,FALSE),0)))</f>
        <v/>
      </c>
      <c r="J336" s="9">
        <f>IF($A336="","",IF(F336&lt;&gt;"",F336,IFERROR(VLOOKUP(C336,'Cost Library'!$A$5:$D$204,3,FALSE),"")))</f>
        <v/>
      </c>
      <c r="K336" s="39">
        <f>IF($A336="","",E336*I336)</f>
        <v/>
      </c>
      <c r="L336" s="36" t="n"/>
      <c r="M336" s="39">
        <f>IF($A336="","",K336*(1+N336))</f>
        <v/>
      </c>
      <c r="N336" s="26">
        <f>IF($A336="","",IF(L336="",IFERROR(VLOOKUP(H336,Settings!$A$22:$B$27,2,FALSE),0),L336))</f>
        <v/>
      </c>
      <c r="O336" s="9">
        <f>IF(AND($A336&lt;&gt;"",$A336=Proposal!$I$2),COUNTIF($A$5:$A336,Proposal!$I$2),"")</f>
        <v/>
      </c>
      <c r="P336" s="9">
        <f>IF($A336="","",IF(COUNTIF(Jobs!$A$5:$A$44,$A336)=0,"Unknown Job ID",IF(B336="","Missing cost code",IF(COUNTIF(Settings!$E$5:$E$28,B336)=0,"Unknown cost code",IF(AND(G336="",C336=""),"No unit cost",IF(E336="","Missing qty",""))))))</f>
        <v/>
      </c>
      <c r="Q336" s="35" t="n"/>
    </row>
    <row r="337">
      <c r="A337" s="35" t="n"/>
      <c r="B337" s="35" t="n"/>
      <c r="C337" s="35" t="n"/>
      <c r="D337" s="35" t="n"/>
      <c r="E337" s="35" t="n"/>
      <c r="F337" s="35" t="n"/>
      <c r="G337" s="37" t="n"/>
      <c r="H337" s="9">
        <f>IF(B337="","",IFERROR(VLOOKUP(B337,Settings!$E$5:$G$28,3,FALSE),"Other"))</f>
        <v/>
      </c>
      <c r="I337" s="39">
        <f>IF($A337="","",IF(G337&lt;&gt;"",G337,IFERROR(VLOOKUP(C337,'Cost Library'!$A$5:$D$204,4,FALSE),0)))</f>
        <v/>
      </c>
      <c r="J337" s="9">
        <f>IF($A337="","",IF(F337&lt;&gt;"",F337,IFERROR(VLOOKUP(C337,'Cost Library'!$A$5:$D$204,3,FALSE),"")))</f>
        <v/>
      </c>
      <c r="K337" s="39">
        <f>IF($A337="","",E337*I337)</f>
        <v/>
      </c>
      <c r="L337" s="36" t="n"/>
      <c r="M337" s="39">
        <f>IF($A337="","",K337*(1+N337))</f>
        <v/>
      </c>
      <c r="N337" s="26">
        <f>IF($A337="","",IF(L337="",IFERROR(VLOOKUP(H337,Settings!$A$22:$B$27,2,FALSE),0),L337))</f>
        <v/>
      </c>
      <c r="O337" s="9">
        <f>IF(AND($A337&lt;&gt;"",$A337=Proposal!$I$2),COUNTIF($A$5:$A337,Proposal!$I$2),"")</f>
        <v/>
      </c>
      <c r="P337" s="9">
        <f>IF($A337="","",IF(COUNTIF(Jobs!$A$5:$A$44,$A337)=0,"Unknown Job ID",IF(B337="","Missing cost code",IF(COUNTIF(Settings!$E$5:$E$28,B337)=0,"Unknown cost code",IF(AND(G337="",C337=""),"No unit cost",IF(E337="","Missing qty",""))))))</f>
        <v/>
      </c>
      <c r="Q337" s="35" t="n"/>
    </row>
    <row r="338">
      <c r="A338" s="35" t="n"/>
      <c r="B338" s="35" t="n"/>
      <c r="C338" s="35" t="n"/>
      <c r="D338" s="35" t="n"/>
      <c r="E338" s="35" t="n"/>
      <c r="F338" s="35" t="n"/>
      <c r="G338" s="37" t="n"/>
      <c r="H338" s="9">
        <f>IF(B338="","",IFERROR(VLOOKUP(B338,Settings!$E$5:$G$28,3,FALSE),"Other"))</f>
        <v/>
      </c>
      <c r="I338" s="39">
        <f>IF($A338="","",IF(G338&lt;&gt;"",G338,IFERROR(VLOOKUP(C338,'Cost Library'!$A$5:$D$204,4,FALSE),0)))</f>
        <v/>
      </c>
      <c r="J338" s="9">
        <f>IF($A338="","",IF(F338&lt;&gt;"",F338,IFERROR(VLOOKUP(C338,'Cost Library'!$A$5:$D$204,3,FALSE),"")))</f>
        <v/>
      </c>
      <c r="K338" s="39">
        <f>IF($A338="","",E338*I338)</f>
        <v/>
      </c>
      <c r="L338" s="36" t="n"/>
      <c r="M338" s="39">
        <f>IF($A338="","",K338*(1+N338))</f>
        <v/>
      </c>
      <c r="N338" s="26">
        <f>IF($A338="","",IF(L338="",IFERROR(VLOOKUP(H338,Settings!$A$22:$B$27,2,FALSE),0),L338))</f>
        <v/>
      </c>
      <c r="O338" s="9">
        <f>IF(AND($A338&lt;&gt;"",$A338=Proposal!$I$2),COUNTIF($A$5:$A338,Proposal!$I$2),"")</f>
        <v/>
      </c>
      <c r="P338" s="9">
        <f>IF($A338="","",IF(COUNTIF(Jobs!$A$5:$A$44,$A338)=0,"Unknown Job ID",IF(B338="","Missing cost code",IF(COUNTIF(Settings!$E$5:$E$28,B338)=0,"Unknown cost code",IF(AND(G338="",C338=""),"No unit cost",IF(E338="","Missing qty",""))))))</f>
        <v/>
      </c>
      <c r="Q338" s="35" t="n"/>
    </row>
    <row r="339">
      <c r="A339" s="35" t="n"/>
      <c r="B339" s="35" t="n"/>
      <c r="C339" s="35" t="n"/>
      <c r="D339" s="35" t="n"/>
      <c r="E339" s="35" t="n"/>
      <c r="F339" s="35" t="n"/>
      <c r="G339" s="37" t="n"/>
      <c r="H339" s="9">
        <f>IF(B339="","",IFERROR(VLOOKUP(B339,Settings!$E$5:$G$28,3,FALSE),"Other"))</f>
        <v/>
      </c>
      <c r="I339" s="39">
        <f>IF($A339="","",IF(G339&lt;&gt;"",G339,IFERROR(VLOOKUP(C339,'Cost Library'!$A$5:$D$204,4,FALSE),0)))</f>
        <v/>
      </c>
      <c r="J339" s="9">
        <f>IF($A339="","",IF(F339&lt;&gt;"",F339,IFERROR(VLOOKUP(C339,'Cost Library'!$A$5:$D$204,3,FALSE),"")))</f>
        <v/>
      </c>
      <c r="K339" s="39">
        <f>IF($A339="","",E339*I339)</f>
        <v/>
      </c>
      <c r="L339" s="36" t="n"/>
      <c r="M339" s="39">
        <f>IF($A339="","",K339*(1+N339))</f>
        <v/>
      </c>
      <c r="N339" s="26">
        <f>IF($A339="","",IF(L339="",IFERROR(VLOOKUP(H339,Settings!$A$22:$B$27,2,FALSE),0),L339))</f>
        <v/>
      </c>
      <c r="O339" s="9">
        <f>IF(AND($A339&lt;&gt;"",$A339=Proposal!$I$2),COUNTIF($A$5:$A339,Proposal!$I$2),"")</f>
        <v/>
      </c>
      <c r="P339" s="9">
        <f>IF($A339="","",IF(COUNTIF(Jobs!$A$5:$A$44,$A339)=0,"Unknown Job ID",IF(B339="","Missing cost code",IF(COUNTIF(Settings!$E$5:$E$28,B339)=0,"Unknown cost code",IF(AND(G339="",C339=""),"No unit cost",IF(E339="","Missing qty",""))))))</f>
        <v/>
      </c>
      <c r="Q339" s="35" t="n"/>
    </row>
    <row r="340">
      <c r="A340" s="35" t="n"/>
      <c r="B340" s="35" t="n"/>
      <c r="C340" s="35" t="n"/>
      <c r="D340" s="35" t="n"/>
      <c r="E340" s="35" t="n"/>
      <c r="F340" s="35" t="n"/>
      <c r="G340" s="37" t="n"/>
      <c r="H340" s="9">
        <f>IF(B340="","",IFERROR(VLOOKUP(B340,Settings!$E$5:$G$28,3,FALSE),"Other"))</f>
        <v/>
      </c>
      <c r="I340" s="39">
        <f>IF($A340="","",IF(G340&lt;&gt;"",G340,IFERROR(VLOOKUP(C340,'Cost Library'!$A$5:$D$204,4,FALSE),0)))</f>
        <v/>
      </c>
      <c r="J340" s="9">
        <f>IF($A340="","",IF(F340&lt;&gt;"",F340,IFERROR(VLOOKUP(C340,'Cost Library'!$A$5:$D$204,3,FALSE),"")))</f>
        <v/>
      </c>
      <c r="K340" s="39">
        <f>IF($A340="","",E340*I340)</f>
        <v/>
      </c>
      <c r="L340" s="36" t="n"/>
      <c r="M340" s="39">
        <f>IF($A340="","",K340*(1+N340))</f>
        <v/>
      </c>
      <c r="N340" s="26">
        <f>IF($A340="","",IF(L340="",IFERROR(VLOOKUP(H340,Settings!$A$22:$B$27,2,FALSE),0),L340))</f>
        <v/>
      </c>
      <c r="O340" s="9">
        <f>IF(AND($A340&lt;&gt;"",$A340=Proposal!$I$2),COUNTIF($A$5:$A340,Proposal!$I$2),"")</f>
        <v/>
      </c>
      <c r="P340" s="9">
        <f>IF($A340="","",IF(COUNTIF(Jobs!$A$5:$A$44,$A340)=0,"Unknown Job ID",IF(B340="","Missing cost code",IF(COUNTIF(Settings!$E$5:$E$28,B340)=0,"Unknown cost code",IF(AND(G340="",C340=""),"No unit cost",IF(E340="","Missing qty",""))))))</f>
        <v/>
      </c>
      <c r="Q340" s="35" t="n"/>
    </row>
    <row r="341">
      <c r="A341" s="35" t="n"/>
      <c r="B341" s="35" t="n"/>
      <c r="C341" s="35" t="n"/>
      <c r="D341" s="35" t="n"/>
      <c r="E341" s="35" t="n"/>
      <c r="F341" s="35" t="n"/>
      <c r="G341" s="37" t="n"/>
      <c r="H341" s="9">
        <f>IF(B341="","",IFERROR(VLOOKUP(B341,Settings!$E$5:$G$28,3,FALSE),"Other"))</f>
        <v/>
      </c>
      <c r="I341" s="39">
        <f>IF($A341="","",IF(G341&lt;&gt;"",G341,IFERROR(VLOOKUP(C341,'Cost Library'!$A$5:$D$204,4,FALSE),0)))</f>
        <v/>
      </c>
      <c r="J341" s="9">
        <f>IF($A341="","",IF(F341&lt;&gt;"",F341,IFERROR(VLOOKUP(C341,'Cost Library'!$A$5:$D$204,3,FALSE),"")))</f>
        <v/>
      </c>
      <c r="K341" s="39">
        <f>IF($A341="","",E341*I341)</f>
        <v/>
      </c>
      <c r="L341" s="36" t="n"/>
      <c r="M341" s="39">
        <f>IF($A341="","",K341*(1+N341))</f>
        <v/>
      </c>
      <c r="N341" s="26">
        <f>IF($A341="","",IF(L341="",IFERROR(VLOOKUP(H341,Settings!$A$22:$B$27,2,FALSE),0),L341))</f>
        <v/>
      </c>
      <c r="O341" s="9">
        <f>IF(AND($A341&lt;&gt;"",$A341=Proposal!$I$2),COUNTIF($A$5:$A341,Proposal!$I$2),"")</f>
        <v/>
      </c>
      <c r="P341" s="9">
        <f>IF($A341="","",IF(COUNTIF(Jobs!$A$5:$A$44,$A341)=0,"Unknown Job ID",IF(B341="","Missing cost code",IF(COUNTIF(Settings!$E$5:$E$28,B341)=0,"Unknown cost code",IF(AND(G341="",C341=""),"No unit cost",IF(E341="","Missing qty",""))))))</f>
        <v/>
      </c>
      <c r="Q341" s="35" t="n"/>
    </row>
    <row r="342">
      <c r="A342" s="35" t="n"/>
      <c r="B342" s="35" t="n"/>
      <c r="C342" s="35" t="n"/>
      <c r="D342" s="35" t="n"/>
      <c r="E342" s="35" t="n"/>
      <c r="F342" s="35" t="n"/>
      <c r="G342" s="37" t="n"/>
      <c r="H342" s="9">
        <f>IF(B342="","",IFERROR(VLOOKUP(B342,Settings!$E$5:$G$28,3,FALSE),"Other"))</f>
        <v/>
      </c>
      <c r="I342" s="39">
        <f>IF($A342="","",IF(G342&lt;&gt;"",G342,IFERROR(VLOOKUP(C342,'Cost Library'!$A$5:$D$204,4,FALSE),0)))</f>
        <v/>
      </c>
      <c r="J342" s="9">
        <f>IF($A342="","",IF(F342&lt;&gt;"",F342,IFERROR(VLOOKUP(C342,'Cost Library'!$A$5:$D$204,3,FALSE),"")))</f>
        <v/>
      </c>
      <c r="K342" s="39">
        <f>IF($A342="","",E342*I342)</f>
        <v/>
      </c>
      <c r="L342" s="36" t="n"/>
      <c r="M342" s="39">
        <f>IF($A342="","",K342*(1+N342))</f>
        <v/>
      </c>
      <c r="N342" s="26">
        <f>IF($A342="","",IF(L342="",IFERROR(VLOOKUP(H342,Settings!$A$22:$B$27,2,FALSE),0),L342))</f>
        <v/>
      </c>
      <c r="O342" s="9">
        <f>IF(AND($A342&lt;&gt;"",$A342=Proposal!$I$2),COUNTIF($A$5:$A342,Proposal!$I$2),"")</f>
        <v/>
      </c>
      <c r="P342" s="9">
        <f>IF($A342="","",IF(COUNTIF(Jobs!$A$5:$A$44,$A342)=0,"Unknown Job ID",IF(B342="","Missing cost code",IF(COUNTIF(Settings!$E$5:$E$28,B342)=0,"Unknown cost code",IF(AND(G342="",C342=""),"No unit cost",IF(E342="","Missing qty",""))))))</f>
        <v/>
      </c>
      <c r="Q342" s="35" t="n"/>
    </row>
    <row r="343">
      <c r="A343" s="35" t="n"/>
      <c r="B343" s="35" t="n"/>
      <c r="C343" s="35" t="n"/>
      <c r="D343" s="35" t="n"/>
      <c r="E343" s="35" t="n"/>
      <c r="F343" s="35" t="n"/>
      <c r="G343" s="37" t="n"/>
      <c r="H343" s="9">
        <f>IF(B343="","",IFERROR(VLOOKUP(B343,Settings!$E$5:$G$28,3,FALSE),"Other"))</f>
        <v/>
      </c>
      <c r="I343" s="39">
        <f>IF($A343="","",IF(G343&lt;&gt;"",G343,IFERROR(VLOOKUP(C343,'Cost Library'!$A$5:$D$204,4,FALSE),0)))</f>
        <v/>
      </c>
      <c r="J343" s="9">
        <f>IF($A343="","",IF(F343&lt;&gt;"",F343,IFERROR(VLOOKUP(C343,'Cost Library'!$A$5:$D$204,3,FALSE),"")))</f>
        <v/>
      </c>
      <c r="K343" s="39">
        <f>IF($A343="","",E343*I343)</f>
        <v/>
      </c>
      <c r="L343" s="36" t="n"/>
      <c r="M343" s="39">
        <f>IF($A343="","",K343*(1+N343))</f>
        <v/>
      </c>
      <c r="N343" s="26">
        <f>IF($A343="","",IF(L343="",IFERROR(VLOOKUP(H343,Settings!$A$22:$B$27,2,FALSE),0),L343))</f>
        <v/>
      </c>
      <c r="O343" s="9">
        <f>IF(AND($A343&lt;&gt;"",$A343=Proposal!$I$2),COUNTIF($A$5:$A343,Proposal!$I$2),"")</f>
        <v/>
      </c>
      <c r="P343" s="9">
        <f>IF($A343="","",IF(COUNTIF(Jobs!$A$5:$A$44,$A343)=0,"Unknown Job ID",IF(B343="","Missing cost code",IF(COUNTIF(Settings!$E$5:$E$28,B343)=0,"Unknown cost code",IF(AND(G343="",C343=""),"No unit cost",IF(E343="","Missing qty",""))))))</f>
        <v/>
      </c>
      <c r="Q343" s="35" t="n"/>
    </row>
    <row r="344">
      <c r="A344" s="35" t="n"/>
      <c r="B344" s="35" t="n"/>
      <c r="C344" s="35" t="n"/>
      <c r="D344" s="35" t="n"/>
      <c r="E344" s="35" t="n"/>
      <c r="F344" s="35" t="n"/>
      <c r="G344" s="37" t="n"/>
      <c r="H344" s="9">
        <f>IF(B344="","",IFERROR(VLOOKUP(B344,Settings!$E$5:$G$28,3,FALSE),"Other"))</f>
        <v/>
      </c>
      <c r="I344" s="39">
        <f>IF($A344="","",IF(G344&lt;&gt;"",G344,IFERROR(VLOOKUP(C344,'Cost Library'!$A$5:$D$204,4,FALSE),0)))</f>
        <v/>
      </c>
      <c r="J344" s="9">
        <f>IF($A344="","",IF(F344&lt;&gt;"",F344,IFERROR(VLOOKUP(C344,'Cost Library'!$A$5:$D$204,3,FALSE),"")))</f>
        <v/>
      </c>
      <c r="K344" s="39">
        <f>IF($A344="","",E344*I344)</f>
        <v/>
      </c>
      <c r="L344" s="36" t="n"/>
      <c r="M344" s="39">
        <f>IF($A344="","",K344*(1+N344))</f>
        <v/>
      </c>
      <c r="N344" s="26">
        <f>IF($A344="","",IF(L344="",IFERROR(VLOOKUP(H344,Settings!$A$22:$B$27,2,FALSE),0),L344))</f>
        <v/>
      </c>
      <c r="O344" s="9">
        <f>IF(AND($A344&lt;&gt;"",$A344=Proposal!$I$2),COUNTIF($A$5:$A344,Proposal!$I$2),"")</f>
        <v/>
      </c>
      <c r="P344" s="9">
        <f>IF($A344="","",IF(COUNTIF(Jobs!$A$5:$A$44,$A344)=0,"Unknown Job ID",IF(B344="","Missing cost code",IF(COUNTIF(Settings!$E$5:$E$28,B344)=0,"Unknown cost code",IF(AND(G344="",C344=""),"No unit cost",IF(E344="","Missing qty",""))))))</f>
        <v/>
      </c>
      <c r="Q344" s="35" t="n"/>
    </row>
    <row r="345">
      <c r="A345" s="35" t="n"/>
      <c r="B345" s="35" t="n"/>
      <c r="C345" s="35" t="n"/>
      <c r="D345" s="35" t="n"/>
      <c r="E345" s="35" t="n"/>
      <c r="F345" s="35" t="n"/>
      <c r="G345" s="37" t="n"/>
      <c r="H345" s="9">
        <f>IF(B345="","",IFERROR(VLOOKUP(B345,Settings!$E$5:$G$28,3,FALSE),"Other"))</f>
        <v/>
      </c>
      <c r="I345" s="39">
        <f>IF($A345="","",IF(G345&lt;&gt;"",G345,IFERROR(VLOOKUP(C345,'Cost Library'!$A$5:$D$204,4,FALSE),0)))</f>
        <v/>
      </c>
      <c r="J345" s="9">
        <f>IF($A345="","",IF(F345&lt;&gt;"",F345,IFERROR(VLOOKUP(C345,'Cost Library'!$A$5:$D$204,3,FALSE),"")))</f>
        <v/>
      </c>
      <c r="K345" s="39">
        <f>IF($A345="","",E345*I345)</f>
        <v/>
      </c>
      <c r="L345" s="36" t="n"/>
      <c r="M345" s="39">
        <f>IF($A345="","",K345*(1+N345))</f>
        <v/>
      </c>
      <c r="N345" s="26">
        <f>IF($A345="","",IF(L345="",IFERROR(VLOOKUP(H345,Settings!$A$22:$B$27,2,FALSE),0),L345))</f>
        <v/>
      </c>
      <c r="O345" s="9">
        <f>IF(AND($A345&lt;&gt;"",$A345=Proposal!$I$2),COUNTIF($A$5:$A345,Proposal!$I$2),"")</f>
        <v/>
      </c>
      <c r="P345" s="9">
        <f>IF($A345="","",IF(COUNTIF(Jobs!$A$5:$A$44,$A345)=0,"Unknown Job ID",IF(B345="","Missing cost code",IF(COUNTIF(Settings!$E$5:$E$28,B345)=0,"Unknown cost code",IF(AND(G345="",C345=""),"No unit cost",IF(E345="","Missing qty",""))))))</f>
        <v/>
      </c>
      <c r="Q345" s="35" t="n"/>
    </row>
    <row r="346">
      <c r="A346" s="35" t="n"/>
      <c r="B346" s="35" t="n"/>
      <c r="C346" s="35" t="n"/>
      <c r="D346" s="35" t="n"/>
      <c r="E346" s="35" t="n"/>
      <c r="F346" s="35" t="n"/>
      <c r="G346" s="37" t="n"/>
      <c r="H346" s="9">
        <f>IF(B346="","",IFERROR(VLOOKUP(B346,Settings!$E$5:$G$28,3,FALSE),"Other"))</f>
        <v/>
      </c>
      <c r="I346" s="39">
        <f>IF($A346="","",IF(G346&lt;&gt;"",G346,IFERROR(VLOOKUP(C346,'Cost Library'!$A$5:$D$204,4,FALSE),0)))</f>
        <v/>
      </c>
      <c r="J346" s="9">
        <f>IF($A346="","",IF(F346&lt;&gt;"",F346,IFERROR(VLOOKUP(C346,'Cost Library'!$A$5:$D$204,3,FALSE),"")))</f>
        <v/>
      </c>
      <c r="K346" s="39">
        <f>IF($A346="","",E346*I346)</f>
        <v/>
      </c>
      <c r="L346" s="36" t="n"/>
      <c r="M346" s="39">
        <f>IF($A346="","",K346*(1+N346))</f>
        <v/>
      </c>
      <c r="N346" s="26">
        <f>IF($A346="","",IF(L346="",IFERROR(VLOOKUP(H346,Settings!$A$22:$B$27,2,FALSE),0),L346))</f>
        <v/>
      </c>
      <c r="O346" s="9">
        <f>IF(AND($A346&lt;&gt;"",$A346=Proposal!$I$2),COUNTIF($A$5:$A346,Proposal!$I$2),"")</f>
        <v/>
      </c>
      <c r="P346" s="9">
        <f>IF($A346="","",IF(COUNTIF(Jobs!$A$5:$A$44,$A346)=0,"Unknown Job ID",IF(B346="","Missing cost code",IF(COUNTIF(Settings!$E$5:$E$28,B346)=0,"Unknown cost code",IF(AND(G346="",C346=""),"No unit cost",IF(E346="","Missing qty",""))))))</f>
        <v/>
      </c>
      <c r="Q346" s="35" t="n"/>
    </row>
    <row r="347">
      <c r="A347" s="35" t="n"/>
      <c r="B347" s="35" t="n"/>
      <c r="C347" s="35" t="n"/>
      <c r="D347" s="35" t="n"/>
      <c r="E347" s="35" t="n"/>
      <c r="F347" s="35" t="n"/>
      <c r="G347" s="37" t="n"/>
      <c r="H347" s="9">
        <f>IF(B347="","",IFERROR(VLOOKUP(B347,Settings!$E$5:$G$28,3,FALSE),"Other"))</f>
        <v/>
      </c>
      <c r="I347" s="39">
        <f>IF($A347="","",IF(G347&lt;&gt;"",G347,IFERROR(VLOOKUP(C347,'Cost Library'!$A$5:$D$204,4,FALSE),0)))</f>
        <v/>
      </c>
      <c r="J347" s="9">
        <f>IF($A347="","",IF(F347&lt;&gt;"",F347,IFERROR(VLOOKUP(C347,'Cost Library'!$A$5:$D$204,3,FALSE),"")))</f>
        <v/>
      </c>
      <c r="K347" s="39">
        <f>IF($A347="","",E347*I347)</f>
        <v/>
      </c>
      <c r="L347" s="36" t="n"/>
      <c r="M347" s="39">
        <f>IF($A347="","",K347*(1+N347))</f>
        <v/>
      </c>
      <c r="N347" s="26">
        <f>IF($A347="","",IF(L347="",IFERROR(VLOOKUP(H347,Settings!$A$22:$B$27,2,FALSE),0),L347))</f>
        <v/>
      </c>
      <c r="O347" s="9">
        <f>IF(AND($A347&lt;&gt;"",$A347=Proposal!$I$2),COUNTIF($A$5:$A347,Proposal!$I$2),"")</f>
        <v/>
      </c>
      <c r="P347" s="9">
        <f>IF($A347="","",IF(COUNTIF(Jobs!$A$5:$A$44,$A347)=0,"Unknown Job ID",IF(B347="","Missing cost code",IF(COUNTIF(Settings!$E$5:$E$28,B347)=0,"Unknown cost code",IF(AND(G347="",C347=""),"No unit cost",IF(E347="","Missing qty",""))))))</f>
        <v/>
      </c>
      <c r="Q347" s="35" t="n"/>
    </row>
    <row r="348">
      <c r="A348" s="35" t="n"/>
      <c r="B348" s="35" t="n"/>
      <c r="C348" s="35" t="n"/>
      <c r="D348" s="35" t="n"/>
      <c r="E348" s="35" t="n"/>
      <c r="F348" s="35" t="n"/>
      <c r="G348" s="37" t="n"/>
      <c r="H348" s="9">
        <f>IF(B348="","",IFERROR(VLOOKUP(B348,Settings!$E$5:$G$28,3,FALSE),"Other"))</f>
        <v/>
      </c>
      <c r="I348" s="39">
        <f>IF($A348="","",IF(G348&lt;&gt;"",G348,IFERROR(VLOOKUP(C348,'Cost Library'!$A$5:$D$204,4,FALSE),0)))</f>
        <v/>
      </c>
      <c r="J348" s="9">
        <f>IF($A348="","",IF(F348&lt;&gt;"",F348,IFERROR(VLOOKUP(C348,'Cost Library'!$A$5:$D$204,3,FALSE),"")))</f>
        <v/>
      </c>
      <c r="K348" s="39">
        <f>IF($A348="","",E348*I348)</f>
        <v/>
      </c>
      <c r="L348" s="36" t="n"/>
      <c r="M348" s="39">
        <f>IF($A348="","",K348*(1+N348))</f>
        <v/>
      </c>
      <c r="N348" s="26">
        <f>IF($A348="","",IF(L348="",IFERROR(VLOOKUP(H348,Settings!$A$22:$B$27,2,FALSE),0),L348))</f>
        <v/>
      </c>
      <c r="O348" s="9">
        <f>IF(AND($A348&lt;&gt;"",$A348=Proposal!$I$2),COUNTIF($A$5:$A348,Proposal!$I$2),"")</f>
        <v/>
      </c>
      <c r="P348" s="9">
        <f>IF($A348="","",IF(COUNTIF(Jobs!$A$5:$A$44,$A348)=0,"Unknown Job ID",IF(B348="","Missing cost code",IF(COUNTIF(Settings!$E$5:$E$28,B348)=0,"Unknown cost code",IF(AND(G348="",C348=""),"No unit cost",IF(E348="","Missing qty",""))))))</f>
        <v/>
      </c>
      <c r="Q348" s="35" t="n"/>
    </row>
    <row r="349">
      <c r="A349" s="35" t="n"/>
      <c r="B349" s="35" t="n"/>
      <c r="C349" s="35" t="n"/>
      <c r="D349" s="35" t="n"/>
      <c r="E349" s="35" t="n"/>
      <c r="F349" s="35" t="n"/>
      <c r="G349" s="37" t="n"/>
      <c r="H349" s="9">
        <f>IF(B349="","",IFERROR(VLOOKUP(B349,Settings!$E$5:$G$28,3,FALSE),"Other"))</f>
        <v/>
      </c>
      <c r="I349" s="39">
        <f>IF($A349="","",IF(G349&lt;&gt;"",G349,IFERROR(VLOOKUP(C349,'Cost Library'!$A$5:$D$204,4,FALSE),0)))</f>
        <v/>
      </c>
      <c r="J349" s="9">
        <f>IF($A349="","",IF(F349&lt;&gt;"",F349,IFERROR(VLOOKUP(C349,'Cost Library'!$A$5:$D$204,3,FALSE),"")))</f>
        <v/>
      </c>
      <c r="K349" s="39">
        <f>IF($A349="","",E349*I349)</f>
        <v/>
      </c>
      <c r="L349" s="36" t="n"/>
      <c r="M349" s="39">
        <f>IF($A349="","",K349*(1+N349))</f>
        <v/>
      </c>
      <c r="N349" s="26">
        <f>IF($A349="","",IF(L349="",IFERROR(VLOOKUP(H349,Settings!$A$22:$B$27,2,FALSE),0),L349))</f>
        <v/>
      </c>
      <c r="O349" s="9">
        <f>IF(AND($A349&lt;&gt;"",$A349=Proposal!$I$2),COUNTIF($A$5:$A349,Proposal!$I$2),"")</f>
        <v/>
      </c>
      <c r="P349" s="9">
        <f>IF($A349="","",IF(COUNTIF(Jobs!$A$5:$A$44,$A349)=0,"Unknown Job ID",IF(B349="","Missing cost code",IF(COUNTIF(Settings!$E$5:$E$28,B349)=0,"Unknown cost code",IF(AND(G349="",C349=""),"No unit cost",IF(E349="","Missing qty",""))))))</f>
        <v/>
      </c>
      <c r="Q349" s="35" t="n"/>
    </row>
    <row r="350">
      <c r="A350" s="35" t="n"/>
      <c r="B350" s="35" t="n"/>
      <c r="C350" s="35" t="n"/>
      <c r="D350" s="35" t="n"/>
      <c r="E350" s="35" t="n"/>
      <c r="F350" s="35" t="n"/>
      <c r="G350" s="37" t="n"/>
      <c r="H350" s="9">
        <f>IF(B350="","",IFERROR(VLOOKUP(B350,Settings!$E$5:$G$28,3,FALSE),"Other"))</f>
        <v/>
      </c>
      <c r="I350" s="39">
        <f>IF($A350="","",IF(G350&lt;&gt;"",G350,IFERROR(VLOOKUP(C350,'Cost Library'!$A$5:$D$204,4,FALSE),0)))</f>
        <v/>
      </c>
      <c r="J350" s="9">
        <f>IF($A350="","",IF(F350&lt;&gt;"",F350,IFERROR(VLOOKUP(C350,'Cost Library'!$A$5:$D$204,3,FALSE),"")))</f>
        <v/>
      </c>
      <c r="K350" s="39">
        <f>IF($A350="","",E350*I350)</f>
        <v/>
      </c>
      <c r="L350" s="36" t="n"/>
      <c r="M350" s="39">
        <f>IF($A350="","",K350*(1+N350))</f>
        <v/>
      </c>
      <c r="N350" s="26">
        <f>IF($A350="","",IF(L350="",IFERROR(VLOOKUP(H350,Settings!$A$22:$B$27,2,FALSE),0),L350))</f>
        <v/>
      </c>
      <c r="O350" s="9">
        <f>IF(AND($A350&lt;&gt;"",$A350=Proposal!$I$2),COUNTIF($A$5:$A350,Proposal!$I$2),"")</f>
        <v/>
      </c>
      <c r="P350" s="9">
        <f>IF($A350="","",IF(COUNTIF(Jobs!$A$5:$A$44,$A350)=0,"Unknown Job ID",IF(B350="","Missing cost code",IF(COUNTIF(Settings!$E$5:$E$28,B350)=0,"Unknown cost code",IF(AND(G350="",C350=""),"No unit cost",IF(E350="","Missing qty",""))))))</f>
        <v/>
      </c>
      <c r="Q350" s="35" t="n"/>
    </row>
    <row r="351">
      <c r="A351" s="35" t="n"/>
      <c r="B351" s="35" t="n"/>
      <c r="C351" s="35" t="n"/>
      <c r="D351" s="35" t="n"/>
      <c r="E351" s="35" t="n"/>
      <c r="F351" s="35" t="n"/>
      <c r="G351" s="37" t="n"/>
      <c r="H351" s="9">
        <f>IF(B351="","",IFERROR(VLOOKUP(B351,Settings!$E$5:$G$28,3,FALSE),"Other"))</f>
        <v/>
      </c>
      <c r="I351" s="39">
        <f>IF($A351="","",IF(G351&lt;&gt;"",G351,IFERROR(VLOOKUP(C351,'Cost Library'!$A$5:$D$204,4,FALSE),0)))</f>
        <v/>
      </c>
      <c r="J351" s="9">
        <f>IF($A351="","",IF(F351&lt;&gt;"",F351,IFERROR(VLOOKUP(C351,'Cost Library'!$A$5:$D$204,3,FALSE),"")))</f>
        <v/>
      </c>
      <c r="K351" s="39">
        <f>IF($A351="","",E351*I351)</f>
        <v/>
      </c>
      <c r="L351" s="36" t="n"/>
      <c r="M351" s="39">
        <f>IF($A351="","",K351*(1+N351))</f>
        <v/>
      </c>
      <c r="N351" s="26">
        <f>IF($A351="","",IF(L351="",IFERROR(VLOOKUP(H351,Settings!$A$22:$B$27,2,FALSE),0),L351))</f>
        <v/>
      </c>
      <c r="O351" s="9">
        <f>IF(AND($A351&lt;&gt;"",$A351=Proposal!$I$2),COUNTIF($A$5:$A351,Proposal!$I$2),"")</f>
        <v/>
      </c>
      <c r="P351" s="9">
        <f>IF($A351="","",IF(COUNTIF(Jobs!$A$5:$A$44,$A351)=0,"Unknown Job ID",IF(B351="","Missing cost code",IF(COUNTIF(Settings!$E$5:$E$28,B351)=0,"Unknown cost code",IF(AND(G351="",C351=""),"No unit cost",IF(E351="","Missing qty",""))))))</f>
        <v/>
      </c>
      <c r="Q351" s="35" t="n"/>
    </row>
    <row r="352">
      <c r="A352" s="35" t="n"/>
      <c r="B352" s="35" t="n"/>
      <c r="C352" s="35" t="n"/>
      <c r="D352" s="35" t="n"/>
      <c r="E352" s="35" t="n"/>
      <c r="F352" s="35" t="n"/>
      <c r="G352" s="37" t="n"/>
      <c r="H352" s="9">
        <f>IF(B352="","",IFERROR(VLOOKUP(B352,Settings!$E$5:$G$28,3,FALSE),"Other"))</f>
        <v/>
      </c>
      <c r="I352" s="39">
        <f>IF($A352="","",IF(G352&lt;&gt;"",G352,IFERROR(VLOOKUP(C352,'Cost Library'!$A$5:$D$204,4,FALSE),0)))</f>
        <v/>
      </c>
      <c r="J352" s="9">
        <f>IF($A352="","",IF(F352&lt;&gt;"",F352,IFERROR(VLOOKUP(C352,'Cost Library'!$A$5:$D$204,3,FALSE),"")))</f>
        <v/>
      </c>
      <c r="K352" s="39">
        <f>IF($A352="","",E352*I352)</f>
        <v/>
      </c>
      <c r="L352" s="36" t="n"/>
      <c r="M352" s="39">
        <f>IF($A352="","",K352*(1+N352))</f>
        <v/>
      </c>
      <c r="N352" s="26">
        <f>IF($A352="","",IF(L352="",IFERROR(VLOOKUP(H352,Settings!$A$22:$B$27,2,FALSE),0),L352))</f>
        <v/>
      </c>
      <c r="O352" s="9">
        <f>IF(AND($A352&lt;&gt;"",$A352=Proposal!$I$2),COUNTIF($A$5:$A352,Proposal!$I$2),"")</f>
        <v/>
      </c>
      <c r="P352" s="9">
        <f>IF($A352="","",IF(COUNTIF(Jobs!$A$5:$A$44,$A352)=0,"Unknown Job ID",IF(B352="","Missing cost code",IF(COUNTIF(Settings!$E$5:$E$28,B352)=0,"Unknown cost code",IF(AND(G352="",C352=""),"No unit cost",IF(E352="","Missing qty",""))))))</f>
        <v/>
      </c>
      <c r="Q352" s="35" t="n"/>
    </row>
    <row r="353">
      <c r="A353" s="35" t="n"/>
      <c r="B353" s="35" t="n"/>
      <c r="C353" s="35" t="n"/>
      <c r="D353" s="35" t="n"/>
      <c r="E353" s="35" t="n"/>
      <c r="F353" s="35" t="n"/>
      <c r="G353" s="37" t="n"/>
      <c r="H353" s="9">
        <f>IF(B353="","",IFERROR(VLOOKUP(B353,Settings!$E$5:$G$28,3,FALSE),"Other"))</f>
        <v/>
      </c>
      <c r="I353" s="39">
        <f>IF($A353="","",IF(G353&lt;&gt;"",G353,IFERROR(VLOOKUP(C353,'Cost Library'!$A$5:$D$204,4,FALSE),0)))</f>
        <v/>
      </c>
      <c r="J353" s="9">
        <f>IF($A353="","",IF(F353&lt;&gt;"",F353,IFERROR(VLOOKUP(C353,'Cost Library'!$A$5:$D$204,3,FALSE),"")))</f>
        <v/>
      </c>
      <c r="K353" s="39">
        <f>IF($A353="","",E353*I353)</f>
        <v/>
      </c>
      <c r="L353" s="36" t="n"/>
      <c r="M353" s="39">
        <f>IF($A353="","",K353*(1+N353))</f>
        <v/>
      </c>
      <c r="N353" s="26">
        <f>IF($A353="","",IF(L353="",IFERROR(VLOOKUP(H353,Settings!$A$22:$B$27,2,FALSE),0),L353))</f>
        <v/>
      </c>
      <c r="O353" s="9">
        <f>IF(AND($A353&lt;&gt;"",$A353=Proposal!$I$2),COUNTIF($A$5:$A353,Proposal!$I$2),"")</f>
        <v/>
      </c>
      <c r="P353" s="9">
        <f>IF($A353="","",IF(COUNTIF(Jobs!$A$5:$A$44,$A353)=0,"Unknown Job ID",IF(B353="","Missing cost code",IF(COUNTIF(Settings!$E$5:$E$28,B353)=0,"Unknown cost code",IF(AND(G353="",C353=""),"No unit cost",IF(E353="","Missing qty",""))))))</f>
        <v/>
      </c>
      <c r="Q353" s="35" t="n"/>
    </row>
    <row r="354">
      <c r="A354" s="35" t="n"/>
      <c r="B354" s="35" t="n"/>
      <c r="C354" s="35" t="n"/>
      <c r="D354" s="35" t="n"/>
      <c r="E354" s="35" t="n"/>
      <c r="F354" s="35" t="n"/>
      <c r="G354" s="37" t="n"/>
      <c r="H354" s="9">
        <f>IF(B354="","",IFERROR(VLOOKUP(B354,Settings!$E$5:$G$28,3,FALSE),"Other"))</f>
        <v/>
      </c>
      <c r="I354" s="39">
        <f>IF($A354="","",IF(G354&lt;&gt;"",G354,IFERROR(VLOOKUP(C354,'Cost Library'!$A$5:$D$204,4,FALSE),0)))</f>
        <v/>
      </c>
      <c r="J354" s="9">
        <f>IF($A354="","",IF(F354&lt;&gt;"",F354,IFERROR(VLOOKUP(C354,'Cost Library'!$A$5:$D$204,3,FALSE),"")))</f>
        <v/>
      </c>
      <c r="K354" s="39">
        <f>IF($A354="","",E354*I354)</f>
        <v/>
      </c>
      <c r="L354" s="36" t="n"/>
      <c r="M354" s="39">
        <f>IF($A354="","",K354*(1+N354))</f>
        <v/>
      </c>
      <c r="N354" s="26">
        <f>IF($A354="","",IF(L354="",IFERROR(VLOOKUP(H354,Settings!$A$22:$B$27,2,FALSE),0),L354))</f>
        <v/>
      </c>
      <c r="O354" s="9">
        <f>IF(AND($A354&lt;&gt;"",$A354=Proposal!$I$2),COUNTIF($A$5:$A354,Proposal!$I$2),"")</f>
        <v/>
      </c>
      <c r="P354" s="9">
        <f>IF($A354="","",IF(COUNTIF(Jobs!$A$5:$A$44,$A354)=0,"Unknown Job ID",IF(B354="","Missing cost code",IF(COUNTIF(Settings!$E$5:$E$28,B354)=0,"Unknown cost code",IF(AND(G354="",C354=""),"No unit cost",IF(E354="","Missing qty",""))))))</f>
        <v/>
      </c>
      <c r="Q354" s="35" t="n"/>
    </row>
    <row r="355">
      <c r="A355" s="35" t="n"/>
      <c r="B355" s="35" t="n"/>
      <c r="C355" s="35" t="n"/>
      <c r="D355" s="35" t="n"/>
      <c r="E355" s="35" t="n"/>
      <c r="F355" s="35" t="n"/>
      <c r="G355" s="37" t="n"/>
      <c r="H355" s="9">
        <f>IF(B355="","",IFERROR(VLOOKUP(B355,Settings!$E$5:$G$28,3,FALSE),"Other"))</f>
        <v/>
      </c>
      <c r="I355" s="39">
        <f>IF($A355="","",IF(G355&lt;&gt;"",G355,IFERROR(VLOOKUP(C355,'Cost Library'!$A$5:$D$204,4,FALSE),0)))</f>
        <v/>
      </c>
      <c r="J355" s="9">
        <f>IF($A355="","",IF(F355&lt;&gt;"",F355,IFERROR(VLOOKUP(C355,'Cost Library'!$A$5:$D$204,3,FALSE),"")))</f>
        <v/>
      </c>
      <c r="K355" s="39">
        <f>IF($A355="","",E355*I355)</f>
        <v/>
      </c>
      <c r="L355" s="36" t="n"/>
      <c r="M355" s="39">
        <f>IF($A355="","",K355*(1+N355))</f>
        <v/>
      </c>
      <c r="N355" s="26">
        <f>IF($A355="","",IF(L355="",IFERROR(VLOOKUP(H355,Settings!$A$22:$B$27,2,FALSE),0),L355))</f>
        <v/>
      </c>
      <c r="O355" s="9">
        <f>IF(AND($A355&lt;&gt;"",$A355=Proposal!$I$2),COUNTIF($A$5:$A355,Proposal!$I$2),"")</f>
        <v/>
      </c>
      <c r="P355" s="9">
        <f>IF($A355="","",IF(COUNTIF(Jobs!$A$5:$A$44,$A355)=0,"Unknown Job ID",IF(B355="","Missing cost code",IF(COUNTIF(Settings!$E$5:$E$28,B355)=0,"Unknown cost code",IF(AND(G355="",C355=""),"No unit cost",IF(E355="","Missing qty",""))))))</f>
        <v/>
      </c>
      <c r="Q355" s="35" t="n"/>
    </row>
    <row r="356">
      <c r="A356" s="35" t="n"/>
      <c r="B356" s="35" t="n"/>
      <c r="C356" s="35" t="n"/>
      <c r="D356" s="35" t="n"/>
      <c r="E356" s="35" t="n"/>
      <c r="F356" s="35" t="n"/>
      <c r="G356" s="37" t="n"/>
      <c r="H356" s="9">
        <f>IF(B356="","",IFERROR(VLOOKUP(B356,Settings!$E$5:$G$28,3,FALSE),"Other"))</f>
        <v/>
      </c>
      <c r="I356" s="39">
        <f>IF($A356="","",IF(G356&lt;&gt;"",G356,IFERROR(VLOOKUP(C356,'Cost Library'!$A$5:$D$204,4,FALSE),0)))</f>
        <v/>
      </c>
      <c r="J356" s="9">
        <f>IF($A356="","",IF(F356&lt;&gt;"",F356,IFERROR(VLOOKUP(C356,'Cost Library'!$A$5:$D$204,3,FALSE),"")))</f>
        <v/>
      </c>
      <c r="K356" s="39">
        <f>IF($A356="","",E356*I356)</f>
        <v/>
      </c>
      <c r="L356" s="36" t="n"/>
      <c r="M356" s="39">
        <f>IF($A356="","",K356*(1+N356))</f>
        <v/>
      </c>
      <c r="N356" s="26">
        <f>IF($A356="","",IF(L356="",IFERROR(VLOOKUP(H356,Settings!$A$22:$B$27,2,FALSE),0),L356))</f>
        <v/>
      </c>
      <c r="O356" s="9">
        <f>IF(AND($A356&lt;&gt;"",$A356=Proposal!$I$2),COUNTIF($A$5:$A356,Proposal!$I$2),"")</f>
        <v/>
      </c>
      <c r="P356" s="9">
        <f>IF($A356="","",IF(COUNTIF(Jobs!$A$5:$A$44,$A356)=0,"Unknown Job ID",IF(B356="","Missing cost code",IF(COUNTIF(Settings!$E$5:$E$28,B356)=0,"Unknown cost code",IF(AND(G356="",C356=""),"No unit cost",IF(E356="","Missing qty",""))))))</f>
        <v/>
      </c>
      <c r="Q356" s="35" t="n"/>
    </row>
    <row r="357">
      <c r="A357" s="35" t="n"/>
      <c r="B357" s="35" t="n"/>
      <c r="C357" s="35" t="n"/>
      <c r="D357" s="35" t="n"/>
      <c r="E357" s="35" t="n"/>
      <c r="F357" s="35" t="n"/>
      <c r="G357" s="37" t="n"/>
      <c r="H357" s="9">
        <f>IF(B357="","",IFERROR(VLOOKUP(B357,Settings!$E$5:$G$28,3,FALSE),"Other"))</f>
        <v/>
      </c>
      <c r="I357" s="39">
        <f>IF($A357="","",IF(G357&lt;&gt;"",G357,IFERROR(VLOOKUP(C357,'Cost Library'!$A$5:$D$204,4,FALSE),0)))</f>
        <v/>
      </c>
      <c r="J357" s="9">
        <f>IF($A357="","",IF(F357&lt;&gt;"",F357,IFERROR(VLOOKUP(C357,'Cost Library'!$A$5:$D$204,3,FALSE),"")))</f>
        <v/>
      </c>
      <c r="K357" s="39">
        <f>IF($A357="","",E357*I357)</f>
        <v/>
      </c>
      <c r="L357" s="36" t="n"/>
      <c r="M357" s="39">
        <f>IF($A357="","",K357*(1+N357))</f>
        <v/>
      </c>
      <c r="N357" s="26">
        <f>IF($A357="","",IF(L357="",IFERROR(VLOOKUP(H357,Settings!$A$22:$B$27,2,FALSE),0),L357))</f>
        <v/>
      </c>
      <c r="O357" s="9">
        <f>IF(AND($A357&lt;&gt;"",$A357=Proposal!$I$2),COUNTIF($A$5:$A357,Proposal!$I$2),"")</f>
        <v/>
      </c>
      <c r="P357" s="9">
        <f>IF($A357="","",IF(COUNTIF(Jobs!$A$5:$A$44,$A357)=0,"Unknown Job ID",IF(B357="","Missing cost code",IF(COUNTIF(Settings!$E$5:$E$28,B357)=0,"Unknown cost code",IF(AND(G357="",C357=""),"No unit cost",IF(E357="","Missing qty",""))))))</f>
        <v/>
      </c>
      <c r="Q357" s="35" t="n"/>
    </row>
    <row r="358">
      <c r="A358" s="35" t="n"/>
      <c r="B358" s="35" t="n"/>
      <c r="C358" s="35" t="n"/>
      <c r="D358" s="35" t="n"/>
      <c r="E358" s="35" t="n"/>
      <c r="F358" s="35" t="n"/>
      <c r="G358" s="37" t="n"/>
      <c r="H358" s="9">
        <f>IF(B358="","",IFERROR(VLOOKUP(B358,Settings!$E$5:$G$28,3,FALSE),"Other"))</f>
        <v/>
      </c>
      <c r="I358" s="39">
        <f>IF($A358="","",IF(G358&lt;&gt;"",G358,IFERROR(VLOOKUP(C358,'Cost Library'!$A$5:$D$204,4,FALSE),0)))</f>
        <v/>
      </c>
      <c r="J358" s="9">
        <f>IF($A358="","",IF(F358&lt;&gt;"",F358,IFERROR(VLOOKUP(C358,'Cost Library'!$A$5:$D$204,3,FALSE),"")))</f>
        <v/>
      </c>
      <c r="K358" s="39">
        <f>IF($A358="","",E358*I358)</f>
        <v/>
      </c>
      <c r="L358" s="36" t="n"/>
      <c r="M358" s="39">
        <f>IF($A358="","",K358*(1+N358))</f>
        <v/>
      </c>
      <c r="N358" s="26">
        <f>IF($A358="","",IF(L358="",IFERROR(VLOOKUP(H358,Settings!$A$22:$B$27,2,FALSE),0),L358))</f>
        <v/>
      </c>
      <c r="O358" s="9">
        <f>IF(AND($A358&lt;&gt;"",$A358=Proposal!$I$2),COUNTIF($A$5:$A358,Proposal!$I$2),"")</f>
        <v/>
      </c>
      <c r="P358" s="9">
        <f>IF($A358="","",IF(COUNTIF(Jobs!$A$5:$A$44,$A358)=0,"Unknown Job ID",IF(B358="","Missing cost code",IF(COUNTIF(Settings!$E$5:$E$28,B358)=0,"Unknown cost code",IF(AND(G358="",C358=""),"No unit cost",IF(E358="","Missing qty",""))))))</f>
        <v/>
      </c>
      <c r="Q358" s="35" t="n"/>
    </row>
    <row r="359">
      <c r="A359" s="35" t="n"/>
      <c r="B359" s="35" t="n"/>
      <c r="C359" s="35" t="n"/>
      <c r="D359" s="35" t="n"/>
      <c r="E359" s="35" t="n"/>
      <c r="F359" s="35" t="n"/>
      <c r="G359" s="37" t="n"/>
      <c r="H359" s="9">
        <f>IF(B359="","",IFERROR(VLOOKUP(B359,Settings!$E$5:$G$28,3,FALSE),"Other"))</f>
        <v/>
      </c>
      <c r="I359" s="39">
        <f>IF($A359="","",IF(G359&lt;&gt;"",G359,IFERROR(VLOOKUP(C359,'Cost Library'!$A$5:$D$204,4,FALSE),0)))</f>
        <v/>
      </c>
      <c r="J359" s="9">
        <f>IF($A359="","",IF(F359&lt;&gt;"",F359,IFERROR(VLOOKUP(C359,'Cost Library'!$A$5:$D$204,3,FALSE),"")))</f>
        <v/>
      </c>
      <c r="K359" s="39">
        <f>IF($A359="","",E359*I359)</f>
        <v/>
      </c>
      <c r="L359" s="36" t="n"/>
      <c r="M359" s="39">
        <f>IF($A359="","",K359*(1+N359))</f>
        <v/>
      </c>
      <c r="N359" s="26">
        <f>IF($A359="","",IF(L359="",IFERROR(VLOOKUP(H359,Settings!$A$22:$B$27,2,FALSE),0),L359))</f>
        <v/>
      </c>
      <c r="O359" s="9">
        <f>IF(AND($A359&lt;&gt;"",$A359=Proposal!$I$2),COUNTIF($A$5:$A359,Proposal!$I$2),"")</f>
        <v/>
      </c>
      <c r="P359" s="9">
        <f>IF($A359="","",IF(COUNTIF(Jobs!$A$5:$A$44,$A359)=0,"Unknown Job ID",IF(B359="","Missing cost code",IF(COUNTIF(Settings!$E$5:$E$28,B359)=0,"Unknown cost code",IF(AND(G359="",C359=""),"No unit cost",IF(E359="","Missing qty",""))))))</f>
        <v/>
      </c>
      <c r="Q359" s="35" t="n"/>
    </row>
    <row r="360">
      <c r="A360" s="35" t="n"/>
      <c r="B360" s="35" t="n"/>
      <c r="C360" s="35" t="n"/>
      <c r="D360" s="35" t="n"/>
      <c r="E360" s="35" t="n"/>
      <c r="F360" s="35" t="n"/>
      <c r="G360" s="37" t="n"/>
      <c r="H360" s="9">
        <f>IF(B360="","",IFERROR(VLOOKUP(B360,Settings!$E$5:$G$28,3,FALSE),"Other"))</f>
        <v/>
      </c>
      <c r="I360" s="39">
        <f>IF($A360="","",IF(G360&lt;&gt;"",G360,IFERROR(VLOOKUP(C360,'Cost Library'!$A$5:$D$204,4,FALSE),0)))</f>
        <v/>
      </c>
      <c r="J360" s="9">
        <f>IF($A360="","",IF(F360&lt;&gt;"",F360,IFERROR(VLOOKUP(C360,'Cost Library'!$A$5:$D$204,3,FALSE),"")))</f>
        <v/>
      </c>
      <c r="K360" s="39">
        <f>IF($A360="","",E360*I360)</f>
        <v/>
      </c>
      <c r="L360" s="36" t="n"/>
      <c r="M360" s="39">
        <f>IF($A360="","",K360*(1+N360))</f>
        <v/>
      </c>
      <c r="N360" s="26">
        <f>IF($A360="","",IF(L360="",IFERROR(VLOOKUP(H360,Settings!$A$22:$B$27,2,FALSE),0),L360))</f>
        <v/>
      </c>
      <c r="O360" s="9">
        <f>IF(AND($A360&lt;&gt;"",$A360=Proposal!$I$2),COUNTIF($A$5:$A360,Proposal!$I$2),"")</f>
        <v/>
      </c>
      <c r="P360" s="9">
        <f>IF($A360="","",IF(COUNTIF(Jobs!$A$5:$A$44,$A360)=0,"Unknown Job ID",IF(B360="","Missing cost code",IF(COUNTIF(Settings!$E$5:$E$28,B360)=0,"Unknown cost code",IF(AND(G360="",C360=""),"No unit cost",IF(E360="","Missing qty",""))))))</f>
        <v/>
      </c>
      <c r="Q360" s="35" t="n"/>
    </row>
    <row r="361">
      <c r="A361" s="35" t="n"/>
      <c r="B361" s="35" t="n"/>
      <c r="C361" s="35" t="n"/>
      <c r="D361" s="35" t="n"/>
      <c r="E361" s="35" t="n"/>
      <c r="F361" s="35" t="n"/>
      <c r="G361" s="37" t="n"/>
      <c r="H361" s="9">
        <f>IF(B361="","",IFERROR(VLOOKUP(B361,Settings!$E$5:$G$28,3,FALSE),"Other"))</f>
        <v/>
      </c>
      <c r="I361" s="39">
        <f>IF($A361="","",IF(G361&lt;&gt;"",G361,IFERROR(VLOOKUP(C361,'Cost Library'!$A$5:$D$204,4,FALSE),0)))</f>
        <v/>
      </c>
      <c r="J361" s="9">
        <f>IF($A361="","",IF(F361&lt;&gt;"",F361,IFERROR(VLOOKUP(C361,'Cost Library'!$A$5:$D$204,3,FALSE),"")))</f>
        <v/>
      </c>
      <c r="K361" s="39">
        <f>IF($A361="","",E361*I361)</f>
        <v/>
      </c>
      <c r="L361" s="36" t="n"/>
      <c r="M361" s="39">
        <f>IF($A361="","",K361*(1+N361))</f>
        <v/>
      </c>
      <c r="N361" s="26">
        <f>IF($A361="","",IF(L361="",IFERROR(VLOOKUP(H361,Settings!$A$22:$B$27,2,FALSE),0),L361))</f>
        <v/>
      </c>
      <c r="O361" s="9">
        <f>IF(AND($A361&lt;&gt;"",$A361=Proposal!$I$2),COUNTIF($A$5:$A361,Proposal!$I$2),"")</f>
        <v/>
      </c>
      <c r="P361" s="9">
        <f>IF($A361="","",IF(COUNTIF(Jobs!$A$5:$A$44,$A361)=0,"Unknown Job ID",IF(B361="","Missing cost code",IF(COUNTIF(Settings!$E$5:$E$28,B361)=0,"Unknown cost code",IF(AND(G361="",C361=""),"No unit cost",IF(E361="","Missing qty",""))))))</f>
        <v/>
      </c>
      <c r="Q361" s="35" t="n"/>
    </row>
    <row r="362">
      <c r="A362" s="35" t="n"/>
      <c r="B362" s="35" t="n"/>
      <c r="C362" s="35" t="n"/>
      <c r="D362" s="35" t="n"/>
      <c r="E362" s="35" t="n"/>
      <c r="F362" s="35" t="n"/>
      <c r="G362" s="37" t="n"/>
      <c r="H362" s="9">
        <f>IF(B362="","",IFERROR(VLOOKUP(B362,Settings!$E$5:$G$28,3,FALSE),"Other"))</f>
        <v/>
      </c>
      <c r="I362" s="39">
        <f>IF($A362="","",IF(G362&lt;&gt;"",G362,IFERROR(VLOOKUP(C362,'Cost Library'!$A$5:$D$204,4,FALSE),0)))</f>
        <v/>
      </c>
      <c r="J362" s="9">
        <f>IF($A362="","",IF(F362&lt;&gt;"",F362,IFERROR(VLOOKUP(C362,'Cost Library'!$A$5:$D$204,3,FALSE),"")))</f>
        <v/>
      </c>
      <c r="K362" s="39">
        <f>IF($A362="","",E362*I362)</f>
        <v/>
      </c>
      <c r="L362" s="36" t="n"/>
      <c r="M362" s="39">
        <f>IF($A362="","",K362*(1+N362))</f>
        <v/>
      </c>
      <c r="N362" s="26">
        <f>IF($A362="","",IF(L362="",IFERROR(VLOOKUP(H362,Settings!$A$22:$B$27,2,FALSE),0),L362))</f>
        <v/>
      </c>
      <c r="O362" s="9">
        <f>IF(AND($A362&lt;&gt;"",$A362=Proposal!$I$2),COUNTIF($A$5:$A362,Proposal!$I$2),"")</f>
        <v/>
      </c>
      <c r="P362" s="9">
        <f>IF($A362="","",IF(COUNTIF(Jobs!$A$5:$A$44,$A362)=0,"Unknown Job ID",IF(B362="","Missing cost code",IF(COUNTIF(Settings!$E$5:$E$28,B362)=0,"Unknown cost code",IF(AND(G362="",C362=""),"No unit cost",IF(E362="","Missing qty",""))))))</f>
        <v/>
      </c>
      <c r="Q362" s="35" t="n"/>
    </row>
    <row r="363">
      <c r="A363" s="35" t="n"/>
      <c r="B363" s="35" t="n"/>
      <c r="C363" s="35" t="n"/>
      <c r="D363" s="35" t="n"/>
      <c r="E363" s="35" t="n"/>
      <c r="F363" s="35" t="n"/>
      <c r="G363" s="37" t="n"/>
      <c r="H363" s="9">
        <f>IF(B363="","",IFERROR(VLOOKUP(B363,Settings!$E$5:$G$28,3,FALSE),"Other"))</f>
        <v/>
      </c>
      <c r="I363" s="39">
        <f>IF($A363="","",IF(G363&lt;&gt;"",G363,IFERROR(VLOOKUP(C363,'Cost Library'!$A$5:$D$204,4,FALSE),0)))</f>
        <v/>
      </c>
      <c r="J363" s="9">
        <f>IF($A363="","",IF(F363&lt;&gt;"",F363,IFERROR(VLOOKUP(C363,'Cost Library'!$A$5:$D$204,3,FALSE),"")))</f>
        <v/>
      </c>
      <c r="K363" s="39">
        <f>IF($A363="","",E363*I363)</f>
        <v/>
      </c>
      <c r="L363" s="36" t="n"/>
      <c r="M363" s="39">
        <f>IF($A363="","",K363*(1+N363))</f>
        <v/>
      </c>
      <c r="N363" s="26">
        <f>IF($A363="","",IF(L363="",IFERROR(VLOOKUP(H363,Settings!$A$22:$B$27,2,FALSE),0),L363))</f>
        <v/>
      </c>
      <c r="O363" s="9">
        <f>IF(AND($A363&lt;&gt;"",$A363=Proposal!$I$2),COUNTIF($A$5:$A363,Proposal!$I$2),"")</f>
        <v/>
      </c>
      <c r="P363" s="9">
        <f>IF($A363="","",IF(COUNTIF(Jobs!$A$5:$A$44,$A363)=0,"Unknown Job ID",IF(B363="","Missing cost code",IF(COUNTIF(Settings!$E$5:$E$28,B363)=0,"Unknown cost code",IF(AND(G363="",C363=""),"No unit cost",IF(E363="","Missing qty",""))))))</f>
        <v/>
      </c>
      <c r="Q363" s="35" t="n"/>
    </row>
    <row r="364">
      <c r="A364" s="35" t="n"/>
      <c r="B364" s="35" t="n"/>
      <c r="C364" s="35" t="n"/>
      <c r="D364" s="35" t="n"/>
      <c r="E364" s="35" t="n"/>
      <c r="F364" s="35" t="n"/>
      <c r="G364" s="37" t="n"/>
      <c r="H364" s="9">
        <f>IF(B364="","",IFERROR(VLOOKUP(B364,Settings!$E$5:$G$28,3,FALSE),"Other"))</f>
        <v/>
      </c>
      <c r="I364" s="39">
        <f>IF($A364="","",IF(G364&lt;&gt;"",G364,IFERROR(VLOOKUP(C364,'Cost Library'!$A$5:$D$204,4,FALSE),0)))</f>
        <v/>
      </c>
      <c r="J364" s="9">
        <f>IF($A364="","",IF(F364&lt;&gt;"",F364,IFERROR(VLOOKUP(C364,'Cost Library'!$A$5:$D$204,3,FALSE),"")))</f>
        <v/>
      </c>
      <c r="K364" s="39">
        <f>IF($A364="","",E364*I364)</f>
        <v/>
      </c>
      <c r="L364" s="36" t="n"/>
      <c r="M364" s="39">
        <f>IF($A364="","",K364*(1+N364))</f>
        <v/>
      </c>
      <c r="N364" s="26">
        <f>IF($A364="","",IF(L364="",IFERROR(VLOOKUP(H364,Settings!$A$22:$B$27,2,FALSE),0),L364))</f>
        <v/>
      </c>
      <c r="O364" s="9">
        <f>IF(AND($A364&lt;&gt;"",$A364=Proposal!$I$2),COUNTIF($A$5:$A364,Proposal!$I$2),"")</f>
        <v/>
      </c>
      <c r="P364" s="9">
        <f>IF($A364="","",IF(COUNTIF(Jobs!$A$5:$A$44,$A364)=0,"Unknown Job ID",IF(B364="","Missing cost code",IF(COUNTIF(Settings!$E$5:$E$28,B364)=0,"Unknown cost code",IF(AND(G364="",C364=""),"No unit cost",IF(E364="","Missing qty",""))))))</f>
        <v/>
      </c>
      <c r="Q364" s="35" t="n"/>
    </row>
    <row r="365">
      <c r="A365" s="35" t="n"/>
      <c r="B365" s="35" t="n"/>
      <c r="C365" s="35" t="n"/>
      <c r="D365" s="35" t="n"/>
      <c r="E365" s="35" t="n"/>
      <c r="F365" s="35" t="n"/>
      <c r="G365" s="37" t="n"/>
      <c r="H365" s="9">
        <f>IF(B365="","",IFERROR(VLOOKUP(B365,Settings!$E$5:$G$28,3,FALSE),"Other"))</f>
        <v/>
      </c>
      <c r="I365" s="39">
        <f>IF($A365="","",IF(G365&lt;&gt;"",G365,IFERROR(VLOOKUP(C365,'Cost Library'!$A$5:$D$204,4,FALSE),0)))</f>
        <v/>
      </c>
      <c r="J365" s="9">
        <f>IF($A365="","",IF(F365&lt;&gt;"",F365,IFERROR(VLOOKUP(C365,'Cost Library'!$A$5:$D$204,3,FALSE),"")))</f>
        <v/>
      </c>
      <c r="K365" s="39">
        <f>IF($A365="","",E365*I365)</f>
        <v/>
      </c>
      <c r="L365" s="36" t="n"/>
      <c r="M365" s="39">
        <f>IF($A365="","",K365*(1+N365))</f>
        <v/>
      </c>
      <c r="N365" s="26">
        <f>IF($A365="","",IF(L365="",IFERROR(VLOOKUP(H365,Settings!$A$22:$B$27,2,FALSE),0),L365))</f>
        <v/>
      </c>
      <c r="O365" s="9">
        <f>IF(AND($A365&lt;&gt;"",$A365=Proposal!$I$2),COUNTIF($A$5:$A365,Proposal!$I$2),"")</f>
        <v/>
      </c>
      <c r="P365" s="9">
        <f>IF($A365="","",IF(COUNTIF(Jobs!$A$5:$A$44,$A365)=0,"Unknown Job ID",IF(B365="","Missing cost code",IF(COUNTIF(Settings!$E$5:$E$28,B365)=0,"Unknown cost code",IF(AND(G365="",C365=""),"No unit cost",IF(E365="","Missing qty",""))))))</f>
        <v/>
      </c>
      <c r="Q365" s="35" t="n"/>
    </row>
    <row r="366">
      <c r="A366" s="35" t="n"/>
      <c r="B366" s="35" t="n"/>
      <c r="C366" s="35" t="n"/>
      <c r="D366" s="35" t="n"/>
      <c r="E366" s="35" t="n"/>
      <c r="F366" s="35" t="n"/>
      <c r="G366" s="37" t="n"/>
      <c r="H366" s="9">
        <f>IF(B366="","",IFERROR(VLOOKUP(B366,Settings!$E$5:$G$28,3,FALSE),"Other"))</f>
        <v/>
      </c>
      <c r="I366" s="39">
        <f>IF($A366="","",IF(G366&lt;&gt;"",G366,IFERROR(VLOOKUP(C366,'Cost Library'!$A$5:$D$204,4,FALSE),0)))</f>
        <v/>
      </c>
      <c r="J366" s="9">
        <f>IF($A366="","",IF(F366&lt;&gt;"",F366,IFERROR(VLOOKUP(C366,'Cost Library'!$A$5:$D$204,3,FALSE),"")))</f>
        <v/>
      </c>
      <c r="K366" s="39">
        <f>IF($A366="","",E366*I366)</f>
        <v/>
      </c>
      <c r="L366" s="36" t="n"/>
      <c r="M366" s="39">
        <f>IF($A366="","",K366*(1+N366))</f>
        <v/>
      </c>
      <c r="N366" s="26">
        <f>IF($A366="","",IF(L366="",IFERROR(VLOOKUP(H366,Settings!$A$22:$B$27,2,FALSE),0),L366))</f>
        <v/>
      </c>
      <c r="O366" s="9">
        <f>IF(AND($A366&lt;&gt;"",$A366=Proposal!$I$2),COUNTIF($A$5:$A366,Proposal!$I$2),"")</f>
        <v/>
      </c>
      <c r="P366" s="9">
        <f>IF($A366="","",IF(COUNTIF(Jobs!$A$5:$A$44,$A366)=0,"Unknown Job ID",IF(B366="","Missing cost code",IF(COUNTIF(Settings!$E$5:$E$28,B366)=0,"Unknown cost code",IF(AND(G366="",C366=""),"No unit cost",IF(E366="","Missing qty",""))))))</f>
        <v/>
      </c>
      <c r="Q366" s="35" t="n"/>
    </row>
    <row r="367">
      <c r="A367" s="35" t="n"/>
      <c r="B367" s="35" t="n"/>
      <c r="C367" s="35" t="n"/>
      <c r="D367" s="35" t="n"/>
      <c r="E367" s="35" t="n"/>
      <c r="F367" s="35" t="n"/>
      <c r="G367" s="37" t="n"/>
      <c r="H367" s="9">
        <f>IF(B367="","",IFERROR(VLOOKUP(B367,Settings!$E$5:$G$28,3,FALSE),"Other"))</f>
        <v/>
      </c>
      <c r="I367" s="39">
        <f>IF($A367="","",IF(G367&lt;&gt;"",G367,IFERROR(VLOOKUP(C367,'Cost Library'!$A$5:$D$204,4,FALSE),0)))</f>
        <v/>
      </c>
      <c r="J367" s="9">
        <f>IF($A367="","",IF(F367&lt;&gt;"",F367,IFERROR(VLOOKUP(C367,'Cost Library'!$A$5:$D$204,3,FALSE),"")))</f>
        <v/>
      </c>
      <c r="K367" s="39">
        <f>IF($A367="","",E367*I367)</f>
        <v/>
      </c>
      <c r="L367" s="36" t="n"/>
      <c r="M367" s="39">
        <f>IF($A367="","",K367*(1+N367))</f>
        <v/>
      </c>
      <c r="N367" s="26">
        <f>IF($A367="","",IF(L367="",IFERROR(VLOOKUP(H367,Settings!$A$22:$B$27,2,FALSE),0),L367))</f>
        <v/>
      </c>
      <c r="O367" s="9">
        <f>IF(AND($A367&lt;&gt;"",$A367=Proposal!$I$2),COUNTIF($A$5:$A367,Proposal!$I$2),"")</f>
        <v/>
      </c>
      <c r="P367" s="9">
        <f>IF($A367="","",IF(COUNTIF(Jobs!$A$5:$A$44,$A367)=0,"Unknown Job ID",IF(B367="","Missing cost code",IF(COUNTIF(Settings!$E$5:$E$28,B367)=0,"Unknown cost code",IF(AND(G367="",C367=""),"No unit cost",IF(E367="","Missing qty",""))))))</f>
        <v/>
      </c>
      <c r="Q367" s="35" t="n"/>
    </row>
    <row r="368">
      <c r="A368" s="35" t="n"/>
      <c r="B368" s="35" t="n"/>
      <c r="C368" s="35" t="n"/>
      <c r="D368" s="35" t="n"/>
      <c r="E368" s="35" t="n"/>
      <c r="F368" s="35" t="n"/>
      <c r="G368" s="37" t="n"/>
      <c r="H368" s="9">
        <f>IF(B368="","",IFERROR(VLOOKUP(B368,Settings!$E$5:$G$28,3,FALSE),"Other"))</f>
        <v/>
      </c>
      <c r="I368" s="39">
        <f>IF($A368="","",IF(G368&lt;&gt;"",G368,IFERROR(VLOOKUP(C368,'Cost Library'!$A$5:$D$204,4,FALSE),0)))</f>
        <v/>
      </c>
      <c r="J368" s="9">
        <f>IF($A368="","",IF(F368&lt;&gt;"",F368,IFERROR(VLOOKUP(C368,'Cost Library'!$A$5:$D$204,3,FALSE),"")))</f>
        <v/>
      </c>
      <c r="K368" s="39">
        <f>IF($A368="","",E368*I368)</f>
        <v/>
      </c>
      <c r="L368" s="36" t="n"/>
      <c r="M368" s="39">
        <f>IF($A368="","",K368*(1+N368))</f>
        <v/>
      </c>
      <c r="N368" s="26">
        <f>IF($A368="","",IF(L368="",IFERROR(VLOOKUP(H368,Settings!$A$22:$B$27,2,FALSE),0),L368))</f>
        <v/>
      </c>
      <c r="O368" s="9">
        <f>IF(AND($A368&lt;&gt;"",$A368=Proposal!$I$2),COUNTIF($A$5:$A368,Proposal!$I$2),"")</f>
        <v/>
      </c>
      <c r="P368" s="9">
        <f>IF($A368="","",IF(COUNTIF(Jobs!$A$5:$A$44,$A368)=0,"Unknown Job ID",IF(B368="","Missing cost code",IF(COUNTIF(Settings!$E$5:$E$28,B368)=0,"Unknown cost code",IF(AND(G368="",C368=""),"No unit cost",IF(E368="","Missing qty",""))))))</f>
        <v/>
      </c>
      <c r="Q368" s="35" t="n"/>
    </row>
    <row r="369">
      <c r="A369" s="35" t="n"/>
      <c r="B369" s="35" t="n"/>
      <c r="C369" s="35" t="n"/>
      <c r="D369" s="35" t="n"/>
      <c r="E369" s="35" t="n"/>
      <c r="F369" s="35" t="n"/>
      <c r="G369" s="37" t="n"/>
      <c r="H369" s="9">
        <f>IF(B369="","",IFERROR(VLOOKUP(B369,Settings!$E$5:$G$28,3,FALSE),"Other"))</f>
        <v/>
      </c>
      <c r="I369" s="39">
        <f>IF($A369="","",IF(G369&lt;&gt;"",G369,IFERROR(VLOOKUP(C369,'Cost Library'!$A$5:$D$204,4,FALSE),0)))</f>
        <v/>
      </c>
      <c r="J369" s="9">
        <f>IF($A369="","",IF(F369&lt;&gt;"",F369,IFERROR(VLOOKUP(C369,'Cost Library'!$A$5:$D$204,3,FALSE),"")))</f>
        <v/>
      </c>
      <c r="K369" s="39">
        <f>IF($A369="","",E369*I369)</f>
        <v/>
      </c>
      <c r="L369" s="36" t="n"/>
      <c r="M369" s="39">
        <f>IF($A369="","",K369*(1+N369))</f>
        <v/>
      </c>
      <c r="N369" s="26">
        <f>IF($A369="","",IF(L369="",IFERROR(VLOOKUP(H369,Settings!$A$22:$B$27,2,FALSE),0),L369))</f>
        <v/>
      </c>
      <c r="O369" s="9">
        <f>IF(AND($A369&lt;&gt;"",$A369=Proposal!$I$2),COUNTIF($A$5:$A369,Proposal!$I$2),"")</f>
        <v/>
      </c>
      <c r="P369" s="9">
        <f>IF($A369="","",IF(COUNTIF(Jobs!$A$5:$A$44,$A369)=0,"Unknown Job ID",IF(B369="","Missing cost code",IF(COUNTIF(Settings!$E$5:$E$28,B369)=0,"Unknown cost code",IF(AND(G369="",C369=""),"No unit cost",IF(E369="","Missing qty",""))))))</f>
        <v/>
      </c>
      <c r="Q369" s="35" t="n"/>
    </row>
    <row r="370">
      <c r="A370" s="35" t="n"/>
      <c r="B370" s="35" t="n"/>
      <c r="C370" s="35" t="n"/>
      <c r="D370" s="35" t="n"/>
      <c r="E370" s="35" t="n"/>
      <c r="F370" s="35" t="n"/>
      <c r="G370" s="37" t="n"/>
      <c r="H370" s="9">
        <f>IF(B370="","",IFERROR(VLOOKUP(B370,Settings!$E$5:$G$28,3,FALSE),"Other"))</f>
        <v/>
      </c>
      <c r="I370" s="39">
        <f>IF($A370="","",IF(G370&lt;&gt;"",G370,IFERROR(VLOOKUP(C370,'Cost Library'!$A$5:$D$204,4,FALSE),0)))</f>
        <v/>
      </c>
      <c r="J370" s="9">
        <f>IF($A370="","",IF(F370&lt;&gt;"",F370,IFERROR(VLOOKUP(C370,'Cost Library'!$A$5:$D$204,3,FALSE),"")))</f>
        <v/>
      </c>
      <c r="K370" s="39">
        <f>IF($A370="","",E370*I370)</f>
        <v/>
      </c>
      <c r="L370" s="36" t="n"/>
      <c r="M370" s="39">
        <f>IF($A370="","",K370*(1+N370))</f>
        <v/>
      </c>
      <c r="N370" s="26">
        <f>IF($A370="","",IF(L370="",IFERROR(VLOOKUP(H370,Settings!$A$22:$B$27,2,FALSE),0),L370))</f>
        <v/>
      </c>
      <c r="O370" s="9">
        <f>IF(AND($A370&lt;&gt;"",$A370=Proposal!$I$2),COUNTIF($A$5:$A370,Proposal!$I$2),"")</f>
        <v/>
      </c>
      <c r="P370" s="9">
        <f>IF($A370="","",IF(COUNTIF(Jobs!$A$5:$A$44,$A370)=0,"Unknown Job ID",IF(B370="","Missing cost code",IF(COUNTIF(Settings!$E$5:$E$28,B370)=0,"Unknown cost code",IF(AND(G370="",C370=""),"No unit cost",IF(E370="","Missing qty",""))))))</f>
        <v/>
      </c>
      <c r="Q370" s="35" t="n"/>
    </row>
    <row r="371">
      <c r="A371" s="35" t="n"/>
      <c r="B371" s="35" t="n"/>
      <c r="C371" s="35" t="n"/>
      <c r="D371" s="35" t="n"/>
      <c r="E371" s="35" t="n"/>
      <c r="F371" s="35" t="n"/>
      <c r="G371" s="37" t="n"/>
      <c r="H371" s="9">
        <f>IF(B371="","",IFERROR(VLOOKUP(B371,Settings!$E$5:$G$28,3,FALSE),"Other"))</f>
        <v/>
      </c>
      <c r="I371" s="39">
        <f>IF($A371="","",IF(G371&lt;&gt;"",G371,IFERROR(VLOOKUP(C371,'Cost Library'!$A$5:$D$204,4,FALSE),0)))</f>
        <v/>
      </c>
      <c r="J371" s="9">
        <f>IF($A371="","",IF(F371&lt;&gt;"",F371,IFERROR(VLOOKUP(C371,'Cost Library'!$A$5:$D$204,3,FALSE),"")))</f>
        <v/>
      </c>
      <c r="K371" s="39">
        <f>IF($A371="","",E371*I371)</f>
        <v/>
      </c>
      <c r="L371" s="36" t="n"/>
      <c r="M371" s="39">
        <f>IF($A371="","",K371*(1+N371))</f>
        <v/>
      </c>
      <c r="N371" s="26">
        <f>IF($A371="","",IF(L371="",IFERROR(VLOOKUP(H371,Settings!$A$22:$B$27,2,FALSE),0),L371))</f>
        <v/>
      </c>
      <c r="O371" s="9">
        <f>IF(AND($A371&lt;&gt;"",$A371=Proposal!$I$2),COUNTIF($A$5:$A371,Proposal!$I$2),"")</f>
        <v/>
      </c>
      <c r="P371" s="9">
        <f>IF($A371="","",IF(COUNTIF(Jobs!$A$5:$A$44,$A371)=0,"Unknown Job ID",IF(B371="","Missing cost code",IF(COUNTIF(Settings!$E$5:$E$28,B371)=0,"Unknown cost code",IF(AND(G371="",C371=""),"No unit cost",IF(E371="","Missing qty",""))))))</f>
        <v/>
      </c>
      <c r="Q371" s="35" t="n"/>
    </row>
    <row r="372">
      <c r="A372" s="35" t="n"/>
      <c r="B372" s="35" t="n"/>
      <c r="C372" s="35" t="n"/>
      <c r="D372" s="35" t="n"/>
      <c r="E372" s="35" t="n"/>
      <c r="F372" s="35" t="n"/>
      <c r="G372" s="37" t="n"/>
      <c r="H372" s="9">
        <f>IF(B372="","",IFERROR(VLOOKUP(B372,Settings!$E$5:$G$28,3,FALSE),"Other"))</f>
        <v/>
      </c>
      <c r="I372" s="39">
        <f>IF($A372="","",IF(G372&lt;&gt;"",G372,IFERROR(VLOOKUP(C372,'Cost Library'!$A$5:$D$204,4,FALSE),0)))</f>
        <v/>
      </c>
      <c r="J372" s="9">
        <f>IF($A372="","",IF(F372&lt;&gt;"",F372,IFERROR(VLOOKUP(C372,'Cost Library'!$A$5:$D$204,3,FALSE),"")))</f>
        <v/>
      </c>
      <c r="K372" s="39">
        <f>IF($A372="","",E372*I372)</f>
        <v/>
      </c>
      <c r="L372" s="36" t="n"/>
      <c r="M372" s="39">
        <f>IF($A372="","",K372*(1+N372))</f>
        <v/>
      </c>
      <c r="N372" s="26">
        <f>IF($A372="","",IF(L372="",IFERROR(VLOOKUP(H372,Settings!$A$22:$B$27,2,FALSE),0),L372))</f>
        <v/>
      </c>
      <c r="O372" s="9">
        <f>IF(AND($A372&lt;&gt;"",$A372=Proposal!$I$2),COUNTIF($A$5:$A372,Proposal!$I$2),"")</f>
        <v/>
      </c>
      <c r="P372" s="9">
        <f>IF($A372="","",IF(COUNTIF(Jobs!$A$5:$A$44,$A372)=0,"Unknown Job ID",IF(B372="","Missing cost code",IF(COUNTIF(Settings!$E$5:$E$28,B372)=0,"Unknown cost code",IF(AND(G372="",C372=""),"No unit cost",IF(E372="","Missing qty",""))))))</f>
        <v/>
      </c>
      <c r="Q372" s="35" t="n"/>
    </row>
    <row r="373">
      <c r="A373" s="35" t="n"/>
      <c r="B373" s="35" t="n"/>
      <c r="C373" s="35" t="n"/>
      <c r="D373" s="35" t="n"/>
      <c r="E373" s="35" t="n"/>
      <c r="F373" s="35" t="n"/>
      <c r="G373" s="37" t="n"/>
      <c r="H373" s="9">
        <f>IF(B373="","",IFERROR(VLOOKUP(B373,Settings!$E$5:$G$28,3,FALSE),"Other"))</f>
        <v/>
      </c>
      <c r="I373" s="39">
        <f>IF($A373="","",IF(G373&lt;&gt;"",G373,IFERROR(VLOOKUP(C373,'Cost Library'!$A$5:$D$204,4,FALSE),0)))</f>
        <v/>
      </c>
      <c r="J373" s="9">
        <f>IF($A373="","",IF(F373&lt;&gt;"",F373,IFERROR(VLOOKUP(C373,'Cost Library'!$A$5:$D$204,3,FALSE),"")))</f>
        <v/>
      </c>
      <c r="K373" s="39">
        <f>IF($A373="","",E373*I373)</f>
        <v/>
      </c>
      <c r="L373" s="36" t="n"/>
      <c r="M373" s="39">
        <f>IF($A373="","",K373*(1+N373))</f>
        <v/>
      </c>
      <c r="N373" s="26">
        <f>IF($A373="","",IF(L373="",IFERROR(VLOOKUP(H373,Settings!$A$22:$B$27,2,FALSE),0),L373))</f>
        <v/>
      </c>
      <c r="O373" s="9">
        <f>IF(AND($A373&lt;&gt;"",$A373=Proposal!$I$2),COUNTIF($A$5:$A373,Proposal!$I$2),"")</f>
        <v/>
      </c>
      <c r="P373" s="9">
        <f>IF($A373="","",IF(COUNTIF(Jobs!$A$5:$A$44,$A373)=0,"Unknown Job ID",IF(B373="","Missing cost code",IF(COUNTIF(Settings!$E$5:$E$28,B373)=0,"Unknown cost code",IF(AND(G373="",C373=""),"No unit cost",IF(E373="","Missing qty",""))))))</f>
        <v/>
      </c>
      <c r="Q373" s="35" t="n"/>
    </row>
    <row r="374">
      <c r="A374" s="35" t="n"/>
      <c r="B374" s="35" t="n"/>
      <c r="C374" s="35" t="n"/>
      <c r="D374" s="35" t="n"/>
      <c r="E374" s="35" t="n"/>
      <c r="F374" s="35" t="n"/>
      <c r="G374" s="37" t="n"/>
      <c r="H374" s="9">
        <f>IF(B374="","",IFERROR(VLOOKUP(B374,Settings!$E$5:$G$28,3,FALSE),"Other"))</f>
        <v/>
      </c>
      <c r="I374" s="39">
        <f>IF($A374="","",IF(G374&lt;&gt;"",G374,IFERROR(VLOOKUP(C374,'Cost Library'!$A$5:$D$204,4,FALSE),0)))</f>
        <v/>
      </c>
      <c r="J374" s="9">
        <f>IF($A374="","",IF(F374&lt;&gt;"",F374,IFERROR(VLOOKUP(C374,'Cost Library'!$A$5:$D$204,3,FALSE),"")))</f>
        <v/>
      </c>
      <c r="K374" s="39">
        <f>IF($A374="","",E374*I374)</f>
        <v/>
      </c>
      <c r="L374" s="36" t="n"/>
      <c r="M374" s="39">
        <f>IF($A374="","",K374*(1+N374))</f>
        <v/>
      </c>
      <c r="N374" s="26">
        <f>IF($A374="","",IF(L374="",IFERROR(VLOOKUP(H374,Settings!$A$22:$B$27,2,FALSE),0),L374))</f>
        <v/>
      </c>
      <c r="O374" s="9">
        <f>IF(AND($A374&lt;&gt;"",$A374=Proposal!$I$2),COUNTIF($A$5:$A374,Proposal!$I$2),"")</f>
        <v/>
      </c>
      <c r="P374" s="9">
        <f>IF($A374="","",IF(COUNTIF(Jobs!$A$5:$A$44,$A374)=0,"Unknown Job ID",IF(B374="","Missing cost code",IF(COUNTIF(Settings!$E$5:$E$28,B374)=0,"Unknown cost code",IF(AND(G374="",C374=""),"No unit cost",IF(E374="","Missing qty",""))))))</f>
        <v/>
      </c>
      <c r="Q374" s="35" t="n"/>
    </row>
    <row r="375">
      <c r="A375" s="35" t="n"/>
      <c r="B375" s="35" t="n"/>
      <c r="C375" s="35" t="n"/>
      <c r="D375" s="35" t="n"/>
      <c r="E375" s="35" t="n"/>
      <c r="F375" s="35" t="n"/>
      <c r="G375" s="37" t="n"/>
      <c r="H375" s="9">
        <f>IF(B375="","",IFERROR(VLOOKUP(B375,Settings!$E$5:$G$28,3,FALSE),"Other"))</f>
        <v/>
      </c>
      <c r="I375" s="39">
        <f>IF($A375="","",IF(G375&lt;&gt;"",G375,IFERROR(VLOOKUP(C375,'Cost Library'!$A$5:$D$204,4,FALSE),0)))</f>
        <v/>
      </c>
      <c r="J375" s="9">
        <f>IF($A375="","",IF(F375&lt;&gt;"",F375,IFERROR(VLOOKUP(C375,'Cost Library'!$A$5:$D$204,3,FALSE),"")))</f>
        <v/>
      </c>
      <c r="K375" s="39">
        <f>IF($A375="","",E375*I375)</f>
        <v/>
      </c>
      <c r="L375" s="36" t="n"/>
      <c r="M375" s="39">
        <f>IF($A375="","",K375*(1+N375))</f>
        <v/>
      </c>
      <c r="N375" s="26">
        <f>IF($A375="","",IF(L375="",IFERROR(VLOOKUP(H375,Settings!$A$22:$B$27,2,FALSE),0),L375))</f>
        <v/>
      </c>
      <c r="O375" s="9">
        <f>IF(AND($A375&lt;&gt;"",$A375=Proposal!$I$2),COUNTIF($A$5:$A375,Proposal!$I$2),"")</f>
        <v/>
      </c>
      <c r="P375" s="9">
        <f>IF($A375="","",IF(COUNTIF(Jobs!$A$5:$A$44,$A375)=0,"Unknown Job ID",IF(B375="","Missing cost code",IF(COUNTIF(Settings!$E$5:$E$28,B375)=0,"Unknown cost code",IF(AND(G375="",C375=""),"No unit cost",IF(E375="","Missing qty",""))))))</f>
        <v/>
      </c>
      <c r="Q375" s="35" t="n"/>
    </row>
    <row r="376">
      <c r="A376" s="35" t="n"/>
      <c r="B376" s="35" t="n"/>
      <c r="C376" s="35" t="n"/>
      <c r="D376" s="35" t="n"/>
      <c r="E376" s="35" t="n"/>
      <c r="F376" s="35" t="n"/>
      <c r="G376" s="37" t="n"/>
      <c r="H376" s="9">
        <f>IF(B376="","",IFERROR(VLOOKUP(B376,Settings!$E$5:$G$28,3,FALSE),"Other"))</f>
        <v/>
      </c>
      <c r="I376" s="39">
        <f>IF($A376="","",IF(G376&lt;&gt;"",G376,IFERROR(VLOOKUP(C376,'Cost Library'!$A$5:$D$204,4,FALSE),0)))</f>
        <v/>
      </c>
      <c r="J376" s="9">
        <f>IF($A376="","",IF(F376&lt;&gt;"",F376,IFERROR(VLOOKUP(C376,'Cost Library'!$A$5:$D$204,3,FALSE),"")))</f>
        <v/>
      </c>
      <c r="K376" s="39">
        <f>IF($A376="","",E376*I376)</f>
        <v/>
      </c>
      <c r="L376" s="36" t="n"/>
      <c r="M376" s="39">
        <f>IF($A376="","",K376*(1+N376))</f>
        <v/>
      </c>
      <c r="N376" s="26">
        <f>IF($A376="","",IF(L376="",IFERROR(VLOOKUP(H376,Settings!$A$22:$B$27,2,FALSE),0),L376))</f>
        <v/>
      </c>
      <c r="O376" s="9">
        <f>IF(AND($A376&lt;&gt;"",$A376=Proposal!$I$2),COUNTIF($A$5:$A376,Proposal!$I$2),"")</f>
        <v/>
      </c>
      <c r="P376" s="9">
        <f>IF($A376="","",IF(COUNTIF(Jobs!$A$5:$A$44,$A376)=0,"Unknown Job ID",IF(B376="","Missing cost code",IF(COUNTIF(Settings!$E$5:$E$28,B376)=0,"Unknown cost code",IF(AND(G376="",C376=""),"No unit cost",IF(E376="","Missing qty",""))))))</f>
        <v/>
      </c>
      <c r="Q376" s="35" t="n"/>
    </row>
    <row r="377">
      <c r="A377" s="35" t="n"/>
      <c r="B377" s="35" t="n"/>
      <c r="C377" s="35" t="n"/>
      <c r="D377" s="35" t="n"/>
      <c r="E377" s="35" t="n"/>
      <c r="F377" s="35" t="n"/>
      <c r="G377" s="37" t="n"/>
      <c r="H377" s="9">
        <f>IF(B377="","",IFERROR(VLOOKUP(B377,Settings!$E$5:$G$28,3,FALSE),"Other"))</f>
        <v/>
      </c>
      <c r="I377" s="39">
        <f>IF($A377="","",IF(G377&lt;&gt;"",G377,IFERROR(VLOOKUP(C377,'Cost Library'!$A$5:$D$204,4,FALSE),0)))</f>
        <v/>
      </c>
      <c r="J377" s="9">
        <f>IF($A377="","",IF(F377&lt;&gt;"",F377,IFERROR(VLOOKUP(C377,'Cost Library'!$A$5:$D$204,3,FALSE),"")))</f>
        <v/>
      </c>
      <c r="K377" s="39">
        <f>IF($A377="","",E377*I377)</f>
        <v/>
      </c>
      <c r="L377" s="36" t="n"/>
      <c r="M377" s="39">
        <f>IF($A377="","",K377*(1+N377))</f>
        <v/>
      </c>
      <c r="N377" s="26">
        <f>IF($A377="","",IF(L377="",IFERROR(VLOOKUP(H377,Settings!$A$22:$B$27,2,FALSE),0),L377))</f>
        <v/>
      </c>
      <c r="O377" s="9">
        <f>IF(AND($A377&lt;&gt;"",$A377=Proposal!$I$2),COUNTIF($A$5:$A377,Proposal!$I$2),"")</f>
        <v/>
      </c>
      <c r="P377" s="9">
        <f>IF($A377="","",IF(COUNTIF(Jobs!$A$5:$A$44,$A377)=0,"Unknown Job ID",IF(B377="","Missing cost code",IF(COUNTIF(Settings!$E$5:$E$28,B377)=0,"Unknown cost code",IF(AND(G377="",C377=""),"No unit cost",IF(E377="","Missing qty",""))))))</f>
        <v/>
      </c>
      <c r="Q377" s="35" t="n"/>
    </row>
    <row r="378">
      <c r="A378" s="35" t="n"/>
      <c r="B378" s="35" t="n"/>
      <c r="C378" s="35" t="n"/>
      <c r="D378" s="35" t="n"/>
      <c r="E378" s="35" t="n"/>
      <c r="F378" s="35" t="n"/>
      <c r="G378" s="37" t="n"/>
      <c r="H378" s="9">
        <f>IF(B378="","",IFERROR(VLOOKUP(B378,Settings!$E$5:$G$28,3,FALSE),"Other"))</f>
        <v/>
      </c>
      <c r="I378" s="39">
        <f>IF($A378="","",IF(G378&lt;&gt;"",G378,IFERROR(VLOOKUP(C378,'Cost Library'!$A$5:$D$204,4,FALSE),0)))</f>
        <v/>
      </c>
      <c r="J378" s="9">
        <f>IF($A378="","",IF(F378&lt;&gt;"",F378,IFERROR(VLOOKUP(C378,'Cost Library'!$A$5:$D$204,3,FALSE),"")))</f>
        <v/>
      </c>
      <c r="K378" s="39">
        <f>IF($A378="","",E378*I378)</f>
        <v/>
      </c>
      <c r="L378" s="36" t="n"/>
      <c r="M378" s="39">
        <f>IF($A378="","",K378*(1+N378))</f>
        <v/>
      </c>
      <c r="N378" s="26">
        <f>IF($A378="","",IF(L378="",IFERROR(VLOOKUP(H378,Settings!$A$22:$B$27,2,FALSE),0),L378))</f>
        <v/>
      </c>
      <c r="O378" s="9">
        <f>IF(AND($A378&lt;&gt;"",$A378=Proposal!$I$2),COUNTIF($A$5:$A378,Proposal!$I$2),"")</f>
        <v/>
      </c>
      <c r="P378" s="9">
        <f>IF($A378="","",IF(COUNTIF(Jobs!$A$5:$A$44,$A378)=0,"Unknown Job ID",IF(B378="","Missing cost code",IF(COUNTIF(Settings!$E$5:$E$28,B378)=0,"Unknown cost code",IF(AND(G378="",C378=""),"No unit cost",IF(E378="","Missing qty",""))))))</f>
        <v/>
      </c>
      <c r="Q378" s="35" t="n"/>
    </row>
    <row r="379">
      <c r="A379" s="35" t="n"/>
      <c r="B379" s="35" t="n"/>
      <c r="C379" s="35" t="n"/>
      <c r="D379" s="35" t="n"/>
      <c r="E379" s="35" t="n"/>
      <c r="F379" s="35" t="n"/>
      <c r="G379" s="37" t="n"/>
      <c r="H379" s="9">
        <f>IF(B379="","",IFERROR(VLOOKUP(B379,Settings!$E$5:$G$28,3,FALSE),"Other"))</f>
        <v/>
      </c>
      <c r="I379" s="39">
        <f>IF($A379="","",IF(G379&lt;&gt;"",G379,IFERROR(VLOOKUP(C379,'Cost Library'!$A$5:$D$204,4,FALSE),0)))</f>
        <v/>
      </c>
      <c r="J379" s="9">
        <f>IF($A379="","",IF(F379&lt;&gt;"",F379,IFERROR(VLOOKUP(C379,'Cost Library'!$A$5:$D$204,3,FALSE),"")))</f>
        <v/>
      </c>
      <c r="K379" s="39">
        <f>IF($A379="","",E379*I379)</f>
        <v/>
      </c>
      <c r="L379" s="36" t="n"/>
      <c r="M379" s="39">
        <f>IF($A379="","",K379*(1+N379))</f>
        <v/>
      </c>
      <c r="N379" s="26">
        <f>IF($A379="","",IF(L379="",IFERROR(VLOOKUP(H379,Settings!$A$22:$B$27,2,FALSE),0),L379))</f>
        <v/>
      </c>
      <c r="O379" s="9">
        <f>IF(AND($A379&lt;&gt;"",$A379=Proposal!$I$2),COUNTIF($A$5:$A379,Proposal!$I$2),"")</f>
        <v/>
      </c>
      <c r="P379" s="9">
        <f>IF($A379="","",IF(COUNTIF(Jobs!$A$5:$A$44,$A379)=0,"Unknown Job ID",IF(B379="","Missing cost code",IF(COUNTIF(Settings!$E$5:$E$28,B379)=0,"Unknown cost code",IF(AND(G379="",C379=""),"No unit cost",IF(E379="","Missing qty",""))))))</f>
        <v/>
      </c>
      <c r="Q379" s="35" t="n"/>
    </row>
    <row r="380">
      <c r="A380" s="35" t="n"/>
      <c r="B380" s="35" t="n"/>
      <c r="C380" s="35" t="n"/>
      <c r="D380" s="35" t="n"/>
      <c r="E380" s="35" t="n"/>
      <c r="F380" s="35" t="n"/>
      <c r="G380" s="37" t="n"/>
      <c r="H380" s="9">
        <f>IF(B380="","",IFERROR(VLOOKUP(B380,Settings!$E$5:$G$28,3,FALSE),"Other"))</f>
        <v/>
      </c>
      <c r="I380" s="39">
        <f>IF($A380="","",IF(G380&lt;&gt;"",G380,IFERROR(VLOOKUP(C380,'Cost Library'!$A$5:$D$204,4,FALSE),0)))</f>
        <v/>
      </c>
      <c r="J380" s="9">
        <f>IF($A380="","",IF(F380&lt;&gt;"",F380,IFERROR(VLOOKUP(C380,'Cost Library'!$A$5:$D$204,3,FALSE),"")))</f>
        <v/>
      </c>
      <c r="K380" s="39">
        <f>IF($A380="","",E380*I380)</f>
        <v/>
      </c>
      <c r="L380" s="36" t="n"/>
      <c r="M380" s="39">
        <f>IF($A380="","",K380*(1+N380))</f>
        <v/>
      </c>
      <c r="N380" s="26">
        <f>IF($A380="","",IF(L380="",IFERROR(VLOOKUP(H380,Settings!$A$22:$B$27,2,FALSE),0),L380))</f>
        <v/>
      </c>
      <c r="O380" s="9">
        <f>IF(AND($A380&lt;&gt;"",$A380=Proposal!$I$2),COUNTIF($A$5:$A380,Proposal!$I$2),"")</f>
        <v/>
      </c>
      <c r="P380" s="9">
        <f>IF($A380="","",IF(COUNTIF(Jobs!$A$5:$A$44,$A380)=0,"Unknown Job ID",IF(B380="","Missing cost code",IF(COUNTIF(Settings!$E$5:$E$28,B380)=0,"Unknown cost code",IF(AND(G380="",C380=""),"No unit cost",IF(E380="","Missing qty",""))))))</f>
        <v/>
      </c>
      <c r="Q380" s="35" t="n"/>
    </row>
    <row r="381">
      <c r="A381" s="35" t="n"/>
      <c r="B381" s="35" t="n"/>
      <c r="C381" s="35" t="n"/>
      <c r="D381" s="35" t="n"/>
      <c r="E381" s="35" t="n"/>
      <c r="F381" s="35" t="n"/>
      <c r="G381" s="37" t="n"/>
      <c r="H381" s="9">
        <f>IF(B381="","",IFERROR(VLOOKUP(B381,Settings!$E$5:$G$28,3,FALSE),"Other"))</f>
        <v/>
      </c>
      <c r="I381" s="39">
        <f>IF($A381="","",IF(G381&lt;&gt;"",G381,IFERROR(VLOOKUP(C381,'Cost Library'!$A$5:$D$204,4,FALSE),0)))</f>
        <v/>
      </c>
      <c r="J381" s="9">
        <f>IF($A381="","",IF(F381&lt;&gt;"",F381,IFERROR(VLOOKUP(C381,'Cost Library'!$A$5:$D$204,3,FALSE),"")))</f>
        <v/>
      </c>
      <c r="K381" s="39">
        <f>IF($A381="","",E381*I381)</f>
        <v/>
      </c>
      <c r="L381" s="36" t="n"/>
      <c r="M381" s="39">
        <f>IF($A381="","",K381*(1+N381))</f>
        <v/>
      </c>
      <c r="N381" s="26">
        <f>IF($A381="","",IF(L381="",IFERROR(VLOOKUP(H381,Settings!$A$22:$B$27,2,FALSE),0),L381))</f>
        <v/>
      </c>
      <c r="O381" s="9">
        <f>IF(AND($A381&lt;&gt;"",$A381=Proposal!$I$2),COUNTIF($A$5:$A381,Proposal!$I$2),"")</f>
        <v/>
      </c>
      <c r="P381" s="9">
        <f>IF($A381="","",IF(COUNTIF(Jobs!$A$5:$A$44,$A381)=0,"Unknown Job ID",IF(B381="","Missing cost code",IF(COUNTIF(Settings!$E$5:$E$28,B381)=0,"Unknown cost code",IF(AND(G381="",C381=""),"No unit cost",IF(E381="","Missing qty",""))))))</f>
        <v/>
      </c>
      <c r="Q381" s="35" t="n"/>
    </row>
    <row r="382">
      <c r="A382" s="35" t="n"/>
      <c r="B382" s="35" t="n"/>
      <c r="C382" s="35" t="n"/>
      <c r="D382" s="35" t="n"/>
      <c r="E382" s="35" t="n"/>
      <c r="F382" s="35" t="n"/>
      <c r="G382" s="37" t="n"/>
      <c r="H382" s="9">
        <f>IF(B382="","",IFERROR(VLOOKUP(B382,Settings!$E$5:$G$28,3,FALSE),"Other"))</f>
        <v/>
      </c>
      <c r="I382" s="39">
        <f>IF($A382="","",IF(G382&lt;&gt;"",G382,IFERROR(VLOOKUP(C382,'Cost Library'!$A$5:$D$204,4,FALSE),0)))</f>
        <v/>
      </c>
      <c r="J382" s="9">
        <f>IF($A382="","",IF(F382&lt;&gt;"",F382,IFERROR(VLOOKUP(C382,'Cost Library'!$A$5:$D$204,3,FALSE),"")))</f>
        <v/>
      </c>
      <c r="K382" s="39">
        <f>IF($A382="","",E382*I382)</f>
        <v/>
      </c>
      <c r="L382" s="36" t="n"/>
      <c r="M382" s="39">
        <f>IF($A382="","",K382*(1+N382))</f>
        <v/>
      </c>
      <c r="N382" s="26">
        <f>IF($A382="","",IF(L382="",IFERROR(VLOOKUP(H382,Settings!$A$22:$B$27,2,FALSE),0),L382))</f>
        <v/>
      </c>
      <c r="O382" s="9">
        <f>IF(AND($A382&lt;&gt;"",$A382=Proposal!$I$2),COUNTIF($A$5:$A382,Proposal!$I$2),"")</f>
        <v/>
      </c>
      <c r="P382" s="9">
        <f>IF($A382="","",IF(COUNTIF(Jobs!$A$5:$A$44,$A382)=0,"Unknown Job ID",IF(B382="","Missing cost code",IF(COUNTIF(Settings!$E$5:$E$28,B382)=0,"Unknown cost code",IF(AND(G382="",C382=""),"No unit cost",IF(E382="","Missing qty",""))))))</f>
        <v/>
      </c>
      <c r="Q382" s="35" t="n"/>
    </row>
    <row r="383">
      <c r="A383" s="35" t="n"/>
      <c r="B383" s="35" t="n"/>
      <c r="C383" s="35" t="n"/>
      <c r="D383" s="35" t="n"/>
      <c r="E383" s="35" t="n"/>
      <c r="F383" s="35" t="n"/>
      <c r="G383" s="37" t="n"/>
      <c r="H383" s="9">
        <f>IF(B383="","",IFERROR(VLOOKUP(B383,Settings!$E$5:$G$28,3,FALSE),"Other"))</f>
        <v/>
      </c>
      <c r="I383" s="39">
        <f>IF($A383="","",IF(G383&lt;&gt;"",G383,IFERROR(VLOOKUP(C383,'Cost Library'!$A$5:$D$204,4,FALSE),0)))</f>
        <v/>
      </c>
      <c r="J383" s="9">
        <f>IF($A383="","",IF(F383&lt;&gt;"",F383,IFERROR(VLOOKUP(C383,'Cost Library'!$A$5:$D$204,3,FALSE),"")))</f>
        <v/>
      </c>
      <c r="K383" s="39">
        <f>IF($A383="","",E383*I383)</f>
        <v/>
      </c>
      <c r="L383" s="36" t="n"/>
      <c r="M383" s="39">
        <f>IF($A383="","",K383*(1+N383))</f>
        <v/>
      </c>
      <c r="N383" s="26">
        <f>IF($A383="","",IF(L383="",IFERROR(VLOOKUP(H383,Settings!$A$22:$B$27,2,FALSE),0),L383))</f>
        <v/>
      </c>
      <c r="O383" s="9">
        <f>IF(AND($A383&lt;&gt;"",$A383=Proposal!$I$2),COUNTIF($A$5:$A383,Proposal!$I$2),"")</f>
        <v/>
      </c>
      <c r="P383" s="9">
        <f>IF($A383="","",IF(COUNTIF(Jobs!$A$5:$A$44,$A383)=0,"Unknown Job ID",IF(B383="","Missing cost code",IF(COUNTIF(Settings!$E$5:$E$28,B383)=0,"Unknown cost code",IF(AND(G383="",C383=""),"No unit cost",IF(E383="","Missing qty",""))))))</f>
        <v/>
      </c>
      <c r="Q383" s="35" t="n"/>
    </row>
    <row r="384">
      <c r="A384" s="35" t="n"/>
      <c r="B384" s="35" t="n"/>
      <c r="C384" s="35" t="n"/>
      <c r="D384" s="35" t="n"/>
      <c r="E384" s="35" t="n"/>
      <c r="F384" s="35" t="n"/>
      <c r="G384" s="37" t="n"/>
      <c r="H384" s="9">
        <f>IF(B384="","",IFERROR(VLOOKUP(B384,Settings!$E$5:$G$28,3,FALSE),"Other"))</f>
        <v/>
      </c>
      <c r="I384" s="39">
        <f>IF($A384="","",IF(G384&lt;&gt;"",G384,IFERROR(VLOOKUP(C384,'Cost Library'!$A$5:$D$204,4,FALSE),0)))</f>
        <v/>
      </c>
      <c r="J384" s="9">
        <f>IF($A384="","",IF(F384&lt;&gt;"",F384,IFERROR(VLOOKUP(C384,'Cost Library'!$A$5:$D$204,3,FALSE),"")))</f>
        <v/>
      </c>
      <c r="K384" s="39">
        <f>IF($A384="","",E384*I384)</f>
        <v/>
      </c>
      <c r="L384" s="36" t="n"/>
      <c r="M384" s="39">
        <f>IF($A384="","",K384*(1+N384))</f>
        <v/>
      </c>
      <c r="N384" s="26">
        <f>IF($A384="","",IF(L384="",IFERROR(VLOOKUP(H384,Settings!$A$22:$B$27,2,FALSE),0),L384))</f>
        <v/>
      </c>
      <c r="O384" s="9">
        <f>IF(AND($A384&lt;&gt;"",$A384=Proposal!$I$2),COUNTIF($A$5:$A384,Proposal!$I$2),"")</f>
        <v/>
      </c>
      <c r="P384" s="9">
        <f>IF($A384="","",IF(COUNTIF(Jobs!$A$5:$A$44,$A384)=0,"Unknown Job ID",IF(B384="","Missing cost code",IF(COUNTIF(Settings!$E$5:$E$28,B384)=0,"Unknown cost code",IF(AND(G384="",C384=""),"No unit cost",IF(E384="","Missing qty",""))))))</f>
        <v/>
      </c>
      <c r="Q384" s="35" t="n"/>
    </row>
    <row r="385">
      <c r="A385" s="35" t="n"/>
      <c r="B385" s="35" t="n"/>
      <c r="C385" s="35" t="n"/>
      <c r="D385" s="35" t="n"/>
      <c r="E385" s="35" t="n"/>
      <c r="F385" s="35" t="n"/>
      <c r="G385" s="37" t="n"/>
      <c r="H385" s="9">
        <f>IF(B385="","",IFERROR(VLOOKUP(B385,Settings!$E$5:$G$28,3,FALSE),"Other"))</f>
        <v/>
      </c>
      <c r="I385" s="39">
        <f>IF($A385="","",IF(G385&lt;&gt;"",G385,IFERROR(VLOOKUP(C385,'Cost Library'!$A$5:$D$204,4,FALSE),0)))</f>
        <v/>
      </c>
      <c r="J385" s="9">
        <f>IF($A385="","",IF(F385&lt;&gt;"",F385,IFERROR(VLOOKUP(C385,'Cost Library'!$A$5:$D$204,3,FALSE),"")))</f>
        <v/>
      </c>
      <c r="K385" s="39">
        <f>IF($A385="","",E385*I385)</f>
        <v/>
      </c>
      <c r="L385" s="36" t="n"/>
      <c r="M385" s="39">
        <f>IF($A385="","",K385*(1+N385))</f>
        <v/>
      </c>
      <c r="N385" s="26">
        <f>IF($A385="","",IF(L385="",IFERROR(VLOOKUP(H385,Settings!$A$22:$B$27,2,FALSE),0),L385))</f>
        <v/>
      </c>
      <c r="O385" s="9">
        <f>IF(AND($A385&lt;&gt;"",$A385=Proposal!$I$2),COUNTIF($A$5:$A385,Proposal!$I$2),"")</f>
        <v/>
      </c>
      <c r="P385" s="9">
        <f>IF($A385="","",IF(COUNTIF(Jobs!$A$5:$A$44,$A385)=0,"Unknown Job ID",IF(B385="","Missing cost code",IF(COUNTIF(Settings!$E$5:$E$28,B385)=0,"Unknown cost code",IF(AND(G385="",C385=""),"No unit cost",IF(E385="","Missing qty",""))))))</f>
        <v/>
      </c>
      <c r="Q385" s="35" t="n"/>
    </row>
    <row r="386">
      <c r="A386" s="35" t="n"/>
      <c r="B386" s="35" t="n"/>
      <c r="C386" s="35" t="n"/>
      <c r="D386" s="35" t="n"/>
      <c r="E386" s="35" t="n"/>
      <c r="F386" s="35" t="n"/>
      <c r="G386" s="37" t="n"/>
      <c r="H386" s="9">
        <f>IF(B386="","",IFERROR(VLOOKUP(B386,Settings!$E$5:$G$28,3,FALSE),"Other"))</f>
        <v/>
      </c>
      <c r="I386" s="39">
        <f>IF($A386="","",IF(G386&lt;&gt;"",G386,IFERROR(VLOOKUP(C386,'Cost Library'!$A$5:$D$204,4,FALSE),0)))</f>
        <v/>
      </c>
      <c r="J386" s="9">
        <f>IF($A386="","",IF(F386&lt;&gt;"",F386,IFERROR(VLOOKUP(C386,'Cost Library'!$A$5:$D$204,3,FALSE),"")))</f>
        <v/>
      </c>
      <c r="K386" s="39">
        <f>IF($A386="","",E386*I386)</f>
        <v/>
      </c>
      <c r="L386" s="36" t="n"/>
      <c r="M386" s="39">
        <f>IF($A386="","",K386*(1+N386))</f>
        <v/>
      </c>
      <c r="N386" s="26">
        <f>IF($A386="","",IF(L386="",IFERROR(VLOOKUP(H386,Settings!$A$22:$B$27,2,FALSE),0),L386))</f>
        <v/>
      </c>
      <c r="O386" s="9">
        <f>IF(AND($A386&lt;&gt;"",$A386=Proposal!$I$2),COUNTIF($A$5:$A386,Proposal!$I$2),"")</f>
        <v/>
      </c>
      <c r="P386" s="9">
        <f>IF($A386="","",IF(COUNTIF(Jobs!$A$5:$A$44,$A386)=0,"Unknown Job ID",IF(B386="","Missing cost code",IF(COUNTIF(Settings!$E$5:$E$28,B386)=0,"Unknown cost code",IF(AND(G386="",C386=""),"No unit cost",IF(E386="","Missing qty",""))))))</f>
        <v/>
      </c>
      <c r="Q386" s="35" t="n"/>
    </row>
    <row r="387">
      <c r="A387" s="35" t="n"/>
      <c r="B387" s="35" t="n"/>
      <c r="C387" s="35" t="n"/>
      <c r="D387" s="35" t="n"/>
      <c r="E387" s="35" t="n"/>
      <c r="F387" s="35" t="n"/>
      <c r="G387" s="37" t="n"/>
      <c r="H387" s="9">
        <f>IF(B387="","",IFERROR(VLOOKUP(B387,Settings!$E$5:$G$28,3,FALSE),"Other"))</f>
        <v/>
      </c>
      <c r="I387" s="39">
        <f>IF($A387="","",IF(G387&lt;&gt;"",G387,IFERROR(VLOOKUP(C387,'Cost Library'!$A$5:$D$204,4,FALSE),0)))</f>
        <v/>
      </c>
      <c r="J387" s="9">
        <f>IF($A387="","",IF(F387&lt;&gt;"",F387,IFERROR(VLOOKUP(C387,'Cost Library'!$A$5:$D$204,3,FALSE),"")))</f>
        <v/>
      </c>
      <c r="K387" s="39">
        <f>IF($A387="","",E387*I387)</f>
        <v/>
      </c>
      <c r="L387" s="36" t="n"/>
      <c r="M387" s="39">
        <f>IF($A387="","",K387*(1+N387))</f>
        <v/>
      </c>
      <c r="N387" s="26">
        <f>IF($A387="","",IF(L387="",IFERROR(VLOOKUP(H387,Settings!$A$22:$B$27,2,FALSE),0),L387))</f>
        <v/>
      </c>
      <c r="O387" s="9">
        <f>IF(AND($A387&lt;&gt;"",$A387=Proposal!$I$2),COUNTIF($A$5:$A387,Proposal!$I$2),"")</f>
        <v/>
      </c>
      <c r="P387" s="9">
        <f>IF($A387="","",IF(COUNTIF(Jobs!$A$5:$A$44,$A387)=0,"Unknown Job ID",IF(B387="","Missing cost code",IF(COUNTIF(Settings!$E$5:$E$28,B387)=0,"Unknown cost code",IF(AND(G387="",C387=""),"No unit cost",IF(E387="","Missing qty",""))))))</f>
        <v/>
      </c>
      <c r="Q387" s="35" t="n"/>
    </row>
    <row r="388">
      <c r="A388" s="35" t="n"/>
      <c r="B388" s="35" t="n"/>
      <c r="C388" s="35" t="n"/>
      <c r="D388" s="35" t="n"/>
      <c r="E388" s="35" t="n"/>
      <c r="F388" s="35" t="n"/>
      <c r="G388" s="37" t="n"/>
      <c r="H388" s="9">
        <f>IF(B388="","",IFERROR(VLOOKUP(B388,Settings!$E$5:$G$28,3,FALSE),"Other"))</f>
        <v/>
      </c>
      <c r="I388" s="39">
        <f>IF($A388="","",IF(G388&lt;&gt;"",G388,IFERROR(VLOOKUP(C388,'Cost Library'!$A$5:$D$204,4,FALSE),0)))</f>
        <v/>
      </c>
      <c r="J388" s="9">
        <f>IF($A388="","",IF(F388&lt;&gt;"",F388,IFERROR(VLOOKUP(C388,'Cost Library'!$A$5:$D$204,3,FALSE),"")))</f>
        <v/>
      </c>
      <c r="K388" s="39">
        <f>IF($A388="","",E388*I388)</f>
        <v/>
      </c>
      <c r="L388" s="36" t="n"/>
      <c r="M388" s="39">
        <f>IF($A388="","",K388*(1+N388))</f>
        <v/>
      </c>
      <c r="N388" s="26">
        <f>IF($A388="","",IF(L388="",IFERROR(VLOOKUP(H388,Settings!$A$22:$B$27,2,FALSE),0),L388))</f>
        <v/>
      </c>
      <c r="O388" s="9">
        <f>IF(AND($A388&lt;&gt;"",$A388=Proposal!$I$2),COUNTIF($A$5:$A388,Proposal!$I$2),"")</f>
        <v/>
      </c>
      <c r="P388" s="9">
        <f>IF($A388="","",IF(COUNTIF(Jobs!$A$5:$A$44,$A388)=0,"Unknown Job ID",IF(B388="","Missing cost code",IF(COUNTIF(Settings!$E$5:$E$28,B388)=0,"Unknown cost code",IF(AND(G388="",C388=""),"No unit cost",IF(E388="","Missing qty",""))))))</f>
        <v/>
      </c>
      <c r="Q388" s="35" t="n"/>
    </row>
    <row r="389">
      <c r="A389" s="35" t="n"/>
      <c r="B389" s="35" t="n"/>
      <c r="C389" s="35" t="n"/>
      <c r="D389" s="35" t="n"/>
      <c r="E389" s="35" t="n"/>
      <c r="F389" s="35" t="n"/>
      <c r="G389" s="37" t="n"/>
      <c r="H389" s="9">
        <f>IF(B389="","",IFERROR(VLOOKUP(B389,Settings!$E$5:$G$28,3,FALSE),"Other"))</f>
        <v/>
      </c>
      <c r="I389" s="39">
        <f>IF($A389="","",IF(G389&lt;&gt;"",G389,IFERROR(VLOOKUP(C389,'Cost Library'!$A$5:$D$204,4,FALSE),0)))</f>
        <v/>
      </c>
      <c r="J389" s="9">
        <f>IF($A389="","",IF(F389&lt;&gt;"",F389,IFERROR(VLOOKUP(C389,'Cost Library'!$A$5:$D$204,3,FALSE),"")))</f>
        <v/>
      </c>
      <c r="K389" s="39">
        <f>IF($A389="","",E389*I389)</f>
        <v/>
      </c>
      <c r="L389" s="36" t="n"/>
      <c r="M389" s="39">
        <f>IF($A389="","",K389*(1+N389))</f>
        <v/>
      </c>
      <c r="N389" s="26">
        <f>IF($A389="","",IF(L389="",IFERROR(VLOOKUP(H389,Settings!$A$22:$B$27,2,FALSE),0),L389))</f>
        <v/>
      </c>
      <c r="O389" s="9">
        <f>IF(AND($A389&lt;&gt;"",$A389=Proposal!$I$2),COUNTIF($A$5:$A389,Proposal!$I$2),"")</f>
        <v/>
      </c>
      <c r="P389" s="9">
        <f>IF($A389="","",IF(COUNTIF(Jobs!$A$5:$A$44,$A389)=0,"Unknown Job ID",IF(B389="","Missing cost code",IF(COUNTIF(Settings!$E$5:$E$28,B389)=0,"Unknown cost code",IF(AND(G389="",C389=""),"No unit cost",IF(E389="","Missing qty",""))))))</f>
        <v/>
      </c>
      <c r="Q389" s="35" t="n"/>
    </row>
    <row r="390">
      <c r="A390" s="35" t="n"/>
      <c r="B390" s="35" t="n"/>
      <c r="C390" s="35" t="n"/>
      <c r="D390" s="35" t="n"/>
      <c r="E390" s="35" t="n"/>
      <c r="F390" s="35" t="n"/>
      <c r="G390" s="37" t="n"/>
      <c r="H390" s="9">
        <f>IF(B390="","",IFERROR(VLOOKUP(B390,Settings!$E$5:$G$28,3,FALSE),"Other"))</f>
        <v/>
      </c>
      <c r="I390" s="39">
        <f>IF($A390="","",IF(G390&lt;&gt;"",G390,IFERROR(VLOOKUP(C390,'Cost Library'!$A$5:$D$204,4,FALSE),0)))</f>
        <v/>
      </c>
      <c r="J390" s="9">
        <f>IF($A390="","",IF(F390&lt;&gt;"",F390,IFERROR(VLOOKUP(C390,'Cost Library'!$A$5:$D$204,3,FALSE),"")))</f>
        <v/>
      </c>
      <c r="K390" s="39">
        <f>IF($A390="","",E390*I390)</f>
        <v/>
      </c>
      <c r="L390" s="36" t="n"/>
      <c r="M390" s="39">
        <f>IF($A390="","",K390*(1+N390))</f>
        <v/>
      </c>
      <c r="N390" s="26">
        <f>IF($A390="","",IF(L390="",IFERROR(VLOOKUP(H390,Settings!$A$22:$B$27,2,FALSE),0),L390))</f>
        <v/>
      </c>
      <c r="O390" s="9">
        <f>IF(AND($A390&lt;&gt;"",$A390=Proposal!$I$2),COUNTIF($A$5:$A390,Proposal!$I$2),"")</f>
        <v/>
      </c>
      <c r="P390" s="9">
        <f>IF($A390="","",IF(COUNTIF(Jobs!$A$5:$A$44,$A390)=0,"Unknown Job ID",IF(B390="","Missing cost code",IF(COUNTIF(Settings!$E$5:$E$28,B390)=0,"Unknown cost code",IF(AND(G390="",C390=""),"No unit cost",IF(E390="","Missing qty",""))))))</f>
        <v/>
      </c>
      <c r="Q390" s="35" t="n"/>
    </row>
    <row r="391">
      <c r="A391" s="35" t="n"/>
      <c r="B391" s="35" t="n"/>
      <c r="C391" s="35" t="n"/>
      <c r="D391" s="35" t="n"/>
      <c r="E391" s="35" t="n"/>
      <c r="F391" s="35" t="n"/>
      <c r="G391" s="37" t="n"/>
      <c r="H391" s="9">
        <f>IF(B391="","",IFERROR(VLOOKUP(B391,Settings!$E$5:$G$28,3,FALSE),"Other"))</f>
        <v/>
      </c>
      <c r="I391" s="39">
        <f>IF($A391="","",IF(G391&lt;&gt;"",G391,IFERROR(VLOOKUP(C391,'Cost Library'!$A$5:$D$204,4,FALSE),0)))</f>
        <v/>
      </c>
      <c r="J391" s="9">
        <f>IF($A391="","",IF(F391&lt;&gt;"",F391,IFERROR(VLOOKUP(C391,'Cost Library'!$A$5:$D$204,3,FALSE),"")))</f>
        <v/>
      </c>
      <c r="K391" s="39">
        <f>IF($A391="","",E391*I391)</f>
        <v/>
      </c>
      <c r="L391" s="36" t="n"/>
      <c r="M391" s="39">
        <f>IF($A391="","",K391*(1+N391))</f>
        <v/>
      </c>
      <c r="N391" s="26">
        <f>IF($A391="","",IF(L391="",IFERROR(VLOOKUP(H391,Settings!$A$22:$B$27,2,FALSE),0),L391))</f>
        <v/>
      </c>
      <c r="O391" s="9">
        <f>IF(AND($A391&lt;&gt;"",$A391=Proposal!$I$2),COUNTIF($A$5:$A391,Proposal!$I$2),"")</f>
        <v/>
      </c>
      <c r="P391" s="9">
        <f>IF($A391="","",IF(COUNTIF(Jobs!$A$5:$A$44,$A391)=0,"Unknown Job ID",IF(B391="","Missing cost code",IF(COUNTIF(Settings!$E$5:$E$28,B391)=0,"Unknown cost code",IF(AND(G391="",C391=""),"No unit cost",IF(E391="","Missing qty",""))))))</f>
        <v/>
      </c>
      <c r="Q391" s="35" t="n"/>
    </row>
    <row r="392">
      <c r="A392" s="35" t="n"/>
      <c r="B392" s="35" t="n"/>
      <c r="C392" s="35" t="n"/>
      <c r="D392" s="35" t="n"/>
      <c r="E392" s="35" t="n"/>
      <c r="F392" s="35" t="n"/>
      <c r="G392" s="37" t="n"/>
      <c r="H392" s="9">
        <f>IF(B392="","",IFERROR(VLOOKUP(B392,Settings!$E$5:$G$28,3,FALSE),"Other"))</f>
        <v/>
      </c>
      <c r="I392" s="39">
        <f>IF($A392="","",IF(G392&lt;&gt;"",G392,IFERROR(VLOOKUP(C392,'Cost Library'!$A$5:$D$204,4,FALSE),0)))</f>
        <v/>
      </c>
      <c r="J392" s="9">
        <f>IF($A392="","",IF(F392&lt;&gt;"",F392,IFERROR(VLOOKUP(C392,'Cost Library'!$A$5:$D$204,3,FALSE),"")))</f>
        <v/>
      </c>
      <c r="K392" s="39">
        <f>IF($A392="","",E392*I392)</f>
        <v/>
      </c>
      <c r="L392" s="36" t="n"/>
      <c r="M392" s="39">
        <f>IF($A392="","",K392*(1+N392))</f>
        <v/>
      </c>
      <c r="N392" s="26">
        <f>IF($A392="","",IF(L392="",IFERROR(VLOOKUP(H392,Settings!$A$22:$B$27,2,FALSE),0),L392))</f>
        <v/>
      </c>
      <c r="O392" s="9">
        <f>IF(AND($A392&lt;&gt;"",$A392=Proposal!$I$2),COUNTIF($A$5:$A392,Proposal!$I$2),"")</f>
        <v/>
      </c>
      <c r="P392" s="9">
        <f>IF($A392="","",IF(COUNTIF(Jobs!$A$5:$A$44,$A392)=0,"Unknown Job ID",IF(B392="","Missing cost code",IF(COUNTIF(Settings!$E$5:$E$28,B392)=0,"Unknown cost code",IF(AND(G392="",C392=""),"No unit cost",IF(E392="","Missing qty",""))))))</f>
        <v/>
      </c>
      <c r="Q392" s="35" t="n"/>
    </row>
    <row r="393">
      <c r="A393" s="35" t="n"/>
      <c r="B393" s="35" t="n"/>
      <c r="C393" s="35" t="n"/>
      <c r="D393" s="35" t="n"/>
      <c r="E393" s="35" t="n"/>
      <c r="F393" s="35" t="n"/>
      <c r="G393" s="37" t="n"/>
      <c r="H393" s="9">
        <f>IF(B393="","",IFERROR(VLOOKUP(B393,Settings!$E$5:$G$28,3,FALSE),"Other"))</f>
        <v/>
      </c>
      <c r="I393" s="39">
        <f>IF($A393="","",IF(G393&lt;&gt;"",G393,IFERROR(VLOOKUP(C393,'Cost Library'!$A$5:$D$204,4,FALSE),0)))</f>
        <v/>
      </c>
      <c r="J393" s="9">
        <f>IF($A393="","",IF(F393&lt;&gt;"",F393,IFERROR(VLOOKUP(C393,'Cost Library'!$A$5:$D$204,3,FALSE),"")))</f>
        <v/>
      </c>
      <c r="K393" s="39">
        <f>IF($A393="","",E393*I393)</f>
        <v/>
      </c>
      <c r="L393" s="36" t="n"/>
      <c r="M393" s="39">
        <f>IF($A393="","",K393*(1+N393))</f>
        <v/>
      </c>
      <c r="N393" s="26">
        <f>IF($A393="","",IF(L393="",IFERROR(VLOOKUP(H393,Settings!$A$22:$B$27,2,FALSE),0),L393))</f>
        <v/>
      </c>
      <c r="O393" s="9">
        <f>IF(AND($A393&lt;&gt;"",$A393=Proposal!$I$2),COUNTIF($A$5:$A393,Proposal!$I$2),"")</f>
        <v/>
      </c>
      <c r="P393" s="9">
        <f>IF($A393="","",IF(COUNTIF(Jobs!$A$5:$A$44,$A393)=0,"Unknown Job ID",IF(B393="","Missing cost code",IF(COUNTIF(Settings!$E$5:$E$28,B393)=0,"Unknown cost code",IF(AND(G393="",C393=""),"No unit cost",IF(E393="","Missing qty",""))))))</f>
        <v/>
      </c>
      <c r="Q393" s="35" t="n"/>
    </row>
    <row r="394">
      <c r="A394" s="35" t="n"/>
      <c r="B394" s="35" t="n"/>
      <c r="C394" s="35" t="n"/>
      <c r="D394" s="35" t="n"/>
      <c r="E394" s="35" t="n"/>
      <c r="F394" s="35" t="n"/>
      <c r="G394" s="37" t="n"/>
      <c r="H394" s="9">
        <f>IF(B394="","",IFERROR(VLOOKUP(B394,Settings!$E$5:$G$28,3,FALSE),"Other"))</f>
        <v/>
      </c>
      <c r="I394" s="39">
        <f>IF($A394="","",IF(G394&lt;&gt;"",G394,IFERROR(VLOOKUP(C394,'Cost Library'!$A$5:$D$204,4,FALSE),0)))</f>
        <v/>
      </c>
      <c r="J394" s="9">
        <f>IF($A394="","",IF(F394&lt;&gt;"",F394,IFERROR(VLOOKUP(C394,'Cost Library'!$A$5:$D$204,3,FALSE),"")))</f>
        <v/>
      </c>
      <c r="K394" s="39">
        <f>IF($A394="","",E394*I394)</f>
        <v/>
      </c>
      <c r="L394" s="36" t="n"/>
      <c r="M394" s="39">
        <f>IF($A394="","",K394*(1+N394))</f>
        <v/>
      </c>
      <c r="N394" s="26">
        <f>IF($A394="","",IF(L394="",IFERROR(VLOOKUP(H394,Settings!$A$22:$B$27,2,FALSE),0),L394))</f>
        <v/>
      </c>
      <c r="O394" s="9">
        <f>IF(AND($A394&lt;&gt;"",$A394=Proposal!$I$2),COUNTIF($A$5:$A394,Proposal!$I$2),"")</f>
        <v/>
      </c>
      <c r="P394" s="9">
        <f>IF($A394="","",IF(COUNTIF(Jobs!$A$5:$A$44,$A394)=0,"Unknown Job ID",IF(B394="","Missing cost code",IF(COUNTIF(Settings!$E$5:$E$28,B394)=0,"Unknown cost code",IF(AND(G394="",C394=""),"No unit cost",IF(E394="","Missing qty",""))))))</f>
        <v/>
      </c>
      <c r="Q394" s="35" t="n"/>
    </row>
    <row r="395">
      <c r="A395" s="35" t="n"/>
      <c r="B395" s="35" t="n"/>
      <c r="C395" s="35" t="n"/>
      <c r="D395" s="35" t="n"/>
      <c r="E395" s="35" t="n"/>
      <c r="F395" s="35" t="n"/>
      <c r="G395" s="37" t="n"/>
      <c r="H395" s="9">
        <f>IF(B395="","",IFERROR(VLOOKUP(B395,Settings!$E$5:$G$28,3,FALSE),"Other"))</f>
        <v/>
      </c>
      <c r="I395" s="39">
        <f>IF($A395="","",IF(G395&lt;&gt;"",G395,IFERROR(VLOOKUP(C395,'Cost Library'!$A$5:$D$204,4,FALSE),0)))</f>
        <v/>
      </c>
      <c r="J395" s="9">
        <f>IF($A395="","",IF(F395&lt;&gt;"",F395,IFERROR(VLOOKUP(C395,'Cost Library'!$A$5:$D$204,3,FALSE),"")))</f>
        <v/>
      </c>
      <c r="K395" s="39">
        <f>IF($A395="","",E395*I395)</f>
        <v/>
      </c>
      <c r="L395" s="36" t="n"/>
      <c r="M395" s="39">
        <f>IF($A395="","",K395*(1+N395))</f>
        <v/>
      </c>
      <c r="N395" s="26">
        <f>IF($A395="","",IF(L395="",IFERROR(VLOOKUP(H395,Settings!$A$22:$B$27,2,FALSE),0),L395))</f>
        <v/>
      </c>
      <c r="O395" s="9">
        <f>IF(AND($A395&lt;&gt;"",$A395=Proposal!$I$2),COUNTIF($A$5:$A395,Proposal!$I$2),"")</f>
        <v/>
      </c>
      <c r="P395" s="9">
        <f>IF($A395="","",IF(COUNTIF(Jobs!$A$5:$A$44,$A395)=0,"Unknown Job ID",IF(B395="","Missing cost code",IF(COUNTIF(Settings!$E$5:$E$28,B395)=0,"Unknown cost code",IF(AND(G395="",C395=""),"No unit cost",IF(E395="","Missing qty",""))))))</f>
        <v/>
      </c>
      <c r="Q395" s="35" t="n"/>
    </row>
    <row r="396">
      <c r="A396" s="35" t="n"/>
      <c r="B396" s="35" t="n"/>
      <c r="C396" s="35" t="n"/>
      <c r="D396" s="35" t="n"/>
      <c r="E396" s="35" t="n"/>
      <c r="F396" s="35" t="n"/>
      <c r="G396" s="37" t="n"/>
      <c r="H396" s="9">
        <f>IF(B396="","",IFERROR(VLOOKUP(B396,Settings!$E$5:$G$28,3,FALSE),"Other"))</f>
        <v/>
      </c>
      <c r="I396" s="39">
        <f>IF($A396="","",IF(G396&lt;&gt;"",G396,IFERROR(VLOOKUP(C396,'Cost Library'!$A$5:$D$204,4,FALSE),0)))</f>
        <v/>
      </c>
      <c r="J396" s="9">
        <f>IF($A396="","",IF(F396&lt;&gt;"",F396,IFERROR(VLOOKUP(C396,'Cost Library'!$A$5:$D$204,3,FALSE),"")))</f>
        <v/>
      </c>
      <c r="K396" s="39">
        <f>IF($A396="","",E396*I396)</f>
        <v/>
      </c>
      <c r="L396" s="36" t="n"/>
      <c r="M396" s="39">
        <f>IF($A396="","",K396*(1+N396))</f>
        <v/>
      </c>
      <c r="N396" s="26">
        <f>IF($A396="","",IF(L396="",IFERROR(VLOOKUP(H396,Settings!$A$22:$B$27,2,FALSE),0),L396))</f>
        <v/>
      </c>
      <c r="O396" s="9">
        <f>IF(AND($A396&lt;&gt;"",$A396=Proposal!$I$2),COUNTIF($A$5:$A396,Proposal!$I$2),"")</f>
        <v/>
      </c>
      <c r="P396" s="9">
        <f>IF($A396="","",IF(COUNTIF(Jobs!$A$5:$A$44,$A396)=0,"Unknown Job ID",IF(B396="","Missing cost code",IF(COUNTIF(Settings!$E$5:$E$28,B396)=0,"Unknown cost code",IF(AND(G396="",C396=""),"No unit cost",IF(E396="","Missing qty",""))))))</f>
        <v/>
      </c>
      <c r="Q396" s="35" t="n"/>
    </row>
    <row r="397">
      <c r="A397" s="35" t="n"/>
      <c r="B397" s="35" t="n"/>
      <c r="C397" s="35" t="n"/>
      <c r="D397" s="35" t="n"/>
      <c r="E397" s="35" t="n"/>
      <c r="F397" s="35" t="n"/>
      <c r="G397" s="37" t="n"/>
      <c r="H397" s="9">
        <f>IF(B397="","",IFERROR(VLOOKUP(B397,Settings!$E$5:$G$28,3,FALSE),"Other"))</f>
        <v/>
      </c>
      <c r="I397" s="39">
        <f>IF($A397="","",IF(G397&lt;&gt;"",G397,IFERROR(VLOOKUP(C397,'Cost Library'!$A$5:$D$204,4,FALSE),0)))</f>
        <v/>
      </c>
      <c r="J397" s="9">
        <f>IF($A397="","",IF(F397&lt;&gt;"",F397,IFERROR(VLOOKUP(C397,'Cost Library'!$A$5:$D$204,3,FALSE),"")))</f>
        <v/>
      </c>
      <c r="K397" s="39">
        <f>IF($A397="","",E397*I397)</f>
        <v/>
      </c>
      <c r="L397" s="36" t="n"/>
      <c r="M397" s="39">
        <f>IF($A397="","",K397*(1+N397))</f>
        <v/>
      </c>
      <c r="N397" s="26">
        <f>IF($A397="","",IF(L397="",IFERROR(VLOOKUP(H397,Settings!$A$22:$B$27,2,FALSE),0),L397))</f>
        <v/>
      </c>
      <c r="O397" s="9">
        <f>IF(AND($A397&lt;&gt;"",$A397=Proposal!$I$2),COUNTIF($A$5:$A397,Proposal!$I$2),"")</f>
        <v/>
      </c>
      <c r="P397" s="9">
        <f>IF($A397="","",IF(COUNTIF(Jobs!$A$5:$A$44,$A397)=0,"Unknown Job ID",IF(B397="","Missing cost code",IF(COUNTIF(Settings!$E$5:$E$28,B397)=0,"Unknown cost code",IF(AND(G397="",C397=""),"No unit cost",IF(E397="","Missing qty",""))))))</f>
        <v/>
      </c>
      <c r="Q397" s="35" t="n"/>
    </row>
    <row r="398">
      <c r="A398" s="35" t="n"/>
      <c r="B398" s="35" t="n"/>
      <c r="C398" s="35" t="n"/>
      <c r="D398" s="35" t="n"/>
      <c r="E398" s="35" t="n"/>
      <c r="F398" s="35" t="n"/>
      <c r="G398" s="37" t="n"/>
      <c r="H398" s="9">
        <f>IF(B398="","",IFERROR(VLOOKUP(B398,Settings!$E$5:$G$28,3,FALSE),"Other"))</f>
        <v/>
      </c>
      <c r="I398" s="39">
        <f>IF($A398="","",IF(G398&lt;&gt;"",G398,IFERROR(VLOOKUP(C398,'Cost Library'!$A$5:$D$204,4,FALSE),0)))</f>
        <v/>
      </c>
      <c r="J398" s="9">
        <f>IF($A398="","",IF(F398&lt;&gt;"",F398,IFERROR(VLOOKUP(C398,'Cost Library'!$A$5:$D$204,3,FALSE),"")))</f>
        <v/>
      </c>
      <c r="K398" s="39">
        <f>IF($A398="","",E398*I398)</f>
        <v/>
      </c>
      <c r="L398" s="36" t="n"/>
      <c r="M398" s="39">
        <f>IF($A398="","",K398*(1+N398))</f>
        <v/>
      </c>
      <c r="N398" s="26">
        <f>IF($A398="","",IF(L398="",IFERROR(VLOOKUP(H398,Settings!$A$22:$B$27,2,FALSE),0),L398))</f>
        <v/>
      </c>
      <c r="O398" s="9">
        <f>IF(AND($A398&lt;&gt;"",$A398=Proposal!$I$2),COUNTIF($A$5:$A398,Proposal!$I$2),"")</f>
        <v/>
      </c>
      <c r="P398" s="9">
        <f>IF($A398="","",IF(COUNTIF(Jobs!$A$5:$A$44,$A398)=0,"Unknown Job ID",IF(B398="","Missing cost code",IF(COUNTIF(Settings!$E$5:$E$28,B398)=0,"Unknown cost code",IF(AND(G398="",C398=""),"No unit cost",IF(E398="","Missing qty",""))))))</f>
        <v/>
      </c>
      <c r="Q398" s="35" t="n"/>
    </row>
    <row r="399">
      <c r="A399" s="35" t="n"/>
      <c r="B399" s="35" t="n"/>
      <c r="C399" s="35" t="n"/>
      <c r="D399" s="35" t="n"/>
      <c r="E399" s="35" t="n"/>
      <c r="F399" s="35" t="n"/>
      <c r="G399" s="37" t="n"/>
      <c r="H399" s="9">
        <f>IF(B399="","",IFERROR(VLOOKUP(B399,Settings!$E$5:$G$28,3,FALSE),"Other"))</f>
        <v/>
      </c>
      <c r="I399" s="39">
        <f>IF($A399="","",IF(G399&lt;&gt;"",G399,IFERROR(VLOOKUP(C399,'Cost Library'!$A$5:$D$204,4,FALSE),0)))</f>
        <v/>
      </c>
      <c r="J399" s="9">
        <f>IF($A399="","",IF(F399&lt;&gt;"",F399,IFERROR(VLOOKUP(C399,'Cost Library'!$A$5:$D$204,3,FALSE),"")))</f>
        <v/>
      </c>
      <c r="K399" s="39">
        <f>IF($A399="","",E399*I399)</f>
        <v/>
      </c>
      <c r="L399" s="36" t="n"/>
      <c r="M399" s="39">
        <f>IF($A399="","",K399*(1+N399))</f>
        <v/>
      </c>
      <c r="N399" s="26">
        <f>IF($A399="","",IF(L399="",IFERROR(VLOOKUP(H399,Settings!$A$22:$B$27,2,FALSE),0),L399))</f>
        <v/>
      </c>
      <c r="O399" s="9">
        <f>IF(AND($A399&lt;&gt;"",$A399=Proposal!$I$2),COUNTIF($A$5:$A399,Proposal!$I$2),"")</f>
        <v/>
      </c>
      <c r="P399" s="9">
        <f>IF($A399="","",IF(COUNTIF(Jobs!$A$5:$A$44,$A399)=0,"Unknown Job ID",IF(B399="","Missing cost code",IF(COUNTIF(Settings!$E$5:$E$28,B399)=0,"Unknown cost code",IF(AND(G399="",C399=""),"No unit cost",IF(E399="","Missing qty",""))))))</f>
        <v/>
      </c>
      <c r="Q399" s="35" t="n"/>
    </row>
    <row r="400">
      <c r="A400" s="35" t="n"/>
      <c r="B400" s="35" t="n"/>
      <c r="C400" s="35" t="n"/>
      <c r="D400" s="35" t="n"/>
      <c r="E400" s="35" t="n"/>
      <c r="F400" s="35" t="n"/>
      <c r="G400" s="37" t="n"/>
      <c r="H400" s="9">
        <f>IF(B400="","",IFERROR(VLOOKUP(B400,Settings!$E$5:$G$28,3,FALSE),"Other"))</f>
        <v/>
      </c>
      <c r="I400" s="39">
        <f>IF($A400="","",IF(G400&lt;&gt;"",G400,IFERROR(VLOOKUP(C400,'Cost Library'!$A$5:$D$204,4,FALSE),0)))</f>
        <v/>
      </c>
      <c r="J400" s="9">
        <f>IF($A400="","",IF(F400&lt;&gt;"",F400,IFERROR(VLOOKUP(C400,'Cost Library'!$A$5:$D$204,3,FALSE),"")))</f>
        <v/>
      </c>
      <c r="K400" s="39">
        <f>IF($A400="","",E400*I400)</f>
        <v/>
      </c>
      <c r="L400" s="36" t="n"/>
      <c r="M400" s="39">
        <f>IF($A400="","",K400*(1+N400))</f>
        <v/>
      </c>
      <c r="N400" s="26">
        <f>IF($A400="","",IF(L400="",IFERROR(VLOOKUP(H400,Settings!$A$22:$B$27,2,FALSE),0),L400))</f>
        <v/>
      </c>
      <c r="O400" s="9">
        <f>IF(AND($A400&lt;&gt;"",$A400=Proposal!$I$2),COUNTIF($A$5:$A400,Proposal!$I$2),"")</f>
        <v/>
      </c>
      <c r="P400" s="9">
        <f>IF($A400="","",IF(COUNTIF(Jobs!$A$5:$A$44,$A400)=0,"Unknown Job ID",IF(B400="","Missing cost code",IF(COUNTIF(Settings!$E$5:$E$28,B400)=0,"Unknown cost code",IF(AND(G400="",C400=""),"No unit cost",IF(E400="","Missing qty",""))))))</f>
        <v/>
      </c>
      <c r="Q400" s="35" t="n"/>
    </row>
    <row r="401">
      <c r="A401" s="35" t="n"/>
      <c r="B401" s="35" t="n"/>
      <c r="C401" s="35" t="n"/>
      <c r="D401" s="35" t="n"/>
      <c r="E401" s="35" t="n"/>
      <c r="F401" s="35" t="n"/>
      <c r="G401" s="37" t="n"/>
      <c r="H401" s="9">
        <f>IF(B401="","",IFERROR(VLOOKUP(B401,Settings!$E$5:$G$28,3,FALSE),"Other"))</f>
        <v/>
      </c>
      <c r="I401" s="39">
        <f>IF($A401="","",IF(G401&lt;&gt;"",G401,IFERROR(VLOOKUP(C401,'Cost Library'!$A$5:$D$204,4,FALSE),0)))</f>
        <v/>
      </c>
      <c r="J401" s="9">
        <f>IF($A401="","",IF(F401&lt;&gt;"",F401,IFERROR(VLOOKUP(C401,'Cost Library'!$A$5:$D$204,3,FALSE),"")))</f>
        <v/>
      </c>
      <c r="K401" s="39">
        <f>IF($A401="","",E401*I401)</f>
        <v/>
      </c>
      <c r="L401" s="36" t="n"/>
      <c r="M401" s="39">
        <f>IF($A401="","",K401*(1+N401))</f>
        <v/>
      </c>
      <c r="N401" s="26">
        <f>IF($A401="","",IF(L401="",IFERROR(VLOOKUP(H401,Settings!$A$22:$B$27,2,FALSE),0),L401))</f>
        <v/>
      </c>
      <c r="O401" s="9">
        <f>IF(AND($A401&lt;&gt;"",$A401=Proposal!$I$2),COUNTIF($A$5:$A401,Proposal!$I$2),"")</f>
        <v/>
      </c>
      <c r="P401" s="9">
        <f>IF($A401="","",IF(COUNTIF(Jobs!$A$5:$A$44,$A401)=0,"Unknown Job ID",IF(B401="","Missing cost code",IF(COUNTIF(Settings!$E$5:$E$28,B401)=0,"Unknown cost code",IF(AND(G401="",C401=""),"No unit cost",IF(E401="","Missing qty",""))))))</f>
        <v/>
      </c>
      <c r="Q401" s="35" t="n"/>
    </row>
    <row r="402">
      <c r="A402" s="35" t="n"/>
      <c r="B402" s="35" t="n"/>
      <c r="C402" s="35" t="n"/>
      <c r="D402" s="35" t="n"/>
      <c r="E402" s="35" t="n"/>
      <c r="F402" s="35" t="n"/>
      <c r="G402" s="37" t="n"/>
      <c r="H402" s="9">
        <f>IF(B402="","",IFERROR(VLOOKUP(B402,Settings!$E$5:$G$28,3,FALSE),"Other"))</f>
        <v/>
      </c>
      <c r="I402" s="39">
        <f>IF($A402="","",IF(G402&lt;&gt;"",G402,IFERROR(VLOOKUP(C402,'Cost Library'!$A$5:$D$204,4,FALSE),0)))</f>
        <v/>
      </c>
      <c r="J402" s="9">
        <f>IF($A402="","",IF(F402&lt;&gt;"",F402,IFERROR(VLOOKUP(C402,'Cost Library'!$A$5:$D$204,3,FALSE),"")))</f>
        <v/>
      </c>
      <c r="K402" s="39">
        <f>IF($A402="","",E402*I402)</f>
        <v/>
      </c>
      <c r="L402" s="36" t="n"/>
      <c r="M402" s="39">
        <f>IF($A402="","",K402*(1+N402))</f>
        <v/>
      </c>
      <c r="N402" s="26">
        <f>IF($A402="","",IF(L402="",IFERROR(VLOOKUP(H402,Settings!$A$22:$B$27,2,FALSE),0),L402))</f>
        <v/>
      </c>
      <c r="O402" s="9">
        <f>IF(AND($A402&lt;&gt;"",$A402=Proposal!$I$2),COUNTIF($A$5:$A402,Proposal!$I$2),"")</f>
        <v/>
      </c>
      <c r="P402" s="9">
        <f>IF($A402="","",IF(COUNTIF(Jobs!$A$5:$A$44,$A402)=0,"Unknown Job ID",IF(B402="","Missing cost code",IF(COUNTIF(Settings!$E$5:$E$28,B402)=0,"Unknown cost code",IF(AND(G402="",C402=""),"No unit cost",IF(E402="","Missing qty",""))))))</f>
        <v/>
      </c>
      <c r="Q402" s="35" t="n"/>
    </row>
    <row r="403">
      <c r="A403" s="35" t="n"/>
      <c r="B403" s="35" t="n"/>
      <c r="C403" s="35" t="n"/>
      <c r="D403" s="35" t="n"/>
      <c r="E403" s="35" t="n"/>
      <c r="F403" s="35" t="n"/>
      <c r="G403" s="37" t="n"/>
      <c r="H403" s="9">
        <f>IF(B403="","",IFERROR(VLOOKUP(B403,Settings!$E$5:$G$28,3,FALSE),"Other"))</f>
        <v/>
      </c>
      <c r="I403" s="39">
        <f>IF($A403="","",IF(G403&lt;&gt;"",G403,IFERROR(VLOOKUP(C403,'Cost Library'!$A$5:$D$204,4,FALSE),0)))</f>
        <v/>
      </c>
      <c r="J403" s="9">
        <f>IF($A403="","",IF(F403&lt;&gt;"",F403,IFERROR(VLOOKUP(C403,'Cost Library'!$A$5:$D$204,3,FALSE),"")))</f>
        <v/>
      </c>
      <c r="K403" s="39">
        <f>IF($A403="","",E403*I403)</f>
        <v/>
      </c>
      <c r="L403" s="36" t="n"/>
      <c r="M403" s="39">
        <f>IF($A403="","",K403*(1+N403))</f>
        <v/>
      </c>
      <c r="N403" s="26">
        <f>IF($A403="","",IF(L403="",IFERROR(VLOOKUP(H403,Settings!$A$22:$B$27,2,FALSE),0),L403))</f>
        <v/>
      </c>
      <c r="O403" s="9">
        <f>IF(AND($A403&lt;&gt;"",$A403=Proposal!$I$2),COUNTIF($A$5:$A403,Proposal!$I$2),"")</f>
        <v/>
      </c>
      <c r="P403" s="9">
        <f>IF($A403="","",IF(COUNTIF(Jobs!$A$5:$A$44,$A403)=0,"Unknown Job ID",IF(B403="","Missing cost code",IF(COUNTIF(Settings!$E$5:$E$28,B403)=0,"Unknown cost code",IF(AND(G403="",C403=""),"No unit cost",IF(E403="","Missing qty",""))))))</f>
        <v/>
      </c>
      <c r="Q403" s="35" t="n"/>
    </row>
    <row r="404">
      <c r="A404" s="35" t="n"/>
      <c r="B404" s="35" t="n"/>
      <c r="C404" s="35" t="n"/>
      <c r="D404" s="35" t="n"/>
      <c r="E404" s="35" t="n"/>
      <c r="F404" s="35" t="n"/>
      <c r="G404" s="37" t="n"/>
      <c r="H404" s="9">
        <f>IF(B404="","",IFERROR(VLOOKUP(B404,Settings!$E$5:$G$28,3,FALSE),"Other"))</f>
        <v/>
      </c>
      <c r="I404" s="39">
        <f>IF($A404="","",IF(G404&lt;&gt;"",G404,IFERROR(VLOOKUP(C404,'Cost Library'!$A$5:$D$204,4,FALSE),0)))</f>
        <v/>
      </c>
      <c r="J404" s="9">
        <f>IF($A404="","",IF(F404&lt;&gt;"",F404,IFERROR(VLOOKUP(C404,'Cost Library'!$A$5:$D$204,3,FALSE),"")))</f>
        <v/>
      </c>
      <c r="K404" s="39">
        <f>IF($A404="","",E404*I404)</f>
        <v/>
      </c>
      <c r="L404" s="36" t="n"/>
      <c r="M404" s="39">
        <f>IF($A404="","",K404*(1+N404))</f>
        <v/>
      </c>
      <c r="N404" s="26">
        <f>IF($A404="","",IF(L404="",IFERROR(VLOOKUP(H404,Settings!$A$22:$B$27,2,FALSE),0),L404))</f>
        <v/>
      </c>
      <c r="O404" s="9">
        <f>IF(AND($A404&lt;&gt;"",$A404=Proposal!$I$2),COUNTIF($A$5:$A404,Proposal!$I$2),"")</f>
        <v/>
      </c>
      <c r="P404" s="9">
        <f>IF($A404="","",IF(COUNTIF(Jobs!$A$5:$A$44,$A404)=0,"Unknown Job ID",IF(B404="","Missing cost code",IF(COUNTIF(Settings!$E$5:$E$28,B404)=0,"Unknown cost code",IF(AND(G404="",C404=""),"No unit cost",IF(E404="","Missing qty",""))))))</f>
        <v/>
      </c>
      <c r="Q404" s="35" t="n"/>
    </row>
    <row r="405">
      <c r="A405" s="31" t="n"/>
      <c r="B405" s="31" t="n"/>
      <c r="C405" s="31" t="n"/>
      <c r="D405" s="31" t="inlineStr">
        <is>
          <t>TOTAL (all jobs)</t>
        </is>
      </c>
      <c r="E405" s="31" t="n"/>
      <c r="F405" s="31" t="n"/>
      <c r="G405" s="31" t="n"/>
      <c r="H405" s="31" t="n"/>
      <c r="I405" s="31" t="n"/>
      <c r="J405" s="31" t="n"/>
      <c r="K405" s="41">
        <f>SUM(K5:K404)</f>
        <v/>
      </c>
      <c r="L405" s="31" t="n"/>
      <c r="M405" s="41">
        <f>SUM(M5:M404)</f>
        <v/>
      </c>
      <c r="N405" s="31" t="n"/>
      <c r="O405" s="31" t="n"/>
      <c r="P405" s="31" t="n"/>
      <c r="Q405" s="31" t="n"/>
    </row>
  </sheetData>
  <conditionalFormatting sqref="P5:P404">
    <cfRule type="expression" priority="1" dxfId="1">
      <formula>P5&lt;&gt;""</formula>
    </cfRule>
  </conditionalFormatting>
  <dataValidations count="4">
    <dataValidation sqref="A5:A404" showDropDown="0" showInputMessage="1" showErrorMessage="0" allowBlank="1" promptTitle="Pick from the list" prompt="Job IDs come from the Jobs sheet." type="list">
      <formula1>=Jobs!$A$5:$A$44</formula1>
    </dataValidation>
    <dataValidation sqref="B5:B404" showDropDown="0" showInputMessage="1" showErrorMessage="0" allowBlank="1" promptTitle="Pick from the list" prompt="Cost code sets the category and default markup." type="list">
      <formula1>=Settings!$E$5:$E$28</formula1>
    </dataValidation>
    <dataValidation sqref="C5:C404" showDropDown="0" showInputMessage="1" showErrorMessage="0" allowBlank="1" promptTitle="Pick from the list" prompt="Optional. Fills unit and unit cost from the Cost Library unless you type your own." type="list">
      <formula1>='Cost Library'!$A$5:$A$204</formula1>
    </dataValidation>
    <dataValidation sqref="F5:F404" showDropDown="0" showInputMessage="0" showErrorMessage="0" allowBlank="1" type="list">
      <formula1>=Settings!$J$5:$J$14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9.xml><?xml version="1.0" encoding="utf-8"?>
<worksheet xmlns="http://schemas.openxmlformats.org/spreadsheetml/2006/main">
  <sheetPr>
    <tabColor rgb="003A9D5D"/>
    <outlinePr summaryBelow="1" summaryRight="1"/>
    <pageSetUpPr fitToPage="1"/>
  </sheetPr>
  <dimension ref="A1:J79"/>
  <sheetViews>
    <sheetView showGridLines="0" tabSelected="0" workbookViewId="0">
      <selection activeCell="I2" sqref="I2"/>
    </sheetView>
  </sheetViews>
  <sheetFormatPr baseColWidth="8" defaultRowHeight="15"/>
  <cols>
    <col width="9" customWidth="1" min="1" max="1"/>
    <col width="44" customWidth="1" min="2" max="2"/>
    <col width="10" customWidth="1" min="3" max="3"/>
    <col width="10" customWidth="1" min="4" max="4"/>
    <col width="16" customWidth="1" min="5" max="5"/>
    <col width="14" customWidth="1" min="6" max="6"/>
    <col width="4" customWidth="1" min="7" max="7"/>
    <col width="22" customWidth="1" min="8" max="8"/>
    <col width="16" customWidth="1" min="9" max="9"/>
    <col width="16" customWidth="1" min="10" max="10"/>
  </cols>
  <sheetData>
    <row r="1">
      <c r="A1" s="43" t="inlineStr">
        <is>
          <t>PROPOSAL</t>
        </is>
      </c>
    </row>
    <row r="2">
      <c r="H2" s="44" t="inlineStr">
        <is>
          <t>Job ID</t>
        </is>
      </c>
      <c r="I2" s="35" t="n"/>
    </row>
    <row r="3">
      <c r="H3" s="14" t="inlineStr">
        <is>
          <t>← pick a job; the proposal at left fills in. Columns H–J never print.</t>
        </is>
      </c>
    </row>
    <row r="4">
      <c r="B4" s="45" t="inlineStr">
        <is>
          <t>FROM</t>
        </is>
      </c>
      <c r="E4" s="45" t="inlineStr">
        <is>
          <t>PREPARED FOR</t>
        </is>
      </c>
      <c r="H4" s="46" t="inlineStr">
        <is>
          <t>INTERNAL — not printed</t>
        </is>
      </c>
    </row>
    <row r="5">
      <c r="B5" s="44">
        <f>Settings!$B$5&amp;""</f>
        <v/>
      </c>
      <c r="E5" s="44">
        <f>IFERROR(INDEX(Jobs!$B$5:$B$44,MATCH($I$2,Jobs!$A$5:$A$44,0)),"")</f>
        <v/>
      </c>
    </row>
    <row r="6">
      <c r="B6">
        <f>Settings!$B$6&amp;""</f>
        <v/>
      </c>
      <c r="E6">
        <f>IFERROR(INDEX(Clients!$B$5:$B$104,MATCH(IFERROR(INDEX(Jobs!$B$5:$B$44,MATCH($I$2,Jobs!$A$5:$A$44,0)),""),Clients!$A$5:$A$104,0)),"")&amp;IF(IFERROR(INDEX(Clients!$C$5:$C$104,MATCH(IFERROR(INDEX(Jobs!$B$5:$B$44,MATCH($I$2,Jobs!$A$5:$A$44,0)),""),Clients!$A$5:$A$104,0)),"")="","","  ·  "&amp;IFERROR(INDEX(Clients!$C$5:$C$104,MATCH(IFERROR(INDEX(Jobs!$B$5:$B$44,MATCH($I$2,Jobs!$A$5:$A$44,0)),""),Clients!$A$5:$A$104,0)),""))</f>
        <v/>
      </c>
    </row>
    <row r="7">
      <c r="B7">
        <f>Settings!$B$7&amp;""</f>
        <v/>
      </c>
      <c r="E7">
        <f>IFERROR(INDEX(Clients!$E$5:$E$104,MATCH(IFERROR(INDEX(Jobs!$B$5:$B$44,MATCH($I$2,Jobs!$A$5:$A$44,0)),""),Clients!$A$5:$A$104,0)),"")</f>
        <v/>
      </c>
    </row>
    <row r="8">
      <c r="B8">
        <f>IF(Settings!$B$8="","","License # "&amp;Settings!$B$8)</f>
        <v/>
      </c>
      <c r="E8">
        <f>IFERROR(INDEX(Clients!$D$5:$D$104,MATCH(IFERROR(INDEX(Jobs!$B$5:$B$44,MATCH($I$2,Jobs!$A$5:$A$44,0)),""),Clients!$A$5:$A$104,0)),"")</f>
        <v/>
      </c>
    </row>
    <row r="9">
      <c r="E9" s="44" t="inlineStr">
        <is>
          <t>Proposal #</t>
        </is>
      </c>
      <c r="F9">
        <f>IF($I$2="","","P-"&amp;$I$2)</f>
        <v/>
      </c>
    </row>
    <row r="10">
      <c r="B10" s="44" t="inlineStr">
        <is>
          <t>Project</t>
        </is>
      </c>
      <c r="E10" s="44" t="inlineStr">
        <is>
          <t>Proposal date</t>
        </is>
      </c>
      <c r="F10" s="47">
        <f>TODAY()</f>
        <v/>
      </c>
    </row>
    <row r="11">
      <c r="B11">
        <f>IFERROR(INDEX(Jobs!$C$5:$C$44,MATCH($I$2,Jobs!$A$5:$A$44,0)),"")</f>
        <v/>
      </c>
      <c r="E11" s="44" t="inlineStr">
        <is>
          <t>Valid until</t>
        </is>
      </c>
      <c r="F11" s="47">
        <f>TODAY()+Settings!$B$16</f>
        <v/>
      </c>
    </row>
    <row r="13" ht="30" customHeight="1">
      <c r="B13" s="24" t="inlineStr">
        <is>
          <t>Scope summary</t>
        </is>
      </c>
      <c r="C13" s="48" t="n"/>
      <c r="D13" s="49" t="n"/>
      <c r="E13" s="24" t="inlineStr">
        <is>
          <t>Price</t>
        </is>
      </c>
      <c r="F13" s="24" t="inlineStr">
        <is>
          <t>% of total</t>
        </is>
      </c>
      <c r="H13" s="24" t="inlineStr">
        <is>
          <t>Category</t>
        </is>
      </c>
      <c r="I13" s="24" t="inlineStr">
        <is>
          <t>Est. Cost</t>
        </is>
      </c>
      <c r="J13" s="24" t="inlineStr">
        <is>
          <t>Markup $</t>
        </is>
      </c>
    </row>
    <row r="14">
      <c r="B14" s="9" t="inlineStr">
        <is>
          <t>Labor</t>
        </is>
      </c>
      <c r="C14" s="48" t="n"/>
      <c r="D14" s="49" t="n"/>
      <c r="E14" s="39">
        <f>SUMIFS(Estimate!$M$5:$M$404,Estimate!$A$5:$A$404,$I$2,Estimate!$H$5:$H$404,B14)</f>
        <v/>
      </c>
      <c r="F14" s="26">
        <f>IF($E$20=0,0,E14/$E$20)</f>
        <v/>
      </c>
      <c r="H14" s="9" t="inlineStr">
        <is>
          <t>Labor</t>
        </is>
      </c>
      <c r="I14" s="39">
        <f>SUMIFS(Estimate!$K$5:$K$404,Estimate!$A$5:$A$404,$I$2,Estimate!$H$5:$H$404,B14)</f>
        <v/>
      </c>
      <c r="J14" s="39">
        <f>E14-I14</f>
        <v/>
      </c>
    </row>
    <row r="15">
      <c r="B15" s="9" t="inlineStr">
        <is>
          <t>Material</t>
        </is>
      </c>
      <c r="C15" s="48" t="n"/>
      <c r="D15" s="49" t="n"/>
      <c r="E15" s="39">
        <f>SUMIFS(Estimate!$M$5:$M$404,Estimate!$A$5:$A$404,$I$2,Estimate!$H$5:$H$404,B15)</f>
        <v/>
      </c>
      <c r="F15" s="26">
        <f>IF($E$20=0,0,E15/$E$20)</f>
        <v/>
      </c>
      <c r="H15" s="9" t="inlineStr">
        <is>
          <t>Material</t>
        </is>
      </c>
      <c r="I15" s="39">
        <f>SUMIFS(Estimate!$K$5:$K$404,Estimate!$A$5:$A$404,$I$2,Estimate!$H$5:$H$404,B15)</f>
        <v/>
      </c>
      <c r="J15" s="39">
        <f>E15-I15</f>
        <v/>
      </c>
    </row>
    <row r="16">
      <c r="B16" s="9" t="inlineStr">
        <is>
          <t>Subcontractor</t>
        </is>
      </c>
      <c r="C16" s="48" t="n"/>
      <c r="D16" s="49" t="n"/>
      <c r="E16" s="39">
        <f>SUMIFS(Estimate!$M$5:$M$404,Estimate!$A$5:$A$404,$I$2,Estimate!$H$5:$H$404,B16)</f>
        <v/>
      </c>
      <c r="F16" s="26">
        <f>IF($E$20=0,0,E16/$E$20)</f>
        <v/>
      </c>
      <c r="H16" s="9" t="inlineStr">
        <is>
          <t>Subcontractor</t>
        </is>
      </c>
      <c r="I16" s="39">
        <f>SUMIFS(Estimate!$K$5:$K$404,Estimate!$A$5:$A$404,$I$2,Estimate!$H$5:$H$404,B16)</f>
        <v/>
      </c>
      <c r="J16" s="39">
        <f>E16-I16</f>
        <v/>
      </c>
    </row>
    <row r="17">
      <c r="B17" s="9" t="inlineStr">
        <is>
          <t>Equipment</t>
        </is>
      </c>
      <c r="C17" s="48" t="n"/>
      <c r="D17" s="49" t="n"/>
      <c r="E17" s="39">
        <f>SUMIFS(Estimate!$M$5:$M$404,Estimate!$A$5:$A$404,$I$2,Estimate!$H$5:$H$404,B17)</f>
        <v/>
      </c>
      <c r="F17" s="26">
        <f>IF($E$20=0,0,E17/$E$20)</f>
        <v/>
      </c>
      <c r="H17" s="9" t="inlineStr">
        <is>
          <t>Equipment</t>
        </is>
      </c>
      <c r="I17" s="39">
        <f>SUMIFS(Estimate!$K$5:$K$404,Estimate!$A$5:$A$404,$I$2,Estimate!$H$5:$H$404,B17)</f>
        <v/>
      </c>
      <c r="J17" s="39">
        <f>E17-I17</f>
        <v/>
      </c>
    </row>
    <row r="18">
      <c r="B18" s="9" t="inlineStr">
        <is>
          <t>Permit/Fee</t>
        </is>
      </c>
      <c r="C18" s="48" t="n"/>
      <c r="D18" s="49" t="n"/>
      <c r="E18" s="39">
        <f>SUMIFS(Estimate!$M$5:$M$404,Estimate!$A$5:$A$404,$I$2,Estimate!$H$5:$H$404,B18)</f>
        <v/>
      </c>
      <c r="F18" s="26">
        <f>IF($E$20=0,0,E18/$E$20)</f>
        <v/>
      </c>
      <c r="H18" s="9" t="inlineStr">
        <is>
          <t>Permit/Fee</t>
        </is>
      </c>
      <c r="I18" s="39">
        <f>SUMIFS(Estimate!$K$5:$K$404,Estimate!$A$5:$A$404,$I$2,Estimate!$H$5:$H$404,B18)</f>
        <v/>
      </c>
      <c r="J18" s="39">
        <f>E18-I18</f>
        <v/>
      </c>
    </row>
    <row r="19">
      <c r="B19" s="9" t="inlineStr">
        <is>
          <t>Other</t>
        </is>
      </c>
      <c r="C19" s="48" t="n"/>
      <c r="D19" s="49" t="n"/>
      <c r="E19" s="39">
        <f>SUMIFS(Estimate!$M$5:$M$404,Estimate!$A$5:$A$404,$I$2,Estimate!$H$5:$H$404,B19)</f>
        <v/>
      </c>
      <c r="F19" s="26">
        <f>IF($E$20=0,0,E19/$E$20)</f>
        <v/>
      </c>
      <c r="H19" s="9" t="inlineStr">
        <is>
          <t>Other</t>
        </is>
      </c>
      <c r="I19" s="39">
        <f>SUMIFS(Estimate!$K$5:$K$404,Estimate!$A$5:$A$404,$I$2,Estimate!$H$5:$H$404,B19)</f>
        <v/>
      </c>
      <c r="J19" s="39">
        <f>E19-I19</f>
        <v/>
      </c>
    </row>
    <row r="20">
      <c r="B20" s="31" t="inlineStr">
        <is>
          <t>Subtotal</t>
        </is>
      </c>
      <c r="C20" s="31" t="n"/>
      <c r="D20" s="31" t="n"/>
      <c r="E20" s="41">
        <f>SUM(E14:E19)</f>
        <v/>
      </c>
      <c r="F20" s="42" t="n"/>
      <c r="H20" s="44" t="inlineStr">
        <is>
          <t>Total cost</t>
        </is>
      </c>
      <c r="I20" s="50">
        <f>SUM(I14:I19)</f>
        <v/>
      </c>
    </row>
    <row r="21">
      <c r="B21" s="9" t="inlineStr">
        <is>
          <t>Contingency</t>
        </is>
      </c>
      <c r="C21" s="9" t="n"/>
      <c r="D21" s="9" t="n"/>
      <c r="E21" s="39">
        <f>E20*F21</f>
        <v/>
      </c>
      <c r="F21" s="26">
        <f>Settings!$B$9</f>
        <v/>
      </c>
      <c r="H21" s="44" t="inlineStr">
        <is>
          <t>Gross margin on subtotal</t>
        </is>
      </c>
      <c r="I21" s="51">
        <f>IF(E20=0,0,(E20-I20)/E20)</f>
        <v/>
      </c>
    </row>
    <row r="22">
      <c r="B22" s="9">
        <f>IF(Settings!$B$19="All lines","Sales tax","Sales tax on materials")</f>
        <v/>
      </c>
      <c r="C22" s="9" t="n"/>
      <c r="D22" s="9" t="n"/>
      <c r="E22" s="39">
        <f>IF(Settings!$B$19="All lines",E20*F22,E15*F22)</f>
        <v/>
      </c>
      <c r="F22" s="26">
        <f>Settings!$B$10</f>
        <v/>
      </c>
      <c r="H22" s="44" t="inlineStr">
        <is>
          <t>Gross margin on total</t>
        </is>
      </c>
      <c r="I22" s="51">
        <f>IF(E23=0,0,(E23-I20)/E23)</f>
        <v/>
      </c>
    </row>
    <row r="23">
      <c r="B23" s="31" t="inlineStr">
        <is>
          <t>PROPOSAL TOTAL</t>
        </is>
      </c>
      <c r="C23" s="31" t="n"/>
      <c r="D23" s="31" t="n"/>
      <c r="E23" s="41">
        <f>E20+E21+E22</f>
        <v/>
      </c>
      <c r="F23" s="42" t="n"/>
      <c r="H23" s="44" t="inlineStr">
        <is>
          <t>Estimate lines for this job</t>
        </is>
      </c>
      <c r="I23">
        <f>COUNTIF(Estimate!$A$5:$A$404,$I$2)</f>
        <v/>
      </c>
    </row>
    <row r="25">
      <c r="B25" s="45" t="inlineStr">
        <is>
          <t>Payment schedule</t>
        </is>
      </c>
    </row>
    <row r="26">
      <c r="B26" s="9" t="inlineStr">
        <is>
          <t>Deposit at signing</t>
        </is>
      </c>
      <c r="C26" s="9" t="n"/>
      <c r="D26" s="9" t="n"/>
      <c r="E26" s="39">
        <f>E23*F26</f>
        <v/>
      </c>
      <c r="F26" s="26">
        <f>Settings!$B$11</f>
        <v/>
      </c>
    </row>
    <row r="27">
      <c r="B27" s="9" t="inlineStr">
        <is>
          <t>Progress payment (mid-job)</t>
        </is>
      </c>
      <c r="C27" s="9" t="n"/>
      <c r="D27" s="9" t="n"/>
      <c r="E27" s="39">
        <f>E23*F27</f>
        <v/>
      </c>
      <c r="F27" s="26">
        <f>Settings!$B$12</f>
        <v/>
      </c>
    </row>
    <row r="28">
      <c r="B28" s="9" t="inlineStr">
        <is>
          <t>Final payment on completion</t>
        </is>
      </c>
      <c r="C28" s="9" t="n"/>
      <c r="D28" s="9" t="n"/>
      <c r="E28" s="39">
        <f>E23-E26-E27</f>
        <v/>
      </c>
      <c r="F28" s="26">
        <f>1-F26-F27</f>
        <v/>
      </c>
    </row>
    <row r="30" ht="30" customHeight="1">
      <c r="A30" s="24" t="inlineStr">
        <is>
          <t>#</t>
        </is>
      </c>
      <c r="B30" s="24" t="inlineStr">
        <is>
          <t>Detail</t>
        </is>
      </c>
      <c r="C30" s="49" t="n"/>
      <c r="D30" s="24" t="inlineStr">
        <is>
          <t>Qty</t>
        </is>
      </c>
      <c r="E30" s="24" t="inlineStr">
        <is>
          <t>Unit</t>
        </is>
      </c>
      <c r="F30" s="24" t="inlineStr">
        <is>
          <t>Line price</t>
        </is>
      </c>
    </row>
    <row r="31">
      <c r="A31" s="9">
        <f>IF(ISNUMBER(MATCH(1,Estimate!$O$5:$O$404,0)),1,"")</f>
        <v/>
      </c>
      <c r="B31" s="9">
        <f>IFERROR(IF(INDEX(Estimate!$D$5:$D$404,MATCH(1,Estimate!$O$5:$O$404,0))="",INDEX(Estimate!$C$5:$C$404,MATCH(1,Estimate!$O$5:$O$404,0)),INDEX(Estimate!$D$5:$D$404,MATCH(1,Estimate!$O$5:$O$404,0))),"")</f>
        <v/>
      </c>
      <c r="C31" s="49" t="n"/>
      <c r="D31" s="9">
        <f>IFERROR(INDEX(Estimate!$E$5:$E$404,MATCH(1,Estimate!$O$5:$O$404,0)),"")</f>
        <v/>
      </c>
      <c r="E31" s="9">
        <f>IFERROR(INDEX(Estimate!$J$5:$J$404,MATCH(1,Estimate!$O$5:$O$404,0)),"")</f>
        <v/>
      </c>
      <c r="F31" s="39">
        <f>IFERROR(INDEX(Estimate!$M$5:$M$404,MATCH(1,Estimate!$O$5:$O$404,0)),"")</f>
        <v/>
      </c>
    </row>
    <row r="32">
      <c r="A32" s="9">
        <f>IF(ISNUMBER(MATCH(2,Estimate!$O$5:$O$404,0)),2,"")</f>
        <v/>
      </c>
      <c r="B32" s="9">
        <f>IFERROR(IF(INDEX(Estimate!$D$5:$D$404,MATCH(2,Estimate!$O$5:$O$404,0))="",INDEX(Estimate!$C$5:$C$404,MATCH(2,Estimate!$O$5:$O$404,0)),INDEX(Estimate!$D$5:$D$404,MATCH(2,Estimate!$O$5:$O$404,0))),"")</f>
        <v/>
      </c>
      <c r="C32" s="49" t="n"/>
      <c r="D32" s="9">
        <f>IFERROR(INDEX(Estimate!$E$5:$E$404,MATCH(2,Estimate!$O$5:$O$404,0)),"")</f>
        <v/>
      </c>
      <c r="E32" s="9">
        <f>IFERROR(INDEX(Estimate!$J$5:$J$404,MATCH(2,Estimate!$O$5:$O$404,0)),"")</f>
        <v/>
      </c>
      <c r="F32" s="39">
        <f>IFERROR(INDEX(Estimate!$M$5:$M$404,MATCH(2,Estimate!$O$5:$O$404,0)),"")</f>
        <v/>
      </c>
    </row>
    <row r="33">
      <c r="A33" s="9">
        <f>IF(ISNUMBER(MATCH(3,Estimate!$O$5:$O$404,0)),3,"")</f>
        <v/>
      </c>
      <c r="B33" s="9">
        <f>IFERROR(IF(INDEX(Estimate!$D$5:$D$404,MATCH(3,Estimate!$O$5:$O$404,0))="",INDEX(Estimate!$C$5:$C$404,MATCH(3,Estimate!$O$5:$O$404,0)),INDEX(Estimate!$D$5:$D$404,MATCH(3,Estimate!$O$5:$O$404,0))),"")</f>
        <v/>
      </c>
      <c r="C33" s="49" t="n"/>
      <c r="D33" s="9">
        <f>IFERROR(INDEX(Estimate!$E$5:$E$404,MATCH(3,Estimate!$O$5:$O$404,0)),"")</f>
        <v/>
      </c>
      <c r="E33" s="9">
        <f>IFERROR(INDEX(Estimate!$J$5:$J$404,MATCH(3,Estimate!$O$5:$O$404,0)),"")</f>
        <v/>
      </c>
      <c r="F33" s="39">
        <f>IFERROR(INDEX(Estimate!$M$5:$M$404,MATCH(3,Estimate!$O$5:$O$404,0)),"")</f>
        <v/>
      </c>
    </row>
    <row r="34">
      <c r="A34" s="9">
        <f>IF(ISNUMBER(MATCH(4,Estimate!$O$5:$O$404,0)),4,"")</f>
        <v/>
      </c>
      <c r="B34" s="9">
        <f>IFERROR(IF(INDEX(Estimate!$D$5:$D$404,MATCH(4,Estimate!$O$5:$O$404,0))="",INDEX(Estimate!$C$5:$C$404,MATCH(4,Estimate!$O$5:$O$404,0)),INDEX(Estimate!$D$5:$D$404,MATCH(4,Estimate!$O$5:$O$404,0))),"")</f>
        <v/>
      </c>
      <c r="C34" s="49" t="n"/>
      <c r="D34" s="9">
        <f>IFERROR(INDEX(Estimate!$E$5:$E$404,MATCH(4,Estimate!$O$5:$O$404,0)),"")</f>
        <v/>
      </c>
      <c r="E34" s="9">
        <f>IFERROR(INDEX(Estimate!$J$5:$J$404,MATCH(4,Estimate!$O$5:$O$404,0)),"")</f>
        <v/>
      </c>
      <c r="F34" s="39">
        <f>IFERROR(INDEX(Estimate!$M$5:$M$404,MATCH(4,Estimate!$O$5:$O$404,0)),"")</f>
        <v/>
      </c>
    </row>
    <row r="35">
      <c r="A35" s="9">
        <f>IF(ISNUMBER(MATCH(5,Estimate!$O$5:$O$404,0)),5,"")</f>
        <v/>
      </c>
      <c r="B35" s="9">
        <f>IFERROR(IF(INDEX(Estimate!$D$5:$D$404,MATCH(5,Estimate!$O$5:$O$404,0))="",INDEX(Estimate!$C$5:$C$404,MATCH(5,Estimate!$O$5:$O$404,0)),INDEX(Estimate!$D$5:$D$404,MATCH(5,Estimate!$O$5:$O$404,0))),"")</f>
        <v/>
      </c>
      <c r="C35" s="49" t="n"/>
      <c r="D35" s="9">
        <f>IFERROR(INDEX(Estimate!$E$5:$E$404,MATCH(5,Estimate!$O$5:$O$404,0)),"")</f>
        <v/>
      </c>
      <c r="E35" s="9">
        <f>IFERROR(INDEX(Estimate!$J$5:$J$404,MATCH(5,Estimate!$O$5:$O$404,0)),"")</f>
        <v/>
      </c>
      <c r="F35" s="39">
        <f>IFERROR(INDEX(Estimate!$M$5:$M$404,MATCH(5,Estimate!$O$5:$O$404,0)),"")</f>
        <v/>
      </c>
    </row>
    <row r="36">
      <c r="A36" s="9">
        <f>IF(ISNUMBER(MATCH(6,Estimate!$O$5:$O$404,0)),6,"")</f>
        <v/>
      </c>
      <c r="B36" s="9">
        <f>IFERROR(IF(INDEX(Estimate!$D$5:$D$404,MATCH(6,Estimate!$O$5:$O$404,0))="",INDEX(Estimate!$C$5:$C$404,MATCH(6,Estimate!$O$5:$O$404,0)),INDEX(Estimate!$D$5:$D$404,MATCH(6,Estimate!$O$5:$O$404,0))),"")</f>
        <v/>
      </c>
      <c r="C36" s="49" t="n"/>
      <c r="D36" s="9">
        <f>IFERROR(INDEX(Estimate!$E$5:$E$404,MATCH(6,Estimate!$O$5:$O$404,0)),"")</f>
        <v/>
      </c>
      <c r="E36" s="9">
        <f>IFERROR(INDEX(Estimate!$J$5:$J$404,MATCH(6,Estimate!$O$5:$O$404,0)),"")</f>
        <v/>
      </c>
      <c r="F36" s="39">
        <f>IFERROR(INDEX(Estimate!$M$5:$M$404,MATCH(6,Estimate!$O$5:$O$404,0)),"")</f>
        <v/>
      </c>
    </row>
    <row r="37">
      <c r="A37" s="9">
        <f>IF(ISNUMBER(MATCH(7,Estimate!$O$5:$O$404,0)),7,"")</f>
        <v/>
      </c>
      <c r="B37" s="9">
        <f>IFERROR(IF(INDEX(Estimate!$D$5:$D$404,MATCH(7,Estimate!$O$5:$O$404,0))="",INDEX(Estimate!$C$5:$C$404,MATCH(7,Estimate!$O$5:$O$404,0)),INDEX(Estimate!$D$5:$D$404,MATCH(7,Estimate!$O$5:$O$404,0))),"")</f>
        <v/>
      </c>
      <c r="C37" s="49" t="n"/>
      <c r="D37" s="9">
        <f>IFERROR(INDEX(Estimate!$E$5:$E$404,MATCH(7,Estimate!$O$5:$O$404,0)),"")</f>
        <v/>
      </c>
      <c r="E37" s="9">
        <f>IFERROR(INDEX(Estimate!$J$5:$J$404,MATCH(7,Estimate!$O$5:$O$404,0)),"")</f>
        <v/>
      </c>
      <c r="F37" s="39">
        <f>IFERROR(INDEX(Estimate!$M$5:$M$404,MATCH(7,Estimate!$O$5:$O$404,0)),"")</f>
        <v/>
      </c>
    </row>
    <row r="38">
      <c r="A38" s="9">
        <f>IF(ISNUMBER(MATCH(8,Estimate!$O$5:$O$404,0)),8,"")</f>
        <v/>
      </c>
      <c r="B38" s="9">
        <f>IFERROR(IF(INDEX(Estimate!$D$5:$D$404,MATCH(8,Estimate!$O$5:$O$404,0))="",INDEX(Estimate!$C$5:$C$404,MATCH(8,Estimate!$O$5:$O$404,0)),INDEX(Estimate!$D$5:$D$404,MATCH(8,Estimate!$O$5:$O$404,0))),"")</f>
        <v/>
      </c>
      <c r="C38" s="49" t="n"/>
      <c r="D38" s="9">
        <f>IFERROR(INDEX(Estimate!$E$5:$E$404,MATCH(8,Estimate!$O$5:$O$404,0)),"")</f>
        <v/>
      </c>
      <c r="E38" s="9">
        <f>IFERROR(INDEX(Estimate!$J$5:$J$404,MATCH(8,Estimate!$O$5:$O$404,0)),"")</f>
        <v/>
      </c>
      <c r="F38" s="39">
        <f>IFERROR(INDEX(Estimate!$M$5:$M$404,MATCH(8,Estimate!$O$5:$O$404,0)),"")</f>
        <v/>
      </c>
    </row>
    <row r="39">
      <c r="A39" s="9">
        <f>IF(ISNUMBER(MATCH(9,Estimate!$O$5:$O$404,0)),9,"")</f>
        <v/>
      </c>
      <c r="B39" s="9">
        <f>IFERROR(IF(INDEX(Estimate!$D$5:$D$404,MATCH(9,Estimate!$O$5:$O$404,0))="",INDEX(Estimate!$C$5:$C$404,MATCH(9,Estimate!$O$5:$O$404,0)),INDEX(Estimate!$D$5:$D$404,MATCH(9,Estimate!$O$5:$O$404,0))),"")</f>
        <v/>
      </c>
      <c r="C39" s="49" t="n"/>
      <c r="D39" s="9">
        <f>IFERROR(INDEX(Estimate!$E$5:$E$404,MATCH(9,Estimate!$O$5:$O$404,0)),"")</f>
        <v/>
      </c>
      <c r="E39" s="9">
        <f>IFERROR(INDEX(Estimate!$J$5:$J$404,MATCH(9,Estimate!$O$5:$O$404,0)),"")</f>
        <v/>
      </c>
      <c r="F39" s="39">
        <f>IFERROR(INDEX(Estimate!$M$5:$M$404,MATCH(9,Estimate!$O$5:$O$404,0)),"")</f>
        <v/>
      </c>
    </row>
    <row r="40">
      <c r="A40" s="9">
        <f>IF(ISNUMBER(MATCH(10,Estimate!$O$5:$O$404,0)),10,"")</f>
        <v/>
      </c>
      <c r="B40" s="9">
        <f>IFERROR(IF(INDEX(Estimate!$D$5:$D$404,MATCH(10,Estimate!$O$5:$O$404,0))="",INDEX(Estimate!$C$5:$C$404,MATCH(10,Estimate!$O$5:$O$404,0)),INDEX(Estimate!$D$5:$D$404,MATCH(10,Estimate!$O$5:$O$404,0))),"")</f>
        <v/>
      </c>
      <c r="C40" s="49" t="n"/>
      <c r="D40" s="9">
        <f>IFERROR(INDEX(Estimate!$E$5:$E$404,MATCH(10,Estimate!$O$5:$O$404,0)),"")</f>
        <v/>
      </c>
      <c r="E40" s="9">
        <f>IFERROR(INDEX(Estimate!$J$5:$J$404,MATCH(10,Estimate!$O$5:$O$404,0)),"")</f>
        <v/>
      </c>
      <c r="F40" s="39">
        <f>IFERROR(INDEX(Estimate!$M$5:$M$404,MATCH(10,Estimate!$O$5:$O$404,0)),"")</f>
        <v/>
      </c>
    </row>
    <row r="41">
      <c r="A41" s="9">
        <f>IF(ISNUMBER(MATCH(11,Estimate!$O$5:$O$404,0)),11,"")</f>
        <v/>
      </c>
      <c r="B41" s="9">
        <f>IFERROR(IF(INDEX(Estimate!$D$5:$D$404,MATCH(11,Estimate!$O$5:$O$404,0))="",INDEX(Estimate!$C$5:$C$404,MATCH(11,Estimate!$O$5:$O$404,0)),INDEX(Estimate!$D$5:$D$404,MATCH(11,Estimate!$O$5:$O$404,0))),"")</f>
        <v/>
      </c>
      <c r="C41" s="49" t="n"/>
      <c r="D41" s="9">
        <f>IFERROR(INDEX(Estimate!$E$5:$E$404,MATCH(11,Estimate!$O$5:$O$404,0)),"")</f>
        <v/>
      </c>
      <c r="E41" s="9">
        <f>IFERROR(INDEX(Estimate!$J$5:$J$404,MATCH(11,Estimate!$O$5:$O$404,0)),"")</f>
        <v/>
      </c>
      <c r="F41" s="39">
        <f>IFERROR(INDEX(Estimate!$M$5:$M$404,MATCH(11,Estimate!$O$5:$O$404,0)),"")</f>
        <v/>
      </c>
    </row>
    <row r="42">
      <c r="A42" s="9">
        <f>IF(ISNUMBER(MATCH(12,Estimate!$O$5:$O$404,0)),12,"")</f>
        <v/>
      </c>
      <c r="B42" s="9">
        <f>IFERROR(IF(INDEX(Estimate!$D$5:$D$404,MATCH(12,Estimate!$O$5:$O$404,0))="",INDEX(Estimate!$C$5:$C$404,MATCH(12,Estimate!$O$5:$O$404,0)),INDEX(Estimate!$D$5:$D$404,MATCH(12,Estimate!$O$5:$O$404,0))),"")</f>
        <v/>
      </c>
      <c r="C42" s="49" t="n"/>
      <c r="D42" s="9">
        <f>IFERROR(INDEX(Estimate!$E$5:$E$404,MATCH(12,Estimate!$O$5:$O$404,0)),"")</f>
        <v/>
      </c>
      <c r="E42" s="9">
        <f>IFERROR(INDEX(Estimate!$J$5:$J$404,MATCH(12,Estimate!$O$5:$O$404,0)),"")</f>
        <v/>
      </c>
      <c r="F42" s="39">
        <f>IFERROR(INDEX(Estimate!$M$5:$M$404,MATCH(12,Estimate!$O$5:$O$404,0)),"")</f>
        <v/>
      </c>
    </row>
    <row r="43">
      <c r="A43" s="9">
        <f>IF(ISNUMBER(MATCH(13,Estimate!$O$5:$O$404,0)),13,"")</f>
        <v/>
      </c>
      <c r="B43" s="9">
        <f>IFERROR(IF(INDEX(Estimate!$D$5:$D$404,MATCH(13,Estimate!$O$5:$O$404,0))="",INDEX(Estimate!$C$5:$C$404,MATCH(13,Estimate!$O$5:$O$404,0)),INDEX(Estimate!$D$5:$D$404,MATCH(13,Estimate!$O$5:$O$404,0))),"")</f>
        <v/>
      </c>
      <c r="C43" s="49" t="n"/>
      <c r="D43" s="9">
        <f>IFERROR(INDEX(Estimate!$E$5:$E$404,MATCH(13,Estimate!$O$5:$O$404,0)),"")</f>
        <v/>
      </c>
      <c r="E43" s="9">
        <f>IFERROR(INDEX(Estimate!$J$5:$J$404,MATCH(13,Estimate!$O$5:$O$404,0)),"")</f>
        <v/>
      </c>
      <c r="F43" s="39">
        <f>IFERROR(INDEX(Estimate!$M$5:$M$404,MATCH(13,Estimate!$O$5:$O$404,0)),"")</f>
        <v/>
      </c>
    </row>
    <row r="44">
      <c r="A44" s="9">
        <f>IF(ISNUMBER(MATCH(14,Estimate!$O$5:$O$404,0)),14,"")</f>
        <v/>
      </c>
      <c r="B44" s="9">
        <f>IFERROR(IF(INDEX(Estimate!$D$5:$D$404,MATCH(14,Estimate!$O$5:$O$404,0))="",INDEX(Estimate!$C$5:$C$404,MATCH(14,Estimate!$O$5:$O$404,0)),INDEX(Estimate!$D$5:$D$404,MATCH(14,Estimate!$O$5:$O$404,0))),"")</f>
        <v/>
      </c>
      <c r="C44" s="49" t="n"/>
      <c r="D44" s="9">
        <f>IFERROR(INDEX(Estimate!$E$5:$E$404,MATCH(14,Estimate!$O$5:$O$404,0)),"")</f>
        <v/>
      </c>
      <c r="E44" s="9">
        <f>IFERROR(INDEX(Estimate!$J$5:$J$404,MATCH(14,Estimate!$O$5:$O$404,0)),"")</f>
        <v/>
      </c>
      <c r="F44" s="39">
        <f>IFERROR(INDEX(Estimate!$M$5:$M$404,MATCH(14,Estimate!$O$5:$O$404,0)),"")</f>
        <v/>
      </c>
    </row>
    <row r="45">
      <c r="A45" s="9">
        <f>IF(ISNUMBER(MATCH(15,Estimate!$O$5:$O$404,0)),15,"")</f>
        <v/>
      </c>
      <c r="B45" s="9">
        <f>IFERROR(IF(INDEX(Estimate!$D$5:$D$404,MATCH(15,Estimate!$O$5:$O$404,0))="",INDEX(Estimate!$C$5:$C$404,MATCH(15,Estimate!$O$5:$O$404,0)),INDEX(Estimate!$D$5:$D$404,MATCH(15,Estimate!$O$5:$O$404,0))),"")</f>
        <v/>
      </c>
      <c r="C45" s="49" t="n"/>
      <c r="D45" s="9">
        <f>IFERROR(INDEX(Estimate!$E$5:$E$404,MATCH(15,Estimate!$O$5:$O$404,0)),"")</f>
        <v/>
      </c>
      <c r="E45" s="9">
        <f>IFERROR(INDEX(Estimate!$J$5:$J$404,MATCH(15,Estimate!$O$5:$O$404,0)),"")</f>
        <v/>
      </c>
      <c r="F45" s="39">
        <f>IFERROR(INDEX(Estimate!$M$5:$M$404,MATCH(15,Estimate!$O$5:$O$404,0)),"")</f>
        <v/>
      </c>
    </row>
    <row r="46">
      <c r="A46" s="9">
        <f>IF(ISNUMBER(MATCH(16,Estimate!$O$5:$O$404,0)),16,"")</f>
        <v/>
      </c>
      <c r="B46" s="9">
        <f>IFERROR(IF(INDEX(Estimate!$D$5:$D$404,MATCH(16,Estimate!$O$5:$O$404,0))="",INDEX(Estimate!$C$5:$C$404,MATCH(16,Estimate!$O$5:$O$404,0)),INDEX(Estimate!$D$5:$D$404,MATCH(16,Estimate!$O$5:$O$404,0))),"")</f>
        <v/>
      </c>
      <c r="C46" s="49" t="n"/>
      <c r="D46" s="9">
        <f>IFERROR(INDEX(Estimate!$E$5:$E$404,MATCH(16,Estimate!$O$5:$O$404,0)),"")</f>
        <v/>
      </c>
      <c r="E46" s="9">
        <f>IFERROR(INDEX(Estimate!$J$5:$J$404,MATCH(16,Estimate!$O$5:$O$404,0)),"")</f>
        <v/>
      </c>
      <c r="F46" s="39">
        <f>IFERROR(INDEX(Estimate!$M$5:$M$404,MATCH(16,Estimate!$O$5:$O$404,0)),"")</f>
        <v/>
      </c>
    </row>
    <row r="47">
      <c r="A47" s="9">
        <f>IF(ISNUMBER(MATCH(17,Estimate!$O$5:$O$404,0)),17,"")</f>
        <v/>
      </c>
      <c r="B47" s="9">
        <f>IFERROR(IF(INDEX(Estimate!$D$5:$D$404,MATCH(17,Estimate!$O$5:$O$404,0))="",INDEX(Estimate!$C$5:$C$404,MATCH(17,Estimate!$O$5:$O$404,0)),INDEX(Estimate!$D$5:$D$404,MATCH(17,Estimate!$O$5:$O$404,0))),"")</f>
        <v/>
      </c>
      <c r="C47" s="49" t="n"/>
      <c r="D47" s="9">
        <f>IFERROR(INDEX(Estimate!$E$5:$E$404,MATCH(17,Estimate!$O$5:$O$404,0)),"")</f>
        <v/>
      </c>
      <c r="E47" s="9">
        <f>IFERROR(INDEX(Estimate!$J$5:$J$404,MATCH(17,Estimate!$O$5:$O$404,0)),"")</f>
        <v/>
      </c>
      <c r="F47" s="39">
        <f>IFERROR(INDEX(Estimate!$M$5:$M$404,MATCH(17,Estimate!$O$5:$O$404,0)),"")</f>
        <v/>
      </c>
    </row>
    <row r="48">
      <c r="A48" s="9">
        <f>IF(ISNUMBER(MATCH(18,Estimate!$O$5:$O$404,0)),18,"")</f>
        <v/>
      </c>
      <c r="B48" s="9">
        <f>IFERROR(IF(INDEX(Estimate!$D$5:$D$404,MATCH(18,Estimate!$O$5:$O$404,0))="",INDEX(Estimate!$C$5:$C$404,MATCH(18,Estimate!$O$5:$O$404,0)),INDEX(Estimate!$D$5:$D$404,MATCH(18,Estimate!$O$5:$O$404,0))),"")</f>
        <v/>
      </c>
      <c r="C48" s="49" t="n"/>
      <c r="D48" s="9">
        <f>IFERROR(INDEX(Estimate!$E$5:$E$404,MATCH(18,Estimate!$O$5:$O$404,0)),"")</f>
        <v/>
      </c>
      <c r="E48" s="9">
        <f>IFERROR(INDEX(Estimate!$J$5:$J$404,MATCH(18,Estimate!$O$5:$O$404,0)),"")</f>
        <v/>
      </c>
      <c r="F48" s="39">
        <f>IFERROR(INDEX(Estimate!$M$5:$M$404,MATCH(18,Estimate!$O$5:$O$404,0)),"")</f>
        <v/>
      </c>
    </row>
    <row r="49">
      <c r="A49" s="9">
        <f>IF(ISNUMBER(MATCH(19,Estimate!$O$5:$O$404,0)),19,"")</f>
        <v/>
      </c>
      <c r="B49" s="9">
        <f>IFERROR(IF(INDEX(Estimate!$D$5:$D$404,MATCH(19,Estimate!$O$5:$O$404,0))="",INDEX(Estimate!$C$5:$C$404,MATCH(19,Estimate!$O$5:$O$404,0)),INDEX(Estimate!$D$5:$D$404,MATCH(19,Estimate!$O$5:$O$404,0))),"")</f>
        <v/>
      </c>
      <c r="C49" s="49" t="n"/>
      <c r="D49" s="9">
        <f>IFERROR(INDEX(Estimate!$E$5:$E$404,MATCH(19,Estimate!$O$5:$O$404,0)),"")</f>
        <v/>
      </c>
      <c r="E49" s="9">
        <f>IFERROR(INDEX(Estimate!$J$5:$J$404,MATCH(19,Estimate!$O$5:$O$404,0)),"")</f>
        <v/>
      </c>
      <c r="F49" s="39">
        <f>IFERROR(INDEX(Estimate!$M$5:$M$404,MATCH(19,Estimate!$O$5:$O$404,0)),"")</f>
        <v/>
      </c>
    </row>
    <row r="50">
      <c r="A50" s="9">
        <f>IF(ISNUMBER(MATCH(20,Estimate!$O$5:$O$404,0)),20,"")</f>
        <v/>
      </c>
      <c r="B50" s="9">
        <f>IFERROR(IF(INDEX(Estimate!$D$5:$D$404,MATCH(20,Estimate!$O$5:$O$404,0))="",INDEX(Estimate!$C$5:$C$404,MATCH(20,Estimate!$O$5:$O$404,0)),INDEX(Estimate!$D$5:$D$404,MATCH(20,Estimate!$O$5:$O$404,0))),"")</f>
        <v/>
      </c>
      <c r="C50" s="49" t="n"/>
      <c r="D50" s="9">
        <f>IFERROR(INDEX(Estimate!$E$5:$E$404,MATCH(20,Estimate!$O$5:$O$404,0)),"")</f>
        <v/>
      </c>
      <c r="E50" s="9">
        <f>IFERROR(INDEX(Estimate!$J$5:$J$404,MATCH(20,Estimate!$O$5:$O$404,0)),"")</f>
        <v/>
      </c>
      <c r="F50" s="39">
        <f>IFERROR(INDEX(Estimate!$M$5:$M$404,MATCH(20,Estimate!$O$5:$O$404,0)),"")</f>
        <v/>
      </c>
    </row>
    <row r="51">
      <c r="A51" s="9">
        <f>IF(ISNUMBER(MATCH(21,Estimate!$O$5:$O$404,0)),21,"")</f>
        <v/>
      </c>
      <c r="B51" s="9">
        <f>IFERROR(IF(INDEX(Estimate!$D$5:$D$404,MATCH(21,Estimate!$O$5:$O$404,0))="",INDEX(Estimate!$C$5:$C$404,MATCH(21,Estimate!$O$5:$O$404,0)),INDEX(Estimate!$D$5:$D$404,MATCH(21,Estimate!$O$5:$O$404,0))),"")</f>
        <v/>
      </c>
      <c r="C51" s="49" t="n"/>
      <c r="D51" s="9">
        <f>IFERROR(INDEX(Estimate!$E$5:$E$404,MATCH(21,Estimate!$O$5:$O$404,0)),"")</f>
        <v/>
      </c>
      <c r="E51" s="9">
        <f>IFERROR(INDEX(Estimate!$J$5:$J$404,MATCH(21,Estimate!$O$5:$O$404,0)),"")</f>
        <v/>
      </c>
      <c r="F51" s="39">
        <f>IFERROR(INDEX(Estimate!$M$5:$M$404,MATCH(21,Estimate!$O$5:$O$404,0)),"")</f>
        <v/>
      </c>
    </row>
    <row r="52">
      <c r="A52" s="9">
        <f>IF(ISNUMBER(MATCH(22,Estimate!$O$5:$O$404,0)),22,"")</f>
        <v/>
      </c>
      <c r="B52" s="9">
        <f>IFERROR(IF(INDEX(Estimate!$D$5:$D$404,MATCH(22,Estimate!$O$5:$O$404,0))="",INDEX(Estimate!$C$5:$C$404,MATCH(22,Estimate!$O$5:$O$404,0)),INDEX(Estimate!$D$5:$D$404,MATCH(22,Estimate!$O$5:$O$404,0))),"")</f>
        <v/>
      </c>
      <c r="C52" s="49" t="n"/>
      <c r="D52" s="9">
        <f>IFERROR(INDEX(Estimate!$E$5:$E$404,MATCH(22,Estimate!$O$5:$O$404,0)),"")</f>
        <v/>
      </c>
      <c r="E52" s="9">
        <f>IFERROR(INDEX(Estimate!$J$5:$J$404,MATCH(22,Estimate!$O$5:$O$404,0)),"")</f>
        <v/>
      </c>
      <c r="F52" s="39">
        <f>IFERROR(INDEX(Estimate!$M$5:$M$404,MATCH(22,Estimate!$O$5:$O$404,0)),"")</f>
        <v/>
      </c>
    </row>
    <row r="53">
      <c r="A53" s="9">
        <f>IF(ISNUMBER(MATCH(23,Estimate!$O$5:$O$404,0)),23,"")</f>
        <v/>
      </c>
      <c r="B53" s="9">
        <f>IFERROR(IF(INDEX(Estimate!$D$5:$D$404,MATCH(23,Estimate!$O$5:$O$404,0))="",INDEX(Estimate!$C$5:$C$404,MATCH(23,Estimate!$O$5:$O$404,0)),INDEX(Estimate!$D$5:$D$404,MATCH(23,Estimate!$O$5:$O$404,0))),"")</f>
        <v/>
      </c>
      <c r="C53" s="49" t="n"/>
      <c r="D53" s="9">
        <f>IFERROR(INDEX(Estimate!$E$5:$E$404,MATCH(23,Estimate!$O$5:$O$404,0)),"")</f>
        <v/>
      </c>
      <c r="E53" s="9">
        <f>IFERROR(INDEX(Estimate!$J$5:$J$404,MATCH(23,Estimate!$O$5:$O$404,0)),"")</f>
        <v/>
      </c>
      <c r="F53" s="39">
        <f>IFERROR(INDEX(Estimate!$M$5:$M$404,MATCH(23,Estimate!$O$5:$O$404,0)),"")</f>
        <v/>
      </c>
    </row>
    <row r="54">
      <c r="A54" s="9">
        <f>IF(ISNUMBER(MATCH(24,Estimate!$O$5:$O$404,0)),24,"")</f>
        <v/>
      </c>
      <c r="B54" s="9">
        <f>IFERROR(IF(INDEX(Estimate!$D$5:$D$404,MATCH(24,Estimate!$O$5:$O$404,0))="",INDEX(Estimate!$C$5:$C$404,MATCH(24,Estimate!$O$5:$O$404,0)),INDEX(Estimate!$D$5:$D$404,MATCH(24,Estimate!$O$5:$O$404,0))),"")</f>
        <v/>
      </c>
      <c r="C54" s="49" t="n"/>
      <c r="D54" s="9">
        <f>IFERROR(INDEX(Estimate!$E$5:$E$404,MATCH(24,Estimate!$O$5:$O$404,0)),"")</f>
        <v/>
      </c>
      <c r="E54" s="9">
        <f>IFERROR(INDEX(Estimate!$J$5:$J$404,MATCH(24,Estimate!$O$5:$O$404,0)),"")</f>
        <v/>
      </c>
      <c r="F54" s="39">
        <f>IFERROR(INDEX(Estimate!$M$5:$M$404,MATCH(24,Estimate!$O$5:$O$404,0)),"")</f>
        <v/>
      </c>
    </row>
    <row r="55">
      <c r="A55" s="9">
        <f>IF(ISNUMBER(MATCH(25,Estimate!$O$5:$O$404,0)),25,"")</f>
        <v/>
      </c>
      <c r="B55" s="9">
        <f>IFERROR(IF(INDEX(Estimate!$D$5:$D$404,MATCH(25,Estimate!$O$5:$O$404,0))="",INDEX(Estimate!$C$5:$C$404,MATCH(25,Estimate!$O$5:$O$404,0)),INDEX(Estimate!$D$5:$D$404,MATCH(25,Estimate!$O$5:$O$404,0))),"")</f>
        <v/>
      </c>
      <c r="C55" s="49" t="n"/>
      <c r="D55" s="9">
        <f>IFERROR(INDEX(Estimate!$E$5:$E$404,MATCH(25,Estimate!$O$5:$O$404,0)),"")</f>
        <v/>
      </c>
      <c r="E55" s="9">
        <f>IFERROR(INDEX(Estimate!$J$5:$J$404,MATCH(25,Estimate!$O$5:$O$404,0)),"")</f>
        <v/>
      </c>
      <c r="F55" s="39">
        <f>IFERROR(INDEX(Estimate!$M$5:$M$404,MATCH(25,Estimate!$O$5:$O$404,0)),"")</f>
        <v/>
      </c>
    </row>
    <row r="56">
      <c r="A56" s="9">
        <f>IF(ISNUMBER(MATCH(26,Estimate!$O$5:$O$404,0)),26,"")</f>
        <v/>
      </c>
      <c r="B56" s="9">
        <f>IFERROR(IF(INDEX(Estimate!$D$5:$D$404,MATCH(26,Estimate!$O$5:$O$404,0))="",INDEX(Estimate!$C$5:$C$404,MATCH(26,Estimate!$O$5:$O$404,0)),INDEX(Estimate!$D$5:$D$404,MATCH(26,Estimate!$O$5:$O$404,0))),"")</f>
        <v/>
      </c>
      <c r="C56" s="49" t="n"/>
      <c r="D56" s="9">
        <f>IFERROR(INDEX(Estimate!$E$5:$E$404,MATCH(26,Estimate!$O$5:$O$404,0)),"")</f>
        <v/>
      </c>
      <c r="E56" s="9">
        <f>IFERROR(INDEX(Estimate!$J$5:$J$404,MATCH(26,Estimate!$O$5:$O$404,0)),"")</f>
        <v/>
      </c>
      <c r="F56" s="39">
        <f>IFERROR(INDEX(Estimate!$M$5:$M$404,MATCH(26,Estimate!$O$5:$O$404,0)),"")</f>
        <v/>
      </c>
    </row>
    <row r="57">
      <c r="A57" s="9">
        <f>IF(ISNUMBER(MATCH(27,Estimate!$O$5:$O$404,0)),27,"")</f>
        <v/>
      </c>
      <c r="B57" s="9">
        <f>IFERROR(IF(INDEX(Estimate!$D$5:$D$404,MATCH(27,Estimate!$O$5:$O$404,0))="",INDEX(Estimate!$C$5:$C$404,MATCH(27,Estimate!$O$5:$O$404,0)),INDEX(Estimate!$D$5:$D$404,MATCH(27,Estimate!$O$5:$O$404,0))),"")</f>
        <v/>
      </c>
      <c r="C57" s="49" t="n"/>
      <c r="D57" s="9">
        <f>IFERROR(INDEX(Estimate!$E$5:$E$404,MATCH(27,Estimate!$O$5:$O$404,0)),"")</f>
        <v/>
      </c>
      <c r="E57" s="9">
        <f>IFERROR(INDEX(Estimate!$J$5:$J$404,MATCH(27,Estimate!$O$5:$O$404,0)),"")</f>
        <v/>
      </c>
      <c r="F57" s="39">
        <f>IFERROR(INDEX(Estimate!$M$5:$M$404,MATCH(27,Estimate!$O$5:$O$404,0)),"")</f>
        <v/>
      </c>
    </row>
    <row r="58">
      <c r="A58" s="9">
        <f>IF(ISNUMBER(MATCH(28,Estimate!$O$5:$O$404,0)),28,"")</f>
        <v/>
      </c>
      <c r="B58" s="9">
        <f>IFERROR(IF(INDEX(Estimate!$D$5:$D$404,MATCH(28,Estimate!$O$5:$O$404,0))="",INDEX(Estimate!$C$5:$C$404,MATCH(28,Estimate!$O$5:$O$404,0)),INDEX(Estimate!$D$5:$D$404,MATCH(28,Estimate!$O$5:$O$404,0))),"")</f>
        <v/>
      </c>
      <c r="C58" s="49" t="n"/>
      <c r="D58" s="9">
        <f>IFERROR(INDEX(Estimate!$E$5:$E$404,MATCH(28,Estimate!$O$5:$O$404,0)),"")</f>
        <v/>
      </c>
      <c r="E58" s="9">
        <f>IFERROR(INDEX(Estimate!$J$5:$J$404,MATCH(28,Estimate!$O$5:$O$404,0)),"")</f>
        <v/>
      </c>
      <c r="F58" s="39">
        <f>IFERROR(INDEX(Estimate!$M$5:$M$404,MATCH(28,Estimate!$O$5:$O$404,0)),"")</f>
        <v/>
      </c>
    </row>
    <row r="59">
      <c r="A59" s="9">
        <f>IF(ISNUMBER(MATCH(29,Estimate!$O$5:$O$404,0)),29,"")</f>
        <v/>
      </c>
      <c r="B59" s="9">
        <f>IFERROR(IF(INDEX(Estimate!$D$5:$D$404,MATCH(29,Estimate!$O$5:$O$404,0))="",INDEX(Estimate!$C$5:$C$404,MATCH(29,Estimate!$O$5:$O$404,0)),INDEX(Estimate!$D$5:$D$404,MATCH(29,Estimate!$O$5:$O$404,0))),"")</f>
        <v/>
      </c>
      <c r="C59" s="49" t="n"/>
      <c r="D59" s="9">
        <f>IFERROR(INDEX(Estimate!$E$5:$E$404,MATCH(29,Estimate!$O$5:$O$404,0)),"")</f>
        <v/>
      </c>
      <c r="E59" s="9">
        <f>IFERROR(INDEX(Estimate!$J$5:$J$404,MATCH(29,Estimate!$O$5:$O$404,0)),"")</f>
        <v/>
      </c>
      <c r="F59" s="39">
        <f>IFERROR(INDEX(Estimate!$M$5:$M$404,MATCH(29,Estimate!$O$5:$O$404,0)),"")</f>
        <v/>
      </c>
    </row>
    <row r="60">
      <c r="A60" s="9">
        <f>IF(ISNUMBER(MATCH(30,Estimate!$O$5:$O$404,0)),30,"")</f>
        <v/>
      </c>
      <c r="B60" s="9">
        <f>IFERROR(IF(INDEX(Estimate!$D$5:$D$404,MATCH(30,Estimate!$O$5:$O$404,0))="",INDEX(Estimate!$C$5:$C$404,MATCH(30,Estimate!$O$5:$O$404,0)),INDEX(Estimate!$D$5:$D$404,MATCH(30,Estimate!$O$5:$O$404,0))),"")</f>
        <v/>
      </c>
      <c r="C60" s="49" t="n"/>
      <c r="D60" s="9">
        <f>IFERROR(INDEX(Estimate!$E$5:$E$404,MATCH(30,Estimate!$O$5:$O$404,0)),"")</f>
        <v/>
      </c>
      <c r="E60" s="9">
        <f>IFERROR(INDEX(Estimate!$J$5:$J$404,MATCH(30,Estimate!$O$5:$O$404,0)),"")</f>
        <v/>
      </c>
      <c r="F60" s="39">
        <f>IFERROR(INDEX(Estimate!$M$5:$M$404,MATCH(30,Estimate!$O$5:$O$404,0)),"")</f>
        <v/>
      </c>
    </row>
    <row r="61">
      <c r="A61" s="9">
        <f>IF(ISNUMBER(MATCH(31,Estimate!$O$5:$O$404,0)),31,"")</f>
        <v/>
      </c>
      <c r="B61" s="9">
        <f>IFERROR(IF(INDEX(Estimate!$D$5:$D$404,MATCH(31,Estimate!$O$5:$O$404,0))="",INDEX(Estimate!$C$5:$C$404,MATCH(31,Estimate!$O$5:$O$404,0)),INDEX(Estimate!$D$5:$D$404,MATCH(31,Estimate!$O$5:$O$404,0))),"")</f>
        <v/>
      </c>
      <c r="C61" s="49" t="n"/>
      <c r="D61" s="9">
        <f>IFERROR(INDEX(Estimate!$E$5:$E$404,MATCH(31,Estimate!$O$5:$O$404,0)),"")</f>
        <v/>
      </c>
      <c r="E61" s="9">
        <f>IFERROR(INDEX(Estimate!$J$5:$J$404,MATCH(31,Estimate!$O$5:$O$404,0)),"")</f>
        <v/>
      </c>
      <c r="F61" s="39">
        <f>IFERROR(INDEX(Estimate!$M$5:$M$404,MATCH(31,Estimate!$O$5:$O$404,0)),"")</f>
        <v/>
      </c>
    </row>
    <row r="62">
      <c r="A62" s="9">
        <f>IF(ISNUMBER(MATCH(32,Estimate!$O$5:$O$404,0)),32,"")</f>
        <v/>
      </c>
      <c r="B62" s="9">
        <f>IFERROR(IF(INDEX(Estimate!$D$5:$D$404,MATCH(32,Estimate!$O$5:$O$404,0))="",INDEX(Estimate!$C$5:$C$404,MATCH(32,Estimate!$O$5:$O$404,0)),INDEX(Estimate!$D$5:$D$404,MATCH(32,Estimate!$O$5:$O$404,0))),"")</f>
        <v/>
      </c>
      <c r="C62" s="49" t="n"/>
      <c r="D62" s="9">
        <f>IFERROR(INDEX(Estimate!$E$5:$E$404,MATCH(32,Estimate!$O$5:$O$404,0)),"")</f>
        <v/>
      </c>
      <c r="E62" s="9">
        <f>IFERROR(INDEX(Estimate!$J$5:$J$404,MATCH(32,Estimate!$O$5:$O$404,0)),"")</f>
        <v/>
      </c>
      <c r="F62" s="39">
        <f>IFERROR(INDEX(Estimate!$M$5:$M$404,MATCH(32,Estimate!$O$5:$O$404,0)),"")</f>
        <v/>
      </c>
    </row>
    <row r="63">
      <c r="A63" s="9">
        <f>IF(ISNUMBER(MATCH(33,Estimate!$O$5:$O$404,0)),33,"")</f>
        <v/>
      </c>
      <c r="B63" s="9">
        <f>IFERROR(IF(INDEX(Estimate!$D$5:$D$404,MATCH(33,Estimate!$O$5:$O$404,0))="",INDEX(Estimate!$C$5:$C$404,MATCH(33,Estimate!$O$5:$O$404,0)),INDEX(Estimate!$D$5:$D$404,MATCH(33,Estimate!$O$5:$O$404,0))),"")</f>
        <v/>
      </c>
      <c r="C63" s="49" t="n"/>
      <c r="D63" s="9">
        <f>IFERROR(INDEX(Estimate!$E$5:$E$404,MATCH(33,Estimate!$O$5:$O$404,0)),"")</f>
        <v/>
      </c>
      <c r="E63" s="9">
        <f>IFERROR(INDEX(Estimate!$J$5:$J$404,MATCH(33,Estimate!$O$5:$O$404,0)),"")</f>
        <v/>
      </c>
      <c r="F63" s="39">
        <f>IFERROR(INDEX(Estimate!$M$5:$M$404,MATCH(33,Estimate!$O$5:$O$404,0)),"")</f>
        <v/>
      </c>
    </row>
    <row r="64">
      <c r="A64" s="9">
        <f>IF(ISNUMBER(MATCH(34,Estimate!$O$5:$O$404,0)),34,"")</f>
        <v/>
      </c>
      <c r="B64" s="9">
        <f>IFERROR(IF(INDEX(Estimate!$D$5:$D$404,MATCH(34,Estimate!$O$5:$O$404,0))="",INDEX(Estimate!$C$5:$C$404,MATCH(34,Estimate!$O$5:$O$404,0)),INDEX(Estimate!$D$5:$D$404,MATCH(34,Estimate!$O$5:$O$404,0))),"")</f>
        <v/>
      </c>
      <c r="C64" s="49" t="n"/>
      <c r="D64" s="9">
        <f>IFERROR(INDEX(Estimate!$E$5:$E$404,MATCH(34,Estimate!$O$5:$O$404,0)),"")</f>
        <v/>
      </c>
      <c r="E64" s="9">
        <f>IFERROR(INDEX(Estimate!$J$5:$J$404,MATCH(34,Estimate!$O$5:$O$404,0)),"")</f>
        <v/>
      </c>
      <c r="F64" s="39">
        <f>IFERROR(INDEX(Estimate!$M$5:$M$404,MATCH(34,Estimate!$O$5:$O$404,0)),"")</f>
        <v/>
      </c>
    </row>
    <row r="65">
      <c r="A65" s="9">
        <f>IF(ISNUMBER(MATCH(35,Estimate!$O$5:$O$404,0)),35,"")</f>
        <v/>
      </c>
      <c r="B65" s="9">
        <f>IFERROR(IF(INDEX(Estimate!$D$5:$D$404,MATCH(35,Estimate!$O$5:$O$404,0))="",INDEX(Estimate!$C$5:$C$404,MATCH(35,Estimate!$O$5:$O$404,0)),INDEX(Estimate!$D$5:$D$404,MATCH(35,Estimate!$O$5:$O$404,0))),"")</f>
        <v/>
      </c>
      <c r="C65" s="49" t="n"/>
      <c r="D65" s="9">
        <f>IFERROR(INDEX(Estimate!$E$5:$E$404,MATCH(35,Estimate!$O$5:$O$404,0)),"")</f>
        <v/>
      </c>
      <c r="E65" s="9">
        <f>IFERROR(INDEX(Estimate!$J$5:$J$404,MATCH(35,Estimate!$O$5:$O$404,0)),"")</f>
        <v/>
      </c>
      <c r="F65" s="39">
        <f>IFERROR(INDEX(Estimate!$M$5:$M$404,MATCH(35,Estimate!$O$5:$O$404,0)),"")</f>
        <v/>
      </c>
    </row>
    <row r="66">
      <c r="A66" s="9">
        <f>IF(ISNUMBER(MATCH(36,Estimate!$O$5:$O$404,0)),36,"")</f>
        <v/>
      </c>
      <c r="B66" s="9">
        <f>IFERROR(IF(INDEX(Estimate!$D$5:$D$404,MATCH(36,Estimate!$O$5:$O$404,0))="",INDEX(Estimate!$C$5:$C$404,MATCH(36,Estimate!$O$5:$O$404,0)),INDEX(Estimate!$D$5:$D$404,MATCH(36,Estimate!$O$5:$O$404,0))),"")</f>
        <v/>
      </c>
      <c r="C66" s="49" t="n"/>
      <c r="D66" s="9">
        <f>IFERROR(INDEX(Estimate!$E$5:$E$404,MATCH(36,Estimate!$O$5:$O$404,0)),"")</f>
        <v/>
      </c>
      <c r="E66" s="9">
        <f>IFERROR(INDEX(Estimate!$J$5:$J$404,MATCH(36,Estimate!$O$5:$O$404,0)),"")</f>
        <v/>
      </c>
      <c r="F66" s="39">
        <f>IFERROR(INDEX(Estimate!$M$5:$M$404,MATCH(36,Estimate!$O$5:$O$404,0)),"")</f>
        <v/>
      </c>
    </row>
    <row r="67">
      <c r="A67" s="9">
        <f>IF(ISNUMBER(MATCH(37,Estimate!$O$5:$O$404,0)),37,"")</f>
        <v/>
      </c>
      <c r="B67" s="9">
        <f>IFERROR(IF(INDEX(Estimate!$D$5:$D$404,MATCH(37,Estimate!$O$5:$O$404,0))="",INDEX(Estimate!$C$5:$C$404,MATCH(37,Estimate!$O$5:$O$404,0)),INDEX(Estimate!$D$5:$D$404,MATCH(37,Estimate!$O$5:$O$404,0))),"")</f>
        <v/>
      </c>
      <c r="C67" s="49" t="n"/>
      <c r="D67" s="9">
        <f>IFERROR(INDEX(Estimate!$E$5:$E$404,MATCH(37,Estimate!$O$5:$O$404,0)),"")</f>
        <v/>
      </c>
      <c r="E67" s="9">
        <f>IFERROR(INDEX(Estimate!$J$5:$J$404,MATCH(37,Estimate!$O$5:$O$404,0)),"")</f>
        <v/>
      </c>
      <c r="F67" s="39">
        <f>IFERROR(INDEX(Estimate!$M$5:$M$404,MATCH(37,Estimate!$O$5:$O$404,0)),"")</f>
        <v/>
      </c>
    </row>
    <row r="68">
      <c r="A68" s="9">
        <f>IF(ISNUMBER(MATCH(38,Estimate!$O$5:$O$404,0)),38,"")</f>
        <v/>
      </c>
      <c r="B68" s="9">
        <f>IFERROR(IF(INDEX(Estimate!$D$5:$D$404,MATCH(38,Estimate!$O$5:$O$404,0))="",INDEX(Estimate!$C$5:$C$404,MATCH(38,Estimate!$O$5:$O$404,0)),INDEX(Estimate!$D$5:$D$404,MATCH(38,Estimate!$O$5:$O$404,0))),"")</f>
        <v/>
      </c>
      <c r="C68" s="49" t="n"/>
      <c r="D68" s="9">
        <f>IFERROR(INDEX(Estimate!$E$5:$E$404,MATCH(38,Estimate!$O$5:$O$404,0)),"")</f>
        <v/>
      </c>
      <c r="E68" s="9">
        <f>IFERROR(INDEX(Estimate!$J$5:$J$404,MATCH(38,Estimate!$O$5:$O$404,0)),"")</f>
        <v/>
      </c>
      <c r="F68" s="39">
        <f>IFERROR(INDEX(Estimate!$M$5:$M$404,MATCH(38,Estimate!$O$5:$O$404,0)),"")</f>
        <v/>
      </c>
    </row>
    <row r="69">
      <c r="A69" s="9">
        <f>IF(ISNUMBER(MATCH(39,Estimate!$O$5:$O$404,0)),39,"")</f>
        <v/>
      </c>
      <c r="B69" s="9">
        <f>IFERROR(IF(INDEX(Estimate!$D$5:$D$404,MATCH(39,Estimate!$O$5:$O$404,0))="",INDEX(Estimate!$C$5:$C$404,MATCH(39,Estimate!$O$5:$O$404,0)),INDEX(Estimate!$D$5:$D$404,MATCH(39,Estimate!$O$5:$O$404,0))),"")</f>
        <v/>
      </c>
      <c r="C69" s="49" t="n"/>
      <c r="D69" s="9">
        <f>IFERROR(INDEX(Estimate!$E$5:$E$404,MATCH(39,Estimate!$O$5:$O$404,0)),"")</f>
        <v/>
      </c>
      <c r="E69" s="9">
        <f>IFERROR(INDEX(Estimate!$J$5:$J$404,MATCH(39,Estimate!$O$5:$O$404,0)),"")</f>
        <v/>
      </c>
      <c r="F69" s="39">
        <f>IFERROR(INDEX(Estimate!$M$5:$M$404,MATCH(39,Estimate!$O$5:$O$404,0)),"")</f>
        <v/>
      </c>
    </row>
    <row r="70">
      <c r="A70" s="9">
        <f>IF(ISNUMBER(MATCH(40,Estimate!$O$5:$O$404,0)),40,"")</f>
        <v/>
      </c>
      <c r="B70" s="9">
        <f>IFERROR(IF(INDEX(Estimate!$D$5:$D$404,MATCH(40,Estimate!$O$5:$O$404,0))="",INDEX(Estimate!$C$5:$C$404,MATCH(40,Estimate!$O$5:$O$404,0)),INDEX(Estimate!$D$5:$D$404,MATCH(40,Estimate!$O$5:$O$404,0))),"")</f>
        <v/>
      </c>
      <c r="C70" s="49" t="n"/>
      <c r="D70" s="9">
        <f>IFERROR(INDEX(Estimate!$E$5:$E$404,MATCH(40,Estimate!$O$5:$O$404,0)),"")</f>
        <v/>
      </c>
      <c r="E70" s="9">
        <f>IFERROR(INDEX(Estimate!$J$5:$J$404,MATCH(40,Estimate!$O$5:$O$404,0)),"")</f>
        <v/>
      </c>
      <c r="F70" s="39">
        <f>IFERROR(INDEX(Estimate!$M$5:$M$404,MATCH(40,Estimate!$O$5:$O$404,0)),"")</f>
        <v/>
      </c>
    </row>
    <row r="71">
      <c r="B71" s="31" t="inlineStr">
        <is>
          <t>Lines shown</t>
        </is>
      </c>
      <c r="C71" s="31">
        <f>IF(COUNTIF(Estimate!$O$5:$O$404,"&gt;0")&gt;40,"+ more lines not shown","")</f>
        <v/>
      </c>
      <c r="D71" s="31">
        <f>COUNT(A31:A70)</f>
        <v/>
      </c>
      <c r="E71" s="31" t="n"/>
      <c r="F71" s="41">
        <f>SUM(F31:F70)</f>
        <v/>
      </c>
    </row>
    <row r="73">
      <c r="B73" s="45" t="inlineStr">
        <is>
          <t>Terms</t>
        </is>
      </c>
    </row>
    <row r="74" ht="60" customHeight="1">
      <c r="B74" s="12">
        <f>Settings!$B$30</f>
        <v/>
      </c>
    </row>
    <row r="75">
      <c r="B75" s="45" t="inlineStr">
        <is>
          <t>Exclusions &amp; assumptions</t>
        </is>
      </c>
    </row>
    <row r="76" ht="48" customHeight="1">
      <c r="B76" s="12">
        <f>Settings!$B$34</f>
        <v/>
      </c>
    </row>
    <row r="78">
      <c r="B78" t="inlineStr">
        <is>
          <t>Accepted by (client): ______________________________    Date: ____________</t>
        </is>
      </c>
    </row>
    <row r="79">
      <c r="B79" t="inlineStr">
        <is>
          <t>For the contractor: _________________________________    Date: ____________</t>
        </is>
      </c>
    </row>
  </sheetData>
  <mergeCells count="61">
    <mergeCell ref="B47:C47"/>
    <mergeCell ref="B54:C54"/>
    <mergeCell ref="B14:D14"/>
    <mergeCell ref="B62:C62"/>
    <mergeCell ref="B23:D23"/>
    <mergeCell ref="B59:C59"/>
    <mergeCell ref="B17:D17"/>
    <mergeCell ref="E5:F5"/>
    <mergeCell ref="B13:D13"/>
    <mergeCell ref="B46:C46"/>
    <mergeCell ref="B66:C66"/>
    <mergeCell ref="B31:C31"/>
    <mergeCell ref="B56:C56"/>
    <mergeCell ref="E8:F8"/>
    <mergeCell ref="B43:C43"/>
    <mergeCell ref="B58:C58"/>
    <mergeCell ref="B39:C39"/>
    <mergeCell ref="B28:D28"/>
    <mergeCell ref="B52:C52"/>
    <mergeCell ref="B70:C70"/>
    <mergeCell ref="B19:D19"/>
    <mergeCell ref="B48:C48"/>
    <mergeCell ref="B67:C67"/>
    <mergeCell ref="B42:C42"/>
    <mergeCell ref="B61:C61"/>
    <mergeCell ref="B60:C60"/>
    <mergeCell ref="B15:D15"/>
    <mergeCell ref="B57:C57"/>
    <mergeCell ref="B53:C53"/>
    <mergeCell ref="B20:D20"/>
    <mergeCell ref="B69:C69"/>
    <mergeCell ref="B38:C38"/>
    <mergeCell ref="E6:F6"/>
    <mergeCell ref="B44:C44"/>
    <mergeCell ref="B34:C34"/>
    <mergeCell ref="B37:C37"/>
    <mergeCell ref="B26:D26"/>
    <mergeCell ref="B40:C40"/>
    <mergeCell ref="B49:C49"/>
    <mergeCell ref="B65:C65"/>
    <mergeCell ref="B16:D16"/>
    <mergeCell ref="B74:F74"/>
    <mergeCell ref="B55:C55"/>
    <mergeCell ref="B30:C30"/>
    <mergeCell ref="B68:C68"/>
    <mergeCell ref="B64:C64"/>
    <mergeCell ref="B33:C33"/>
    <mergeCell ref="E7:F7"/>
    <mergeCell ref="B22:D22"/>
    <mergeCell ref="B51:C51"/>
    <mergeCell ref="B45:C45"/>
    <mergeCell ref="B18:D18"/>
    <mergeCell ref="B27:D27"/>
    <mergeCell ref="B36:C36"/>
    <mergeCell ref="B32:C32"/>
    <mergeCell ref="B21:D21"/>
    <mergeCell ref="B50:C50"/>
    <mergeCell ref="B63:C63"/>
    <mergeCell ref="B41:C41"/>
    <mergeCell ref="B76:F76"/>
    <mergeCell ref="B35:C35"/>
  </mergeCells>
  <dataValidations count="1">
    <dataValidation sqref="I2" showDropDown="0" showInputMessage="1" showErrorMessage="0" allowBlank="1" promptTitle="Pick from the list" prompt="Pick the job to build the proposal for." type="list">
      <formula1>=Jobs!$A$5:$A$44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0.xml><?xml version="1.0" encoding="utf-8"?>
<worksheet xmlns="http://schemas.openxmlformats.org/spreadsheetml/2006/main">
  <sheetPr>
    <tabColor rgb="004A86C8"/>
    <outlinePr summaryBelow="1" summaryRight="1"/>
    <pageSetUpPr fitToPage="1"/>
  </sheetPr>
  <dimension ref="A1:CP204"/>
  <sheetViews>
    <sheetView showGridLines="0" tabSelected="0" zoomScale="90" workbookViewId="0">
      <pane xSplit="10" ySplit="4" topLeftCell="K5" activePane="bottomRight" state="frozen"/>
      <selection pane="topRight"/>
      <selection pane="bottomLeft"/>
      <selection pane="bottomRight" activeCell="A5" sqref="A5"/>
    </sheetView>
  </sheetViews>
  <sheetFormatPr baseColWidth="8" defaultRowHeight="15"/>
  <cols>
    <col width="11" customWidth="1" min="1" max="1"/>
    <col width="30" customWidth="1" min="2" max="2"/>
    <col width="14" customWidth="1" min="3" max="3"/>
    <col width="11" customWidth="1" min="4" max="4"/>
    <col width="10" customWidth="1" min="5" max="5"/>
    <col width="11" customWidth="1" min="6" max="6"/>
    <col width="9" customWidth="1" min="7" max="7"/>
    <col width="12" customWidth="1" min="8" max="8"/>
    <col width="20" customWidth="1" min="9" max="9"/>
    <col width="22"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s>
  <sheetData>
    <row r="1">
      <c r="A1" s="13" t="inlineStr">
        <is>
          <t>Schedule</t>
        </is>
      </c>
    </row>
    <row r="2">
      <c r="A2" s="44" t="inlineStr">
        <is>
          <t>Chart start</t>
        </is>
      </c>
      <c r="B2" s="40">
        <f>TODAY()-WEEKDAY(TODAY(),2)+1</f>
        <v/>
      </c>
      <c r="C2" s="14" t="inlineStr">
        <is>
          <t>Legend:</t>
        </is>
      </c>
      <c r="D2" s="52" t="inlineStr">
        <is>
          <t>planned</t>
        </is>
      </c>
      <c r="E2" s="53" t="inlineStr">
        <is>
          <t>done</t>
        </is>
      </c>
      <c r="F2" s="54" t="inlineStr">
        <is>
          <t>today</t>
        </is>
      </c>
      <c r="G2" s="55" t="inlineStr">
        <is>
          <t>weekend</t>
        </is>
      </c>
      <c r="K2" s="56">
        <f>IF(OR(DAY(K3)=1,11=11),TEXT(K3,"mmm"),"")</f>
        <v/>
      </c>
      <c r="L2" s="56">
        <f>IF(OR(DAY(L3)=1,12=11),TEXT(L3,"mmm"),"")</f>
        <v/>
      </c>
      <c r="M2" s="56">
        <f>IF(OR(DAY(M3)=1,13=11),TEXT(M3,"mmm"),"")</f>
        <v/>
      </c>
      <c r="N2" s="56">
        <f>IF(OR(DAY(N3)=1,14=11),TEXT(N3,"mmm"),"")</f>
        <v/>
      </c>
      <c r="O2" s="56">
        <f>IF(OR(DAY(O3)=1,15=11),TEXT(O3,"mmm"),"")</f>
        <v/>
      </c>
      <c r="P2" s="56">
        <f>IF(OR(DAY(P3)=1,16=11),TEXT(P3,"mmm"),"")</f>
        <v/>
      </c>
      <c r="Q2" s="56">
        <f>IF(OR(DAY(Q3)=1,17=11),TEXT(Q3,"mmm"),"")</f>
        <v/>
      </c>
      <c r="R2" s="56">
        <f>IF(OR(DAY(R3)=1,18=11),TEXT(R3,"mmm"),"")</f>
        <v/>
      </c>
      <c r="S2" s="56">
        <f>IF(OR(DAY(S3)=1,19=11),TEXT(S3,"mmm"),"")</f>
        <v/>
      </c>
      <c r="T2" s="56">
        <f>IF(OR(DAY(T3)=1,20=11),TEXT(T3,"mmm"),"")</f>
        <v/>
      </c>
      <c r="U2" s="56">
        <f>IF(OR(DAY(U3)=1,21=11),TEXT(U3,"mmm"),"")</f>
        <v/>
      </c>
      <c r="V2" s="56">
        <f>IF(OR(DAY(V3)=1,22=11),TEXT(V3,"mmm"),"")</f>
        <v/>
      </c>
      <c r="W2" s="56">
        <f>IF(OR(DAY(W3)=1,23=11),TEXT(W3,"mmm"),"")</f>
        <v/>
      </c>
      <c r="X2" s="56">
        <f>IF(OR(DAY(X3)=1,24=11),TEXT(X3,"mmm"),"")</f>
        <v/>
      </c>
      <c r="Y2" s="56">
        <f>IF(OR(DAY(Y3)=1,25=11),TEXT(Y3,"mmm"),"")</f>
        <v/>
      </c>
      <c r="Z2" s="56">
        <f>IF(OR(DAY(Z3)=1,26=11),TEXT(Z3,"mmm"),"")</f>
        <v/>
      </c>
      <c r="AA2" s="56">
        <f>IF(OR(DAY(AA3)=1,27=11),TEXT(AA3,"mmm"),"")</f>
        <v/>
      </c>
      <c r="AB2" s="56">
        <f>IF(OR(DAY(AB3)=1,28=11),TEXT(AB3,"mmm"),"")</f>
        <v/>
      </c>
      <c r="AC2" s="56">
        <f>IF(OR(DAY(AC3)=1,29=11),TEXT(AC3,"mmm"),"")</f>
        <v/>
      </c>
      <c r="AD2" s="56">
        <f>IF(OR(DAY(AD3)=1,30=11),TEXT(AD3,"mmm"),"")</f>
        <v/>
      </c>
      <c r="AE2" s="56">
        <f>IF(OR(DAY(AE3)=1,31=11),TEXT(AE3,"mmm"),"")</f>
        <v/>
      </c>
      <c r="AF2" s="56">
        <f>IF(OR(DAY(AF3)=1,32=11),TEXT(AF3,"mmm"),"")</f>
        <v/>
      </c>
      <c r="AG2" s="56">
        <f>IF(OR(DAY(AG3)=1,33=11),TEXT(AG3,"mmm"),"")</f>
        <v/>
      </c>
      <c r="AH2" s="56">
        <f>IF(OR(DAY(AH3)=1,34=11),TEXT(AH3,"mmm"),"")</f>
        <v/>
      </c>
      <c r="AI2" s="56">
        <f>IF(OR(DAY(AI3)=1,35=11),TEXT(AI3,"mmm"),"")</f>
        <v/>
      </c>
      <c r="AJ2" s="56">
        <f>IF(OR(DAY(AJ3)=1,36=11),TEXT(AJ3,"mmm"),"")</f>
        <v/>
      </c>
      <c r="AK2" s="56">
        <f>IF(OR(DAY(AK3)=1,37=11),TEXT(AK3,"mmm"),"")</f>
        <v/>
      </c>
      <c r="AL2" s="56">
        <f>IF(OR(DAY(AL3)=1,38=11),TEXT(AL3,"mmm"),"")</f>
        <v/>
      </c>
      <c r="AM2" s="56">
        <f>IF(OR(DAY(AM3)=1,39=11),TEXT(AM3,"mmm"),"")</f>
        <v/>
      </c>
      <c r="AN2" s="56">
        <f>IF(OR(DAY(AN3)=1,40=11),TEXT(AN3,"mmm"),"")</f>
        <v/>
      </c>
      <c r="AO2" s="56">
        <f>IF(OR(DAY(AO3)=1,41=11),TEXT(AO3,"mmm"),"")</f>
        <v/>
      </c>
      <c r="AP2" s="56">
        <f>IF(OR(DAY(AP3)=1,42=11),TEXT(AP3,"mmm"),"")</f>
        <v/>
      </c>
      <c r="AQ2" s="56">
        <f>IF(OR(DAY(AQ3)=1,43=11),TEXT(AQ3,"mmm"),"")</f>
        <v/>
      </c>
      <c r="AR2" s="56">
        <f>IF(OR(DAY(AR3)=1,44=11),TEXT(AR3,"mmm"),"")</f>
        <v/>
      </c>
      <c r="AS2" s="56">
        <f>IF(OR(DAY(AS3)=1,45=11),TEXT(AS3,"mmm"),"")</f>
        <v/>
      </c>
      <c r="AT2" s="56">
        <f>IF(OR(DAY(AT3)=1,46=11),TEXT(AT3,"mmm"),"")</f>
        <v/>
      </c>
      <c r="AU2" s="56">
        <f>IF(OR(DAY(AU3)=1,47=11),TEXT(AU3,"mmm"),"")</f>
        <v/>
      </c>
      <c r="AV2" s="56">
        <f>IF(OR(DAY(AV3)=1,48=11),TEXT(AV3,"mmm"),"")</f>
        <v/>
      </c>
      <c r="AW2" s="56">
        <f>IF(OR(DAY(AW3)=1,49=11),TEXT(AW3,"mmm"),"")</f>
        <v/>
      </c>
      <c r="AX2" s="56">
        <f>IF(OR(DAY(AX3)=1,50=11),TEXT(AX3,"mmm"),"")</f>
        <v/>
      </c>
      <c r="AY2" s="56">
        <f>IF(OR(DAY(AY3)=1,51=11),TEXT(AY3,"mmm"),"")</f>
        <v/>
      </c>
      <c r="AZ2" s="56">
        <f>IF(OR(DAY(AZ3)=1,52=11),TEXT(AZ3,"mmm"),"")</f>
        <v/>
      </c>
      <c r="BA2" s="56">
        <f>IF(OR(DAY(BA3)=1,53=11),TEXT(BA3,"mmm"),"")</f>
        <v/>
      </c>
      <c r="BB2" s="56">
        <f>IF(OR(DAY(BB3)=1,54=11),TEXT(BB3,"mmm"),"")</f>
        <v/>
      </c>
      <c r="BC2" s="56">
        <f>IF(OR(DAY(BC3)=1,55=11),TEXT(BC3,"mmm"),"")</f>
        <v/>
      </c>
      <c r="BD2" s="56">
        <f>IF(OR(DAY(BD3)=1,56=11),TEXT(BD3,"mmm"),"")</f>
        <v/>
      </c>
      <c r="BE2" s="56">
        <f>IF(OR(DAY(BE3)=1,57=11),TEXT(BE3,"mmm"),"")</f>
        <v/>
      </c>
      <c r="BF2" s="56">
        <f>IF(OR(DAY(BF3)=1,58=11),TEXT(BF3,"mmm"),"")</f>
        <v/>
      </c>
      <c r="BG2" s="56">
        <f>IF(OR(DAY(BG3)=1,59=11),TEXT(BG3,"mmm"),"")</f>
        <v/>
      </c>
      <c r="BH2" s="56">
        <f>IF(OR(DAY(BH3)=1,60=11),TEXT(BH3,"mmm"),"")</f>
        <v/>
      </c>
      <c r="BI2" s="56">
        <f>IF(OR(DAY(BI3)=1,61=11),TEXT(BI3,"mmm"),"")</f>
        <v/>
      </c>
      <c r="BJ2" s="56">
        <f>IF(OR(DAY(BJ3)=1,62=11),TEXT(BJ3,"mmm"),"")</f>
        <v/>
      </c>
      <c r="BK2" s="56">
        <f>IF(OR(DAY(BK3)=1,63=11),TEXT(BK3,"mmm"),"")</f>
        <v/>
      </c>
      <c r="BL2" s="56">
        <f>IF(OR(DAY(BL3)=1,64=11),TEXT(BL3,"mmm"),"")</f>
        <v/>
      </c>
      <c r="BM2" s="56">
        <f>IF(OR(DAY(BM3)=1,65=11),TEXT(BM3,"mmm"),"")</f>
        <v/>
      </c>
      <c r="BN2" s="56">
        <f>IF(OR(DAY(BN3)=1,66=11),TEXT(BN3,"mmm"),"")</f>
        <v/>
      </c>
      <c r="BO2" s="56">
        <f>IF(OR(DAY(BO3)=1,67=11),TEXT(BO3,"mmm"),"")</f>
        <v/>
      </c>
      <c r="BP2" s="56">
        <f>IF(OR(DAY(BP3)=1,68=11),TEXT(BP3,"mmm"),"")</f>
        <v/>
      </c>
      <c r="BQ2" s="56">
        <f>IF(OR(DAY(BQ3)=1,69=11),TEXT(BQ3,"mmm"),"")</f>
        <v/>
      </c>
      <c r="BR2" s="56">
        <f>IF(OR(DAY(BR3)=1,70=11),TEXT(BR3,"mmm"),"")</f>
        <v/>
      </c>
      <c r="BS2" s="56">
        <f>IF(OR(DAY(BS3)=1,71=11),TEXT(BS3,"mmm"),"")</f>
        <v/>
      </c>
      <c r="BT2" s="56">
        <f>IF(OR(DAY(BT3)=1,72=11),TEXT(BT3,"mmm"),"")</f>
        <v/>
      </c>
      <c r="BU2" s="56">
        <f>IF(OR(DAY(BU3)=1,73=11),TEXT(BU3,"mmm"),"")</f>
        <v/>
      </c>
      <c r="BV2" s="56">
        <f>IF(OR(DAY(BV3)=1,74=11),TEXT(BV3,"mmm"),"")</f>
        <v/>
      </c>
      <c r="BW2" s="56">
        <f>IF(OR(DAY(BW3)=1,75=11),TEXT(BW3,"mmm"),"")</f>
        <v/>
      </c>
      <c r="BX2" s="56">
        <f>IF(OR(DAY(BX3)=1,76=11),TEXT(BX3,"mmm"),"")</f>
        <v/>
      </c>
      <c r="BY2" s="56">
        <f>IF(OR(DAY(BY3)=1,77=11),TEXT(BY3,"mmm"),"")</f>
        <v/>
      </c>
      <c r="BZ2" s="56">
        <f>IF(OR(DAY(BZ3)=1,78=11),TEXT(BZ3,"mmm"),"")</f>
        <v/>
      </c>
      <c r="CA2" s="56">
        <f>IF(OR(DAY(CA3)=1,79=11),TEXT(CA3,"mmm"),"")</f>
        <v/>
      </c>
      <c r="CB2" s="56">
        <f>IF(OR(DAY(CB3)=1,80=11),TEXT(CB3,"mmm"),"")</f>
        <v/>
      </c>
      <c r="CC2" s="56">
        <f>IF(OR(DAY(CC3)=1,81=11),TEXT(CC3,"mmm"),"")</f>
        <v/>
      </c>
      <c r="CD2" s="56">
        <f>IF(OR(DAY(CD3)=1,82=11),TEXT(CD3,"mmm"),"")</f>
        <v/>
      </c>
      <c r="CE2" s="56">
        <f>IF(OR(DAY(CE3)=1,83=11),TEXT(CE3,"mmm"),"")</f>
        <v/>
      </c>
      <c r="CF2" s="56">
        <f>IF(OR(DAY(CF3)=1,84=11),TEXT(CF3,"mmm"),"")</f>
        <v/>
      </c>
      <c r="CG2" s="56">
        <f>IF(OR(DAY(CG3)=1,85=11),TEXT(CG3,"mmm"),"")</f>
        <v/>
      </c>
      <c r="CH2" s="56">
        <f>IF(OR(DAY(CH3)=1,86=11),TEXT(CH3,"mmm"),"")</f>
        <v/>
      </c>
      <c r="CI2" s="56">
        <f>IF(OR(DAY(CI3)=1,87=11),TEXT(CI3,"mmm"),"")</f>
        <v/>
      </c>
      <c r="CJ2" s="56">
        <f>IF(OR(DAY(CJ3)=1,88=11),TEXT(CJ3,"mmm"),"")</f>
        <v/>
      </c>
      <c r="CK2" s="56">
        <f>IF(OR(DAY(CK3)=1,89=11),TEXT(CK3,"mmm"),"")</f>
        <v/>
      </c>
      <c r="CL2" s="56">
        <f>IF(OR(DAY(CL3)=1,90=11),TEXT(CL3,"mmm"),"")</f>
        <v/>
      </c>
      <c r="CM2" s="56">
        <f>IF(OR(DAY(CM3)=1,91=11),TEXT(CM3,"mmm"),"")</f>
        <v/>
      </c>
      <c r="CN2" s="56">
        <f>IF(OR(DAY(CN3)=1,92=11),TEXT(CN3,"mmm"),"")</f>
        <v/>
      </c>
      <c r="CO2" s="56">
        <f>IF(OR(DAY(CO3)=1,93=11),TEXT(CO3,"mmm"),"")</f>
        <v/>
      </c>
      <c r="CP2" s="56">
        <f>IF(OR(DAY(CP3)=1,94=11),TEXT(CP3,"mmm"),"")</f>
        <v/>
      </c>
    </row>
    <row r="3">
      <c r="K3" s="57">
        <f>$B$2</f>
        <v/>
      </c>
      <c r="L3" s="57">
        <f>K3+1</f>
        <v/>
      </c>
      <c r="M3" s="57">
        <f>L3+1</f>
        <v/>
      </c>
      <c r="N3" s="57">
        <f>M3+1</f>
        <v/>
      </c>
      <c r="O3" s="57">
        <f>N3+1</f>
        <v/>
      </c>
      <c r="P3" s="57">
        <f>O3+1</f>
        <v/>
      </c>
      <c r="Q3" s="57">
        <f>P3+1</f>
        <v/>
      </c>
      <c r="R3" s="57">
        <f>Q3+1</f>
        <v/>
      </c>
      <c r="S3" s="57">
        <f>R3+1</f>
        <v/>
      </c>
      <c r="T3" s="57">
        <f>S3+1</f>
        <v/>
      </c>
      <c r="U3" s="57">
        <f>T3+1</f>
        <v/>
      </c>
      <c r="V3" s="57">
        <f>U3+1</f>
        <v/>
      </c>
      <c r="W3" s="57">
        <f>V3+1</f>
        <v/>
      </c>
      <c r="X3" s="57">
        <f>W3+1</f>
        <v/>
      </c>
      <c r="Y3" s="57">
        <f>X3+1</f>
        <v/>
      </c>
      <c r="Z3" s="57">
        <f>Y3+1</f>
        <v/>
      </c>
      <c r="AA3" s="57">
        <f>Z3+1</f>
        <v/>
      </c>
      <c r="AB3" s="57">
        <f>AA3+1</f>
        <v/>
      </c>
      <c r="AC3" s="57">
        <f>AB3+1</f>
        <v/>
      </c>
      <c r="AD3" s="57">
        <f>AC3+1</f>
        <v/>
      </c>
      <c r="AE3" s="57">
        <f>AD3+1</f>
        <v/>
      </c>
      <c r="AF3" s="57">
        <f>AE3+1</f>
        <v/>
      </c>
      <c r="AG3" s="57">
        <f>AF3+1</f>
        <v/>
      </c>
      <c r="AH3" s="57">
        <f>AG3+1</f>
        <v/>
      </c>
      <c r="AI3" s="57">
        <f>AH3+1</f>
        <v/>
      </c>
      <c r="AJ3" s="57">
        <f>AI3+1</f>
        <v/>
      </c>
      <c r="AK3" s="57">
        <f>AJ3+1</f>
        <v/>
      </c>
      <c r="AL3" s="57">
        <f>AK3+1</f>
        <v/>
      </c>
      <c r="AM3" s="57">
        <f>AL3+1</f>
        <v/>
      </c>
      <c r="AN3" s="57">
        <f>AM3+1</f>
        <v/>
      </c>
      <c r="AO3" s="57">
        <f>AN3+1</f>
        <v/>
      </c>
      <c r="AP3" s="57">
        <f>AO3+1</f>
        <v/>
      </c>
      <c r="AQ3" s="57">
        <f>AP3+1</f>
        <v/>
      </c>
      <c r="AR3" s="57">
        <f>AQ3+1</f>
        <v/>
      </c>
      <c r="AS3" s="57">
        <f>AR3+1</f>
        <v/>
      </c>
      <c r="AT3" s="57">
        <f>AS3+1</f>
        <v/>
      </c>
      <c r="AU3" s="57">
        <f>AT3+1</f>
        <v/>
      </c>
      <c r="AV3" s="57">
        <f>AU3+1</f>
        <v/>
      </c>
      <c r="AW3" s="57">
        <f>AV3+1</f>
        <v/>
      </c>
      <c r="AX3" s="57">
        <f>AW3+1</f>
        <v/>
      </c>
      <c r="AY3" s="57">
        <f>AX3+1</f>
        <v/>
      </c>
      <c r="AZ3" s="57">
        <f>AY3+1</f>
        <v/>
      </c>
      <c r="BA3" s="57">
        <f>AZ3+1</f>
        <v/>
      </c>
      <c r="BB3" s="57">
        <f>BA3+1</f>
        <v/>
      </c>
      <c r="BC3" s="57">
        <f>BB3+1</f>
        <v/>
      </c>
      <c r="BD3" s="57">
        <f>BC3+1</f>
        <v/>
      </c>
      <c r="BE3" s="57">
        <f>BD3+1</f>
        <v/>
      </c>
      <c r="BF3" s="57">
        <f>BE3+1</f>
        <v/>
      </c>
      <c r="BG3" s="57">
        <f>BF3+1</f>
        <v/>
      </c>
      <c r="BH3" s="57">
        <f>BG3+1</f>
        <v/>
      </c>
      <c r="BI3" s="57">
        <f>BH3+1</f>
        <v/>
      </c>
      <c r="BJ3" s="57">
        <f>BI3+1</f>
        <v/>
      </c>
      <c r="BK3" s="57">
        <f>BJ3+1</f>
        <v/>
      </c>
      <c r="BL3" s="57">
        <f>BK3+1</f>
        <v/>
      </c>
      <c r="BM3" s="57">
        <f>BL3+1</f>
        <v/>
      </c>
      <c r="BN3" s="57">
        <f>BM3+1</f>
        <v/>
      </c>
      <c r="BO3" s="57">
        <f>BN3+1</f>
        <v/>
      </c>
      <c r="BP3" s="57">
        <f>BO3+1</f>
        <v/>
      </c>
      <c r="BQ3" s="57">
        <f>BP3+1</f>
        <v/>
      </c>
      <c r="BR3" s="57">
        <f>BQ3+1</f>
        <v/>
      </c>
      <c r="BS3" s="57">
        <f>BR3+1</f>
        <v/>
      </c>
      <c r="BT3" s="57">
        <f>BS3+1</f>
        <v/>
      </c>
      <c r="BU3" s="57">
        <f>BT3+1</f>
        <v/>
      </c>
      <c r="BV3" s="57">
        <f>BU3+1</f>
        <v/>
      </c>
      <c r="BW3" s="57">
        <f>BV3+1</f>
        <v/>
      </c>
      <c r="BX3" s="57">
        <f>BW3+1</f>
        <v/>
      </c>
      <c r="BY3" s="57">
        <f>BX3+1</f>
        <v/>
      </c>
      <c r="BZ3" s="57">
        <f>BY3+1</f>
        <v/>
      </c>
      <c r="CA3" s="57">
        <f>BZ3+1</f>
        <v/>
      </c>
      <c r="CB3" s="57">
        <f>CA3+1</f>
        <v/>
      </c>
      <c r="CC3" s="57">
        <f>CB3+1</f>
        <v/>
      </c>
      <c r="CD3" s="57">
        <f>CC3+1</f>
        <v/>
      </c>
      <c r="CE3" s="57">
        <f>CD3+1</f>
        <v/>
      </c>
      <c r="CF3" s="57">
        <f>CE3+1</f>
        <v/>
      </c>
      <c r="CG3" s="57">
        <f>CF3+1</f>
        <v/>
      </c>
      <c r="CH3" s="57">
        <f>CG3+1</f>
        <v/>
      </c>
      <c r="CI3" s="57">
        <f>CH3+1</f>
        <v/>
      </c>
      <c r="CJ3" s="57">
        <f>CI3+1</f>
        <v/>
      </c>
      <c r="CK3" s="57">
        <f>CJ3+1</f>
        <v/>
      </c>
      <c r="CL3" s="57">
        <f>CK3+1</f>
        <v/>
      </c>
      <c r="CM3" s="57">
        <f>CL3+1</f>
        <v/>
      </c>
      <c r="CN3" s="57">
        <f>CM3+1</f>
        <v/>
      </c>
      <c r="CO3" s="57">
        <f>CN3+1</f>
        <v/>
      </c>
      <c r="CP3" s="57">
        <f>CO3+1</f>
        <v/>
      </c>
    </row>
    <row r="4" ht="30" customHeight="1">
      <c r="A4" s="24" t="inlineStr">
        <is>
          <t>Job ID</t>
        </is>
      </c>
      <c r="B4" s="24" t="inlineStr">
        <is>
          <t>Task</t>
        </is>
      </c>
      <c r="C4" s="24" t="inlineStr">
        <is>
          <t>Assigned to</t>
        </is>
      </c>
      <c r="D4" s="24" t="inlineStr">
        <is>
          <t>Start</t>
        </is>
      </c>
      <c r="E4" s="24" t="inlineStr">
        <is>
          <t>Duration (workdays)</t>
        </is>
      </c>
      <c r="F4" s="24" t="inlineStr">
        <is>
          <t>End</t>
        </is>
      </c>
      <c r="G4" s="24" t="inlineStr">
        <is>
          <t>% Complete</t>
        </is>
      </c>
      <c r="H4" s="24" t="inlineStr">
        <is>
          <t>Status</t>
        </is>
      </c>
      <c r="I4" s="24" t="inlineStr">
        <is>
          <t>Check</t>
        </is>
      </c>
      <c r="J4" s="24" t="inlineStr">
        <is>
          <t>Notes</t>
        </is>
      </c>
      <c r="K4" s="58">
        <f>LEFT(TEXT(K3,"ddd"),1)</f>
        <v/>
      </c>
      <c r="L4" s="58">
        <f>LEFT(TEXT(L3,"ddd"),1)</f>
        <v/>
      </c>
      <c r="M4" s="58">
        <f>LEFT(TEXT(M3,"ddd"),1)</f>
        <v/>
      </c>
      <c r="N4" s="58">
        <f>LEFT(TEXT(N3,"ddd"),1)</f>
        <v/>
      </c>
      <c r="O4" s="58">
        <f>LEFT(TEXT(O3,"ddd"),1)</f>
        <v/>
      </c>
      <c r="P4" s="58">
        <f>LEFT(TEXT(P3,"ddd"),1)</f>
        <v/>
      </c>
      <c r="Q4" s="58">
        <f>LEFT(TEXT(Q3,"ddd"),1)</f>
        <v/>
      </c>
      <c r="R4" s="58">
        <f>LEFT(TEXT(R3,"ddd"),1)</f>
        <v/>
      </c>
      <c r="S4" s="58">
        <f>LEFT(TEXT(S3,"ddd"),1)</f>
        <v/>
      </c>
      <c r="T4" s="58">
        <f>LEFT(TEXT(T3,"ddd"),1)</f>
        <v/>
      </c>
      <c r="U4" s="58">
        <f>LEFT(TEXT(U3,"ddd"),1)</f>
        <v/>
      </c>
      <c r="V4" s="58">
        <f>LEFT(TEXT(V3,"ddd"),1)</f>
        <v/>
      </c>
      <c r="W4" s="58">
        <f>LEFT(TEXT(W3,"ddd"),1)</f>
        <v/>
      </c>
      <c r="X4" s="58">
        <f>LEFT(TEXT(X3,"ddd"),1)</f>
        <v/>
      </c>
      <c r="Y4" s="58">
        <f>LEFT(TEXT(Y3,"ddd"),1)</f>
        <v/>
      </c>
      <c r="Z4" s="58">
        <f>LEFT(TEXT(Z3,"ddd"),1)</f>
        <v/>
      </c>
      <c r="AA4" s="58">
        <f>LEFT(TEXT(AA3,"ddd"),1)</f>
        <v/>
      </c>
      <c r="AB4" s="58">
        <f>LEFT(TEXT(AB3,"ddd"),1)</f>
        <v/>
      </c>
      <c r="AC4" s="58">
        <f>LEFT(TEXT(AC3,"ddd"),1)</f>
        <v/>
      </c>
      <c r="AD4" s="58">
        <f>LEFT(TEXT(AD3,"ddd"),1)</f>
        <v/>
      </c>
      <c r="AE4" s="58">
        <f>LEFT(TEXT(AE3,"ddd"),1)</f>
        <v/>
      </c>
      <c r="AF4" s="58">
        <f>LEFT(TEXT(AF3,"ddd"),1)</f>
        <v/>
      </c>
      <c r="AG4" s="58">
        <f>LEFT(TEXT(AG3,"ddd"),1)</f>
        <v/>
      </c>
      <c r="AH4" s="58">
        <f>LEFT(TEXT(AH3,"ddd"),1)</f>
        <v/>
      </c>
      <c r="AI4" s="58">
        <f>LEFT(TEXT(AI3,"ddd"),1)</f>
        <v/>
      </c>
      <c r="AJ4" s="58">
        <f>LEFT(TEXT(AJ3,"ddd"),1)</f>
        <v/>
      </c>
      <c r="AK4" s="58">
        <f>LEFT(TEXT(AK3,"ddd"),1)</f>
        <v/>
      </c>
      <c r="AL4" s="58">
        <f>LEFT(TEXT(AL3,"ddd"),1)</f>
        <v/>
      </c>
      <c r="AM4" s="58">
        <f>LEFT(TEXT(AM3,"ddd"),1)</f>
        <v/>
      </c>
      <c r="AN4" s="58">
        <f>LEFT(TEXT(AN3,"ddd"),1)</f>
        <v/>
      </c>
      <c r="AO4" s="58">
        <f>LEFT(TEXT(AO3,"ddd"),1)</f>
        <v/>
      </c>
      <c r="AP4" s="58">
        <f>LEFT(TEXT(AP3,"ddd"),1)</f>
        <v/>
      </c>
      <c r="AQ4" s="58">
        <f>LEFT(TEXT(AQ3,"ddd"),1)</f>
        <v/>
      </c>
      <c r="AR4" s="58">
        <f>LEFT(TEXT(AR3,"ddd"),1)</f>
        <v/>
      </c>
      <c r="AS4" s="58">
        <f>LEFT(TEXT(AS3,"ddd"),1)</f>
        <v/>
      </c>
      <c r="AT4" s="58">
        <f>LEFT(TEXT(AT3,"ddd"),1)</f>
        <v/>
      </c>
      <c r="AU4" s="58">
        <f>LEFT(TEXT(AU3,"ddd"),1)</f>
        <v/>
      </c>
      <c r="AV4" s="58">
        <f>LEFT(TEXT(AV3,"ddd"),1)</f>
        <v/>
      </c>
      <c r="AW4" s="58">
        <f>LEFT(TEXT(AW3,"ddd"),1)</f>
        <v/>
      </c>
      <c r="AX4" s="58">
        <f>LEFT(TEXT(AX3,"ddd"),1)</f>
        <v/>
      </c>
      <c r="AY4" s="58">
        <f>LEFT(TEXT(AY3,"ddd"),1)</f>
        <v/>
      </c>
      <c r="AZ4" s="58">
        <f>LEFT(TEXT(AZ3,"ddd"),1)</f>
        <v/>
      </c>
      <c r="BA4" s="58">
        <f>LEFT(TEXT(BA3,"ddd"),1)</f>
        <v/>
      </c>
      <c r="BB4" s="58">
        <f>LEFT(TEXT(BB3,"ddd"),1)</f>
        <v/>
      </c>
      <c r="BC4" s="58">
        <f>LEFT(TEXT(BC3,"ddd"),1)</f>
        <v/>
      </c>
      <c r="BD4" s="58">
        <f>LEFT(TEXT(BD3,"ddd"),1)</f>
        <v/>
      </c>
      <c r="BE4" s="58">
        <f>LEFT(TEXT(BE3,"ddd"),1)</f>
        <v/>
      </c>
      <c r="BF4" s="58">
        <f>LEFT(TEXT(BF3,"ddd"),1)</f>
        <v/>
      </c>
      <c r="BG4" s="58">
        <f>LEFT(TEXT(BG3,"ddd"),1)</f>
        <v/>
      </c>
      <c r="BH4" s="58">
        <f>LEFT(TEXT(BH3,"ddd"),1)</f>
        <v/>
      </c>
      <c r="BI4" s="58">
        <f>LEFT(TEXT(BI3,"ddd"),1)</f>
        <v/>
      </c>
      <c r="BJ4" s="58">
        <f>LEFT(TEXT(BJ3,"ddd"),1)</f>
        <v/>
      </c>
      <c r="BK4" s="58">
        <f>LEFT(TEXT(BK3,"ddd"),1)</f>
        <v/>
      </c>
      <c r="BL4" s="58">
        <f>LEFT(TEXT(BL3,"ddd"),1)</f>
        <v/>
      </c>
      <c r="BM4" s="58">
        <f>LEFT(TEXT(BM3,"ddd"),1)</f>
        <v/>
      </c>
      <c r="BN4" s="58">
        <f>LEFT(TEXT(BN3,"ddd"),1)</f>
        <v/>
      </c>
      <c r="BO4" s="58">
        <f>LEFT(TEXT(BO3,"ddd"),1)</f>
        <v/>
      </c>
      <c r="BP4" s="58">
        <f>LEFT(TEXT(BP3,"ddd"),1)</f>
        <v/>
      </c>
      <c r="BQ4" s="58">
        <f>LEFT(TEXT(BQ3,"ddd"),1)</f>
        <v/>
      </c>
      <c r="BR4" s="58">
        <f>LEFT(TEXT(BR3,"ddd"),1)</f>
        <v/>
      </c>
      <c r="BS4" s="58">
        <f>LEFT(TEXT(BS3,"ddd"),1)</f>
        <v/>
      </c>
      <c r="BT4" s="58">
        <f>LEFT(TEXT(BT3,"ddd"),1)</f>
        <v/>
      </c>
      <c r="BU4" s="58">
        <f>LEFT(TEXT(BU3,"ddd"),1)</f>
        <v/>
      </c>
      <c r="BV4" s="58">
        <f>LEFT(TEXT(BV3,"ddd"),1)</f>
        <v/>
      </c>
      <c r="BW4" s="58">
        <f>LEFT(TEXT(BW3,"ddd"),1)</f>
        <v/>
      </c>
      <c r="BX4" s="58">
        <f>LEFT(TEXT(BX3,"ddd"),1)</f>
        <v/>
      </c>
      <c r="BY4" s="58">
        <f>LEFT(TEXT(BY3,"ddd"),1)</f>
        <v/>
      </c>
      <c r="BZ4" s="58">
        <f>LEFT(TEXT(BZ3,"ddd"),1)</f>
        <v/>
      </c>
      <c r="CA4" s="58">
        <f>LEFT(TEXT(CA3,"ddd"),1)</f>
        <v/>
      </c>
      <c r="CB4" s="58">
        <f>LEFT(TEXT(CB3,"ddd"),1)</f>
        <v/>
      </c>
      <c r="CC4" s="58">
        <f>LEFT(TEXT(CC3,"ddd"),1)</f>
        <v/>
      </c>
      <c r="CD4" s="58">
        <f>LEFT(TEXT(CD3,"ddd"),1)</f>
        <v/>
      </c>
      <c r="CE4" s="58">
        <f>LEFT(TEXT(CE3,"ddd"),1)</f>
        <v/>
      </c>
      <c r="CF4" s="58">
        <f>LEFT(TEXT(CF3,"ddd"),1)</f>
        <v/>
      </c>
      <c r="CG4" s="58">
        <f>LEFT(TEXT(CG3,"ddd"),1)</f>
        <v/>
      </c>
      <c r="CH4" s="58">
        <f>LEFT(TEXT(CH3,"ddd"),1)</f>
        <v/>
      </c>
      <c r="CI4" s="58">
        <f>LEFT(TEXT(CI3,"ddd"),1)</f>
        <v/>
      </c>
      <c r="CJ4" s="58">
        <f>LEFT(TEXT(CJ3,"ddd"),1)</f>
        <v/>
      </c>
      <c r="CK4" s="58">
        <f>LEFT(TEXT(CK3,"ddd"),1)</f>
        <v/>
      </c>
      <c r="CL4" s="58">
        <f>LEFT(TEXT(CL3,"ddd"),1)</f>
        <v/>
      </c>
      <c r="CM4" s="58">
        <f>LEFT(TEXT(CM3,"ddd"),1)</f>
        <v/>
      </c>
      <c r="CN4" s="58">
        <f>LEFT(TEXT(CN3,"ddd"),1)</f>
        <v/>
      </c>
      <c r="CO4" s="58">
        <f>LEFT(TEXT(CO3,"ddd"),1)</f>
        <v/>
      </c>
      <c r="CP4" s="58">
        <f>LEFT(TEXT(CP3,"ddd"),1)</f>
        <v/>
      </c>
    </row>
    <row r="5">
      <c r="A5" s="35" t="n"/>
      <c r="B5" s="35" t="n"/>
      <c r="C5" s="35" t="n"/>
      <c r="D5" s="40" t="n"/>
      <c r="E5" s="35" t="n"/>
      <c r="F5" s="59">
        <f>IF(OR(D5="",E5=""),"",WORKDAY(D5,MAX(E5,1)-1))</f>
        <v/>
      </c>
      <c r="G5" s="36" t="n"/>
      <c r="H5" s="9">
        <f>IF(D5="","",IF(G5&gt;=1,"Done",IF(TODAY()&gt;F5,"Late",IF(TODAY()&gt;=D5,"In progress","Not started"))))</f>
        <v/>
      </c>
      <c r="I5" s="9">
        <f>IF(B5="","",IF(AND(A5&lt;&gt;"",COUNTIF(Jobs!$A$5:$A$44,A5)=0),"Unknown Job ID",IF(D5="","Missing start",IF(E5="","Missing duration",""))))</f>
        <v/>
      </c>
      <c r="J5" s="35" t="n"/>
      <c r="K5" s="60" t="n"/>
      <c r="L5" s="60" t="n"/>
      <c r="M5" s="60" t="n"/>
      <c r="N5" s="60" t="n"/>
      <c r="O5" s="60" t="n"/>
      <c r="P5" s="60" t="n"/>
      <c r="Q5" s="60" t="n"/>
      <c r="R5" s="60" t="n"/>
      <c r="S5" s="60" t="n"/>
      <c r="T5" s="60" t="n"/>
      <c r="U5" s="60" t="n"/>
      <c r="V5" s="60" t="n"/>
      <c r="W5" s="60" t="n"/>
      <c r="X5" s="60" t="n"/>
      <c r="Y5" s="60" t="n"/>
      <c r="Z5" s="60" t="n"/>
      <c r="AA5" s="60" t="n"/>
      <c r="AB5" s="60" t="n"/>
      <c r="AC5" s="60" t="n"/>
      <c r="AD5" s="60" t="n"/>
      <c r="AE5" s="60" t="n"/>
      <c r="AF5" s="60" t="n"/>
      <c r="AG5" s="60" t="n"/>
      <c r="AH5" s="60" t="n"/>
      <c r="AI5" s="60" t="n"/>
      <c r="AJ5" s="60" t="n"/>
      <c r="AK5" s="60" t="n"/>
      <c r="AL5" s="60" t="n"/>
      <c r="AM5" s="60" t="n"/>
      <c r="AN5" s="60"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0"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row>
    <row r="6">
      <c r="A6" s="35" t="n"/>
      <c r="B6" s="35" t="n"/>
      <c r="C6" s="35" t="n"/>
      <c r="D6" s="40" t="n"/>
      <c r="E6" s="35" t="n"/>
      <c r="F6" s="59">
        <f>IF(OR(D6="",E6=""),"",WORKDAY(D6,MAX(E6,1)-1))</f>
        <v/>
      </c>
      <c r="G6" s="36" t="n"/>
      <c r="H6" s="9">
        <f>IF(D6="","",IF(G6&gt;=1,"Done",IF(TODAY()&gt;F6,"Late",IF(TODAY()&gt;=D6,"In progress","Not started"))))</f>
        <v/>
      </c>
      <c r="I6" s="9">
        <f>IF(B6="","",IF(AND(A6&lt;&gt;"",COUNTIF(Jobs!$A$5:$A$44,A6)=0),"Unknown Job ID",IF(D6="","Missing start",IF(E6="","Missing duration",""))))</f>
        <v/>
      </c>
      <c r="J6" s="35" t="n"/>
      <c r="K6" s="60" t="n"/>
      <c r="L6" s="60" t="n"/>
      <c r="M6" s="60" t="n"/>
      <c r="N6" s="60" t="n"/>
      <c r="O6" s="60" t="n"/>
      <c r="P6" s="60" t="n"/>
      <c r="Q6" s="60" t="n"/>
      <c r="R6" s="60" t="n"/>
      <c r="S6" s="60" t="n"/>
      <c r="T6" s="60" t="n"/>
      <c r="U6" s="60" t="n"/>
      <c r="V6" s="60" t="n"/>
      <c r="W6" s="60" t="n"/>
      <c r="X6" s="60" t="n"/>
      <c r="Y6" s="60" t="n"/>
      <c r="Z6" s="60" t="n"/>
      <c r="AA6" s="60" t="n"/>
      <c r="AB6" s="60" t="n"/>
      <c r="AC6" s="60" t="n"/>
      <c r="AD6" s="60" t="n"/>
      <c r="AE6" s="60" t="n"/>
      <c r="AF6" s="60" t="n"/>
      <c r="AG6" s="60" t="n"/>
      <c r="AH6" s="60" t="n"/>
      <c r="AI6" s="60" t="n"/>
      <c r="AJ6" s="60" t="n"/>
      <c r="AK6" s="60" t="n"/>
      <c r="AL6" s="60" t="n"/>
      <c r="AM6" s="60" t="n"/>
      <c r="AN6" s="60"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0"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row>
    <row r="7">
      <c r="A7" s="35" t="n"/>
      <c r="B7" s="35" t="n"/>
      <c r="C7" s="35" t="n"/>
      <c r="D7" s="40" t="n"/>
      <c r="E7" s="35" t="n"/>
      <c r="F7" s="59">
        <f>IF(OR(D7="",E7=""),"",WORKDAY(D7,MAX(E7,1)-1))</f>
        <v/>
      </c>
      <c r="G7" s="36" t="n"/>
      <c r="H7" s="9">
        <f>IF(D7="","",IF(G7&gt;=1,"Done",IF(TODAY()&gt;F7,"Late",IF(TODAY()&gt;=D7,"In progress","Not started"))))</f>
        <v/>
      </c>
      <c r="I7" s="9">
        <f>IF(B7="","",IF(AND(A7&lt;&gt;"",COUNTIF(Jobs!$A$5:$A$44,A7)=0),"Unknown Job ID",IF(D7="","Missing start",IF(E7="","Missing duration",""))))</f>
        <v/>
      </c>
      <c r="J7" s="35" t="n"/>
      <c r="K7" s="60" t="n"/>
      <c r="L7" s="60" t="n"/>
      <c r="M7" s="60" t="n"/>
      <c r="N7" s="60" t="n"/>
      <c r="O7" s="60" t="n"/>
      <c r="P7" s="60" t="n"/>
      <c r="Q7" s="60" t="n"/>
      <c r="R7" s="60" t="n"/>
      <c r="S7" s="60" t="n"/>
      <c r="T7" s="60" t="n"/>
      <c r="U7" s="60" t="n"/>
      <c r="V7" s="60" t="n"/>
      <c r="W7" s="60" t="n"/>
      <c r="X7" s="60" t="n"/>
      <c r="Y7" s="60" t="n"/>
      <c r="Z7" s="60" t="n"/>
      <c r="AA7" s="60" t="n"/>
      <c r="AB7" s="60" t="n"/>
      <c r="AC7" s="60" t="n"/>
      <c r="AD7" s="60" t="n"/>
      <c r="AE7" s="60" t="n"/>
      <c r="AF7" s="60" t="n"/>
      <c r="AG7" s="60" t="n"/>
      <c r="AH7" s="60" t="n"/>
      <c r="AI7" s="60" t="n"/>
      <c r="AJ7" s="60" t="n"/>
      <c r="AK7" s="60" t="n"/>
      <c r="AL7" s="60" t="n"/>
      <c r="AM7" s="60" t="n"/>
      <c r="AN7" s="60"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0"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row>
    <row r="8">
      <c r="A8" s="35" t="n"/>
      <c r="B8" s="35" t="n"/>
      <c r="C8" s="35" t="n"/>
      <c r="D8" s="40" t="n"/>
      <c r="E8" s="35" t="n"/>
      <c r="F8" s="59">
        <f>IF(OR(D8="",E8=""),"",WORKDAY(D8,MAX(E8,1)-1))</f>
        <v/>
      </c>
      <c r="G8" s="36" t="n"/>
      <c r="H8" s="9">
        <f>IF(D8="","",IF(G8&gt;=1,"Done",IF(TODAY()&gt;F8,"Late",IF(TODAY()&gt;=D8,"In progress","Not started"))))</f>
        <v/>
      </c>
      <c r="I8" s="9">
        <f>IF(B8="","",IF(AND(A8&lt;&gt;"",COUNTIF(Jobs!$A$5:$A$44,A8)=0),"Unknown Job ID",IF(D8="","Missing start",IF(E8="","Missing duration",""))))</f>
        <v/>
      </c>
      <c r="J8" s="35" t="n"/>
      <c r="K8" s="60" t="n"/>
      <c r="L8" s="60" t="n"/>
      <c r="M8" s="60" t="n"/>
      <c r="N8" s="60" t="n"/>
      <c r="O8" s="60" t="n"/>
      <c r="P8" s="60" t="n"/>
      <c r="Q8" s="60" t="n"/>
      <c r="R8" s="60" t="n"/>
      <c r="S8" s="60" t="n"/>
      <c r="T8" s="60" t="n"/>
      <c r="U8" s="60" t="n"/>
      <c r="V8" s="60" t="n"/>
      <c r="W8" s="60" t="n"/>
      <c r="X8" s="60" t="n"/>
      <c r="Y8" s="60" t="n"/>
      <c r="Z8" s="60" t="n"/>
      <c r="AA8" s="60" t="n"/>
      <c r="AB8" s="60" t="n"/>
      <c r="AC8" s="60" t="n"/>
      <c r="AD8" s="60" t="n"/>
      <c r="AE8" s="60" t="n"/>
      <c r="AF8" s="60" t="n"/>
      <c r="AG8" s="60" t="n"/>
      <c r="AH8" s="60" t="n"/>
      <c r="AI8" s="60" t="n"/>
      <c r="AJ8" s="60" t="n"/>
      <c r="AK8" s="60" t="n"/>
      <c r="AL8" s="60" t="n"/>
      <c r="AM8" s="60" t="n"/>
      <c r="AN8" s="60"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0"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row>
    <row r="9">
      <c r="A9" s="35" t="n"/>
      <c r="B9" s="35" t="n"/>
      <c r="C9" s="35" t="n"/>
      <c r="D9" s="40" t="n"/>
      <c r="E9" s="35" t="n"/>
      <c r="F9" s="59">
        <f>IF(OR(D9="",E9=""),"",WORKDAY(D9,MAX(E9,1)-1))</f>
        <v/>
      </c>
      <c r="G9" s="36" t="n"/>
      <c r="H9" s="9">
        <f>IF(D9="","",IF(G9&gt;=1,"Done",IF(TODAY()&gt;F9,"Late",IF(TODAY()&gt;=D9,"In progress","Not started"))))</f>
        <v/>
      </c>
      <c r="I9" s="9">
        <f>IF(B9="","",IF(AND(A9&lt;&gt;"",COUNTIF(Jobs!$A$5:$A$44,A9)=0),"Unknown Job ID",IF(D9="","Missing start",IF(E9="","Missing duration",""))))</f>
        <v/>
      </c>
      <c r="J9" s="35" t="n"/>
      <c r="K9" s="60" t="n"/>
      <c r="L9" s="60" t="n"/>
      <c r="M9" s="60" t="n"/>
      <c r="N9" s="60" t="n"/>
      <c r="O9" s="60" t="n"/>
      <c r="P9" s="60" t="n"/>
      <c r="Q9" s="60" t="n"/>
      <c r="R9" s="60" t="n"/>
      <c r="S9" s="60" t="n"/>
      <c r="T9" s="60" t="n"/>
      <c r="U9" s="60" t="n"/>
      <c r="V9" s="60" t="n"/>
      <c r="W9" s="60" t="n"/>
      <c r="X9" s="60" t="n"/>
      <c r="Y9" s="60" t="n"/>
      <c r="Z9" s="60" t="n"/>
      <c r="AA9" s="60" t="n"/>
      <c r="AB9" s="60" t="n"/>
      <c r="AC9" s="60" t="n"/>
      <c r="AD9" s="60" t="n"/>
      <c r="AE9" s="60" t="n"/>
      <c r="AF9" s="60" t="n"/>
      <c r="AG9" s="60" t="n"/>
      <c r="AH9" s="60" t="n"/>
      <c r="AI9" s="60" t="n"/>
      <c r="AJ9" s="60" t="n"/>
      <c r="AK9" s="60" t="n"/>
      <c r="AL9" s="60" t="n"/>
      <c r="AM9" s="60" t="n"/>
      <c r="AN9" s="60" t="n"/>
      <c r="AO9" s="60" t="n"/>
      <c r="AP9" s="60" t="n"/>
      <c r="AQ9" s="60" t="n"/>
      <c r="AR9" s="60" t="n"/>
      <c r="AS9" s="60" t="n"/>
      <c r="AT9" s="60" t="n"/>
      <c r="AU9" s="60" t="n"/>
      <c r="AV9" s="60" t="n"/>
      <c r="AW9" s="60" t="n"/>
      <c r="AX9" s="60" t="n"/>
      <c r="AY9" s="60" t="n"/>
      <c r="AZ9" s="60" t="n"/>
      <c r="BA9" s="60" t="n"/>
      <c r="BB9" s="60" t="n"/>
      <c r="BC9" s="60" t="n"/>
      <c r="BD9" s="60" t="n"/>
      <c r="BE9" s="60" t="n"/>
      <c r="BF9" s="60" t="n"/>
      <c r="BG9" s="60" t="n"/>
      <c r="BH9" s="60" t="n"/>
      <c r="BI9" s="60" t="n"/>
      <c r="BJ9" s="60" t="n"/>
      <c r="BK9" s="60" t="n"/>
      <c r="BL9" s="60" t="n"/>
      <c r="BM9" s="60" t="n"/>
      <c r="BN9" s="60" t="n"/>
      <c r="BO9" s="60" t="n"/>
      <c r="BP9" s="60"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row>
    <row r="10">
      <c r="A10" s="35" t="n"/>
      <c r="B10" s="35" t="n"/>
      <c r="C10" s="35" t="n"/>
      <c r="D10" s="40" t="n"/>
      <c r="E10" s="35" t="n"/>
      <c r="F10" s="59">
        <f>IF(OR(D10="",E10=""),"",WORKDAY(D10,MAX(E10,1)-1))</f>
        <v/>
      </c>
      <c r="G10" s="36" t="n"/>
      <c r="H10" s="9">
        <f>IF(D10="","",IF(G10&gt;=1,"Done",IF(TODAY()&gt;F10,"Late",IF(TODAY()&gt;=D10,"In progress","Not started"))))</f>
        <v/>
      </c>
      <c r="I10" s="9">
        <f>IF(B10="","",IF(AND(A10&lt;&gt;"",COUNTIF(Jobs!$A$5:$A$44,A10)=0),"Unknown Job ID",IF(D10="","Missing start",IF(E10="","Missing duration",""))))</f>
        <v/>
      </c>
      <c r="J10" s="35" t="n"/>
      <c r="K10" s="60" t="n"/>
      <c r="L10" s="60" t="n"/>
      <c r="M10" s="60" t="n"/>
      <c r="N10" s="60" t="n"/>
      <c r="O10" s="60" t="n"/>
      <c r="P10" s="60" t="n"/>
      <c r="Q10" s="60" t="n"/>
      <c r="R10" s="60" t="n"/>
      <c r="S10" s="60" t="n"/>
      <c r="T10" s="60" t="n"/>
      <c r="U10" s="60" t="n"/>
      <c r="V10" s="60" t="n"/>
      <c r="W10" s="60" t="n"/>
      <c r="X10" s="60" t="n"/>
      <c r="Y10" s="60" t="n"/>
      <c r="Z10" s="60" t="n"/>
      <c r="AA10" s="60" t="n"/>
      <c r="AB10" s="60" t="n"/>
      <c r="AC10" s="60" t="n"/>
      <c r="AD10" s="60" t="n"/>
      <c r="AE10" s="60" t="n"/>
      <c r="AF10" s="60" t="n"/>
      <c r="AG10" s="60" t="n"/>
      <c r="AH10" s="60" t="n"/>
      <c r="AI10" s="60" t="n"/>
      <c r="AJ10" s="60" t="n"/>
      <c r="AK10" s="60" t="n"/>
      <c r="AL10" s="60" t="n"/>
      <c r="AM10" s="60" t="n"/>
      <c r="AN10" s="60"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0"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row>
    <row r="11">
      <c r="A11" s="35" t="n"/>
      <c r="B11" s="35" t="n"/>
      <c r="C11" s="35" t="n"/>
      <c r="D11" s="40" t="n"/>
      <c r="E11" s="35" t="n"/>
      <c r="F11" s="59">
        <f>IF(OR(D11="",E11=""),"",WORKDAY(D11,MAX(E11,1)-1))</f>
        <v/>
      </c>
      <c r="G11" s="36" t="n"/>
      <c r="H11" s="9">
        <f>IF(D11="","",IF(G11&gt;=1,"Done",IF(TODAY()&gt;F11,"Late",IF(TODAY()&gt;=D11,"In progress","Not started"))))</f>
        <v/>
      </c>
      <c r="I11" s="9">
        <f>IF(B11="","",IF(AND(A11&lt;&gt;"",COUNTIF(Jobs!$A$5:$A$44,A11)=0),"Unknown Job ID",IF(D11="","Missing start",IF(E11="","Missing duration",""))))</f>
        <v/>
      </c>
      <c r="J11" s="35" t="n"/>
      <c r="K11" s="60" t="n"/>
      <c r="L11" s="60" t="n"/>
      <c r="M11" s="60" t="n"/>
      <c r="N11" s="60" t="n"/>
      <c r="O11" s="60" t="n"/>
      <c r="P11" s="60" t="n"/>
      <c r="Q11" s="60" t="n"/>
      <c r="R11" s="60" t="n"/>
      <c r="S11" s="60" t="n"/>
      <c r="T11" s="60" t="n"/>
      <c r="U11" s="60" t="n"/>
      <c r="V11" s="60" t="n"/>
      <c r="W11" s="60" t="n"/>
      <c r="X11" s="60" t="n"/>
      <c r="Y11" s="60" t="n"/>
      <c r="Z11" s="60" t="n"/>
      <c r="AA11" s="60" t="n"/>
      <c r="AB11" s="60" t="n"/>
      <c r="AC11" s="60" t="n"/>
      <c r="AD11" s="60" t="n"/>
      <c r="AE11" s="60" t="n"/>
      <c r="AF11" s="60" t="n"/>
      <c r="AG11" s="60" t="n"/>
      <c r="AH11" s="60" t="n"/>
      <c r="AI11" s="60" t="n"/>
      <c r="AJ11" s="60" t="n"/>
      <c r="AK11" s="60" t="n"/>
      <c r="AL11" s="60" t="n"/>
      <c r="AM11" s="60" t="n"/>
      <c r="AN11" s="60"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0"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row>
    <row r="12">
      <c r="A12" s="35" t="n"/>
      <c r="B12" s="35" t="n"/>
      <c r="C12" s="35" t="n"/>
      <c r="D12" s="40" t="n"/>
      <c r="E12" s="35" t="n"/>
      <c r="F12" s="59">
        <f>IF(OR(D12="",E12=""),"",WORKDAY(D12,MAX(E12,1)-1))</f>
        <v/>
      </c>
      <c r="G12" s="36" t="n"/>
      <c r="H12" s="9">
        <f>IF(D12="","",IF(G12&gt;=1,"Done",IF(TODAY()&gt;F12,"Late",IF(TODAY()&gt;=D12,"In progress","Not started"))))</f>
        <v/>
      </c>
      <c r="I12" s="9">
        <f>IF(B12="","",IF(AND(A12&lt;&gt;"",COUNTIF(Jobs!$A$5:$A$44,A12)=0),"Unknown Job ID",IF(D12="","Missing start",IF(E12="","Missing duration",""))))</f>
        <v/>
      </c>
      <c r="J12" s="35"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c r="AL12" s="60" t="n"/>
      <c r="AM12" s="60" t="n"/>
      <c r="AN12" s="60"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0"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row>
    <row r="13">
      <c r="A13" s="35" t="n"/>
      <c r="B13" s="35" t="n"/>
      <c r="C13" s="35" t="n"/>
      <c r="D13" s="40" t="n"/>
      <c r="E13" s="35" t="n"/>
      <c r="F13" s="59">
        <f>IF(OR(D13="",E13=""),"",WORKDAY(D13,MAX(E13,1)-1))</f>
        <v/>
      </c>
      <c r="G13" s="36" t="n"/>
      <c r="H13" s="9">
        <f>IF(D13="","",IF(G13&gt;=1,"Done",IF(TODAY()&gt;F13,"Late",IF(TODAY()&gt;=D13,"In progress","Not started"))))</f>
        <v/>
      </c>
      <c r="I13" s="9">
        <f>IF(B13="","",IF(AND(A13&lt;&gt;"",COUNTIF(Jobs!$A$5:$A$44,A13)=0),"Unknown Job ID",IF(D13="","Missing start",IF(E13="","Missing duration",""))))</f>
        <v/>
      </c>
      <c r="J13" s="35"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c r="AL13" s="60" t="n"/>
      <c r="AM13" s="60" t="n"/>
      <c r="AN13" s="60"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0"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row>
    <row r="14">
      <c r="A14" s="35" t="n"/>
      <c r="B14" s="35" t="n"/>
      <c r="C14" s="35" t="n"/>
      <c r="D14" s="40" t="n"/>
      <c r="E14" s="35" t="n"/>
      <c r="F14" s="59">
        <f>IF(OR(D14="",E14=""),"",WORKDAY(D14,MAX(E14,1)-1))</f>
        <v/>
      </c>
      <c r="G14" s="36" t="n"/>
      <c r="H14" s="9">
        <f>IF(D14="","",IF(G14&gt;=1,"Done",IF(TODAY()&gt;F14,"Late",IF(TODAY()&gt;=D14,"In progress","Not started"))))</f>
        <v/>
      </c>
      <c r="I14" s="9">
        <f>IF(B14="","",IF(AND(A14&lt;&gt;"",COUNTIF(Jobs!$A$5:$A$44,A14)=0),"Unknown Job ID",IF(D14="","Missing start",IF(E14="","Missing duration",""))))</f>
        <v/>
      </c>
      <c r="J14" s="35" t="n"/>
      <c r="K14" s="60" t="n"/>
      <c r="L14" s="60" t="n"/>
      <c r="M14" s="60" t="n"/>
      <c r="N14" s="60" t="n"/>
      <c r="O14" s="60" t="n"/>
      <c r="P14" s="60" t="n"/>
      <c r="Q14" s="60" t="n"/>
      <c r="R14" s="60" t="n"/>
      <c r="S14" s="60" t="n"/>
      <c r="T14" s="60" t="n"/>
      <c r="U14" s="60" t="n"/>
      <c r="V14" s="60" t="n"/>
      <c r="W14" s="60" t="n"/>
      <c r="X14" s="60" t="n"/>
      <c r="Y14" s="60" t="n"/>
      <c r="Z14" s="60" t="n"/>
      <c r="AA14" s="60" t="n"/>
      <c r="AB14" s="60" t="n"/>
      <c r="AC14" s="60" t="n"/>
      <c r="AD14" s="60" t="n"/>
      <c r="AE14" s="60" t="n"/>
      <c r="AF14" s="60" t="n"/>
      <c r="AG14" s="60" t="n"/>
      <c r="AH14" s="60" t="n"/>
      <c r="AI14" s="60" t="n"/>
      <c r="AJ14" s="60" t="n"/>
      <c r="AK14" s="60" t="n"/>
      <c r="AL14" s="60" t="n"/>
      <c r="AM14" s="60" t="n"/>
      <c r="AN14" s="60" t="n"/>
      <c r="AO14" s="60" t="n"/>
      <c r="AP14" s="60" t="n"/>
      <c r="AQ14" s="60" t="n"/>
      <c r="AR14" s="60" t="n"/>
      <c r="AS14" s="60" t="n"/>
      <c r="AT14" s="60" t="n"/>
      <c r="AU14" s="60" t="n"/>
      <c r="AV14" s="60" t="n"/>
      <c r="AW14" s="60" t="n"/>
      <c r="AX14" s="60" t="n"/>
      <c r="AY14" s="60" t="n"/>
      <c r="AZ14" s="60" t="n"/>
      <c r="BA14" s="60" t="n"/>
      <c r="BB14" s="60" t="n"/>
      <c r="BC14" s="60" t="n"/>
      <c r="BD14" s="60" t="n"/>
      <c r="BE14" s="60" t="n"/>
      <c r="BF14" s="60" t="n"/>
      <c r="BG14" s="60" t="n"/>
      <c r="BH14" s="60" t="n"/>
      <c r="BI14" s="60" t="n"/>
      <c r="BJ14" s="60" t="n"/>
      <c r="BK14" s="60" t="n"/>
      <c r="BL14" s="60" t="n"/>
      <c r="BM14" s="60" t="n"/>
      <c r="BN14" s="60" t="n"/>
      <c r="BO14" s="60" t="n"/>
      <c r="BP14" s="60" t="n"/>
      <c r="BQ14" s="60" t="n"/>
      <c r="BR14" s="60" t="n"/>
      <c r="BS14" s="60" t="n"/>
      <c r="BT14" s="60" t="n"/>
      <c r="BU14" s="60" t="n"/>
      <c r="BV14" s="60" t="n"/>
      <c r="BW14" s="60" t="n"/>
      <c r="BX14" s="60" t="n"/>
      <c r="BY14" s="60" t="n"/>
      <c r="BZ14" s="60" t="n"/>
      <c r="CA14" s="60" t="n"/>
      <c r="CB14" s="60" t="n"/>
      <c r="CC14" s="60" t="n"/>
      <c r="CD14" s="60" t="n"/>
      <c r="CE14" s="60" t="n"/>
      <c r="CF14" s="60" t="n"/>
      <c r="CG14" s="60" t="n"/>
      <c r="CH14" s="60" t="n"/>
      <c r="CI14" s="60" t="n"/>
      <c r="CJ14" s="60" t="n"/>
      <c r="CK14" s="60" t="n"/>
      <c r="CL14" s="60" t="n"/>
      <c r="CM14" s="60" t="n"/>
      <c r="CN14" s="60" t="n"/>
      <c r="CO14" s="60" t="n"/>
      <c r="CP14" s="60" t="n"/>
    </row>
    <row r="15">
      <c r="A15" s="35" t="n"/>
      <c r="B15" s="35" t="n"/>
      <c r="C15" s="35" t="n"/>
      <c r="D15" s="40" t="n"/>
      <c r="E15" s="35" t="n"/>
      <c r="F15" s="59">
        <f>IF(OR(D15="",E15=""),"",WORKDAY(D15,MAX(E15,1)-1))</f>
        <v/>
      </c>
      <c r="G15" s="36" t="n"/>
      <c r="H15" s="9">
        <f>IF(D15="","",IF(G15&gt;=1,"Done",IF(TODAY()&gt;F15,"Late",IF(TODAY()&gt;=D15,"In progress","Not started"))))</f>
        <v/>
      </c>
      <c r="I15" s="9">
        <f>IF(B15="","",IF(AND(A15&lt;&gt;"",COUNTIF(Jobs!$A$5:$A$44,A15)=0),"Unknown Job ID",IF(D15="","Missing start",IF(E15="","Missing duration",""))))</f>
        <v/>
      </c>
      <c r="J15" s="35" t="n"/>
      <c r="K15" s="60" t="n"/>
      <c r="L15" s="60" t="n"/>
      <c r="M15" s="60" t="n"/>
      <c r="N15" s="60" t="n"/>
      <c r="O15" s="60" t="n"/>
      <c r="P15" s="60" t="n"/>
      <c r="Q15" s="60" t="n"/>
      <c r="R15" s="60" t="n"/>
      <c r="S15" s="60" t="n"/>
      <c r="T15" s="60" t="n"/>
      <c r="U15" s="60" t="n"/>
      <c r="V15" s="60" t="n"/>
      <c r="W15" s="60" t="n"/>
      <c r="X15" s="60" t="n"/>
      <c r="Y15" s="60" t="n"/>
      <c r="Z15" s="60" t="n"/>
      <c r="AA15" s="60" t="n"/>
      <c r="AB15" s="60" t="n"/>
      <c r="AC15" s="60" t="n"/>
      <c r="AD15" s="60" t="n"/>
      <c r="AE15" s="60" t="n"/>
      <c r="AF15" s="60" t="n"/>
      <c r="AG15" s="60" t="n"/>
      <c r="AH15" s="60" t="n"/>
      <c r="AI15" s="60" t="n"/>
      <c r="AJ15" s="60" t="n"/>
      <c r="AK15" s="60" t="n"/>
      <c r="AL15" s="60" t="n"/>
      <c r="AM15" s="60" t="n"/>
      <c r="AN15" s="60" t="n"/>
      <c r="AO15" s="60" t="n"/>
      <c r="AP15" s="60" t="n"/>
      <c r="AQ15" s="60" t="n"/>
      <c r="AR15" s="60" t="n"/>
      <c r="AS15" s="60" t="n"/>
      <c r="AT15" s="60" t="n"/>
      <c r="AU15" s="60" t="n"/>
      <c r="AV15" s="60" t="n"/>
      <c r="AW15" s="60" t="n"/>
      <c r="AX15" s="60" t="n"/>
      <c r="AY15" s="60" t="n"/>
      <c r="AZ15" s="60" t="n"/>
      <c r="BA15" s="60" t="n"/>
      <c r="BB15" s="60" t="n"/>
      <c r="BC15" s="60" t="n"/>
      <c r="BD15" s="60" t="n"/>
      <c r="BE15" s="60" t="n"/>
      <c r="BF15" s="60" t="n"/>
      <c r="BG15" s="60" t="n"/>
      <c r="BH15" s="60" t="n"/>
      <c r="BI15" s="60" t="n"/>
      <c r="BJ15" s="60" t="n"/>
      <c r="BK15" s="60" t="n"/>
      <c r="BL15" s="60" t="n"/>
      <c r="BM15" s="60" t="n"/>
      <c r="BN15" s="60" t="n"/>
      <c r="BO15" s="60" t="n"/>
      <c r="BP15" s="60" t="n"/>
      <c r="BQ15" s="60" t="n"/>
      <c r="BR15" s="60" t="n"/>
      <c r="BS15" s="60" t="n"/>
      <c r="BT15" s="60" t="n"/>
      <c r="BU15" s="60" t="n"/>
      <c r="BV15" s="60" t="n"/>
      <c r="BW15" s="60" t="n"/>
      <c r="BX15" s="60" t="n"/>
      <c r="BY15" s="60" t="n"/>
      <c r="BZ15" s="60" t="n"/>
      <c r="CA15" s="60" t="n"/>
      <c r="CB15" s="60" t="n"/>
      <c r="CC15" s="60" t="n"/>
      <c r="CD15" s="60" t="n"/>
      <c r="CE15" s="60" t="n"/>
      <c r="CF15" s="60" t="n"/>
      <c r="CG15" s="60" t="n"/>
      <c r="CH15" s="60" t="n"/>
      <c r="CI15" s="60" t="n"/>
      <c r="CJ15" s="60" t="n"/>
      <c r="CK15" s="60" t="n"/>
      <c r="CL15" s="60" t="n"/>
      <c r="CM15" s="60" t="n"/>
      <c r="CN15" s="60" t="n"/>
      <c r="CO15" s="60" t="n"/>
      <c r="CP15" s="60" t="n"/>
    </row>
    <row r="16">
      <c r="A16" s="35" t="n"/>
      <c r="B16" s="35" t="n"/>
      <c r="C16" s="35" t="n"/>
      <c r="D16" s="40" t="n"/>
      <c r="E16" s="35" t="n"/>
      <c r="F16" s="59">
        <f>IF(OR(D16="",E16=""),"",WORKDAY(D16,MAX(E16,1)-1))</f>
        <v/>
      </c>
      <c r="G16" s="36" t="n"/>
      <c r="H16" s="9">
        <f>IF(D16="","",IF(G16&gt;=1,"Done",IF(TODAY()&gt;F16,"Late",IF(TODAY()&gt;=D16,"In progress","Not started"))))</f>
        <v/>
      </c>
      <c r="I16" s="9">
        <f>IF(B16="","",IF(AND(A16&lt;&gt;"",COUNTIF(Jobs!$A$5:$A$44,A16)=0),"Unknown Job ID",IF(D16="","Missing start",IF(E16="","Missing duration",""))))</f>
        <v/>
      </c>
      <c r="J16" s="35" t="n"/>
      <c r="K16" s="60" t="n"/>
      <c r="L16" s="60" t="n"/>
      <c r="M16" s="60" t="n"/>
      <c r="N16" s="60" t="n"/>
      <c r="O16" s="60" t="n"/>
      <c r="P16" s="60" t="n"/>
      <c r="Q16" s="60" t="n"/>
      <c r="R16" s="60" t="n"/>
      <c r="S16" s="60" t="n"/>
      <c r="T16" s="60" t="n"/>
      <c r="U16" s="60" t="n"/>
      <c r="V16" s="60" t="n"/>
      <c r="W16" s="60" t="n"/>
      <c r="X16" s="60" t="n"/>
      <c r="Y16" s="60" t="n"/>
      <c r="Z16" s="60" t="n"/>
      <c r="AA16" s="60" t="n"/>
      <c r="AB16" s="60" t="n"/>
      <c r="AC16" s="60" t="n"/>
      <c r="AD16" s="60" t="n"/>
      <c r="AE16" s="60" t="n"/>
      <c r="AF16" s="60" t="n"/>
      <c r="AG16" s="60" t="n"/>
      <c r="AH16" s="60" t="n"/>
      <c r="AI16" s="60" t="n"/>
      <c r="AJ16" s="60" t="n"/>
      <c r="AK16" s="60" t="n"/>
      <c r="AL16" s="60" t="n"/>
      <c r="AM16" s="60" t="n"/>
      <c r="AN16" s="60" t="n"/>
      <c r="AO16" s="60" t="n"/>
      <c r="AP16" s="60" t="n"/>
      <c r="AQ16" s="60" t="n"/>
      <c r="AR16" s="60" t="n"/>
      <c r="AS16" s="60" t="n"/>
      <c r="AT16" s="60" t="n"/>
      <c r="AU16" s="60" t="n"/>
      <c r="AV16" s="60" t="n"/>
      <c r="AW16" s="60" t="n"/>
      <c r="AX16" s="60" t="n"/>
      <c r="AY16" s="60" t="n"/>
      <c r="AZ16" s="60" t="n"/>
      <c r="BA16" s="60" t="n"/>
      <c r="BB16" s="60" t="n"/>
      <c r="BC16" s="60" t="n"/>
      <c r="BD16" s="60" t="n"/>
      <c r="BE16" s="60" t="n"/>
      <c r="BF16" s="60" t="n"/>
      <c r="BG16" s="60" t="n"/>
      <c r="BH16" s="60" t="n"/>
      <c r="BI16" s="60" t="n"/>
      <c r="BJ16" s="60" t="n"/>
      <c r="BK16" s="60" t="n"/>
      <c r="BL16" s="60" t="n"/>
      <c r="BM16" s="60" t="n"/>
      <c r="BN16" s="60" t="n"/>
      <c r="BO16" s="60" t="n"/>
      <c r="BP16" s="60" t="n"/>
      <c r="BQ16" s="60" t="n"/>
      <c r="BR16" s="60" t="n"/>
      <c r="BS16" s="60" t="n"/>
      <c r="BT16" s="60" t="n"/>
      <c r="BU16" s="60" t="n"/>
      <c r="BV16" s="60" t="n"/>
      <c r="BW16" s="60" t="n"/>
      <c r="BX16" s="60" t="n"/>
      <c r="BY16" s="60" t="n"/>
      <c r="BZ16" s="60" t="n"/>
      <c r="CA16" s="60" t="n"/>
      <c r="CB16" s="60" t="n"/>
      <c r="CC16" s="60" t="n"/>
      <c r="CD16" s="60" t="n"/>
      <c r="CE16" s="60" t="n"/>
      <c r="CF16" s="60" t="n"/>
      <c r="CG16" s="60" t="n"/>
      <c r="CH16" s="60" t="n"/>
      <c r="CI16" s="60" t="n"/>
      <c r="CJ16" s="60" t="n"/>
      <c r="CK16" s="60" t="n"/>
      <c r="CL16" s="60" t="n"/>
      <c r="CM16" s="60" t="n"/>
      <c r="CN16" s="60" t="n"/>
      <c r="CO16" s="60" t="n"/>
      <c r="CP16" s="60" t="n"/>
    </row>
    <row r="17">
      <c r="A17" s="35" t="n"/>
      <c r="B17" s="35" t="n"/>
      <c r="C17" s="35" t="n"/>
      <c r="D17" s="40" t="n"/>
      <c r="E17" s="35" t="n"/>
      <c r="F17" s="59">
        <f>IF(OR(D17="",E17=""),"",WORKDAY(D17,MAX(E17,1)-1))</f>
        <v/>
      </c>
      <c r="G17" s="36" t="n"/>
      <c r="H17" s="9">
        <f>IF(D17="","",IF(G17&gt;=1,"Done",IF(TODAY()&gt;F17,"Late",IF(TODAY()&gt;=D17,"In progress","Not started"))))</f>
        <v/>
      </c>
      <c r="I17" s="9">
        <f>IF(B17="","",IF(AND(A17&lt;&gt;"",COUNTIF(Jobs!$A$5:$A$44,A17)=0),"Unknown Job ID",IF(D17="","Missing start",IF(E17="","Missing duration",""))))</f>
        <v/>
      </c>
      <c r="J17" s="35" t="n"/>
      <c r="K17" s="60" t="n"/>
      <c r="L17" s="60" t="n"/>
      <c r="M17" s="60" t="n"/>
      <c r="N17" s="60" t="n"/>
      <c r="O17" s="60" t="n"/>
      <c r="P17" s="60" t="n"/>
      <c r="Q17" s="60" t="n"/>
      <c r="R17" s="60" t="n"/>
      <c r="S17" s="60" t="n"/>
      <c r="T17" s="60" t="n"/>
      <c r="U17" s="60" t="n"/>
      <c r="V17" s="60" t="n"/>
      <c r="W17" s="60" t="n"/>
      <c r="X17" s="60" t="n"/>
      <c r="Y17" s="60" t="n"/>
      <c r="Z17" s="60" t="n"/>
      <c r="AA17" s="60" t="n"/>
      <c r="AB17" s="60" t="n"/>
      <c r="AC17" s="60" t="n"/>
      <c r="AD17" s="60" t="n"/>
      <c r="AE17" s="60" t="n"/>
      <c r="AF17" s="60" t="n"/>
      <c r="AG17" s="60" t="n"/>
      <c r="AH17" s="60" t="n"/>
      <c r="AI17" s="60" t="n"/>
      <c r="AJ17" s="60" t="n"/>
      <c r="AK17" s="60" t="n"/>
      <c r="AL17" s="60" t="n"/>
      <c r="AM17" s="60" t="n"/>
      <c r="AN17" s="60" t="n"/>
      <c r="AO17" s="60" t="n"/>
      <c r="AP17" s="60" t="n"/>
      <c r="AQ17" s="60" t="n"/>
      <c r="AR17" s="60" t="n"/>
      <c r="AS17" s="60" t="n"/>
      <c r="AT17" s="60" t="n"/>
      <c r="AU17" s="60" t="n"/>
      <c r="AV17" s="60" t="n"/>
      <c r="AW17" s="60" t="n"/>
      <c r="AX17" s="60" t="n"/>
      <c r="AY17" s="60" t="n"/>
      <c r="AZ17" s="60" t="n"/>
      <c r="BA17" s="60" t="n"/>
      <c r="BB17" s="60" t="n"/>
      <c r="BC17" s="60" t="n"/>
      <c r="BD17" s="60" t="n"/>
      <c r="BE17" s="60" t="n"/>
      <c r="BF17" s="60" t="n"/>
      <c r="BG17" s="60" t="n"/>
      <c r="BH17" s="60" t="n"/>
      <c r="BI17" s="60" t="n"/>
      <c r="BJ17" s="60" t="n"/>
      <c r="BK17" s="60" t="n"/>
      <c r="BL17" s="60" t="n"/>
      <c r="BM17" s="60" t="n"/>
      <c r="BN17" s="60" t="n"/>
      <c r="BO17" s="60" t="n"/>
      <c r="BP17" s="60" t="n"/>
      <c r="BQ17" s="60" t="n"/>
      <c r="BR17" s="60" t="n"/>
      <c r="BS17" s="60" t="n"/>
      <c r="BT17" s="60" t="n"/>
      <c r="BU17" s="60" t="n"/>
      <c r="BV17" s="60" t="n"/>
      <c r="BW17" s="60" t="n"/>
      <c r="BX17" s="60" t="n"/>
      <c r="BY17" s="60" t="n"/>
      <c r="BZ17" s="60" t="n"/>
      <c r="CA17" s="60" t="n"/>
      <c r="CB17" s="60" t="n"/>
      <c r="CC17" s="60" t="n"/>
      <c r="CD17" s="60" t="n"/>
      <c r="CE17" s="60" t="n"/>
      <c r="CF17" s="60" t="n"/>
      <c r="CG17" s="60" t="n"/>
      <c r="CH17" s="60" t="n"/>
      <c r="CI17" s="60" t="n"/>
      <c r="CJ17" s="60" t="n"/>
      <c r="CK17" s="60" t="n"/>
      <c r="CL17" s="60" t="n"/>
      <c r="CM17" s="60" t="n"/>
      <c r="CN17" s="60" t="n"/>
      <c r="CO17" s="60" t="n"/>
      <c r="CP17" s="60" t="n"/>
    </row>
    <row r="18">
      <c r="A18" s="35" t="n"/>
      <c r="B18" s="35" t="n"/>
      <c r="C18" s="35" t="n"/>
      <c r="D18" s="40" t="n"/>
      <c r="E18" s="35" t="n"/>
      <c r="F18" s="59">
        <f>IF(OR(D18="",E18=""),"",WORKDAY(D18,MAX(E18,1)-1))</f>
        <v/>
      </c>
      <c r="G18" s="36" t="n"/>
      <c r="H18" s="9">
        <f>IF(D18="","",IF(G18&gt;=1,"Done",IF(TODAY()&gt;F18,"Late",IF(TODAY()&gt;=D18,"In progress","Not started"))))</f>
        <v/>
      </c>
      <c r="I18" s="9">
        <f>IF(B18="","",IF(AND(A18&lt;&gt;"",COUNTIF(Jobs!$A$5:$A$44,A18)=0),"Unknown Job ID",IF(D18="","Missing start",IF(E18="","Missing duration",""))))</f>
        <v/>
      </c>
      <c r="J18" s="35" t="n"/>
      <c r="K18" s="60" t="n"/>
      <c r="L18" s="60" t="n"/>
      <c r="M18" s="60" t="n"/>
      <c r="N18" s="60" t="n"/>
      <c r="O18" s="60" t="n"/>
      <c r="P18" s="60" t="n"/>
      <c r="Q18" s="60" t="n"/>
      <c r="R18" s="60" t="n"/>
      <c r="S18" s="60" t="n"/>
      <c r="T18" s="60" t="n"/>
      <c r="U18" s="60" t="n"/>
      <c r="V18" s="60" t="n"/>
      <c r="W18" s="60" t="n"/>
      <c r="X18" s="60" t="n"/>
      <c r="Y18" s="60" t="n"/>
      <c r="Z18" s="60" t="n"/>
      <c r="AA18" s="60" t="n"/>
      <c r="AB18" s="60" t="n"/>
      <c r="AC18" s="60" t="n"/>
      <c r="AD18" s="60" t="n"/>
      <c r="AE18" s="60" t="n"/>
      <c r="AF18" s="60" t="n"/>
      <c r="AG18" s="60" t="n"/>
      <c r="AH18" s="60" t="n"/>
      <c r="AI18" s="60" t="n"/>
      <c r="AJ18" s="60" t="n"/>
      <c r="AK18" s="60" t="n"/>
      <c r="AL18" s="60" t="n"/>
      <c r="AM18" s="60" t="n"/>
      <c r="AN18" s="60" t="n"/>
      <c r="AO18" s="60" t="n"/>
      <c r="AP18" s="60" t="n"/>
      <c r="AQ18" s="60" t="n"/>
      <c r="AR18" s="60" t="n"/>
      <c r="AS18" s="60" t="n"/>
      <c r="AT18" s="60" t="n"/>
      <c r="AU18" s="60" t="n"/>
      <c r="AV18" s="60" t="n"/>
      <c r="AW18" s="60" t="n"/>
      <c r="AX18" s="60" t="n"/>
      <c r="AY18" s="60" t="n"/>
      <c r="AZ18" s="60" t="n"/>
      <c r="BA18" s="60" t="n"/>
      <c r="BB18" s="60" t="n"/>
      <c r="BC18" s="60" t="n"/>
      <c r="BD18" s="60" t="n"/>
      <c r="BE18" s="60" t="n"/>
      <c r="BF18" s="60" t="n"/>
      <c r="BG18" s="60" t="n"/>
      <c r="BH18" s="60" t="n"/>
      <c r="BI18" s="60" t="n"/>
      <c r="BJ18" s="60" t="n"/>
      <c r="BK18" s="60" t="n"/>
      <c r="BL18" s="60" t="n"/>
      <c r="BM18" s="60" t="n"/>
      <c r="BN18" s="60" t="n"/>
      <c r="BO18" s="60" t="n"/>
      <c r="BP18" s="60" t="n"/>
      <c r="BQ18" s="60" t="n"/>
      <c r="BR18" s="60" t="n"/>
      <c r="BS18" s="60" t="n"/>
      <c r="BT18" s="60" t="n"/>
      <c r="BU18" s="60" t="n"/>
      <c r="BV18" s="60" t="n"/>
      <c r="BW18" s="60" t="n"/>
      <c r="BX18" s="60" t="n"/>
      <c r="BY18" s="60" t="n"/>
      <c r="BZ18" s="60" t="n"/>
      <c r="CA18" s="60" t="n"/>
      <c r="CB18" s="60" t="n"/>
      <c r="CC18" s="60" t="n"/>
      <c r="CD18" s="60" t="n"/>
      <c r="CE18" s="60" t="n"/>
      <c r="CF18" s="60" t="n"/>
      <c r="CG18" s="60" t="n"/>
      <c r="CH18" s="60" t="n"/>
      <c r="CI18" s="60" t="n"/>
      <c r="CJ18" s="60" t="n"/>
      <c r="CK18" s="60" t="n"/>
      <c r="CL18" s="60" t="n"/>
      <c r="CM18" s="60" t="n"/>
      <c r="CN18" s="60" t="n"/>
      <c r="CO18" s="60" t="n"/>
      <c r="CP18" s="60" t="n"/>
    </row>
    <row r="19">
      <c r="A19" s="35" t="n"/>
      <c r="B19" s="35" t="n"/>
      <c r="C19" s="35" t="n"/>
      <c r="D19" s="40" t="n"/>
      <c r="E19" s="35" t="n"/>
      <c r="F19" s="59">
        <f>IF(OR(D19="",E19=""),"",WORKDAY(D19,MAX(E19,1)-1))</f>
        <v/>
      </c>
      <c r="G19" s="36" t="n"/>
      <c r="H19" s="9">
        <f>IF(D19="","",IF(G19&gt;=1,"Done",IF(TODAY()&gt;F19,"Late",IF(TODAY()&gt;=D19,"In progress","Not started"))))</f>
        <v/>
      </c>
      <c r="I19" s="9">
        <f>IF(B19="","",IF(AND(A19&lt;&gt;"",COUNTIF(Jobs!$A$5:$A$44,A19)=0),"Unknown Job ID",IF(D19="","Missing start",IF(E19="","Missing duration",""))))</f>
        <v/>
      </c>
      <c r="J19" s="35" t="n"/>
      <c r="K19" s="60" t="n"/>
      <c r="L19" s="60" t="n"/>
      <c r="M19" s="60" t="n"/>
      <c r="N19" s="60" t="n"/>
      <c r="O19" s="60" t="n"/>
      <c r="P19" s="60" t="n"/>
      <c r="Q19" s="60" t="n"/>
      <c r="R19" s="60" t="n"/>
      <c r="S19" s="60" t="n"/>
      <c r="T19" s="60" t="n"/>
      <c r="U19" s="60" t="n"/>
      <c r="V19" s="60" t="n"/>
      <c r="W19" s="60" t="n"/>
      <c r="X19" s="60" t="n"/>
      <c r="Y19" s="60" t="n"/>
      <c r="Z19" s="60" t="n"/>
      <c r="AA19" s="60" t="n"/>
      <c r="AB19" s="60" t="n"/>
      <c r="AC19" s="60" t="n"/>
      <c r="AD19" s="60" t="n"/>
      <c r="AE19" s="60" t="n"/>
      <c r="AF19" s="60" t="n"/>
      <c r="AG19" s="60" t="n"/>
      <c r="AH19" s="60" t="n"/>
      <c r="AI19" s="60" t="n"/>
      <c r="AJ19" s="60" t="n"/>
      <c r="AK19" s="60" t="n"/>
      <c r="AL19" s="60" t="n"/>
      <c r="AM19" s="60" t="n"/>
      <c r="AN19" s="60" t="n"/>
      <c r="AO19" s="60" t="n"/>
      <c r="AP19" s="60" t="n"/>
      <c r="AQ19" s="60" t="n"/>
      <c r="AR19" s="60" t="n"/>
      <c r="AS19" s="60" t="n"/>
      <c r="AT19" s="60" t="n"/>
      <c r="AU19" s="60" t="n"/>
      <c r="AV19" s="60" t="n"/>
      <c r="AW19" s="60" t="n"/>
      <c r="AX19" s="60" t="n"/>
      <c r="AY19" s="60" t="n"/>
      <c r="AZ19" s="60" t="n"/>
      <c r="BA19" s="60" t="n"/>
      <c r="BB19" s="60" t="n"/>
      <c r="BC19" s="60" t="n"/>
      <c r="BD19" s="60" t="n"/>
      <c r="BE19" s="60" t="n"/>
      <c r="BF19" s="60" t="n"/>
      <c r="BG19" s="60" t="n"/>
      <c r="BH19" s="60" t="n"/>
      <c r="BI19" s="60" t="n"/>
      <c r="BJ19" s="60" t="n"/>
      <c r="BK19" s="60" t="n"/>
      <c r="BL19" s="60" t="n"/>
      <c r="BM19" s="60" t="n"/>
      <c r="BN19" s="60" t="n"/>
      <c r="BO19" s="60" t="n"/>
      <c r="BP19" s="60" t="n"/>
      <c r="BQ19" s="60" t="n"/>
      <c r="BR19" s="60" t="n"/>
      <c r="BS19" s="60" t="n"/>
      <c r="BT19" s="60" t="n"/>
      <c r="BU19" s="60" t="n"/>
      <c r="BV19" s="60" t="n"/>
      <c r="BW19" s="60" t="n"/>
      <c r="BX19" s="60" t="n"/>
      <c r="BY19" s="60" t="n"/>
      <c r="BZ19" s="60" t="n"/>
      <c r="CA19" s="60" t="n"/>
      <c r="CB19" s="60" t="n"/>
      <c r="CC19" s="60" t="n"/>
      <c r="CD19" s="60" t="n"/>
      <c r="CE19" s="60" t="n"/>
      <c r="CF19" s="60" t="n"/>
      <c r="CG19" s="60" t="n"/>
      <c r="CH19" s="60" t="n"/>
      <c r="CI19" s="60" t="n"/>
      <c r="CJ19" s="60" t="n"/>
      <c r="CK19" s="60" t="n"/>
      <c r="CL19" s="60" t="n"/>
      <c r="CM19" s="60" t="n"/>
      <c r="CN19" s="60" t="n"/>
      <c r="CO19" s="60" t="n"/>
      <c r="CP19" s="60" t="n"/>
    </row>
    <row r="20">
      <c r="A20" s="35" t="n"/>
      <c r="B20" s="35" t="n"/>
      <c r="C20" s="35" t="n"/>
      <c r="D20" s="40" t="n"/>
      <c r="E20" s="35" t="n"/>
      <c r="F20" s="59">
        <f>IF(OR(D20="",E20=""),"",WORKDAY(D20,MAX(E20,1)-1))</f>
        <v/>
      </c>
      <c r="G20" s="36" t="n"/>
      <c r="H20" s="9">
        <f>IF(D20="","",IF(G20&gt;=1,"Done",IF(TODAY()&gt;F20,"Late",IF(TODAY()&gt;=D20,"In progress","Not started"))))</f>
        <v/>
      </c>
      <c r="I20" s="9">
        <f>IF(B20="","",IF(AND(A20&lt;&gt;"",COUNTIF(Jobs!$A$5:$A$44,A20)=0),"Unknown Job ID",IF(D20="","Missing start",IF(E20="","Missing duration",""))))</f>
        <v/>
      </c>
      <c r="J20" s="35" t="n"/>
      <c r="K20" s="60" t="n"/>
      <c r="L20" s="60" t="n"/>
      <c r="M20" s="60" t="n"/>
      <c r="N20" s="60" t="n"/>
      <c r="O20" s="60" t="n"/>
      <c r="P20" s="60" t="n"/>
      <c r="Q20" s="60" t="n"/>
      <c r="R20" s="60" t="n"/>
      <c r="S20" s="60" t="n"/>
      <c r="T20" s="60" t="n"/>
      <c r="U20" s="60" t="n"/>
      <c r="V20" s="60" t="n"/>
      <c r="W20" s="60" t="n"/>
      <c r="X20" s="60" t="n"/>
      <c r="Y20" s="60" t="n"/>
      <c r="Z20" s="60" t="n"/>
      <c r="AA20" s="60" t="n"/>
      <c r="AB20" s="60" t="n"/>
      <c r="AC20" s="60" t="n"/>
      <c r="AD20" s="60" t="n"/>
      <c r="AE20" s="60" t="n"/>
      <c r="AF20" s="60" t="n"/>
      <c r="AG20" s="60" t="n"/>
      <c r="AH20" s="60" t="n"/>
      <c r="AI20" s="60" t="n"/>
      <c r="AJ20" s="60" t="n"/>
      <c r="AK20" s="60" t="n"/>
      <c r="AL20" s="60" t="n"/>
      <c r="AM20" s="60" t="n"/>
      <c r="AN20" s="60" t="n"/>
      <c r="AO20" s="60" t="n"/>
      <c r="AP20" s="60" t="n"/>
      <c r="AQ20" s="60" t="n"/>
      <c r="AR20" s="60" t="n"/>
      <c r="AS20" s="60" t="n"/>
      <c r="AT20" s="60" t="n"/>
      <c r="AU20" s="60" t="n"/>
      <c r="AV20" s="60" t="n"/>
      <c r="AW20" s="60" t="n"/>
      <c r="AX20" s="60" t="n"/>
      <c r="AY20" s="60" t="n"/>
      <c r="AZ20" s="60" t="n"/>
      <c r="BA20" s="60" t="n"/>
      <c r="BB20" s="60" t="n"/>
      <c r="BC20" s="60" t="n"/>
      <c r="BD20" s="60" t="n"/>
      <c r="BE20" s="60" t="n"/>
      <c r="BF20" s="60" t="n"/>
      <c r="BG20" s="60" t="n"/>
      <c r="BH20" s="60" t="n"/>
      <c r="BI20" s="60" t="n"/>
      <c r="BJ20" s="60" t="n"/>
      <c r="BK20" s="60" t="n"/>
      <c r="BL20" s="60" t="n"/>
      <c r="BM20" s="60" t="n"/>
      <c r="BN20" s="60" t="n"/>
      <c r="BO20" s="60" t="n"/>
      <c r="BP20" s="60" t="n"/>
      <c r="BQ20" s="60" t="n"/>
      <c r="BR20" s="60" t="n"/>
      <c r="BS20" s="60" t="n"/>
      <c r="BT20" s="60" t="n"/>
      <c r="BU20" s="60" t="n"/>
      <c r="BV20" s="60" t="n"/>
      <c r="BW20" s="60" t="n"/>
      <c r="BX20" s="60" t="n"/>
      <c r="BY20" s="60" t="n"/>
      <c r="BZ20" s="60" t="n"/>
      <c r="CA20" s="60" t="n"/>
      <c r="CB20" s="60" t="n"/>
      <c r="CC20" s="60" t="n"/>
      <c r="CD20" s="60" t="n"/>
      <c r="CE20" s="60" t="n"/>
      <c r="CF20" s="60" t="n"/>
      <c r="CG20" s="60" t="n"/>
      <c r="CH20" s="60" t="n"/>
      <c r="CI20" s="60" t="n"/>
      <c r="CJ20" s="60" t="n"/>
      <c r="CK20" s="60" t="n"/>
      <c r="CL20" s="60" t="n"/>
      <c r="CM20" s="60" t="n"/>
      <c r="CN20" s="60" t="n"/>
      <c r="CO20" s="60" t="n"/>
      <c r="CP20" s="60" t="n"/>
    </row>
    <row r="21">
      <c r="A21" s="35" t="n"/>
      <c r="B21" s="35" t="n"/>
      <c r="C21" s="35" t="n"/>
      <c r="D21" s="40" t="n"/>
      <c r="E21" s="35" t="n"/>
      <c r="F21" s="59">
        <f>IF(OR(D21="",E21=""),"",WORKDAY(D21,MAX(E21,1)-1))</f>
        <v/>
      </c>
      <c r="G21" s="36" t="n"/>
      <c r="H21" s="9">
        <f>IF(D21="","",IF(G21&gt;=1,"Done",IF(TODAY()&gt;F21,"Late",IF(TODAY()&gt;=D21,"In progress","Not started"))))</f>
        <v/>
      </c>
      <c r="I21" s="9">
        <f>IF(B21="","",IF(AND(A21&lt;&gt;"",COUNTIF(Jobs!$A$5:$A$44,A21)=0),"Unknown Job ID",IF(D21="","Missing start",IF(E21="","Missing duration",""))))</f>
        <v/>
      </c>
      <c r="J21" s="35" t="n"/>
      <c r="K21" s="60" t="n"/>
      <c r="L21" s="60" t="n"/>
      <c r="M21" s="60" t="n"/>
      <c r="N21" s="60" t="n"/>
      <c r="O21" s="60" t="n"/>
      <c r="P21" s="60" t="n"/>
      <c r="Q21" s="60" t="n"/>
      <c r="R21" s="60" t="n"/>
      <c r="S21" s="60" t="n"/>
      <c r="T21" s="60" t="n"/>
      <c r="U21" s="60" t="n"/>
      <c r="V21" s="60" t="n"/>
      <c r="W21" s="60" t="n"/>
      <c r="X21" s="60" t="n"/>
      <c r="Y21" s="60" t="n"/>
      <c r="Z21" s="60" t="n"/>
      <c r="AA21" s="60" t="n"/>
      <c r="AB21" s="60" t="n"/>
      <c r="AC21" s="60" t="n"/>
      <c r="AD21" s="60" t="n"/>
      <c r="AE21" s="60" t="n"/>
      <c r="AF21" s="60" t="n"/>
      <c r="AG21" s="60" t="n"/>
      <c r="AH21" s="60" t="n"/>
      <c r="AI21" s="60" t="n"/>
      <c r="AJ21" s="60" t="n"/>
      <c r="AK21" s="60" t="n"/>
      <c r="AL21" s="60" t="n"/>
      <c r="AM21" s="60" t="n"/>
      <c r="AN21" s="60" t="n"/>
      <c r="AO21" s="60" t="n"/>
      <c r="AP21" s="60" t="n"/>
      <c r="AQ21" s="60" t="n"/>
      <c r="AR21" s="60" t="n"/>
      <c r="AS21" s="60" t="n"/>
      <c r="AT21" s="60" t="n"/>
      <c r="AU21" s="60" t="n"/>
      <c r="AV21" s="60" t="n"/>
      <c r="AW21" s="60" t="n"/>
      <c r="AX21" s="60" t="n"/>
      <c r="AY21" s="60" t="n"/>
      <c r="AZ21" s="60" t="n"/>
      <c r="BA21" s="60" t="n"/>
      <c r="BB21" s="60" t="n"/>
      <c r="BC21" s="60" t="n"/>
      <c r="BD21" s="60" t="n"/>
      <c r="BE21" s="60" t="n"/>
      <c r="BF21" s="60" t="n"/>
      <c r="BG21" s="60" t="n"/>
      <c r="BH21" s="60" t="n"/>
      <c r="BI21" s="60" t="n"/>
      <c r="BJ21" s="60" t="n"/>
      <c r="BK21" s="60" t="n"/>
      <c r="BL21" s="60" t="n"/>
      <c r="BM21" s="60" t="n"/>
      <c r="BN21" s="60" t="n"/>
      <c r="BO21" s="60" t="n"/>
      <c r="BP21" s="60" t="n"/>
      <c r="BQ21" s="60" t="n"/>
      <c r="BR21" s="60" t="n"/>
      <c r="BS21" s="60" t="n"/>
      <c r="BT21" s="60" t="n"/>
      <c r="BU21" s="60" t="n"/>
      <c r="BV21" s="60" t="n"/>
      <c r="BW21" s="60" t="n"/>
      <c r="BX21" s="60" t="n"/>
      <c r="BY21" s="60" t="n"/>
      <c r="BZ21" s="60" t="n"/>
      <c r="CA21" s="60" t="n"/>
      <c r="CB21" s="60" t="n"/>
      <c r="CC21" s="60" t="n"/>
      <c r="CD21" s="60" t="n"/>
      <c r="CE21" s="60" t="n"/>
      <c r="CF21" s="60" t="n"/>
      <c r="CG21" s="60" t="n"/>
      <c r="CH21" s="60" t="n"/>
      <c r="CI21" s="60" t="n"/>
      <c r="CJ21" s="60" t="n"/>
      <c r="CK21" s="60" t="n"/>
      <c r="CL21" s="60" t="n"/>
      <c r="CM21" s="60" t="n"/>
      <c r="CN21" s="60" t="n"/>
      <c r="CO21" s="60" t="n"/>
      <c r="CP21" s="60" t="n"/>
    </row>
    <row r="22">
      <c r="A22" s="35" t="n"/>
      <c r="B22" s="35" t="n"/>
      <c r="C22" s="35" t="n"/>
      <c r="D22" s="40" t="n"/>
      <c r="E22" s="35" t="n"/>
      <c r="F22" s="59">
        <f>IF(OR(D22="",E22=""),"",WORKDAY(D22,MAX(E22,1)-1))</f>
        <v/>
      </c>
      <c r="G22" s="36" t="n"/>
      <c r="H22" s="9">
        <f>IF(D22="","",IF(G22&gt;=1,"Done",IF(TODAY()&gt;F22,"Late",IF(TODAY()&gt;=D22,"In progress","Not started"))))</f>
        <v/>
      </c>
      <c r="I22" s="9">
        <f>IF(B22="","",IF(AND(A22&lt;&gt;"",COUNTIF(Jobs!$A$5:$A$44,A22)=0),"Unknown Job ID",IF(D22="","Missing start",IF(E22="","Missing duration",""))))</f>
        <v/>
      </c>
      <c r="J22" s="35" t="n"/>
      <c r="K22" s="60" t="n"/>
      <c r="L22" s="60" t="n"/>
      <c r="M22" s="60" t="n"/>
      <c r="N22" s="60" t="n"/>
      <c r="O22" s="60" t="n"/>
      <c r="P22" s="60" t="n"/>
      <c r="Q22" s="60" t="n"/>
      <c r="R22" s="60" t="n"/>
      <c r="S22" s="60" t="n"/>
      <c r="T22" s="60" t="n"/>
      <c r="U22" s="60" t="n"/>
      <c r="V22" s="60" t="n"/>
      <c r="W22" s="60" t="n"/>
      <c r="X22" s="60" t="n"/>
      <c r="Y22" s="60" t="n"/>
      <c r="Z22" s="60" t="n"/>
      <c r="AA22" s="60" t="n"/>
      <c r="AB22" s="60" t="n"/>
      <c r="AC22" s="60" t="n"/>
      <c r="AD22" s="60" t="n"/>
      <c r="AE22" s="60" t="n"/>
      <c r="AF22" s="60" t="n"/>
      <c r="AG22" s="60" t="n"/>
      <c r="AH22" s="60" t="n"/>
      <c r="AI22" s="60" t="n"/>
      <c r="AJ22" s="60" t="n"/>
      <c r="AK22" s="60" t="n"/>
      <c r="AL22" s="60" t="n"/>
      <c r="AM22" s="60" t="n"/>
      <c r="AN22" s="60" t="n"/>
      <c r="AO22" s="60" t="n"/>
      <c r="AP22" s="60" t="n"/>
      <c r="AQ22" s="60" t="n"/>
      <c r="AR22" s="60" t="n"/>
      <c r="AS22" s="60" t="n"/>
      <c r="AT22" s="60" t="n"/>
      <c r="AU22" s="60" t="n"/>
      <c r="AV22" s="60" t="n"/>
      <c r="AW22" s="60" t="n"/>
      <c r="AX22" s="60" t="n"/>
      <c r="AY22" s="60" t="n"/>
      <c r="AZ22" s="60" t="n"/>
      <c r="BA22" s="60" t="n"/>
      <c r="BB22" s="60" t="n"/>
      <c r="BC22" s="60" t="n"/>
      <c r="BD22" s="60" t="n"/>
      <c r="BE22" s="60" t="n"/>
      <c r="BF22" s="60" t="n"/>
      <c r="BG22" s="60" t="n"/>
      <c r="BH22" s="60" t="n"/>
      <c r="BI22" s="60" t="n"/>
      <c r="BJ22" s="60" t="n"/>
      <c r="BK22" s="60" t="n"/>
      <c r="BL22" s="60" t="n"/>
      <c r="BM22" s="60" t="n"/>
      <c r="BN22" s="60" t="n"/>
      <c r="BO22" s="60" t="n"/>
      <c r="BP22" s="60" t="n"/>
      <c r="BQ22" s="60" t="n"/>
      <c r="BR22" s="60" t="n"/>
      <c r="BS22" s="60" t="n"/>
      <c r="BT22" s="60" t="n"/>
      <c r="BU22" s="60" t="n"/>
      <c r="BV22" s="60" t="n"/>
      <c r="BW22" s="60" t="n"/>
      <c r="BX22" s="60" t="n"/>
      <c r="BY22" s="60" t="n"/>
      <c r="BZ22" s="60" t="n"/>
      <c r="CA22" s="60" t="n"/>
      <c r="CB22" s="60" t="n"/>
      <c r="CC22" s="60" t="n"/>
      <c r="CD22" s="60" t="n"/>
      <c r="CE22" s="60" t="n"/>
      <c r="CF22" s="60" t="n"/>
      <c r="CG22" s="60" t="n"/>
      <c r="CH22" s="60" t="n"/>
      <c r="CI22" s="60" t="n"/>
      <c r="CJ22" s="60" t="n"/>
      <c r="CK22" s="60" t="n"/>
      <c r="CL22" s="60" t="n"/>
      <c r="CM22" s="60" t="n"/>
      <c r="CN22" s="60" t="n"/>
      <c r="CO22" s="60" t="n"/>
      <c r="CP22" s="60" t="n"/>
    </row>
    <row r="23">
      <c r="A23" s="35" t="n"/>
      <c r="B23" s="35" t="n"/>
      <c r="C23" s="35" t="n"/>
      <c r="D23" s="40" t="n"/>
      <c r="E23" s="35" t="n"/>
      <c r="F23" s="59">
        <f>IF(OR(D23="",E23=""),"",WORKDAY(D23,MAX(E23,1)-1))</f>
        <v/>
      </c>
      <c r="G23" s="36" t="n"/>
      <c r="H23" s="9">
        <f>IF(D23="","",IF(G23&gt;=1,"Done",IF(TODAY()&gt;F23,"Late",IF(TODAY()&gt;=D23,"In progress","Not started"))))</f>
        <v/>
      </c>
      <c r="I23" s="9">
        <f>IF(B23="","",IF(AND(A23&lt;&gt;"",COUNTIF(Jobs!$A$5:$A$44,A23)=0),"Unknown Job ID",IF(D23="","Missing start",IF(E23="","Missing duration",""))))</f>
        <v/>
      </c>
      <c r="J23" s="35" t="n"/>
      <c r="K23" s="60" t="n"/>
      <c r="L23" s="60" t="n"/>
      <c r="M23" s="60" t="n"/>
      <c r="N23" s="60" t="n"/>
      <c r="O23" s="60" t="n"/>
      <c r="P23" s="60" t="n"/>
      <c r="Q23" s="60" t="n"/>
      <c r="R23" s="60" t="n"/>
      <c r="S23" s="60" t="n"/>
      <c r="T23" s="60" t="n"/>
      <c r="U23" s="60" t="n"/>
      <c r="V23" s="60" t="n"/>
      <c r="W23" s="60" t="n"/>
      <c r="X23" s="60" t="n"/>
      <c r="Y23" s="60" t="n"/>
      <c r="Z23" s="60" t="n"/>
      <c r="AA23" s="60" t="n"/>
      <c r="AB23" s="60" t="n"/>
      <c r="AC23" s="60" t="n"/>
      <c r="AD23" s="60" t="n"/>
      <c r="AE23" s="60" t="n"/>
      <c r="AF23" s="60" t="n"/>
      <c r="AG23" s="60" t="n"/>
      <c r="AH23" s="60" t="n"/>
      <c r="AI23" s="60" t="n"/>
      <c r="AJ23" s="60" t="n"/>
      <c r="AK23" s="60" t="n"/>
      <c r="AL23" s="60" t="n"/>
      <c r="AM23" s="60" t="n"/>
      <c r="AN23" s="60" t="n"/>
      <c r="AO23" s="60" t="n"/>
      <c r="AP23" s="60" t="n"/>
      <c r="AQ23" s="60" t="n"/>
      <c r="AR23" s="60" t="n"/>
      <c r="AS23" s="60" t="n"/>
      <c r="AT23" s="60" t="n"/>
      <c r="AU23" s="60" t="n"/>
      <c r="AV23" s="60" t="n"/>
      <c r="AW23" s="60" t="n"/>
      <c r="AX23" s="60" t="n"/>
      <c r="AY23" s="60" t="n"/>
      <c r="AZ23" s="60" t="n"/>
      <c r="BA23" s="60" t="n"/>
      <c r="BB23" s="60" t="n"/>
      <c r="BC23" s="60" t="n"/>
      <c r="BD23" s="60" t="n"/>
      <c r="BE23" s="60" t="n"/>
      <c r="BF23" s="60" t="n"/>
      <c r="BG23" s="60" t="n"/>
      <c r="BH23" s="60" t="n"/>
      <c r="BI23" s="60" t="n"/>
      <c r="BJ23" s="60" t="n"/>
      <c r="BK23" s="60" t="n"/>
      <c r="BL23" s="60" t="n"/>
      <c r="BM23" s="60" t="n"/>
      <c r="BN23" s="60" t="n"/>
      <c r="BO23" s="60" t="n"/>
      <c r="BP23" s="60" t="n"/>
      <c r="BQ23" s="60" t="n"/>
      <c r="BR23" s="60" t="n"/>
      <c r="BS23" s="60" t="n"/>
      <c r="BT23" s="60" t="n"/>
      <c r="BU23" s="60" t="n"/>
      <c r="BV23" s="60" t="n"/>
      <c r="BW23" s="60" t="n"/>
      <c r="BX23" s="60" t="n"/>
      <c r="BY23" s="60" t="n"/>
      <c r="BZ23" s="60" t="n"/>
      <c r="CA23" s="60" t="n"/>
      <c r="CB23" s="60" t="n"/>
      <c r="CC23" s="60" t="n"/>
      <c r="CD23" s="60" t="n"/>
      <c r="CE23" s="60" t="n"/>
      <c r="CF23" s="60" t="n"/>
      <c r="CG23" s="60" t="n"/>
      <c r="CH23" s="60" t="n"/>
      <c r="CI23" s="60" t="n"/>
      <c r="CJ23" s="60" t="n"/>
      <c r="CK23" s="60" t="n"/>
      <c r="CL23" s="60" t="n"/>
      <c r="CM23" s="60" t="n"/>
      <c r="CN23" s="60" t="n"/>
      <c r="CO23" s="60" t="n"/>
      <c r="CP23" s="60" t="n"/>
    </row>
    <row r="24">
      <c r="A24" s="35" t="n"/>
      <c r="B24" s="35" t="n"/>
      <c r="C24" s="35" t="n"/>
      <c r="D24" s="40" t="n"/>
      <c r="E24" s="35" t="n"/>
      <c r="F24" s="59">
        <f>IF(OR(D24="",E24=""),"",WORKDAY(D24,MAX(E24,1)-1))</f>
        <v/>
      </c>
      <c r="G24" s="36" t="n"/>
      <c r="H24" s="9">
        <f>IF(D24="","",IF(G24&gt;=1,"Done",IF(TODAY()&gt;F24,"Late",IF(TODAY()&gt;=D24,"In progress","Not started"))))</f>
        <v/>
      </c>
      <c r="I24" s="9">
        <f>IF(B24="","",IF(AND(A24&lt;&gt;"",COUNTIF(Jobs!$A$5:$A$44,A24)=0),"Unknown Job ID",IF(D24="","Missing start",IF(E24="","Missing duration",""))))</f>
        <v/>
      </c>
      <c r="J24" s="35" t="n"/>
      <c r="K24" s="60" t="n"/>
      <c r="L24" s="60" t="n"/>
      <c r="M24" s="60" t="n"/>
      <c r="N24" s="60" t="n"/>
      <c r="O24" s="60" t="n"/>
      <c r="P24" s="60" t="n"/>
      <c r="Q24" s="60" t="n"/>
      <c r="R24" s="60" t="n"/>
      <c r="S24" s="60" t="n"/>
      <c r="T24" s="60" t="n"/>
      <c r="U24" s="60" t="n"/>
      <c r="V24" s="60" t="n"/>
      <c r="W24" s="60" t="n"/>
      <c r="X24" s="60" t="n"/>
      <c r="Y24" s="60" t="n"/>
      <c r="Z24" s="60" t="n"/>
      <c r="AA24" s="60" t="n"/>
      <c r="AB24" s="60" t="n"/>
      <c r="AC24" s="60" t="n"/>
      <c r="AD24" s="60" t="n"/>
      <c r="AE24" s="60" t="n"/>
      <c r="AF24" s="60" t="n"/>
      <c r="AG24" s="60" t="n"/>
      <c r="AH24" s="60" t="n"/>
      <c r="AI24" s="60" t="n"/>
      <c r="AJ24" s="60" t="n"/>
      <c r="AK24" s="60" t="n"/>
      <c r="AL24" s="60" t="n"/>
      <c r="AM24" s="60" t="n"/>
      <c r="AN24" s="60" t="n"/>
      <c r="AO24" s="60" t="n"/>
      <c r="AP24" s="60" t="n"/>
      <c r="AQ24" s="60" t="n"/>
      <c r="AR24" s="60" t="n"/>
      <c r="AS24" s="60" t="n"/>
      <c r="AT24" s="60" t="n"/>
      <c r="AU24" s="60" t="n"/>
      <c r="AV24" s="60" t="n"/>
      <c r="AW24" s="60" t="n"/>
      <c r="AX24" s="60" t="n"/>
      <c r="AY24" s="60" t="n"/>
      <c r="AZ24" s="60" t="n"/>
      <c r="BA24" s="60" t="n"/>
      <c r="BB24" s="60" t="n"/>
      <c r="BC24" s="60" t="n"/>
      <c r="BD24" s="60" t="n"/>
      <c r="BE24" s="60" t="n"/>
      <c r="BF24" s="60" t="n"/>
      <c r="BG24" s="60" t="n"/>
      <c r="BH24" s="60" t="n"/>
      <c r="BI24" s="60" t="n"/>
      <c r="BJ24" s="60" t="n"/>
      <c r="BK24" s="60" t="n"/>
      <c r="BL24" s="60" t="n"/>
      <c r="BM24" s="60" t="n"/>
      <c r="BN24" s="60" t="n"/>
      <c r="BO24" s="60" t="n"/>
      <c r="BP24" s="60" t="n"/>
      <c r="BQ24" s="60" t="n"/>
      <c r="BR24" s="60" t="n"/>
      <c r="BS24" s="60" t="n"/>
      <c r="BT24" s="60" t="n"/>
      <c r="BU24" s="60" t="n"/>
      <c r="BV24" s="60" t="n"/>
      <c r="BW24" s="60" t="n"/>
      <c r="BX24" s="60" t="n"/>
      <c r="BY24" s="60" t="n"/>
      <c r="BZ24" s="60" t="n"/>
      <c r="CA24" s="60" t="n"/>
      <c r="CB24" s="60" t="n"/>
      <c r="CC24" s="60" t="n"/>
      <c r="CD24" s="60" t="n"/>
      <c r="CE24" s="60" t="n"/>
      <c r="CF24" s="60" t="n"/>
      <c r="CG24" s="60" t="n"/>
      <c r="CH24" s="60" t="n"/>
      <c r="CI24" s="60" t="n"/>
      <c r="CJ24" s="60" t="n"/>
      <c r="CK24" s="60" t="n"/>
      <c r="CL24" s="60" t="n"/>
      <c r="CM24" s="60" t="n"/>
      <c r="CN24" s="60" t="n"/>
      <c r="CO24" s="60" t="n"/>
      <c r="CP24" s="60" t="n"/>
    </row>
    <row r="25">
      <c r="A25" s="35" t="n"/>
      <c r="B25" s="35" t="n"/>
      <c r="C25" s="35" t="n"/>
      <c r="D25" s="40" t="n"/>
      <c r="E25" s="35" t="n"/>
      <c r="F25" s="59">
        <f>IF(OR(D25="",E25=""),"",WORKDAY(D25,MAX(E25,1)-1))</f>
        <v/>
      </c>
      <c r="G25" s="36" t="n"/>
      <c r="H25" s="9">
        <f>IF(D25="","",IF(G25&gt;=1,"Done",IF(TODAY()&gt;F25,"Late",IF(TODAY()&gt;=D25,"In progress","Not started"))))</f>
        <v/>
      </c>
      <c r="I25" s="9">
        <f>IF(B25="","",IF(AND(A25&lt;&gt;"",COUNTIF(Jobs!$A$5:$A$44,A25)=0),"Unknown Job ID",IF(D25="","Missing start",IF(E25="","Missing duration",""))))</f>
        <v/>
      </c>
      <c r="J25" s="35" t="n"/>
      <c r="K25" s="60" t="n"/>
      <c r="L25" s="60" t="n"/>
      <c r="M25" s="60" t="n"/>
      <c r="N25" s="60" t="n"/>
      <c r="O25" s="60" t="n"/>
      <c r="P25" s="60" t="n"/>
      <c r="Q25" s="60" t="n"/>
      <c r="R25" s="60" t="n"/>
      <c r="S25" s="60" t="n"/>
      <c r="T25" s="60" t="n"/>
      <c r="U25" s="60" t="n"/>
      <c r="V25" s="60" t="n"/>
      <c r="W25" s="60" t="n"/>
      <c r="X25" s="60" t="n"/>
      <c r="Y25" s="60" t="n"/>
      <c r="Z25" s="60" t="n"/>
      <c r="AA25" s="60" t="n"/>
      <c r="AB25" s="60" t="n"/>
      <c r="AC25" s="60" t="n"/>
      <c r="AD25" s="60" t="n"/>
      <c r="AE25" s="60" t="n"/>
      <c r="AF25" s="60" t="n"/>
      <c r="AG25" s="60" t="n"/>
      <c r="AH25" s="60" t="n"/>
      <c r="AI25" s="60" t="n"/>
      <c r="AJ25" s="60" t="n"/>
      <c r="AK25" s="60" t="n"/>
      <c r="AL25" s="60" t="n"/>
      <c r="AM25" s="60" t="n"/>
      <c r="AN25" s="60" t="n"/>
      <c r="AO25" s="60" t="n"/>
      <c r="AP25" s="60" t="n"/>
      <c r="AQ25" s="60" t="n"/>
      <c r="AR25" s="60" t="n"/>
      <c r="AS25" s="60" t="n"/>
      <c r="AT25" s="60" t="n"/>
      <c r="AU25" s="60" t="n"/>
      <c r="AV25" s="60" t="n"/>
      <c r="AW25" s="60" t="n"/>
      <c r="AX25" s="60" t="n"/>
      <c r="AY25" s="60" t="n"/>
      <c r="AZ25" s="60" t="n"/>
      <c r="BA25" s="60" t="n"/>
      <c r="BB25" s="60" t="n"/>
      <c r="BC25" s="60" t="n"/>
      <c r="BD25" s="60" t="n"/>
      <c r="BE25" s="60" t="n"/>
      <c r="BF25" s="60" t="n"/>
      <c r="BG25" s="60" t="n"/>
      <c r="BH25" s="60" t="n"/>
      <c r="BI25" s="60" t="n"/>
      <c r="BJ25" s="60" t="n"/>
      <c r="BK25" s="60" t="n"/>
      <c r="BL25" s="60" t="n"/>
      <c r="BM25" s="60" t="n"/>
      <c r="BN25" s="60" t="n"/>
      <c r="BO25" s="60" t="n"/>
      <c r="BP25" s="60" t="n"/>
      <c r="BQ25" s="60" t="n"/>
      <c r="BR25" s="60" t="n"/>
      <c r="BS25" s="60" t="n"/>
      <c r="BT25" s="60" t="n"/>
      <c r="BU25" s="60" t="n"/>
      <c r="BV25" s="60" t="n"/>
      <c r="BW25" s="60" t="n"/>
      <c r="BX25" s="60" t="n"/>
      <c r="BY25" s="60" t="n"/>
      <c r="BZ25" s="60" t="n"/>
      <c r="CA25" s="60" t="n"/>
      <c r="CB25" s="60" t="n"/>
      <c r="CC25" s="60" t="n"/>
      <c r="CD25" s="60" t="n"/>
      <c r="CE25" s="60" t="n"/>
      <c r="CF25" s="60" t="n"/>
      <c r="CG25" s="60" t="n"/>
      <c r="CH25" s="60" t="n"/>
      <c r="CI25" s="60" t="n"/>
      <c r="CJ25" s="60" t="n"/>
      <c r="CK25" s="60" t="n"/>
      <c r="CL25" s="60" t="n"/>
      <c r="CM25" s="60" t="n"/>
      <c r="CN25" s="60" t="n"/>
      <c r="CO25" s="60" t="n"/>
      <c r="CP25" s="60" t="n"/>
    </row>
    <row r="26">
      <c r="A26" s="35" t="n"/>
      <c r="B26" s="35" t="n"/>
      <c r="C26" s="35" t="n"/>
      <c r="D26" s="40" t="n"/>
      <c r="E26" s="35" t="n"/>
      <c r="F26" s="59">
        <f>IF(OR(D26="",E26=""),"",WORKDAY(D26,MAX(E26,1)-1))</f>
        <v/>
      </c>
      <c r="G26" s="36" t="n"/>
      <c r="H26" s="9">
        <f>IF(D26="","",IF(G26&gt;=1,"Done",IF(TODAY()&gt;F26,"Late",IF(TODAY()&gt;=D26,"In progress","Not started"))))</f>
        <v/>
      </c>
      <c r="I26" s="9">
        <f>IF(B26="","",IF(AND(A26&lt;&gt;"",COUNTIF(Jobs!$A$5:$A$44,A26)=0),"Unknown Job ID",IF(D26="","Missing start",IF(E26="","Missing duration",""))))</f>
        <v/>
      </c>
      <c r="J26" s="35" t="n"/>
      <c r="K26" s="60" t="n"/>
      <c r="L26" s="60" t="n"/>
      <c r="M26" s="60" t="n"/>
      <c r="N26" s="60" t="n"/>
      <c r="O26" s="60" t="n"/>
      <c r="P26" s="60" t="n"/>
      <c r="Q26" s="60" t="n"/>
      <c r="R26" s="60" t="n"/>
      <c r="S26" s="60" t="n"/>
      <c r="T26" s="60" t="n"/>
      <c r="U26" s="60" t="n"/>
      <c r="V26" s="60" t="n"/>
      <c r="W26" s="60" t="n"/>
      <c r="X26" s="60" t="n"/>
      <c r="Y26" s="60" t="n"/>
      <c r="Z26" s="60" t="n"/>
      <c r="AA26" s="60" t="n"/>
      <c r="AB26" s="60" t="n"/>
      <c r="AC26" s="60" t="n"/>
      <c r="AD26" s="60" t="n"/>
      <c r="AE26" s="60" t="n"/>
      <c r="AF26" s="60" t="n"/>
      <c r="AG26" s="60" t="n"/>
      <c r="AH26" s="60" t="n"/>
      <c r="AI26" s="60" t="n"/>
      <c r="AJ26" s="60" t="n"/>
      <c r="AK26" s="60" t="n"/>
      <c r="AL26" s="60" t="n"/>
      <c r="AM26" s="60" t="n"/>
      <c r="AN26" s="60" t="n"/>
      <c r="AO26" s="60" t="n"/>
      <c r="AP26" s="60" t="n"/>
      <c r="AQ26" s="60" t="n"/>
      <c r="AR26" s="60" t="n"/>
      <c r="AS26" s="60" t="n"/>
      <c r="AT26" s="60" t="n"/>
      <c r="AU26" s="60" t="n"/>
      <c r="AV26" s="60" t="n"/>
      <c r="AW26" s="60" t="n"/>
      <c r="AX26" s="60" t="n"/>
      <c r="AY26" s="60" t="n"/>
      <c r="AZ26" s="60" t="n"/>
      <c r="BA26" s="60" t="n"/>
      <c r="BB26" s="60" t="n"/>
      <c r="BC26" s="60" t="n"/>
      <c r="BD26" s="60" t="n"/>
      <c r="BE26" s="60" t="n"/>
      <c r="BF26" s="60" t="n"/>
      <c r="BG26" s="60" t="n"/>
      <c r="BH26" s="60" t="n"/>
      <c r="BI26" s="60" t="n"/>
      <c r="BJ26" s="60" t="n"/>
      <c r="BK26" s="60" t="n"/>
      <c r="BL26" s="60" t="n"/>
      <c r="BM26" s="60" t="n"/>
      <c r="BN26" s="60" t="n"/>
      <c r="BO26" s="60" t="n"/>
      <c r="BP26" s="60" t="n"/>
      <c r="BQ26" s="60" t="n"/>
      <c r="BR26" s="60" t="n"/>
      <c r="BS26" s="60" t="n"/>
      <c r="BT26" s="60" t="n"/>
      <c r="BU26" s="60" t="n"/>
      <c r="BV26" s="60" t="n"/>
      <c r="BW26" s="60" t="n"/>
      <c r="BX26" s="60" t="n"/>
      <c r="BY26" s="60" t="n"/>
      <c r="BZ26" s="60" t="n"/>
      <c r="CA26" s="60" t="n"/>
      <c r="CB26" s="60" t="n"/>
      <c r="CC26" s="60" t="n"/>
      <c r="CD26" s="60" t="n"/>
      <c r="CE26" s="60" t="n"/>
      <c r="CF26" s="60" t="n"/>
      <c r="CG26" s="60" t="n"/>
      <c r="CH26" s="60" t="n"/>
      <c r="CI26" s="60" t="n"/>
      <c r="CJ26" s="60" t="n"/>
      <c r="CK26" s="60" t="n"/>
      <c r="CL26" s="60" t="n"/>
      <c r="CM26" s="60" t="n"/>
      <c r="CN26" s="60" t="n"/>
      <c r="CO26" s="60" t="n"/>
      <c r="CP26" s="60" t="n"/>
    </row>
    <row r="27">
      <c r="A27" s="35" t="n"/>
      <c r="B27" s="35" t="n"/>
      <c r="C27" s="35" t="n"/>
      <c r="D27" s="40" t="n"/>
      <c r="E27" s="35" t="n"/>
      <c r="F27" s="59">
        <f>IF(OR(D27="",E27=""),"",WORKDAY(D27,MAX(E27,1)-1))</f>
        <v/>
      </c>
      <c r="G27" s="36" t="n"/>
      <c r="H27" s="9">
        <f>IF(D27="","",IF(G27&gt;=1,"Done",IF(TODAY()&gt;F27,"Late",IF(TODAY()&gt;=D27,"In progress","Not started"))))</f>
        <v/>
      </c>
      <c r="I27" s="9">
        <f>IF(B27="","",IF(AND(A27&lt;&gt;"",COUNTIF(Jobs!$A$5:$A$44,A27)=0),"Unknown Job ID",IF(D27="","Missing start",IF(E27="","Missing duration",""))))</f>
        <v/>
      </c>
      <c r="J27" s="35" t="n"/>
      <c r="K27" s="60" t="n"/>
      <c r="L27" s="60" t="n"/>
      <c r="M27" s="60" t="n"/>
      <c r="N27" s="60" t="n"/>
      <c r="O27" s="60" t="n"/>
      <c r="P27" s="60" t="n"/>
      <c r="Q27" s="60" t="n"/>
      <c r="R27" s="60" t="n"/>
      <c r="S27" s="60" t="n"/>
      <c r="T27" s="60" t="n"/>
      <c r="U27" s="60" t="n"/>
      <c r="V27" s="60" t="n"/>
      <c r="W27" s="60" t="n"/>
      <c r="X27" s="60" t="n"/>
      <c r="Y27" s="60" t="n"/>
      <c r="Z27" s="60" t="n"/>
      <c r="AA27" s="60" t="n"/>
      <c r="AB27" s="60" t="n"/>
      <c r="AC27" s="60" t="n"/>
      <c r="AD27" s="60" t="n"/>
      <c r="AE27" s="60" t="n"/>
      <c r="AF27" s="60" t="n"/>
      <c r="AG27" s="60" t="n"/>
      <c r="AH27" s="60" t="n"/>
      <c r="AI27" s="60" t="n"/>
      <c r="AJ27" s="60" t="n"/>
      <c r="AK27" s="60" t="n"/>
      <c r="AL27" s="60" t="n"/>
      <c r="AM27" s="60" t="n"/>
      <c r="AN27" s="60" t="n"/>
      <c r="AO27" s="60" t="n"/>
      <c r="AP27" s="60" t="n"/>
      <c r="AQ27" s="60" t="n"/>
      <c r="AR27" s="60" t="n"/>
      <c r="AS27" s="60" t="n"/>
      <c r="AT27" s="60" t="n"/>
      <c r="AU27" s="60" t="n"/>
      <c r="AV27" s="60" t="n"/>
      <c r="AW27" s="60" t="n"/>
      <c r="AX27" s="60" t="n"/>
      <c r="AY27" s="60" t="n"/>
      <c r="AZ27" s="60" t="n"/>
      <c r="BA27" s="60" t="n"/>
      <c r="BB27" s="60" t="n"/>
      <c r="BC27" s="60" t="n"/>
      <c r="BD27" s="60" t="n"/>
      <c r="BE27" s="60" t="n"/>
      <c r="BF27" s="60" t="n"/>
      <c r="BG27" s="60" t="n"/>
      <c r="BH27" s="60" t="n"/>
      <c r="BI27" s="60" t="n"/>
      <c r="BJ27" s="60" t="n"/>
      <c r="BK27" s="60" t="n"/>
      <c r="BL27" s="60" t="n"/>
      <c r="BM27" s="60" t="n"/>
      <c r="BN27" s="60" t="n"/>
      <c r="BO27" s="60" t="n"/>
      <c r="BP27" s="60" t="n"/>
      <c r="BQ27" s="60" t="n"/>
      <c r="BR27" s="60" t="n"/>
      <c r="BS27" s="60" t="n"/>
      <c r="BT27" s="60" t="n"/>
      <c r="BU27" s="60" t="n"/>
      <c r="BV27" s="60" t="n"/>
      <c r="BW27" s="60" t="n"/>
      <c r="BX27" s="60" t="n"/>
      <c r="BY27" s="60" t="n"/>
      <c r="BZ27" s="60" t="n"/>
      <c r="CA27" s="60" t="n"/>
      <c r="CB27" s="60" t="n"/>
      <c r="CC27" s="60" t="n"/>
      <c r="CD27" s="60" t="n"/>
      <c r="CE27" s="60" t="n"/>
      <c r="CF27" s="60" t="n"/>
      <c r="CG27" s="60" t="n"/>
      <c r="CH27" s="60" t="n"/>
      <c r="CI27" s="60" t="n"/>
      <c r="CJ27" s="60" t="n"/>
      <c r="CK27" s="60" t="n"/>
      <c r="CL27" s="60" t="n"/>
      <c r="CM27" s="60" t="n"/>
      <c r="CN27" s="60" t="n"/>
      <c r="CO27" s="60" t="n"/>
      <c r="CP27" s="60" t="n"/>
    </row>
    <row r="28">
      <c r="A28" s="35" t="n"/>
      <c r="B28" s="35" t="n"/>
      <c r="C28" s="35" t="n"/>
      <c r="D28" s="40" t="n"/>
      <c r="E28" s="35" t="n"/>
      <c r="F28" s="59">
        <f>IF(OR(D28="",E28=""),"",WORKDAY(D28,MAX(E28,1)-1))</f>
        <v/>
      </c>
      <c r="G28" s="36" t="n"/>
      <c r="H28" s="9">
        <f>IF(D28="","",IF(G28&gt;=1,"Done",IF(TODAY()&gt;F28,"Late",IF(TODAY()&gt;=D28,"In progress","Not started"))))</f>
        <v/>
      </c>
      <c r="I28" s="9">
        <f>IF(B28="","",IF(AND(A28&lt;&gt;"",COUNTIF(Jobs!$A$5:$A$44,A28)=0),"Unknown Job ID",IF(D28="","Missing start",IF(E28="","Missing duration",""))))</f>
        <v/>
      </c>
      <c r="J28" s="35" t="n"/>
      <c r="K28" s="60" t="n"/>
      <c r="L28" s="60" t="n"/>
      <c r="M28" s="60" t="n"/>
      <c r="N28" s="60" t="n"/>
      <c r="O28" s="60" t="n"/>
      <c r="P28" s="60" t="n"/>
      <c r="Q28" s="60" t="n"/>
      <c r="R28" s="60" t="n"/>
      <c r="S28" s="60" t="n"/>
      <c r="T28" s="60" t="n"/>
      <c r="U28" s="60" t="n"/>
      <c r="V28" s="60" t="n"/>
      <c r="W28" s="60" t="n"/>
      <c r="X28" s="60" t="n"/>
      <c r="Y28" s="60" t="n"/>
      <c r="Z28" s="60" t="n"/>
      <c r="AA28" s="60" t="n"/>
      <c r="AB28" s="60" t="n"/>
      <c r="AC28" s="60" t="n"/>
      <c r="AD28" s="60" t="n"/>
      <c r="AE28" s="60" t="n"/>
      <c r="AF28" s="60" t="n"/>
      <c r="AG28" s="60" t="n"/>
      <c r="AH28" s="60" t="n"/>
      <c r="AI28" s="60" t="n"/>
      <c r="AJ28" s="60" t="n"/>
      <c r="AK28" s="60" t="n"/>
      <c r="AL28" s="60" t="n"/>
      <c r="AM28" s="60" t="n"/>
      <c r="AN28" s="60" t="n"/>
      <c r="AO28" s="60" t="n"/>
      <c r="AP28" s="60" t="n"/>
      <c r="AQ28" s="60" t="n"/>
      <c r="AR28" s="60" t="n"/>
      <c r="AS28" s="60" t="n"/>
      <c r="AT28" s="60" t="n"/>
      <c r="AU28" s="60" t="n"/>
      <c r="AV28" s="60" t="n"/>
      <c r="AW28" s="60" t="n"/>
      <c r="AX28" s="60" t="n"/>
      <c r="AY28" s="60" t="n"/>
      <c r="AZ28" s="60" t="n"/>
      <c r="BA28" s="60" t="n"/>
      <c r="BB28" s="60" t="n"/>
      <c r="BC28" s="60" t="n"/>
      <c r="BD28" s="60" t="n"/>
      <c r="BE28" s="60" t="n"/>
      <c r="BF28" s="60" t="n"/>
      <c r="BG28" s="60" t="n"/>
      <c r="BH28" s="60" t="n"/>
      <c r="BI28" s="60" t="n"/>
      <c r="BJ28" s="60" t="n"/>
      <c r="BK28" s="60" t="n"/>
      <c r="BL28" s="60" t="n"/>
      <c r="BM28" s="60" t="n"/>
      <c r="BN28" s="60" t="n"/>
      <c r="BO28" s="60" t="n"/>
      <c r="BP28" s="60" t="n"/>
      <c r="BQ28" s="60" t="n"/>
      <c r="BR28" s="60" t="n"/>
      <c r="BS28" s="60" t="n"/>
      <c r="BT28" s="60" t="n"/>
      <c r="BU28" s="60" t="n"/>
      <c r="BV28" s="60" t="n"/>
      <c r="BW28" s="60" t="n"/>
      <c r="BX28" s="60" t="n"/>
      <c r="BY28" s="60" t="n"/>
      <c r="BZ28" s="60" t="n"/>
      <c r="CA28" s="60" t="n"/>
      <c r="CB28" s="60" t="n"/>
      <c r="CC28" s="60" t="n"/>
      <c r="CD28" s="60" t="n"/>
      <c r="CE28" s="60" t="n"/>
      <c r="CF28" s="60" t="n"/>
      <c r="CG28" s="60" t="n"/>
      <c r="CH28" s="60" t="n"/>
      <c r="CI28" s="60" t="n"/>
      <c r="CJ28" s="60" t="n"/>
      <c r="CK28" s="60" t="n"/>
      <c r="CL28" s="60" t="n"/>
      <c r="CM28" s="60" t="n"/>
      <c r="CN28" s="60" t="n"/>
      <c r="CO28" s="60" t="n"/>
      <c r="CP28" s="60" t="n"/>
    </row>
    <row r="29">
      <c r="A29" s="35" t="n"/>
      <c r="B29" s="35" t="n"/>
      <c r="C29" s="35" t="n"/>
      <c r="D29" s="40" t="n"/>
      <c r="E29" s="35" t="n"/>
      <c r="F29" s="59">
        <f>IF(OR(D29="",E29=""),"",WORKDAY(D29,MAX(E29,1)-1))</f>
        <v/>
      </c>
      <c r="G29" s="36" t="n"/>
      <c r="H29" s="9">
        <f>IF(D29="","",IF(G29&gt;=1,"Done",IF(TODAY()&gt;F29,"Late",IF(TODAY()&gt;=D29,"In progress","Not started"))))</f>
        <v/>
      </c>
      <c r="I29" s="9">
        <f>IF(B29="","",IF(AND(A29&lt;&gt;"",COUNTIF(Jobs!$A$5:$A$44,A29)=0),"Unknown Job ID",IF(D29="","Missing start",IF(E29="","Missing duration",""))))</f>
        <v/>
      </c>
      <c r="J29" s="35" t="n"/>
      <c r="K29" s="60" t="n"/>
      <c r="L29" s="60" t="n"/>
      <c r="M29" s="60" t="n"/>
      <c r="N29" s="60" t="n"/>
      <c r="O29" s="60" t="n"/>
      <c r="P29" s="60" t="n"/>
      <c r="Q29" s="60" t="n"/>
      <c r="R29" s="60" t="n"/>
      <c r="S29" s="60" t="n"/>
      <c r="T29" s="60" t="n"/>
      <c r="U29" s="60" t="n"/>
      <c r="V29" s="60" t="n"/>
      <c r="W29" s="60" t="n"/>
      <c r="X29" s="60" t="n"/>
      <c r="Y29" s="60" t="n"/>
      <c r="Z29" s="60" t="n"/>
      <c r="AA29" s="60" t="n"/>
      <c r="AB29" s="60" t="n"/>
      <c r="AC29" s="60" t="n"/>
      <c r="AD29" s="60" t="n"/>
      <c r="AE29" s="60" t="n"/>
      <c r="AF29" s="60" t="n"/>
      <c r="AG29" s="60" t="n"/>
      <c r="AH29" s="60" t="n"/>
      <c r="AI29" s="60" t="n"/>
      <c r="AJ29" s="60" t="n"/>
      <c r="AK29" s="60" t="n"/>
      <c r="AL29" s="60" t="n"/>
      <c r="AM29" s="60" t="n"/>
      <c r="AN29" s="60" t="n"/>
      <c r="AO29" s="60" t="n"/>
      <c r="AP29" s="60" t="n"/>
      <c r="AQ29" s="60" t="n"/>
      <c r="AR29" s="60" t="n"/>
      <c r="AS29" s="60" t="n"/>
      <c r="AT29" s="60" t="n"/>
      <c r="AU29" s="60" t="n"/>
      <c r="AV29" s="60" t="n"/>
      <c r="AW29" s="60" t="n"/>
      <c r="AX29" s="60" t="n"/>
      <c r="AY29" s="60" t="n"/>
      <c r="AZ29" s="60" t="n"/>
      <c r="BA29" s="60" t="n"/>
      <c r="BB29" s="60" t="n"/>
      <c r="BC29" s="60" t="n"/>
      <c r="BD29" s="60" t="n"/>
      <c r="BE29" s="60" t="n"/>
      <c r="BF29" s="60" t="n"/>
      <c r="BG29" s="60" t="n"/>
      <c r="BH29" s="60" t="n"/>
      <c r="BI29" s="60" t="n"/>
      <c r="BJ29" s="60" t="n"/>
      <c r="BK29" s="60" t="n"/>
      <c r="BL29" s="60" t="n"/>
      <c r="BM29" s="60" t="n"/>
      <c r="BN29" s="60" t="n"/>
      <c r="BO29" s="60" t="n"/>
      <c r="BP29" s="60" t="n"/>
      <c r="BQ29" s="60" t="n"/>
      <c r="BR29" s="60" t="n"/>
      <c r="BS29" s="60" t="n"/>
      <c r="BT29" s="60" t="n"/>
      <c r="BU29" s="60" t="n"/>
      <c r="BV29" s="60" t="n"/>
      <c r="BW29" s="60" t="n"/>
      <c r="BX29" s="60" t="n"/>
      <c r="BY29" s="60" t="n"/>
      <c r="BZ29" s="60" t="n"/>
      <c r="CA29" s="60" t="n"/>
      <c r="CB29" s="60" t="n"/>
      <c r="CC29" s="60" t="n"/>
      <c r="CD29" s="60" t="n"/>
      <c r="CE29" s="60" t="n"/>
      <c r="CF29" s="60" t="n"/>
      <c r="CG29" s="60" t="n"/>
      <c r="CH29" s="60" t="n"/>
      <c r="CI29" s="60" t="n"/>
      <c r="CJ29" s="60" t="n"/>
      <c r="CK29" s="60" t="n"/>
      <c r="CL29" s="60" t="n"/>
      <c r="CM29" s="60" t="n"/>
      <c r="CN29" s="60" t="n"/>
      <c r="CO29" s="60" t="n"/>
      <c r="CP29" s="60" t="n"/>
    </row>
    <row r="30">
      <c r="A30" s="35" t="n"/>
      <c r="B30" s="35" t="n"/>
      <c r="C30" s="35" t="n"/>
      <c r="D30" s="40" t="n"/>
      <c r="E30" s="35" t="n"/>
      <c r="F30" s="59">
        <f>IF(OR(D30="",E30=""),"",WORKDAY(D30,MAX(E30,1)-1))</f>
        <v/>
      </c>
      <c r="G30" s="36" t="n"/>
      <c r="H30" s="9">
        <f>IF(D30="","",IF(G30&gt;=1,"Done",IF(TODAY()&gt;F30,"Late",IF(TODAY()&gt;=D30,"In progress","Not started"))))</f>
        <v/>
      </c>
      <c r="I30" s="9">
        <f>IF(B30="","",IF(AND(A30&lt;&gt;"",COUNTIF(Jobs!$A$5:$A$44,A30)=0),"Unknown Job ID",IF(D30="","Missing start",IF(E30="","Missing duration",""))))</f>
        <v/>
      </c>
      <c r="J30" s="35" t="n"/>
      <c r="K30" s="60" t="n"/>
      <c r="L30" s="60" t="n"/>
      <c r="M30" s="60" t="n"/>
      <c r="N30" s="60" t="n"/>
      <c r="O30" s="60" t="n"/>
      <c r="P30" s="60" t="n"/>
      <c r="Q30" s="60" t="n"/>
      <c r="R30" s="60" t="n"/>
      <c r="S30" s="60" t="n"/>
      <c r="T30" s="60" t="n"/>
      <c r="U30" s="60" t="n"/>
      <c r="V30" s="60" t="n"/>
      <c r="W30" s="60" t="n"/>
      <c r="X30" s="60" t="n"/>
      <c r="Y30" s="60" t="n"/>
      <c r="Z30" s="60" t="n"/>
      <c r="AA30" s="60" t="n"/>
      <c r="AB30" s="60" t="n"/>
      <c r="AC30" s="60" t="n"/>
      <c r="AD30" s="60" t="n"/>
      <c r="AE30" s="60" t="n"/>
      <c r="AF30" s="60" t="n"/>
      <c r="AG30" s="60" t="n"/>
      <c r="AH30" s="60" t="n"/>
      <c r="AI30" s="60" t="n"/>
      <c r="AJ30" s="60" t="n"/>
      <c r="AK30" s="60" t="n"/>
      <c r="AL30" s="60" t="n"/>
      <c r="AM30" s="60" t="n"/>
      <c r="AN30" s="60" t="n"/>
      <c r="AO30" s="60" t="n"/>
      <c r="AP30" s="60" t="n"/>
      <c r="AQ30" s="60" t="n"/>
      <c r="AR30" s="60" t="n"/>
      <c r="AS30" s="60" t="n"/>
      <c r="AT30" s="60" t="n"/>
      <c r="AU30" s="60" t="n"/>
      <c r="AV30" s="60" t="n"/>
      <c r="AW30" s="60" t="n"/>
      <c r="AX30" s="60" t="n"/>
      <c r="AY30" s="60" t="n"/>
      <c r="AZ30" s="60" t="n"/>
      <c r="BA30" s="60" t="n"/>
      <c r="BB30" s="60" t="n"/>
      <c r="BC30" s="60" t="n"/>
      <c r="BD30" s="60" t="n"/>
      <c r="BE30" s="60" t="n"/>
      <c r="BF30" s="60" t="n"/>
      <c r="BG30" s="60" t="n"/>
      <c r="BH30" s="60" t="n"/>
      <c r="BI30" s="60" t="n"/>
      <c r="BJ30" s="60" t="n"/>
      <c r="BK30" s="60" t="n"/>
      <c r="BL30" s="60" t="n"/>
      <c r="BM30" s="60" t="n"/>
      <c r="BN30" s="60" t="n"/>
      <c r="BO30" s="60" t="n"/>
      <c r="BP30" s="60" t="n"/>
      <c r="BQ30" s="60" t="n"/>
      <c r="BR30" s="60" t="n"/>
      <c r="BS30" s="60" t="n"/>
      <c r="BT30" s="60" t="n"/>
      <c r="BU30" s="60" t="n"/>
      <c r="BV30" s="60" t="n"/>
      <c r="BW30" s="60" t="n"/>
      <c r="BX30" s="60" t="n"/>
      <c r="BY30" s="60" t="n"/>
      <c r="BZ30" s="60" t="n"/>
      <c r="CA30" s="60" t="n"/>
      <c r="CB30" s="60" t="n"/>
      <c r="CC30" s="60" t="n"/>
      <c r="CD30" s="60" t="n"/>
      <c r="CE30" s="60" t="n"/>
      <c r="CF30" s="60" t="n"/>
      <c r="CG30" s="60" t="n"/>
      <c r="CH30" s="60" t="n"/>
      <c r="CI30" s="60" t="n"/>
      <c r="CJ30" s="60" t="n"/>
      <c r="CK30" s="60" t="n"/>
      <c r="CL30" s="60" t="n"/>
      <c r="CM30" s="60" t="n"/>
      <c r="CN30" s="60" t="n"/>
      <c r="CO30" s="60" t="n"/>
      <c r="CP30" s="60" t="n"/>
    </row>
    <row r="31">
      <c r="A31" s="35" t="n"/>
      <c r="B31" s="35" t="n"/>
      <c r="C31" s="35" t="n"/>
      <c r="D31" s="40" t="n"/>
      <c r="E31" s="35" t="n"/>
      <c r="F31" s="59">
        <f>IF(OR(D31="",E31=""),"",WORKDAY(D31,MAX(E31,1)-1))</f>
        <v/>
      </c>
      <c r="G31" s="36" t="n"/>
      <c r="H31" s="9">
        <f>IF(D31="","",IF(G31&gt;=1,"Done",IF(TODAY()&gt;F31,"Late",IF(TODAY()&gt;=D31,"In progress","Not started"))))</f>
        <v/>
      </c>
      <c r="I31" s="9">
        <f>IF(B31="","",IF(AND(A31&lt;&gt;"",COUNTIF(Jobs!$A$5:$A$44,A31)=0),"Unknown Job ID",IF(D31="","Missing start",IF(E31="","Missing duration",""))))</f>
        <v/>
      </c>
      <c r="J31" s="35" t="n"/>
      <c r="K31" s="60" t="n"/>
      <c r="L31" s="60" t="n"/>
      <c r="M31" s="60" t="n"/>
      <c r="N31" s="60" t="n"/>
      <c r="O31" s="60" t="n"/>
      <c r="P31" s="60" t="n"/>
      <c r="Q31" s="60" t="n"/>
      <c r="R31" s="60" t="n"/>
      <c r="S31" s="60" t="n"/>
      <c r="T31" s="60" t="n"/>
      <c r="U31" s="60" t="n"/>
      <c r="V31" s="60" t="n"/>
      <c r="W31" s="60" t="n"/>
      <c r="X31" s="60" t="n"/>
      <c r="Y31" s="60" t="n"/>
      <c r="Z31" s="60" t="n"/>
      <c r="AA31" s="60" t="n"/>
      <c r="AB31" s="60" t="n"/>
      <c r="AC31" s="60" t="n"/>
      <c r="AD31" s="60" t="n"/>
      <c r="AE31" s="60" t="n"/>
      <c r="AF31" s="60" t="n"/>
      <c r="AG31" s="60" t="n"/>
      <c r="AH31" s="60" t="n"/>
      <c r="AI31" s="60" t="n"/>
      <c r="AJ31" s="60" t="n"/>
      <c r="AK31" s="60" t="n"/>
      <c r="AL31" s="60" t="n"/>
      <c r="AM31" s="60" t="n"/>
      <c r="AN31" s="60" t="n"/>
      <c r="AO31" s="60" t="n"/>
      <c r="AP31" s="60" t="n"/>
      <c r="AQ31" s="60" t="n"/>
      <c r="AR31" s="60" t="n"/>
      <c r="AS31" s="60" t="n"/>
      <c r="AT31" s="60" t="n"/>
      <c r="AU31" s="60" t="n"/>
      <c r="AV31" s="60" t="n"/>
      <c r="AW31" s="60" t="n"/>
      <c r="AX31" s="60" t="n"/>
      <c r="AY31" s="60" t="n"/>
      <c r="AZ31" s="60" t="n"/>
      <c r="BA31" s="60" t="n"/>
      <c r="BB31" s="60" t="n"/>
      <c r="BC31" s="60" t="n"/>
      <c r="BD31" s="60" t="n"/>
      <c r="BE31" s="60" t="n"/>
      <c r="BF31" s="60" t="n"/>
      <c r="BG31" s="60" t="n"/>
      <c r="BH31" s="60" t="n"/>
      <c r="BI31" s="60" t="n"/>
      <c r="BJ31" s="60" t="n"/>
      <c r="BK31" s="60" t="n"/>
      <c r="BL31" s="60" t="n"/>
      <c r="BM31" s="60" t="n"/>
      <c r="BN31" s="60" t="n"/>
      <c r="BO31" s="60" t="n"/>
      <c r="BP31" s="60" t="n"/>
      <c r="BQ31" s="60" t="n"/>
      <c r="BR31" s="60" t="n"/>
      <c r="BS31" s="60" t="n"/>
      <c r="BT31" s="60" t="n"/>
      <c r="BU31" s="60" t="n"/>
      <c r="BV31" s="60" t="n"/>
      <c r="BW31" s="60" t="n"/>
      <c r="BX31" s="60" t="n"/>
      <c r="BY31" s="60" t="n"/>
      <c r="BZ31" s="60" t="n"/>
      <c r="CA31" s="60" t="n"/>
      <c r="CB31" s="60" t="n"/>
      <c r="CC31" s="60" t="n"/>
      <c r="CD31" s="60" t="n"/>
      <c r="CE31" s="60" t="n"/>
      <c r="CF31" s="60" t="n"/>
      <c r="CG31" s="60" t="n"/>
      <c r="CH31" s="60" t="n"/>
      <c r="CI31" s="60" t="n"/>
      <c r="CJ31" s="60" t="n"/>
      <c r="CK31" s="60" t="n"/>
      <c r="CL31" s="60" t="n"/>
      <c r="CM31" s="60" t="n"/>
      <c r="CN31" s="60" t="n"/>
      <c r="CO31" s="60" t="n"/>
      <c r="CP31" s="60" t="n"/>
    </row>
    <row r="32">
      <c r="A32" s="35" t="n"/>
      <c r="B32" s="35" t="n"/>
      <c r="C32" s="35" t="n"/>
      <c r="D32" s="40" t="n"/>
      <c r="E32" s="35" t="n"/>
      <c r="F32" s="59">
        <f>IF(OR(D32="",E32=""),"",WORKDAY(D32,MAX(E32,1)-1))</f>
        <v/>
      </c>
      <c r="G32" s="36" t="n"/>
      <c r="H32" s="9">
        <f>IF(D32="","",IF(G32&gt;=1,"Done",IF(TODAY()&gt;F32,"Late",IF(TODAY()&gt;=D32,"In progress","Not started"))))</f>
        <v/>
      </c>
      <c r="I32" s="9">
        <f>IF(B32="","",IF(AND(A32&lt;&gt;"",COUNTIF(Jobs!$A$5:$A$44,A32)=0),"Unknown Job ID",IF(D32="","Missing start",IF(E32="","Missing duration",""))))</f>
        <v/>
      </c>
      <c r="J32" s="35" t="n"/>
      <c r="K32" s="60" t="n"/>
      <c r="L32" s="60" t="n"/>
      <c r="M32" s="60" t="n"/>
      <c r="N32" s="60" t="n"/>
      <c r="O32" s="60" t="n"/>
      <c r="P32" s="60" t="n"/>
      <c r="Q32" s="60" t="n"/>
      <c r="R32" s="60" t="n"/>
      <c r="S32" s="60" t="n"/>
      <c r="T32" s="60" t="n"/>
      <c r="U32" s="60" t="n"/>
      <c r="V32" s="60" t="n"/>
      <c r="W32" s="60" t="n"/>
      <c r="X32" s="60" t="n"/>
      <c r="Y32" s="60" t="n"/>
      <c r="Z32" s="60" t="n"/>
      <c r="AA32" s="60" t="n"/>
      <c r="AB32" s="60" t="n"/>
      <c r="AC32" s="60" t="n"/>
      <c r="AD32" s="60" t="n"/>
      <c r="AE32" s="60" t="n"/>
      <c r="AF32" s="60" t="n"/>
      <c r="AG32" s="60" t="n"/>
      <c r="AH32" s="60" t="n"/>
      <c r="AI32" s="60" t="n"/>
      <c r="AJ32" s="60" t="n"/>
      <c r="AK32" s="60" t="n"/>
      <c r="AL32" s="60" t="n"/>
      <c r="AM32" s="60" t="n"/>
      <c r="AN32" s="60" t="n"/>
      <c r="AO32" s="60" t="n"/>
      <c r="AP32" s="60" t="n"/>
      <c r="AQ32" s="60" t="n"/>
      <c r="AR32" s="60" t="n"/>
      <c r="AS32" s="60" t="n"/>
      <c r="AT32" s="60" t="n"/>
      <c r="AU32" s="60" t="n"/>
      <c r="AV32" s="60" t="n"/>
      <c r="AW32" s="60" t="n"/>
      <c r="AX32" s="60" t="n"/>
      <c r="AY32" s="60" t="n"/>
      <c r="AZ32" s="60" t="n"/>
      <c r="BA32" s="60" t="n"/>
      <c r="BB32" s="60" t="n"/>
      <c r="BC32" s="60" t="n"/>
      <c r="BD32" s="60" t="n"/>
      <c r="BE32" s="60" t="n"/>
      <c r="BF32" s="60" t="n"/>
      <c r="BG32" s="60" t="n"/>
      <c r="BH32" s="60" t="n"/>
      <c r="BI32" s="60" t="n"/>
      <c r="BJ32" s="60" t="n"/>
      <c r="BK32" s="60" t="n"/>
      <c r="BL32" s="60" t="n"/>
      <c r="BM32" s="60" t="n"/>
      <c r="BN32" s="60" t="n"/>
      <c r="BO32" s="60" t="n"/>
      <c r="BP32" s="60" t="n"/>
      <c r="BQ32" s="60" t="n"/>
      <c r="BR32" s="60" t="n"/>
      <c r="BS32" s="60" t="n"/>
      <c r="BT32" s="60" t="n"/>
      <c r="BU32" s="60" t="n"/>
      <c r="BV32" s="60" t="n"/>
      <c r="BW32" s="60" t="n"/>
      <c r="BX32" s="60" t="n"/>
      <c r="BY32" s="60" t="n"/>
      <c r="BZ32" s="60" t="n"/>
      <c r="CA32" s="60" t="n"/>
      <c r="CB32" s="60" t="n"/>
      <c r="CC32" s="60" t="n"/>
      <c r="CD32" s="60" t="n"/>
      <c r="CE32" s="60" t="n"/>
      <c r="CF32" s="60" t="n"/>
      <c r="CG32" s="60" t="n"/>
      <c r="CH32" s="60" t="n"/>
      <c r="CI32" s="60" t="n"/>
      <c r="CJ32" s="60" t="n"/>
      <c r="CK32" s="60" t="n"/>
      <c r="CL32" s="60" t="n"/>
      <c r="CM32" s="60" t="n"/>
      <c r="CN32" s="60" t="n"/>
      <c r="CO32" s="60" t="n"/>
      <c r="CP32" s="60" t="n"/>
    </row>
    <row r="33">
      <c r="A33" s="35" t="n"/>
      <c r="B33" s="35" t="n"/>
      <c r="C33" s="35" t="n"/>
      <c r="D33" s="40" t="n"/>
      <c r="E33" s="35" t="n"/>
      <c r="F33" s="59">
        <f>IF(OR(D33="",E33=""),"",WORKDAY(D33,MAX(E33,1)-1))</f>
        <v/>
      </c>
      <c r="G33" s="36" t="n"/>
      <c r="H33" s="9">
        <f>IF(D33="","",IF(G33&gt;=1,"Done",IF(TODAY()&gt;F33,"Late",IF(TODAY()&gt;=D33,"In progress","Not started"))))</f>
        <v/>
      </c>
      <c r="I33" s="9">
        <f>IF(B33="","",IF(AND(A33&lt;&gt;"",COUNTIF(Jobs!$A$5:$A$44,A33)=0),"Unknown Job ID",IF(D33="","Missing start",IF(E33="","Missing duration",""))))</f>
        <v/>
      </c>
      <c r="J33" s="35" t="n"/>
      <c r="K33" s="60" t="n"/>
      <c r="L33" s="60" t="n"/>
      <c r="M33" s="60" t="n"/>
      <c r="N33" s="60" t="n"/>
      <c r="O33" s="60" t="n"/>
      <c r="P33" s="60" t="n"/>
      <c r="Q33" s="60" t="n"/>
      <c r="R33" s="60" t="n"/>
      <c r="S33" s="60" t="n"/>
      <c r="T33" s="60" t="n"/>
      <c r="U33" s="60" t="n"/>
      <c r="V33" s="60" t="n"/>
      <c r="W33" s="60" t="n"/>
      <c r="X33" s="60" t="n"/>
      <c r="Y33" s="60" t="n"/>
      <c r="Z33" s="60" t="n"/>
      <c r="AA33" s="60" t="n"/>
      <c r="AB33" s="60" t="n"/>
      <c r="AC33" s="60" t="n"/>
      <c r="AD33" s="60" t="n"/>
      <c r="AE33" s="60" t="n"/>
      <c r="AF33" s="60" t="n"/>
      <c r="AG33" s="60" t="n"/>
      <c r="AH33" s="60" t="n"/>
      <c r="AI33" s="60" t="n"/>
      <c r="AJ33" s="60" t="n"/>
      <c r="AK33" s="60" t="n"/>
      <c r="AL33" s="60" t="n"/>
      <c r="AM33" s="60" t="n"/>
      <c r="AN33" s="60" t="n"/>
      <c r="AO33" s="60" t="n"/>
      <c r="AP33" s="60" t="n"/>
      <c r="AQ33" s="60" t="n"/>
      <c r="AR33" s="60" t="n"/>
      <c r="AS33" s="60" t="n"/>
      <c r="AT33" s="60" t="n"/>
      <c r="AU33" s="60" t="n"/>
      <c r="AV33" s="60" t="n"/>
      <c r="AW33" s="60" t="n"/>
      <c r="AX33" s="60" t="n"/>
      <c r="AY33" s="60" t="n"/>
      <c r="AZ33" s="60" t="n"/>
      <c r="BA33" s="60" t="n"/>
      <c r="BB33" s="60" t="n"/>
      <c r="BC33" s="60" t="n"/>
      <c r="BD33" s="60" t="n"/>
      <c r="BE33" s="60" t="n"/>
      <c r="BF33" s="60" t="n"/>
      <c r="BG33" s="60" t="n"/>
      <c r="BH33" s="60" t="n"/>
      <c r="BI33" s="60" t="n"/>
      <c r="BJ33" s="60" t="n"/>
      <c r="BK33" s="60" t="n"/>
      <c r="BL33" s="60" t="n"/>
      <c r="BM33" s="60" t="n"/>
      <c r="BN33" s="60" t="n"/>
      <c r="BO33" s="60" t="n"/>
      <c r="BP33" s="60" t="n"/>
      <c r="BQ33" s="60" t="n"/>
      <c r="BR33" s="60" t="n"/>
      <c r="BS33" s="60" t="n"/>
      <c r="BT33" s="60" t="n"/>
      <c r="BU33" s="60" t="n"/>
      <c r="BV33" s="60" t="n"/>
      <c r="BW33" s="60" t="n"/>
      <c r="BX33" s="60" t="n"/>
      <c r="BY33" s="60" t="n"/>
      <c r="BZ33" s="60" t="n"/>
      <c r="CA33" s="60" t="n"/>
      <c r="CB33" s="60" t="n"/>
      <c r="CC33" s="60" t="n"/>
      <c r="CD33" s="60" t="n"/>
      <c r="CE33" s="60" t="n"/>
      <c r="CF33" s="60" t="n"/>
      <c r="CG33" s="60" t="n"/>
      <c r="CH33" s="60" t="n"/>
      <c r="CI33" s="60" t="n"/>
      <c r="CJ33" s="60" t="n"/>
      <c r="CK33" s="60" t="n"/>
      <c r="CL33" s="60" t="n"/>
      <c r="CM33" s="60" t="n"/>
      <c r="CN33" s="60" t="n"/>
      <c r="CO33" s="60" t="n"/>
      <c r="CP33" s="60" t="n"/>
    </row>
    <row r="34">
      <c r="A34" s="35" t="n"/>
      <c r="B34" s="35" t="n"/>
      <c r="C34" s="35" t="n"/>
      <c r="D34" s="40" t="n"/>
      <c r="E34" s="35" t="n"/>
      <c r="F34" s="59">
        <f>IF(OR(D34="",E34=""),"",WORKDAY(D34,MAX(E34,1)-1))</f>
        <v/>
      </c>
      <c r="G34" s="36" t="n"/>
      <c r="H34" s="9">
        <f>IF(D34="","",IF(G34&gt;=1,"Done",IF(TODAY()&gt;F34,"Late",IF(TODAY()&gt;=D34,"In progress","Not started"))))</f>
        <v/>
      </c>
      <c r="I34" s="9">
        <f>IF(B34="","",IF(AND(A34&lt;&gt;"",COUNTIF(Jobs!$A$5:$A$44,A34)=0),"Unknown Job ID",IF(D34="","Missing start",IF(E34="","Missing duration",""))))</f>
        <v/>
      </c>
      <c r="J34" s="35" t="n"/>
      <c r="K34" s="60" t="n"/>
      <c r="L34" s="60" t="n"/>
      <c r="M34" s="60" t="n"/>
      <c r="N34" s="60" t="n"/>
      <c r="O34" s="60" t="n"/>
      <c r="P34" s="60" t="n"/>
      <c r="Q34" s="60" t="n"/>
      <c r="R34" s="60" t="n"/>
      <c r="S34" s="60" t="n"/>
      <c r="T34" s="60" t="n"/>
      <c r="U34" s="60" t="n"/>
      <c r="V34" s="60" t="n"/>
      <c r="W34" s="60" t="n"/>
      <c r="X34" s="60" t="n"/>
      <c r="Y34" s="60" t="n"/>
      <c r="Z34" s="60" t="n"/>
      <c r="AA34" s="60" t="n"/>
      <c r="AB34" s="60" t="n"/>
      <c r="AC34" s="60" t="n"/>
      <c r="AD34" s="60" t="n"/>
      <c r="AE34" s="60" t="n"/>
      <c r="AF34" s="60" t="n"/>
      <c r="AG34" s="60" t="n"/>
      <c r="AH34" s="60" t="n"/>
      <c r="AI34" s="60" t="n"/>
      <c r="AJ34" s="60" t="n"/>
      <c r="AK34" s="60" t="n"/>
      <c r="AL34" s="60" t="n"/>
      <c r="AM34" s="60" t="n"/>
      <c r="AN34" s="60" t="n"/>
      <c r="AO34" s="60" t="n"/>
      <c r="AP34" s="60" t="n"/>
      <c r="AQ34" s="60" t="n"/>
      <c r="AR34" s="60" t="n"/>
      <c r="AS34" s="60" t="n"/>
      <c r="AT34" s="60" t="n"/>
      <c r="AU34" s="60" t="n"/>
      <c r="AV34" s="60" t="n"/>
      <c r="AW34" s="60" t="n"/>
      <c r="AX34" s="60" t="n"/>
      <c r="AY34" s="60" t="n"/>
      <c r="AZ34" s="60" t="n"/>
      <c r="BA34" s="60" t="n"/>
      <c r="BB34" s="60" t="n"/>
      <c r="BC34" s="60" t="n"/>
      <c r="BD34" s="60" t="n"/>
      <c r="BE34" s="60" t="n"/>
      <c r="BF34" s="60" t="n"/>
      <c r="BG34" s="60" t="n"/>
      <c r="BH34" s="60" t="n"/>
      <c r="BI34" s="60" t="n"/>
      <c r="BJ34" s="60" t="n"/>
      <c r="BK34" s="60" t="n"/>
      <c r="BL34" s="60" t="n"/>
      <c r="BM34" s="60" t="n"/>
      <c r="BN34" s="60" t="n"/>
      <c r="BO34" s="60" t="n"/>
      <c r="BP34" s="60" t="n"/>
      <c r="BQ34" s="60" t="n"/>
      <c r="BR34" s="60" t="n"/>
      <c r="BS34" s="60" t="n"/>
      <c r="BT34" s="60" t="n"/>
      <c r="BU34" s="60" t="n"/>
      <c r="BV34" s="60" t="n"/>
      <c r="BW34" s="60" t="n"/>
      <c r="BX34" s="60" t="n"/>
      <c r="BY34" s="60" t="n"/>
      <c r="BZ34" s="60" t="n"/>
      <c r="CA34" s="60" t="n"/>
      <c r="CB34" s="60" t="n"/>
      <c r="CC34" s="60" t="n"/>
      <c r="CD34" s="60" t="n"/>
      <c r="CE34" s="60" t="n"/>
      <c r="CF34" s="60" t="n"/>
      <c r="CG34" s="60" t="n"/>
      <c r="CH34" s="60" t="n"/>
      <c r="CI34" s="60" t="n"/>
      <c r="CJ34" s="60" t="n"/>
      <c r="CK34" s="60" t="n"/>
      <c r="CL34" s="60" t="n"/>
      <c r="CM34" s="60" t="n"/>
      <c r="CN34" s="60" t="n"/>
      <c r="CO34" s="60" t="n"/>
      <c r="CP34" s="60" t="n"/>
    </row>
    <row r="35">
      <c r="A35" s="35" t="n"/>
      <c r="B35" s="35" t="n"/>
      <c r="C35" s="35" t="n"/>
      <c r="D35" s="40" t="n"/>
      <c r="E35" s="35" t="n"/>
      <c r="F35" s="59">
        <f>IF(OR(D35="",E35=""),"",WORKDAY(D35,MAX(E35,1)-1))</f>
        <v/>
      </c>
      <c r="G35" s="36" t="n"/>
      <c r="H35" s="9">
        <f>IF(D35="","",IF(G35&gt;=1,"Done",IF(TODAY()&gt;F35,"Late",IF(TODAY()&gt;=D35,"In progress","Not started"))))</f>
        <v/>
      </c>
      <c r="I35" s="9">
        <f>IF(B35="","",IF(AND(A35&lt;&gt;"",COUNTIF(Jobs!$A$5:$A$44,A35)=0),"Unknown Job ID",IF(D35="","Missing start",IF(E35="","Missing duration",""))))</f>
        <v/>
      </c>
      <c r="J35" s="35" t="n"/>
      <c r="K35" s="60" t="n"/>
      <c r="L35" s="60" t="n"/>
      <c r="M35" s="60" t="n"/>
      <c r="N35" s="60" t="n"/>
      <c r="O35" s="60" t="n"/>
      <c r="P35" s="60" t="n"/>
      <c r="Q35" s="60" t="n"/>
      <c r="R35" s="60" t="n"/>
      <c r="S35" s="60" t="n"/>
      <c r="T35" s="60" t="n"/>
      <c r="U35" s="60" t="n"/>
      <c r="V35" s="60" t="n"/>
      <c r="W35" s="60" t="n"/>
      <c r="X35" s="60" t="n"/>
      <c r="Y35" s="60" t="n"/>
      <c r="Z35" s="60" t="n"/>
      <c r="AA35" s="60" t="n"/>
      <c r="AB35" s="60" t="n"/>
      <c r="AC35" s="60" t="n"/>
      <c r="AD35" s="60" t="n"/>
      <c r="AE35" s="60" t="n"/>
      <c r="AF35" s="60" t="n"/>
      <c r="AG35" s="60" t="n"/>
      <c r="AH35" s="60" t="n"/>
      <c r="AI35" s="60" t="n"/>
      <c r="AJ35" s="60" t="n"/>
      <c r="AK35" s="60" t="n"/>
      <c r="AL35" s="60" t="n"/>
      <c r="AM35" s="60" t="n"/>
      <c r="AN35" s="60" t="n"/>
      <c r="AO35" s="60" t="n"/>
      <c r="AP35" s="60" t="n"/>
      <c r="AQ35" s="60" t="n"/>
      <c r="AR35" s="60" t="n"/>
      <c r="AS35" s="60" t="n"/>
      <c r="AT35" s="60" t="n"/>
      <c r="AU35" s="60" t="n"/>
      <c r="AV35" s="60" t="n"/>
      <c r="AW35" s="60" t="n"/>
      <c r="AX35" s="60" t="n"/>
      <c r="AY35" s="60" t="n"/>
      <c r="AZ35" s="60" t="n"/>
      <c r="BA35" s="60" t="n"/>
      <c r="BB35" s="60" t="n"/>
      <c r="BC35" s="60" t="n"/>
      <c r="BD35" s="60" t="n"/>
      <c r="BE35" s="60" t="n"/>
      <c r="BF35" s="60" t="n"/>
      <c r="BG35" s="60" t="n"/>
      <c r="BH35" s="60" t="n"/>
      <c r="BI35" s="60" t="n"/>
      <c r="BJ35" s="60" t="n"/>
      <c r="BK35" s="60" t="n"/>
      <c r="BL35" s="60" t="n"/>
      <c r="BM35" s="60" t="n"/>
      <c r="BN35" s="60" t="n"/>
      <c r="BO35" s="60" t="n"/>
      <c r="BP35" s="60" t="n"/>
      <c r="BQ35" s="60" t="n"/>
      <c r="BR35" s="60" t="n"/>
      <c r="BS35" s="60" t="n"/>
      <c r="BT35" s="60" t="n"/>
      <c r="BU35" s="60" t="n"/>
      <c r="BV35" s="60" t="n"/>
      <c r="BW35" s="60" t="n"/>
      <c r="BX35" s="60" t="n"/>
      <c r="BY35" s="60" t="n"/>
      <c r="BZ35" s="60" t="n"/>
      <c r="CA35" s="60" t="n"/>
      <c r="CB35" s="60" t="n"/>
      <c r="CC35" s="60" t="n"/>
      <c r="CD35" s="60" t="n"/>
      <c r="CE35" s="60" t="n"/>
      <c r="CF35" s="60" t="n"/>
      <c r="CG35" s="60" t="n"/>
      <c r="CH35" s="60" t="n"/>
      <c r="CI35" s="60" t="n"/>
      <c r="CJ35" s="60" t="n"/>
      <c r="CK35" s="60" t="n"/>
      <c r="CL35" s="60" t="n"/>
      <c r="CM35" s="60" t="n"/>
      <c r="CN35" s="60" t="n"/>
      <c r="CO35" s="60" t="n"/>
      <c r="CP35" s="60" t="n"/>
    </row>
    <row r="36">
      <c r="A36" s="35" t="n"/>
      <c r="B36" s="35" t="n"/>
      <c r="C36" s="35" t="n"/>
      <c r="D36" s="40" t="n"/>
      <c r="E36" s="35" t="n"/>
      <c r="F36" s="59">
        <f>IF(OR(D36="",E36=""),"",WORKDAY(D36,MAX(E36,1)-1))</f>
        <v/>
      </c>
      <c r="G36" s="36" t="n"/>
      <c r="H36" s="9">
        <f>IF(D36="","",IF(G36&gt;=1,"Done",IF(TODAY()&gt;F36,"Late",IF(TODAY()&gt;=D36,"In progress","Not started"))))</f>
        <v/>
      </c>
      <c r="I36" s="9">
        <f>IF(B36="","",IF(AND(A36&lt;&gt;"",COUNTIF(Jobs!$A$5:$A$44,A36)=0),"Unknown Job ID",IF(D36="","Missing start",IF(E36="","Missing duration",""))))</f>
        <v/>
      </c>
      <c r="J36" s="35" t="n"/>
      <c r="K36" s="60" t="n"/>
      <c r="L36" s="60" t="n"/>
      <c r="M36" s="60" t="n"/>
      <c r="N36" s="60" t="n"/>
      <c r="O36" s="60" t="n"/>
      <c r="P36" s="60" t="n"/>
      <c r="Q36" s="60" t="n"/>
      <c r="R36" s="60" t="n"/>
      <c r="S36" s="60" t="n"/>
      <c r="T36" s="60" t="n"/>
      <c r="U36" s="60" t="n"/>
      <c r="V36" s="60" t="n"/>
      <c r="W36" s="60" t="n"/>
      <c r="X36" s="60" t="n"/>
      <c r="Y36" s="60" t="n"/>
      <c r="Z36" s="60" t="n"/>
      <c r="AA36" s="60" t="n"/>
      <c r="AB36" s="60" t="n"/>
      <c r="AC36" s="60" t="n"/>
      <c r="AD36" s="60" t="n"/>
      <c r="AE36" s="60" t="n"/>
      <c r="AF36" s="60" t="n"/>
      <c r="AG36" s="60" t="n"/>
      <c r="AH36" s="60" t="n"/>
      <c r="AI36" s="60" t="n"/>
      <c r="AJ36" s="60" t="n"/>
      <c r="AK36" s="60" t="n"/>
      <c r="AL36" s="60" t="n"/>
      <c r="AM36" s="60" t="n"/>
      <c r="AN36" s="60" t="n"/>
      <c r="AO36" s="60" t="n"/>
      <c r="AP36" s="60" t="n"/>
      <c r="AQ36" s="60" t="n"/>
      <c r="AR36" s="60" t="n"/>
      <c r="AS36" s="60" t="n"/>
      <c r="AT36" s="60" t="n"/>
      <c r="AU36" s="60" t="n"/>
      <c r="AV36" s="60" t="n"/>
      <c r="AW36" s="60" t="n"/>
      <c r="AX36" s="60" t="n"/>
      <c r="AY36" s="60" t="n"/>
      <c r="AZ36" s="60" t="n"/>
      <c r="BA36" s="60" t="n"/>
      <c r="BB36" s="60" t="n"/>
      <c r="BC36" s="60" t="n"/>
      <c r="BD36" s="60" t="n"/>
      <c r="BE36" s="60" t="n"/>
      <c r="BF36" s="60" t="n"/>
      <c r="BG36" s="60" t="n"/>
      <c r="BH36" s="60" t="n"/>
      <c r="BI36" s="60" t="n"/>
      <c r="BJ36" s="60" t="n"/>
      <c r="BK36" s="60" t="n"/>
      <c r="BL36" s="60" t="n"/>
      <c r="BM36" s="60" t="n"/>
      <c r="BN36" s="60" t="n"/>
      <c r="BO36" s="60" t="n"/>
      <c r="BP36" s="60" t="n"/>
      <c r="BQ36" s="60" t="n"/>
      <c r="BR36" s="60" t="n"/>
      <c r="BS36" s="60" t="n"/>
      <c r="BT36" s="60" t="n"/>
      <c r="BU36" s="60" t="n"/>
      <c r="BV36" s="60" t="n"/>
      <c r="BW36" s="60" t="n"/>
      <c r="BX36" s="60" t="n"/>
      <c r="BY36" s="60" t="n"/>
      <c r="BZ36" s="60" t="n"/>
      <c r="CA36" s="60" t="n"/>
      <c r="CB36" s="60" t="n"/>
      <c r="CC36" s="60" t="n"/>
      <c r="CD36" s="60" t="n"/>
      <c r="CE36" s="60" t="n"/>
      <c r="CF36" s="60" t="n"/>
      <c r="CG36" s="60" t="n"/>
      <c r="CH36" s="60" t="n"/>
      <c r="CI36" s="60" t="n"/>
      <c r="CJ36" s="60" t="n"/>
      <c r="CK36" s="60" t="n"/>
      <c r="CL36" s="60" t="n"/>
      <c r="CM36" s="60" t="n"/>
      <c r="CN36" s="60" t="n"/>
      <c r="CO36" s="60" t="n"/>
      <c r="CP36" s="60" t="n"/>
    </row>
    <row r="37">
      <c r="A37" s="35" t="n"/>
      <c r="B37" s="35" t="n"/>
      <c r="C37" s="35" t="n"/>
      <c r="D37" s="40" t="n"/>
      <c r="E37" s="35" t="n"/>
      <c r="F37" s="59">
        <f>IF(OR(D37="",E37=""),"",WORKDAY(D37,MAX(E37,1)-1))</f>
        <v/>
      </c>
      <c r="G37" s="36" t="n"/>
      <c r="H37" s="9">
        <f>IF(D37="","",IF(G37&gt;=1,"Done",IF(TODAY()&gt;F37,"Late",IF(TODAY()&gt;=D37,"In progress","Not started"))))</f>
        <v/>
      </c>
      <c r="I37" s="9">
        <f>IF(B37="","",IF(AND(A37&lt;&gt;"",COUNTIF(Jobs!$A$5:$A$44,A37)=0),"Unknown Job ID",IF(D37="","Missing start",IF(E37="","Missing duration",""))))</f>
        <v/>
      </c>
      <c r="J37" s="35" t="n"/>
      <c r="K37" s="60" t="n"/>
      <c r="L37" s="60" t="n"/>
      <c r="M37" s="60" t="n"/>
      <c r="N37" s="60" t="n"/>
      <c r="O37" s="60" t="n"/>
      <c r="P37" s="60" t="n"/>
      <c r="Q37" s="60" t="n"/>
      <c r="R37" s="60" t="n"/>
      <c r="S37" s="60" t="n"/>
      <c r="T37" s="60" t="n"/>
      <c r="U37" s="60" t="n"/>
      <c r="V37" s="60" t="n"/>
      <c r="W37" s="60" t="n"/>
      <c r="X37" s="60" t="n"/>
      <c r="Y37" s="60" t="n"/>
      <c r="Z37" s="60" t="n"/>
      <c r="AA37" s="60" t="n"/>
      <c r="AB37" s="60" t="n"/>
      <c r="AC37" s="60" t="n"/>
      <c r="AD37" s="60" t="n"/>
      <c r="AE37" s="60" t="n"/>
      <c r="AF37" s="60" t="n"/>
      <c r="AG37" s="60" t="n"/>
      <c r="AH37" s="60" t="n"/>
      <c r="AI37" s="60" t="n"/>
      <c r="AJ37" s="60" t="n"/>
      <c r="AK37" s="60" t="n"/>
      <c r="AL37" s="60" t="n"/>
      <c r="AM37" s="60" t="n"/>
      <c r="AN37" s="60" t="n"/>
      <c r="AO37" s="60" t="n"/>
      <c r="AP37" s="60" t="n"/>
      <c r="AQ37" s="60" t="n"/>
      <c r="AR37" s="60" t="n"/>
      <c r="AS37" s="60" t="n"/>
      <c r="AT37" s="60" t="n"/>
      <c r="AU37" s="60" t="n"/>
      <c r="AV37" s="60" t="n"/>
      <c r="AW37" s="60" t="n"/>
      <c r="AX37" s="60" t="n"/>
      <c r="AY37" s="60" t="n"/>
      <c r="AZ37" s="60" t="n"/>
      <c r="BA37" s="60" t="n"/>
      <c r="BB37" s="60" t="n"/>
      <c r="BC37" s="60" t="n"/>
      <c r="BD37" s="60" t="n"/>
      <c r="BE37" s="60" t="n"/>
      <c r="BF37" s="60" t="n"/>
      <c r="BG37" s="60" t="n"/>
      <c r="BH37" s="60" t="n"/>
      <c r="BI37" s="60" t="n"/>
      <c r="BJ37" s="60" t="n"/>
      <c r="BK37" s="60" t="n"/>
      <c r="BL37" s="60" t="n"/>
      <c r="BM37" s="60" t="n"/>
      <c r="BN37" s="60" t="n"/>
      <c r="BO37" s="60" t="n"/>
      <c r="BP37" s="60" t="n"/>
      <c r="BQ37" s="60" t="n"/>
      <c r="BR37" s="60" t="n"/>
      <c r="BS37" s="60" t="n"/>
      <c r="BT37" s="60" t="n"/>
      <c r="BU37" s="60" t="n"/>
      <c r="BV37" s="60" t="n"/>
      <c r="BW37" s="60" t="n"/>
      <c r="BX37" s="60" t="n"/>
      <c r="BY37" s="60" t="n"/>
      <c r="BZ37" s="60" t="n"/>
      <c r="CA37" s="60" t="n"/>
      <c r="CB37" s="60" t="n"/>
      <c r="CC37" s="60" t="n"/>
      <c r="CD37" s="60" t="n"/>
      <c r="CE37" s="60" t="n"/>
      <c r="CF37" s="60" t="n"/>
      <c r="CG37" s="60" t="n"/>
      <c r="CH37" s="60" t="n"/>
      <c r="CI37" s="60" t="n"/>
      <c r="CJ37" s="60" t="n"/>
      <c r="CK37" s="60" t="n"/>
      <c r="CL37" s="60" t="n"/>
      <c r="CM37" s="60" t="n"/>
      <c r="CN37" s="60" t="n"/>
      <c r="CO37" s="60" t="n"/>
      <c r="CP37" s="60" t="n"/>
    </row>
    <row r="38">
      <c r="A38" s="35" t="n"/>
      <c r="B38" s="35" t="n"/>
      <c r="C38" s="35" t="n"/>
      <c r="D38" s="40" t="n"/>
      <c r="E38" s="35" t="n"/>
      <c r="F38" s="59">
        <f>IF(OR(D38="",E38=""),"",WORKDAY(D38,MAX(E38,1)-1))</f>
        <v/>
      </c>
      <c r="G38" s="36" t="n"/>
      <c r="H38" s="9">
        <f>IF(D38="","",IF(G38&gt;=1,"Done",IF(TODAY()&gt;F38,"Late",IF(TODAY()&gt;=D38,"In progress","Not started"))))</f>
        <v/>
      </c>
      <c r="I38" s="9">
        <f>IF(B38="","",IF(AND(A38&lt;&gt;"",COUNTIF(Jobs!$A$5:$A$44,A38)=0),"Unknown Job ID",IF(D38="","Missing start",IF(E38="","Missing duration",""))))</f>
        <v/>
      </c>
      <c r="J38" s="35" t="n"/>
      <c r="K38" s="60" t="n"/>
      <c r="L38" s="60" t="n"/>
      <c r="M38" s="60" t="n"/>
      <c r="N38" s="60" t="n"/>
      <c r="O38" s="60" t="n"/>
      <c r="P38" s="60" t="n"/>
      <c r="Q38" s="60" t="n"/>
      <c r="R38" s="60" t="n"/>
      <c r="S38" s="60" t="n"/>
      <c r="T38" s="60" t="n"/>
      <c r="U38" s="60" t="n"/>
      <c r="V38" s="60" t="n"/>
      <c r="W38" s="60" t="n"/>
      <c r="X38" s="60" t="n"/>
      <c r="Y38" s="60" t="n"/>
      <c r="Z38" s="60" t="n"/>
      <c r="AA38" s="60" t="n"/>
      <c r="AB38" s="60" t="n"/>
      <c r="AC38" s="60" t="n"/>
      <c r="AD38" s="60" t="n"/>
      <c r="AE38" s="60" t="n"/>
      <c r="AF38" s="60" t="n"/>
      <c r="AG38" s="60" t="n"/>
      <c r="AH38" s="60" t="n"/>
      <c r="AI38" s="60" t="n"/>
      <c r="AJ38" s="60" t="n"/>
      <c r="AK38" s="60" t="n"/>
      <c r="AL38" s="60" t="n"/>
      <c r="AM38" s="60" t="n"/>
      <c r="AN38" s="60" t="n"/>
      <c r="AO38" s="60" t="n"/>
      <c r="AP38" s="60" t="n"/>
      <c r="AQ38" s="60" t="n"/>
      <c r="AR38" s="60" t="n"/>
      <c r="AS38" s="60" t="n"/>
      <c r="AT38" s="60" t="n"/>
      <c r="AU38" s="60" t="n"/>
      <c r="AV38" s="60" t="n"/>
      <c r="AW38" s="60" t="n"/>
      <c r="AX38" s="60" t="n"/>
      <c r="AY38" s="60" t="n"/>
      <c r="AZ38" s="60" t="n"/>
      <c r="BA38" s="60" t="n"/>
      <c r="BB38" s="60" t="n"/>
      <c r="BC38" s="60" t="n"/>
      <c r="BD38" s="60" t="n"/>
      <c r="BE38" s="60" t="n"/>
      <c r="BF38" s="60" t="n"/>
      <c r="BG38" s="60" t="n"/>
      <c r="BH38" s="60" t="n"/>
      <c r="BI38" s="60" t="n"/>
      <c r="BJ38" s="60" t="n"/>
      <c r="BK38" s="60" t="n"/>
      <c r="BL38" s="60" t="n"/>
      <c r="BM38" s="60" t="n"/>
      <c r="BN38" s="60" t="n"/>
      <c r="BO38" s="60" t="n"/>
      <c r="BP38" s="60" t="n"/>
      <c r="BQ38" s="60" t="n"/>
      <c r="BR38" s="60" t="n"/>
      <c r="BS38" s="60" t="n"/>
      <c r="BT38" s="60" t="n"/>
      <c r="BU38" s="60" t="n"/>
      <c r="BV38" s="60" t="n"/>
      <c r="BW38" s="60" t="n"/>
      <c r="BX38" s="60" t="n"/>
      <c r="BY38" s="60" t="n"/>
      <c r="BZ38" s="60" t="n"/>
      <c r="CA38" s="60" t="n"/>
      <c r="CB38" s="60" t="n"/>
      <c r="CC38" s="60" t="n"/>
      <c r="CD38" s="60" t="n"/>
      <c r="CE38" s="60" t="n"/>
      <c r="CF38" s="60" t="n"/>
      <c r="CG38" s="60" t="n"/>
      <c r="CH38" s="60" t="n"/>
      <c r="CI38" s="60" t="n"/>
      <c r="CJ38" s="60" t="n"/>
      <c r="CK38" s="60" t="n"/>
      <c r="CL38" s="60" t="n"/>
      <c r="CM38" s="60" t="n"/>
      <c r="CN38" s="60" t="n"/>
      <c r="CO38" s="60" t="n"/>
      <c r="CP38" s="60" t="n"/>
    </row>
    <row r="39">
      <c r="A39" s="35" t="n"/>
      <c r="B39" s="35" t="n"/>
      <c r="C39" s="35" t="n"/>
      <c r="D39" s="40" t="n"/>
      <c r="E39" s="35" t="n"/>
      <c r="F39" s="59">
        <f>IF(OR(D39="",E39=""),"",WORKDAY(D39,MAX(E39,1)-1))</f>
        <v/>
      </c>
      <c r="G39" s="36" t="n"/>
      <c r="H39" s="9">
        <f>IF(D39="","",IF(G39&gt;=1,"Done",IF(TODAY()&gt;F39,"Late",IF(TODAY()&gt;=D39,"In progress","Not started"))))</f>
        <v/>
      </c>
      <c r="I39" s="9">
        <f>IF(B39="","",IF(AND(A39&lt;&gt;"",COUNTIF(Jobs!$A$5:$A$44,A39)=0),"Unknown Job ID",IF(D39="","Missing start",IF(E39="","Missing duration",""))))</f>
        <v/>
      </c>
      <c r="J39" s="35" t="n"/>
      <c r="K39" s="60" t="n"/>
      <c r="L39" s="60" t="n"/>
      <c r="M39" s="60" t="n"/>
      <c r="N39" s="60" t="n"/>
      <c r="O39" s="60" t="n"/>
      <c r="P39" s="60" t="n"/>
      <c r="Q39" s="60" t="n"/>
      <c r="R39" s="60" t="n"/>
      <c r="S39" s="60" t="n"/>
      <c r="T39" s="60" t="n"/>
      <c r="U39" s="60" t="n"/>
      <c r="V39" s="60" t="n"/>
      <c r="W39" s="60" t="n"/>
      <c r="X39" s="60" t="n"/>
      <c r="Y39" s="60" t="n"/>
      <c r="Z39" s="60" t="n"/>
      <c r="AA39" s="60" t="n"/>
      <c r="AB39" s="60" t="n"/>
      <c r="AC39" s="60" t="n"/>
      <c r="AD39" s="60" t="n"/>
      <c r="AE39" s="60" t="n"/>
      <c r="AF39" s="60" t="n"/>
      <c r="AG39" s="60" t="n"/>
      <c r="AH39" s="60" t="n"/>
      <c r="AI39" s="60" t="n"/>
      <c r="AJ39" s="60" t="n"/>
      <c r="AK39" s="60" t="n"/>
      <c r="AL39" s="60" t="n"/>
      <c r="AM39" s="60" t="n"/>
      <c r="AN39" s="60" t="n"/>
      <c r="AO39" s="60" t="n"/>
      <c r="AP39" s="60" t="n"/>
      <c r="AQ39" s="60" t="n"/>
      <c r="AR39" s="60" t="n"/>
      <c r="AS39" s="60" t="n"/>
      <c r="AT39" s="60" t="n"/>
      <c r="AU39" s="60" t="n"/>
      <c r="AV39" s="60" t="n"/>
      <c r="AW39" s="60" t="n"/>
      <c r="AX39" s="60" t="n"/>
      <c r="AY39" s="60" t="n"/>
      <c r="AZ39" s="60" t="n"/>
      <c r="BA39" s="60" t="n"/>
      <c r="BB39" s="60" t="n"/>
      <c r="BC39" s="60" t="n"/>
      <c r="BD39" s="60" t="n"/>
      <c r="BE39" s="60" t="n"/>
      <c r="BF39" s="60" t="n"/>
      <c r="BG39" s="60" t="n"/>
      <c r="BH39" s="60" t="n"/>
      <c r="BI39" s="60" t="n"/>
      <c r="BJ39" s="60" t="n"/>
      <c r="BK39" s="60" t="n"/>
      <c r="BL39" s="60" t="n"/>
      <c r="BM39" s="60" t="n"/>
      <c r="BN39" s="60" t="n"/>
      <c r="BO39" s="60" t="n"/>
      <c r="BP39" s="60" t="n"/>
      <c r="BQ39" s="60" t="n"/>
      <c r="BR39" s="60" t="n"/>
      <c r="BS39" s="60" t="n"/>
      <c r="BT39" s="60" t="n"/>
      <c r="BU39" s="60" t="n"/>
      <c r="BV39" s="60" t="n"/>
      <c r="BW39" s="60" t="n"/>
      <c r="BX39" s="60" t="n"/>
      <c r="BY39" s="60" t="n"/>
      <c r="BZ39" s="60" t="n"/>
      <c r="CA39" s="60" t="n"/>
      <c r="CB39" s="60" t="n"/>
      <c r="CC39" s="60" t="n"/>
      <c r="CD39" s="60" t="n"/>
      <c r="CE39" s="60" t="n"/>
      <c r="CF39" s="60" t="n"/>
      <c r="CG39" s="60" t="n"/>
      <c r="CH39" s="60" t="n"/>
      <c r="CI39" s="60" t="n"/>
      <c r="CJ39" s="60" t="n"/>
      <c r="CK39" s="60" t="n"/>
      <c r="CL39" s="60" t="n"/>
      <c r="CM39" s="60" t="n"/>
      <c r="CN39" s="60" t="n"/>
      <c r="CO39" s="60" t="n"/>
      <c r="CP39" s="60" t="n"/>
    </row>
    <row r="40">
      <c r="A40" s="35" t="n"/>
      <c r="B40" s="35" t="n"/>
      <c r="C40" s="35" t="n"/>
      <c r="D40" s="40" t="n"/>
      <c r="E40" s="35" t="n"/>
      <c r="F40" s="59">
        <f>IF(OR(D40="",E40=""),"",WORKDAY(D40,MAX(E40,1)-1))</f>
        <v/>
      </c>
      <c r="G40" s="36" t="n"/>
      <c r="H40" s="9">
        <f>IF(D40="","",IF(G40&gt;=1,"Done",IF(TODAY()&gt;F40,"Late",IF(TODAY()&gt;=D40,"In progress","Not started"))))</f>
        <v/>
      </c>
      <c r="I40" s="9">
        <f>IF(B40="","",IF(AND(A40&lt;&gt;"",COUNTIF(Jobs!$A$5:$A$44,A40)=0),"Unknown Job ID",IF(D40="","Missing start",IF(E40="","Missing duration",""))))</f>
        <v/>
      </c>
      <c r="J40" s="35" t="n"/>
      <c r="K40" s="60" t="n"/>
      <c r="L40" s="60" t="n"/>
      <c r="M40" s="60" t="n"/>
      <c r="N40" s="60" t="n"/>
      <c r="O40" s="60" t="n"/>
      <c r="P40" s="60" t="n"/>
      <c r="Q40" s="60" t="n"/>
      <c r="R40" s="60" t="n"/>
      <c r="S40" s="60" t="n"/>
      <c r="T40" s="60" t="n"/>
      <c r="U40" s="60" t="n"/>
      <c r="V40" s="60" t="n"/>
      <c r="W40" s="60" t="n"/>
      <c r="X40" s="60" t="n"/>
      <c r="Y40" s="60" t="n"/>
      <c r="Z40" s="60" t="n"/>
      <c r="AA40" s="60" t="n"/>
      <c r="AB40" s="60" t="n"/>
      <c r="AC40" s="60" t="n"/>
      <c r="AD40" s="60" t="n"/>
      <c r="AE40" s="60" t="n"/>
      <c r="AF40" s="60" t="n"/>
      <c r="AG40" s="60" t="n"/>
      <c r="AH40" s="60" t="n"/>
      <c r="AI40" s="60" t="n"/>
      <c r="AJ40" s="60" t="n"/>
      <c r="AK40" s="60" t="n"/>
      <c r="AL40" s="60" t="n"/>
      <c r="AM40" s="60" t="n"/>
      <c r="AN40" s="60" t="n"/>
      <c r="AO40" s="60" t="n"/>
      <c r="AP40" s="60" t="n"/>
      <c r="AQ40" s="60" t="n"/>
      <c r="AR40" s="60" t="n"/>
      <c r="AS40" s="60" t="n"/>
      <c r="AT40" s="60" t="n"/>
      <c r="AU40" s="60" t="n"/>
      <c r="AV40" s="60" t="n"/>
      <c r="AW40" s="60" t="n"/>
      <c r="AX40" s="60" t="n"/>
      <c r="AY40" s="60" t="n"/>
      <c r="AZ40" s="60" t="n"/>
      <c r="BA40" s="60" t="n"/>
      <c r="BB40" s="60" t="n"/>
      <c r="BC40" s="60" t="n"/>
      <c r="BD40" s="60" t="n"/>
      <c r="BE40" s="60" t="n"/>
      <c r="BF40" s="60" t="n"/>
      <c r="BG40" s="60" t="n"/>
      <c r="BH40" s="60" t="n"/>
      <c r="BI40" s="60" t="n"/>
      <c r="BJ40" s="60" t="n"/>
      <c r="BK40" s="60" t="n"/>
      <c r="BL40" s="60" t="n"/>
      <c r="BM40" s="60" t="n"/>
      <c r="BN40" s="60" t="n"/>
      <c r="BO40" s="60" t="n"/>
      <c r="BP40" s="60" t="n"/>
      <c r="BQ40" s="60" t="n"/>
      <c r="BR40" s="60" t="n"/>
      <c r="BS40" s="60" t="n"/>
      <c r="BT40" s="60" t="n"/>
      <c r="BU40" s="60" t="n"/>
      <c r="BV40" s="60" t="n"/>
      <c r="BW40" s="60" t="n"/>
      <c r="BX40" s="60" t="n"/>
      <c r="BY40" s="60" t="n"/>
      <c r="BZ40" s="60" t="n"/>
      <c r="CA40" s="60" t="n"/>
      <c r="CB40" s="60" t="n"/>
      <c r="CC40" s="60" t="n"/>
      <c r="CD40" s="60" t="n"/>
      <c r="CE40" s="60" t="n"/>
      <c r="CF40" s="60" t="n"/>
      <c r="CG40" s="60" t="n"/>
      <c r="CH40" s="60" t="n"/>
      <c r="CI40" s="60" t="n"/>
      <c r="CJ40" s="60" t="n"/>
      <c r="CK40" s="60" t="n"/>
      <c r="CL40" s="60" t="n"/>
      <c r="CM40" s="60" t="n"/>
      <c r="CN40" s="60" t="n"/>
      <c r="CO40" s="60" t="n"/>
      <c r="CP40" s="60" t="n"/>
    </row>
    <row r="41">
      <c r="A41" s="35" t="n"/>
      <c r="B41" s="35" t="n"/>
      <c r="C41" s="35" t="n"/>
      <c r="D41" s="40" t="n"/>
      <c r="E41" s="35" t="n"/>
      <c r="F41" s="59">
        <f>IF(OR(D41="",E41=""),"",WORKDAY(D41,MAX(E41,1)-1))</f>
        <v/>
      </c>
      <c r="G41" s="36" t="n"/>
      <c r="H41" s="9">
        <f>IF(D41="","",IF(G41&gt;=1,"Done",IF(TODAY()&gt;F41,"Late",IF(TODAY()&gt;=D41,"In progress","Not started"))))</f>
        <v/>
      </c>
      <c r="I41" s="9">
        <f>IF(B41="","",IF(AND(A41&lt;&gt;"",COUNTIF(Jobs!$A$5:$A$44,A41)=0),"Unknown Job ID",IF(D41="","Missing start",IF(E41="","Missing duration",""))))</f>
        <v/>
      </c>
      <c r="J41" s="35" t="n"/>
      <c r="K41" s="60" t="n"/>
      <c r="L41" s="60" t="n"/>
      <c r="M41" s="60" t="n"/>
      <c r="N41" s="60" t="n"/>
      <c r="O41" s="60" t="n"/>
      <c r="P41" s="60" t="n"/>
      <c r="Q41" s="60" t="n"/>
      <c r="R41" s="60" t="n"/>
      <c r="S41" s="60" t="n"/>
      <c r="T41" s="60" t="n"/>
      <c r="U41" s="60" t="n"/>
      <c r="V41" s="60" t="n"/>
      <c r="W41" s="60" t="n"/>
      <c r="X41" s="60" t="n"/>
      <c r="Y41" s="60" t="n"/>
      <c r="Z41" s="60" t="n"/>
      <c r="AA41" s="60" t="n"/>
      <c r="AB41" s="60" t="n"/>
      <c r="AC41" s="60" t="n"/>
      <c r="AD41" s="60" t="n"/>
      <c r="AE41" s="60" t="n"/>
      <c r="AF41" s="60" t="n"/>
      <c r="AG41" s="60" t="n"/>
      <c r="AH41" s="60" t="n"/>
      <c r="AI41" s="60" t="n"/>
      <c r="AJ41" s="60" t="n"/>
      <c r="AK41" s="60" t="n"/>
      <c r="AL41" s="60" t="n"/>
      <c r="AM41" s="60" t="n"/>
      <c r="AN41" s="60" t="n"/>
      <c r="AO41" s="60" t="n"/>
      <c r="AP41" s="60" t="n"/>
      <c r="AQ41" s="60" t="n"/>
      <c r="AR41" s="60" t="n"/>
      <c r="AS41" s="60" t="n"/>
      <c r="AT41" s="60" t="n"/>
      <c r="AU41" s="60" t="n"/>
      <c r="AV41" s="60" t="n"/>
      <c r="AW41" s="60" t="n"/>
      <c r="AX41" s="60" t="n"/>
      <c r="AY41" s="60" t="n"/>
      <c r="AZ41" s="60" t="n"/>
      <c r="BA41" s="60" t="n"/>
      <c r="BB41" s="60" t="n"/>
      <c r="BC41" s="60" t="n"/>
      <c r="BD41" s="60" t="n"/>
      <c r="BE41" s="60" t="n"/>
      <c r="BF41" s="60" t="n"/>
      <c r="BG41" s="60" t="n"/>
      <c r="BH41" s="60" t="n"/>
      <c r="BI41" s="60" t="n"/>
      <c r="BJ41" s="60" t="n"/>
      <c r="BK41" s="60" t="n"/>
      <c r="BL41" s="60" t="n"/>
      <c r="BM41" s="60" t="n"/>
      <c r="BN41" s="60" t="n"/>
      <c r="BO41" s="60" t="n"/>
      <c r="BP41" s="60" t="n"/>
      <c r="BQ41" s="60" t="n"/>
      <c r="BR41" s="60" t="n"/>
      <c r="BS41" s="60" t="n"/>
      <c r="BT41" s="60" t="n"/>
      <c r="BU41" s="60" t="n"/>
      <c r="BV41" s="60" t="n"/>
      <c r="BW41" s="60" t="n"/>
      <c r="BX41" s="60" t="n"/>
      <c r="BY41" s="60" t="n"/>
      <c r="BZ41" s="60" t="n"/>
      <c r="CA41" s="60" t="n"/>
      <c r="CB41" s="60" t="n"/>
      <c r="CC41" s="60" t="n"/>
      <c r="CD41" s="60" t="n"/>
      <c r="CE41" s="60" t="n"/>
      <c r="CF41" s="60" t="n"/>
      <c r="CG41" s="60" t="n"/>
      <c r="CH41" s="60" t="n"/>
      <c r="CI41" s="60" t="n"/>
      <c r="CJ41" s="60" t="n"/>
      <c r="CK41" s="60" t="n"/>
      <c r="CL41" s="60" t="n"/>
      <c r="CM41" s="60" t="n"/>
      <c r="CN41" s="60" t="n"/>
      <c r="CO41" s="60" t="n"/>
      <c r="CP41" s="60" t="n"/>
    </row>
    <row r="42">
      <c r="A42" s="35" t="n"/>
      <c r="B42" s="35" t="n"/>
      <c r="C42" s="35" t="n"/>
      <c r="D42" s="40" t="n"/>
      <c r="E42" s="35" t="n"/>
      <c r="F42" s="59">
        <f>IF(OR(D42="",E42=""),"",WORKDAY(D42,MAX(E42,1)-1))</f>
        <v/>
      </c>
      <c r="G42" s="36" t="n"/>
      <c r="H42" s="9">
        <f>IF(D42="","",IF(G42&gt;=1,"Done",IF(TODAY()&gt;F42,"Late",IF(TODAY()&gt;=D42,"In progress","Not started"))))</f>
        <v/>
      </c>
      <c r="I42" s="9">
        <f>IF(B42="","",IF(AND(A42&lt;&gt;"",COUNTIF(Jobs!$A$5:$A$44,A42)=0),"Unknown Job ID",IF(D42="","Missing start",IF(E42="","Missing duration",""))))</f>
        <v/>
      </c>
      <c r="J42" s="35" t="n"/>
      <c r="K42" s="60" t="n"/>
      <c r="L42" s="60" t="n"/>
      <c r="M42" s="60" t="n"/>
      <c r="N42" s="60" t="n"/>
      <c r="O42" s="60" t="n"/>
      <c r="P42" s="60" t="n"/>
      <c r="Q42" s="60" t="n"/>
      <c r="R42" s="60" t="n"/>
      <c r="S42" s="60" t="n"/>
      <c r="T42" s="60" t="n"/>
      <c r="U42" s="60" t="n"/>
      <c r="V42" s="60" t="n"/>
      <c r="W42" s="60" t="n"/>
      <c r="X42" s="60" t="n"/>
      <c r="Y42" s="60" t="n"/>
      <c r="Z42" s="60" t="n"/>
      <c r="AA42" s="60" t="n"/>
      <c r="AB42" s="60" t="n"/>
      <c r="AC42" s="60" t="n"/>
      <c r="AD42" s="60" t="n"/>
      <c r="AE42" s="60" t="n"/>
      <c r="AF42" s="60" t="n"/>
      <c r="AG42" s="60" t="n"/>
      <c r="AH42" s="60" t="n"/>
      <c r="AI42" s="60" t="n"/>
      <c r="AJ42" s="60" t="n"/>
      <c r="AK42" s="60" t="n"/>
      <c r="AL42" s="60" t="n"/>
      <c r="AM42" s="60" t="n"/>
      <c r="AN42" s="60" t="n"/>
      <c r="AO42" s="60" t="n"/>
      <c r="AP42" s="60" t="n"/>
      <c r="AQ42" s="60" t="n"/>
      <c r="AR42" s="60" t="n"/>
      <c r="AS42" s="60" t="n"/>
      <c r="AT42" s="60" t="n"/>
      <c r="AU42" s="60" t="n"/>
      <c r="AV42" s="60" t="n"/>
      <c r="AW42" s="60" t="n"/>
      <c r="AX42" s="60" t="n"/>
      <c r="AY42" s="60" t="n"/>
      <c r="AZ42" s="60" t="n"/>
      <c r="BA42" s="60" t="n"/>
      <c r="BB42" s="60" t="n"/>
      <c r="BC42" s="60" t="n"/>
      <c r="BD42" s="60" t="n"/>
      <c r="BE42" s="60" t="n"/>
      <c r="BF42" s="60" t="n"/>
      <c r="BG42" s="60" t="n"/>
      <c r="BH42" s="60" t="n"/>
      <c r="BI42" s="60" t="n"/>
      <c r="BJ42" s="60" t="n"/>
      <c r="BK42" s="60" t="n"/>
      <c r="BL42" s="60" t="n"/>
      <c r="BM42" s="60" t="n"/>
      <c r="BN42" s="60" t="n"/>
      <c r="BO42" s="60" t="n"/>
      <c r="BP42" s="60" t="n"/>
      <c r="BQ42" s="60" t="n"/>
      <c r="BR42" s="60" t="n"/>
      <c r="BS42" s="60" t="n"/>
      <c r="BT42" s="60" t="n"/>
      <c r="BU42" s="60" t="n"/>
      <c r="BV42" s="60" t="n"/>
      <c r="BW42" s="60" t="n"/>
      <c r="BX42" s="60" t="n"/>
      <c r="BY42" s="60" t="n"/>
      <c r="BZ42" s="60" t="n"/>
      <c r="CA42" s="60" t="n"/>
      <c r="CB42" s="60" t="n"/>
      <c r="CC42" s="60" t="n"/>
      <c r="CD42" s="60" t="n"/>
      <c r="CE42" s="60" t="n"/>
      <c r="CF42" s="60" t="n"/>
      <c r="CG42" s="60" t="n"/>
      <c r="CH42" s="60" t="n"/>
      <c r="CI42" s="60" t="n"/>
      <c r="CJ42" s="60" t="n"/>
      <c r="CK42" s="60" t="n"/>
      <c r="CL42" s="60" t="n"/>
      <c r="CM42" s="60" t="n"/>
      <c r="CN42" s="60" t="n"/>
      <c r="CO42" s="60" t="n"/>
      <c r="CP42" s="60" t="n"/>
    </row>
    <row r="43">
      <c r="A43" s="35" t="n"/>
      <c r="B43" s="35" t="n"/>
      <c r="C43" s="35" t="n"/>
      <c r="D43" s="40" t="n"/>
      <c r="E43" s="35" t="n"/>
      <c r="F43" s="59">
        <f>IF(OR(D43="",E43=""),"",WORKDAY(D43,MAX(E43,1)-1))</f>
        <v/>
      </c>
      <c r="G43" s="36" t="n"/>
      <c r="H43" s="9">
        <f>IF(D43="","",IF(G43&gt;=1,"Done",IF(TODAY()&gt;F43,"Late",IF(TODAY()&gt;=D43,"In progress","Not started"))))</f>
        <v/>
      </c>
      <c r="I43" s="9">
        <f>IF(B43="","",IF(AND(A43&lt;&gt;"",COUNTIF(Jobs!$A$5:$A$44,A43)=0),"Unknown Job ID",IF(D43="","Missing start",IF(E43="","Missing duration",""))))</f>
        <v/>
      </c>
      <c r="J43" s="35" t="n"/>
      <c r="K43" s="60" t="n"/>
      <c r="L43" s="60" t="n"/>
      <c r="M43" s="60" t="n"/>
      <c r="N43" s="60" t="n"/>
      <c r="O43" s="60" t="n"/>
      <c r="P43" s="60" t="n"/>
      <c r="Q43" s="60" t="n"/>
      <c r="R43" s="60" t="n"/>
      <c r="S43" s="60" t="n"/>
      <c r="T43" s="60" t="n"/>
      <c r="U43" s="60" t="n"/>
      <c r="V43" s="60" t="n"/>
      <c r="W43" s="60" t="n"/>
      <c r="X43" s="60" t="n"/>
      <c r="Y43" s="60" t="n"/>
      <c r="Z43" s="60" t="n"/>
      <c r="AA43" s="60" t="n"/>
      <c r="AB43" s="60" t="n"/>
      <c r="AC43" s="60" t="n"/>
      <c r="AD43" s="60" t="n"/>
      <c r="AE43" s="60" t="n"/>
      <c r="AF43" s="60" t="n"/>
      <c r="AG43" s="60" t="n"/>
      <c r="AH43" s="60" t="n"/>
      <c r="AI43" s="60" t="n"/>
      <c r="AJ43" s="60" t="n"/>
      <c r="AK43" s="60" t="n"/>
      <c r="AL43" s="60" t="n"/>
      <c r="AM43" s="60" t="n"/>
      <c r="AN43" s="60" t="n"/>
      <c r="AO43" s="60" t="n"/>
      <c r="AP43" s="60" t="n"/>
      <c r="AQ43" s="60" t="n"/>
      <c r="AR43" s="60" t="n"/>
      <c r="AS43" s="60" t="n"/>
      <c r="AT43" s="60" t="n"/>
      <c r="AU43" s="60" t="n"/>
      <c r="AV43" s="60" t="n"/>
      <c r="AW43" s="60" t="n"/>
      <c r="AX43" s="60" t="n"/>
      <c r="AY43" s="60" t="n"/>
      <c r="AZ43" s="60" t="n"/>
      <c r="BA43" s="60" t="n"/>
      <c r="BB43" s="60" t="n"/>
      <c r="BC43" s="60" t="n"/>
      <c r="BD43" s="60" t="n"/>
      <c r="BE43" s="60" t="n"/>
      <c r="BF43" s="60" t="n"/>
      <c r="BG43" s="60" t="n"/>
      <c r="BH43" s="60" t="n"/>
      <c r="BI43" s="60" t="n"/>
      <c r="BJ43" s="60" t="n"/>
      <c r="BK43" s="60" t="n"/>
      <c r="BL43" s="60" t="n"/>
      <c r="BM43" s="60" t="n"/>
      <c r="BN43" s="60" t="n"/>
      <c r="BO43" s="60" t="n"/>
      <c r="BP43" s="60" t="n"/>
      <c r="BQ43" s="60" t="n"/>
      <c r="BR43" s="60" t="n"/>
      <c r="BS43" s="60" t="n"/>
      <c r="BT43" s="60" t="n"/>
      <c r="BU43" s="60" t="n"/>
      <c r="BV43" s="60" t="n"/>
      <c r="BW43" s="60" t="n"/>
      <c r="BX43" s="60" t="n"/>
      <c r="BY43" s="60" t="n"/>
      <c r="BZ43" s="60" t="n"/>
      <c r="CA43" s="60" t="n"/>
      <c r="CB43" s="60" t="n"/>
      <c r="CC43" s="60" t="n"/>
      <c r="CD43" s="60" t="n"/>
      <c r="CE43" s="60" t="n"/>
      <c r="CF43" s="60" t="n"/>
      <c r="CG43" s="60" t="n"/>
      <c r="CH43" s="60" t="n"/>
      <c r="CI43" s="60" t="n"/>
      <c r="CJ43" s="60" t="n"/>
      <c r="CK43" s="60" t="n"/>
      <c r="CL43" s="60" t="n"/>
      <c r="CM43" s="60" t="n"/>
      <c r="CN43" s="60" t="n"/>
      <c r="CO43" s="60" t="n"/>
      <c r="CP43" s="60" t="n"/>
    </row>
    <row r="44">
      <c r="A44" s="35" t="n"/>
      <c r="B44" s="35" t="n"/>
      <c r="C44" s="35" t="n"/>
      <c r="D44" s="40" t="n"/>
      <c r="E44" s="35" t="n"/>
      <c r="F44" s="59">
        <f>IF(OR(D44="",E44=""),"",WORKDAY(D44,MAX(E44,1)-1))</f>
        <v/>
      </c>
      <c r="G44" s="36" t="n"/>
      <c r="H44" s="9">
        <f>IF(D44="","",IF(G44&gt;=1,"Done",IF(TODAY()&gt;F44,"Late",IF(TODAY()&gt;=D44,"In progress","Not started"))))</f>
        <v/>
      </c>
      <c r="I44" s="9">
        <f>IF(B44="","",IF(AND(A44&lt;&gt;"",COUNTIF(Jobs!$A$5:$A$44,A44)=0),"Unknown Job ID",IF(D44="","Missing start",IF(E44="","Missing duration",""))))</f>
        <v/>
      </c>
      <c r="J44" s="35" t="n"/>
      <c r="K44" s="60" t="n"/>
      <c r="L44" s="60" t="n"/>
      <c r="M44" s="60" t="n"/>
      <c r="N44" s="60" t="n"/>
      <c r="O44" s="60" t="n"/>
      <c r="P44" s="60" t="n"/>
      <c r="Q44" s="60" t="n"/>
      <c r="R44" s="60" t="n"/>
      <c r="S44" s="60" t="n"/>
      <c r="T44" s="60" t="n"/>
      <c r="U44" s="60" t="n"/>
      <c r="V44" s="60" t="n"/>
      <c r="W44" s="60" t="n"/>
      <c r="X44" s="60" t="n"/>
      <c r="Y44" s="60" t="n"/>
      <c r="Z44" s="60" t="n"/>
      <c r="AA44" s="60" t="n"/>
      <c r="AB44" s="60" t="n"/>
      <c r="AC44" s="60" t="n"/>
      <c r="AD44" s="60" t="n"/>
      <c r="AE44" s="60" t="n"/>
      <c r="AF44" s="60" t="n"/>
      <c r="AG44" s="60" t="n"/>
      <c r="AH44" s="60" t="n"/>
      <c r="AI44" s="60" t="n"/>
      <c r="AJ44" s="60" t="n"/>
      <c r="AK44" s="60" t="n"/>
      <c r="AL44" s="60" t="n"/>
      <c r="AM44" s="60" t="n"/>
      <c r="AN44" s="60" t="n"/>
      <c r="AO44" s="60" t="n"/>
      <c r="AP44" s="60" t="n"/>
      <c r="AQ44" s="60" t="n"/>
      <c r="AR44" s="60" t="n"/>
      <c r="AS44" s="60" t="n"/>
      <c r="AT44" s="60" t="n"/>
      <c r="AU44" s="60" t="n"/>
      <c r="AV44" s="60" t="n"/>
      <c r="AW44" s="60" t="n"/>
      <c r="AX44" s="60" t="n"/>
      <c r="AY44" s="60" t="n"/>
      <c r="AZ44" s="60" t="n"/>
      <c r="BA44" s="60" t="n"/>
      <c r="BB44" s="60" t="n"/>
      <c r="BC44" s="60" t="n"/>
      <c r="BD44" s="60" t="n"/>
      <c r="BE44" s="60" t="n"/>
      <c r="BF44" s="60" t="n"/>
      <c r="BG44" s="60" t="n"/>
      <c r="BH44" s="60" t="n"/>
      <c r="BI44" s="60" t="n"/>
      <c r="BJ44" s="60" t="n"/>
      <c r="BK44" s="60" t="n"/>
      <c r="BL44" s="60" t="n"/>
      <c r="BM44" s="60" t="n"/>
      <c r="BN44" s="60" t="n"/>
      <c r="BO44" s="60" t="n"/>
      <c r="BP44" s="60" t="n"/>
      <c r="BQ44" s="60" t="n"/>
      <c r="BR44" s="60" t="n"/>
      <c r="BS44" s="60" t="n"/>
      <c r="BT44" s="60" t="n"/>
      <c r="BU44" s="60" t="n"/>
      <c r="BV44" s="60" t="n"/>
      <c r="BW44" s="60" t="n"/>
      <c r="BX44" s="60" t="n"/>
      <c r="BY44" s="60" t="n"/>
      <c r="BZ44" s="60" t="n"/>
      <c r="CA44" s="60" t="n"/>
      <c r="CB44" s="60" t="n"/>
      <c r="CC44" s="60" t="n"/>
      <c r="CD44" s="60" t="n"/>
      <c r="CE44" s="60" t="n"/>
      <c r="CF44" s="60" t="n"/>
      <c r="CG44" s="60" t="n"/>
      <c r="CH44" s="60" t="n"/>
      <c r="CI44" s="60" t="n"/>
      <c r="CJ44" s="60" t="n"/>
      <c r="CK44" s="60" t="n"/>
      <c r="CL44" s="60" t="n"/>
      <c r="CM44" s="60" t="n"/>
      <c r="CN44" s="60" t="n"/>
      <c r="CO44" s="60" t="n"/>
      <c r="CP44" s="60" t="n"/>
    </row>
    <row r="45">
      <c r="A45" s="35" t="n"/>
      <c r="B45" s="35" t="n"/>
      <c r="C45" s="35" t="n"/>
      <c r="D45" s="40" t="n"/>
      <c r="E45" s="35" t="n"/>
      <c r="F45" s="59">
        <f>IF(OR(D45="",E45=""),"",WORKDAY(D45,MAX(E45,1)-1))</f>
        <v/>
      </c>
      <c r="G45" s="36" t="n"/>
      <c r="H45" s="9">
        <f>IF(D45="","",IF(G45&gt;=1,"Done",IF(TODAY()&gt;F45,"Late",IF(TODAY()&gt;=D45,"In progress","Not started"))))</f>
        <v/>
      </c>
      <c r="I45" s="9">
        <f>IF(B45="","",IF(AND(A45&lt;&gt;"",COUNTIF(Jobs!$A$5:$A$44,A45)=0),"Unknown Job ID",IF(D45="","Missing start",IF(E45="","Missing duration",""))))</f>
        <v/>
      </c>
      <c r="J45" s="35" t="n"/>
      <c r="K45" s="60" t="n"/>
      <c r="L45" s="60" t="n"/>
      <c r="M45" s="60" t="n"/>
      <c r="N45" s="60" t="n"/>
      <c r="O45" s="60" t="n"/>
      <c r="P45" s="60" t="n"/>
      <c r="Q45" s="60" t="n"/>
      <c r="R45" s="60" t="n"/>
      <c r="S45" s="60" t="n"/>
      <c r="T45" s="60" t="n"/>
      <c r="U45" s="60" t="n"/>
      <c r="V45" s="60" t="n"/>
      <c r="W45" s="60" t="n"/>
      <c r="X45" s="60" t="n"/>
      <c r="Y45" s="60" t="n"/>
      <c r="Z45" s="60" t="n"/>
      <c r="AA45" s="60" t="n"/>
      <c r="AB45" s="60" t="n"/>
      <c r="AC45" s="60" t="n"/>
      <c r="AD45" s="60" t="n"/>
      <c r="AE45" s="60" t="n"/>
      <c r="AF45" s="60" t="n"/>
      <c r="AG45" s="60" t="n"/>
      <c r="AH45" s="60" t="n"/>
      <c r="AI45" s="60" t="n"/>
      <c r="AJ45" s="60" t="n"/>
      <c r="AK45" s="60" t="n"/>
      <c r="AL45" s="60" t="n"/>
      <c r="AM45" s="60" t="n"/>
      <c r="AN45" s="60" t="n"/>
      <c r="AO45" s="60" t="n"/>
      <c r="AP45" s="60" t="n"/>
      <c r="AQ45" s="60" t="n"/>
      <c r="AR45" s="60" t="n"/>
      <c r="AS45" s="60" t="n"/>
      <c r="AT45" s="60" t="n"/>
      <c r="AU45" s="60" t="n"/>
      <c r="AV45" s="60" t="n"/>
      <c r="AW45" s="60" t="n"/>
      <c r="AX45" s="60" t="n"/>
      <c r="AY45" s="60" t="n"/>
      <c r="AZ45" s="60" t="n"/>
      <c r="BA45" s="60" t="n"/>
      <c r="BB45" s="60" t="n"/>
      <c r="BC45" s="60" t="n"/>
      <c r="BD45" s="60" t="n"/>
      <c r="BE45" s="60" t="n"/>
      <c r="BF45" s="60" t="n"/>
      <c r="BG45" s="60" t="n"/>
      <c r="BH45" s="60" t="n"/>
      <c r="BI45" s="60" t="n"/>
      <c r="BJ45" s="60" t="n"/>
      <c r="BK45" s="60" t="n"/>
      <c r="BL45" s="60" t="n"/>
      <c r="BM45" s="60" t="n"/>
      <c r="BN45" s="60" t="n"/>
      <c r="BO45" s="60" t="n"/>
      <c r="BP45" s="60" t="n"/>
      <c r="BQ45" s="60" t="n"/>
      <c r="BR45" s="60" t="n"/>
      <c r="BS45" s="60" t="n"/>
      <c r="BT45" s="60" t="n"/>
      <c r="BU45" s="60" t="n"/>
      <c r="BV45" s="60" t="n"/>
      <c r="BW45" s="60" t="n"/>
      <c r="BX45" s="60" t="n"/>
      <c r="BY45" s="60" t="n"/>
      <c r="BZ45" s="60" t="n"/>
      <c r="CA45" s="60" t="n"/>
      <c r="CB45" s="60" t="n"/>
      <c r="CC45" s="60" t="n"/>
      <c r="CD45" s="60" t="n"/>
      <c r="CE45" s="60" t="n"/>
      <c r="CF45" s="60" t="n"/>
      <c r="CG45" s="60" t="n"/>
      <c r="CH45" s="60" t="n"/>
      <c r="CI45" s="60" t="n"/>
      <c r="CJ45" s="60" t="n"/>
      <c r="CK45" s="60" t="n"/>
      <c r="CL45" s="60" t="n"/>
      <c r="CM45" s="60" t="n"/>
      <c r="CN45" s="60" t="n"/>
      <c r="CO45" s="60" t="n"/>
      <c r="CP45" s="60" t="n"/>
    </row>
    <row r="46">
      <c r="A46" s="35" t="n"/>
      <c r="B46" s="35" t="n"/>
      <c r="C46" s="35" t="n"/>
      <c r="D46" s="40" t="n"/>
      <c r="E46" s="35" t="n"/>
      <c r="F46" s="59">
        <f>IF(OR(D46="",E46=""),"",WORKDAY(D46,MAX(E46,1)-1))</f>
        <v/>
      </c>
      <c r="G46" s="36" t="n"/>
      <c r="H46" s="9">
        <f>IF(D46="","",IF(G46&gt;=1,"Done",IF(TODAY()&gt;F46,"Late",IF(TODAY()&gt;=D46,"In progress","Not started"))))</f>
        <v/>
      </c>
      <c r="I46" s="9">
        <f>IF(B46="","",IF(AND(A46&lt;&gt;"",COUNTIF(Jobs!$A$5:$A$44,A46)=0),"Unknown Job ID",IF(D46="","Missing start",IF(E46="","Missing duration",""))))</f>
        <v/>
      </c>
      <c r="J46" s="35" t="n"/>
      <c r="K46" s="60" t="n"/>
      <c r="L46" s="60" t="n"/>
      <c r="M46" s="60" t="n"/>
      <c r="N46" s="60" t="n"/>
      <c r="O46" s="60" t="n"/>
      <c r="P46" s="60" t="n"/>
      <c r="Q46" s="60" t="n"/>
      <c r="R46" s="60" t="n"/>
      <c r="S46" s="60" t="n"/>
      <c r="T46" s="60" t="n"/>
      <c r="U46" s="60" t="n"/>
      <c r="V46" s="60" t="n"/>
      <c r="W46" s="60" t="n"/>
      <c r="X46" s="60" t="n"/>
      <c r="Y46" s="60" t="n"/>
      <c r="Z46" s="60" t="n"/>
      <c r="AA46" s="60" t="n"/>
      <c r="AB46" s="60" t="n"/>
      <c r="AC46" s="60" t="n"/>
      <c r="AD46" s="60" t="n"/>
      <c r="AE46" s="60" t="n"/>
      <c r="AF46" s="60" t="n"/>
      <c r="AG46" s="60" t="n"/>
      <c r="AH46" s="60" t="n"/>
      <c r="AI46" s="60" t="n"/>
      <c r="AJ46" s="60" t="n"/>
      <c r="AK46" s="60" t="n"/>
      <c r="AL46" s="60" t="n"/>
      <c r="AM46" s="60" t="n"/>
      <c r="AN46" s="60" t="n"/>
      <c r="AO46" s="60" t="n"/>
      <c r="AP46" s="60" t="n"/>
      <c r="AQ46" s="60" t="n"/>
      <c r="AR46" s="60" t="n"/>
      <c r="AS46" s="60" t="n"/>
      <c r="AT46" s="60" t="n"/>
      <c r="AU46" s="60" t="n"/>
      <c r="AV46" s="60" t="n"/>
      <c r="AW46" s="60" t="n"/>
      <c r="AX46" s="60" t="n"/>
      <c r="AY46" s="60" t="n"/>
      <c r="AZ46" s="60" t="n"/>
      <c r="BA46" s="60" t="n"/>
      <c r="BB46" s="60" t="n"/>
      <c r="BC46" s="60" t="n"/>
      <c r="BD46" s="60" t="n"/>
      <c r="BE46" s="60" t="n"/>
      <c r="BF46" s="60" t="n"/>
      <c r="BG46" s="60" t="n"/>
      <c r="BH46" s="60" t="n"/>
      <c r="BI46" s="60" t="n"/>
      <c r="BJ46" s="60" t="n"/>
      <c r="BK46" s="60" t="n"/>
      <c r="BL46" s="60" t="n"/>
      <c r="BM46" s="60" t="n"/>
      <c r="BN46" s="60" t="n"/>
      <c r="BO46" s="60" t="n"/>
      <c r="BP46" s="60" t="n"/>
      <c r="BQ46" s="60" t="n"/>
      <c r="BR46" s="60" t="n"/>
      <c r="BS46" s="60" t="n"/>
      <c r="BT46" s="60" t="n"/>
      <c r="BU46" s="60" t="n"/>
      <c r="BV46" s="60" t="n"/>
      <c r="BW46" s="60" t="n"/>
      <c r="BX46" s="60" t="n"/>
      <c r="BY46" s="60" t="n"/>
      <c r="BZ46" s="60" t="n"/>
      <c r="CA46" s="60" t="n"/>
      <c r="CB46" s="60" t="n"/>
      <c r="CC46" s="60" t="n"/>
      <c r="CD46" s="60" t="n"/>
      <c r="CE46" s="60" t="n"/>
      <c r="CF46" s="60" t="n"/>
      <c r="CG46" s="60" t="n"/>
      <c r="CH46" s="60" t="n"/>
      <c r="CI46" s="60" t="n"/>
      <c r="CJ46" s="60" t="n"/>
      <c r="CK46" s="60" t="n"/>
      <c r="CL46" s="60" t="n"/>
      <c r="CM46" s="60" t="n"/>
      <c r="CN46" s="60" t="n"/>
      <c r="CO46" s="60" t="n"/>
      <c r="CP46" s="60" t="n"/>
    </row>
    <row r="47">
      <c r="A47" s="35" t="n"/>
      <c r="B47" s="35" t="n"/>
      <c r="C47" s="35" t="n"/>
      <c r="D47" s="40" t="n"/>
      <c r="E47" s="35" t="n"/>
      <c r="F47" s="59">
        <f>IF(OR(D47="",E47=""),"",WORKDAY(D47,MAX(E47,1)-1))</f>
        <v/>
      </c>
      <c r="G47" s="36" t="n"/>
      <c r="H47" s="9">
        <f>IF(D47="","",IF(G47&gt;=1,"Done",IF(TODAY()&gt;F47,"Late",IF(TODAY()&gt;=D47,"In progress","Not started"))))</f>
        <v/>
      </c>
      <c r="I47" s="9">
        <f>IF(B47="","",IF(AND(A47&lt;&gt;"",COUNTIF(Jobs!$A$5:$A$44,A47)=0),"Unknown Job ID",IF(D47="","Missing start",IF(E47="","Missing duration",""))))</f>
        <v/>
      </c>
      <c r="J47" s="35" t="n"/>
      <c r="K47" s="60" t="n"/>
      <c r="L47" s="60" t="n"/>
      <c r="M47" s="60" t="n"/>
      <c r="N47" s="60" t="n"/>
      <c r="O47" s="60" t="n"/>
      <c r="P47" s="60" t="n"/>
      <c r="Q47" s="60" t="n"/>
      <c r="R47" s="60" t="n"/>
      <c r="S47" s="60" t="n"/>
      <c r="T47" s="60" t="n"/>
      <c r="U47" s="60" t="n"/>
      <c r="V47" s="60" t="n"/>
      <c r="W47" s="60" t="n"/>
      <c r="X47" s="60" t="n"/>
      <c r="Y47" s="60" t="n"/>
      <c r="Z47" s="60" t="n"/>
      <c r="AA47" s="60" t="n"/>
      <c r="AB47" s="60" t="n"/>
      <c r="AC47" s="60" t="n"/>
      <c r="AD47" s="60" t="n"/>
      <c r="AE47" s="60" t="n"/>
      <c r="AF47" s="60" t="n"/>
      <c r="AG47" s="60" t="n"/>
      <c r="AH47" s="60" t="n"/>
      <c r="AI47" s="60" t="n"/>
      <c r="AJ47" s="60" t="n"/>
      <c r="AK47" s="60" t="n"/>
      <c r="AL47" s="60" t="n"/>
      <c r="AM47" s="60" t="n"/>
      <c r="AN47" s="60" t="n"/>
      <c r="AO47" s="60" t="n"/>
      <c r="AP47" s="60" t="n"/>
      <c r="AQ47" s="60" t="n"/>
      <c r="AR47" s="60" t="n"/>
      <c r="AS47" s="60" t="n"/>
      <c r="AT47" s="60" t="n"/>
      <c r="AU47" s="60" t="n"/>
      <c r="AV47" s="60" t="n"/>
      <c r="AW47" s="60" t="n"/>
      <c r="AX47" s="60" t="n"/>
      <c r="AY47" s="60" t="n"/>
      <c r="AZ47" s="60" t="n"/>
      <c r="BA47" s="60" t="n"/>
      <c r="BB47" s="60" t="n"/>
      <c r="BC47" s="60" t="n"/>
      <c r="BD47" s="60" t="n"/>
      <c r="BE47" s="60" t="n"/>
      <c r="BF47" s="60" t="n"/>
      <c r="BG47" s="60" t="n"/>
      <c r="BH47" s="60" t="n"/>
      <c r="BI47" s="60" t="n"/>
      <c r="BJ47" s="60" t="n"/>
      <c r="BK47" s="60" t="n"/>
      <c r="BL47" s="60" t="n"/>
      <c r="BM47" s="60" t="n"/>
      <c r="BN47" s="60" t="n"/>
      <c r="BO47" s="60" t="n"/>
      <c r="BP47" s="60" t="n"/>
      <c r="BQ47" s="60" t="n"/>
      <c r="BR47" s="60" t="n"/>
      <c r="BS47" s="60" t="n"/>
      <c r="BT47" s="60" t="n"/>
      <c r="BU47" s="60" t="n"/>
      <c r="BV47" s="60" t="n"/>
      <c r="BW47" s="60" t="n"/>
      <c r="BX47" s="60" t="n"/>
      <c r="BY47" s="60" t="n"/>
      <c r="BZ47" s="60" t="n"/>
      <c r="CA47" s="60" t="n"/>
      <c r="CB47" s="60" t="n"/>
      <c r="CC47" s="60" t="n"/>
      <c r="CD47" s="60" t="n"/>
      <c r="CE47" s="60" t="n"/>
      <c r="CF47" s="60" t="n"/>
      <c r="CG47" s="60" t="n"/>
      <c r="CH47" s="60" t="n"/>
      <c r="CI47" s="60" t="n"/>
      <c r="CJ47" s="60" t="n"/>
      <c r="CK47" s="60" t="n"/>
      <c r="CL47" s="60" t="n"/>
      <c r="CM47" s="60" t="n"/>
      <c r="CN47" s="60" t="n"/>
      <c r="CO47" s="60" t="n"/>
      <c r="CP47" s="60" t="n"/>
    </row>
    <row r="48">
      <c r="A48" s="35" t="n"/>
      <c r="B48" s="35" t="n"/>
      <c r="C48" s="35" t="n"/>
      <c r="D48" s="40" t="n"/>
      <c r="E48" s="35" t="n"/>
      <c r="F48" s="59">
        <f>IF(OR(D48="",E48=""),"",WORKDAY(D48,MAX(E48,1)-1))</f>
        <v/>
      </c>
      <c r="G48" s="36" t="n"/>
      <c r="H48" s="9">
        <f>IF(D48="","",IF(G48&gt;=1,"Done",IF(TODAY()&gt;F48,"Late",IF(TODAY()&gt;=D48,"In progress","Not started"))))</f>
        <v/>
      </c>
      <c r="I48" s="9">
        <f>IF(B48="","",IF(AND(A48&lt;&gt;"",COUNTIF(Jobs!$A$5:$A$44,A48)=0),"Unknown Job ID",IF(D48="","Missing start",IF(E48="","Missing duration",""))))</f>
        <v/>
      </c>
      <c r="J48" s="35" t="n"/>
      <c r="K48" s="60" t="n"/>
      <c r="L48" s="60" t="n"/>
      <c r="M48" s="60" t="n"/>
      <c r="N48" s="60" t="n"/>
      <c r="O48" s="60" t="n"/>
      <c r="P48" s="60" t="n"/>
      <c r="Q48" s="60" t="n"/>
      <c r="R48" s="60" t="n"/>
      <c r="S48" s="60" t="n"/>
      <c r="T48" s="60" t="n"/>
      <c r="U48" s="60" t="n"/>
      <c r="V48" s="60" t="n"/>
      <c r="W48" s="60" t="n"/>
      <c r="X48" s="60" t="n"/>
      <c r="Y48" s="60" t="n"/>
      <c r="Z48" s="60" t="n"/>
      <c r="AA48" s="60" t="n"/>
      <c r="AB48" s="60" t="n"/>
      <c r="AC48" s="60" t="n"/>
      <c r="AD48" s="60" t="n"/>
      <c r="AE48" s="60" t="n"/>
      <c r="AF48" s="60" t="n"/>
      <c r="AG48" s="60" t="n"/>
      <c r="AH48" s="60" t="n"/>
      <c r="AI48" s="60" t="n"/>
      <c r="AJ48" s="60" t="n"/>
      <c r="AK48" s="60" t="n"/>
      <c r="AL48" s="60" t="n"/>
      <c r="AM48" s="60" t="n"/>
      <c r="AN48" s="60" t="n"/>
      <c r="AO48" s="60" t="n"/>
      <c r="AP48" s="60" t="n"/>
      <c r="AQ48" s="60" t="n"/>
      <c r="AR48" s="60" t="n"/>
      <c r="AS48" s="60" t="n"/>
      <c r="AT48" s="60" t="n"/>
      <c r="AU48" s="60" t="n"/>
      <c r="AV48" s="60" t="n"/>
      <c r="AW48" s="60" t="n"/>
      <c r="AX48" s="60" t="n"/>
      <c r="AY48" s="60" t="n"/>
      <c r="AZ48" s="60" t="n"/>
      <c r="BA48" s="60" t="n"/>
      <c r="BB48" s="60" t="n"/>
      <c r="BC48" s="60" t="n"/>
      <c r="BD48" s="60" t="n"/>
      <c r="BE48" s="60" t="n"/>
      <c r="BF48" s="60" t="n"/>
      <c r="BG48" s="60" t="n"/>
      <c r="BH48" s="60" t="n"/>
      <c r="BI48" s="60" t="n"/>
      <c r="BJ48" s="60" t="n"/>
      <c r="BK48" s="60" t="n"/>
      <c r="BL48" s="60" t="n"/>
      <c r="BM48" s="60" t="n"/>
      <c r="BN48" s="60" t="n"/>
      <c r="BO48" s="60" t="n"/>
      <c r="BP48" s="60" t="n"/>
      <c r="BQ48" s="60" t="n"/>
      <c r="BR48" s="60" t="n"/>
      <c r="BS48" s="60" t="n"/>
      <c r="BT48" s="60" t="n"/>
      <c r="BU48" s="60" t="n"/>
      <c r="BV48" s="60" t="n"/>
      <c r="BW48" s="60" t="n"/>
      <c r="BX48" s="60" t="n"/>
      <c r="BY48" s="60" t="n"/>
      <c r="BZ48" s="60" t="n"/>
      <c r="CA48" s="60" t="n"/>
      <c r="CB48" s="60" t="n"/>
      <c r="CC48" s="60" t="n"/>
      <c r="CD48" s="60" t="n"/>
      <c r="CE48" s="60" t="n"/>
      <c r="CF48" s="60" t="n"/>
      <c r="CG48" s="60" t="n"/>
      <c r="CH48" s="60" t="n"/>
      <c r="CI48" s="60" t="n"/>
      <c r="CJ48" s="60" t="n"/>
      <c r="CK48" s="60" t="n"/>
      <c r="CL48" s="60" t="n"/>
      <c r="CM48" s="60" t="n"/>
      <c r="CN48" s="60" t="n"/>
      <c r="CO48" s="60" t="n"/>
      <c r="CP48" s="60" t="n"/>
    </row>
    <row r="49">
      <c r="A49" s="35" t="n"/>
      <c r="B49" s="35" t="n"/>
      <c r="C49" s="35" t="n"/>
      <c r="D49" s="40" t="n"/>
      <c r="E49" s="35" t="n"/>
      <c r="F49" s="59">
        <f>IF(OR(D49="",E49=""),"",WORKDAY(D49,MAX(E49,1)-1))</f>
        <v/>
      </c>
      <c r="G49" s="36" t="n"/>
      <c r="H49" s="9">
        <f>IF(D49="","",IF(G49&gt;=1,"Done",IF(TODAY()&gt;F49,"Late",IF(TODAY()&gt;=D49,"In progress","Not started"))))</f>
        <v/>
      </c>
      <c r="I49" s="9">
        <f>IF(B49="","",IF(AND(A49&lt;&gt;"",COUNTIF(Jobs!$A$5:$A$44,A49)=0),"Unknown Job ID",IF(D49="","Missing start",IF(E49="","Missing duration",""))))</f>
        <v/>
      </c>
      <c r="J49" s="35" t="n"/>
      <c r="K49" s="60" t="n"/>
      <c r="L49" s="60" t="n"/>
      <c r="M49" s="60" t="n"/>
      <c r="N49" s="60" t="n"/>
      <c r="O49" s="60" t="n"/>
      <c r="P49" s="60" t="n"/>
      <c r="Q49" s="60" t="n"/>
      <c r="R49" s="60" t="n"/>
      <c r="S49" s="60" t="n"/>
      <c r="T49" s="60" t="n"/>
      <c r="U49" s="60" t="n"/>
      <c r="V49" s="60" t="n"/>
      <c r="W49" s="60" t="n"/>
      <c r="X49" s="60" t="n"/>
      <c r="Y49" s="60" t="n"/>
      <c r="Z49" s="60" t="n"/>
      <c r="AA49" s="60" t="n"/>
      <c r="AB49" s="60" t="n"/>
      <c r="AC49" s="60" t="n"/>
      <c r="AD49" s="60" t="n"/>
      <c r="AE49" s="60" t="n"/>
      <c r="AF49" s="60" t="n"/>
      <c r="AG49" s="60" t="n"/>
      <c r="AH49" s="60" t="n"/>
      <c r="AI49" s="60" t="n"/>
      <c r="AJ49" s="60" t="n"/>
      <c r="AK49" s="60" t="n"/>
      <c r="AL49" s="60" t="n"/>
      <c r="AM49" s="60" t="n"/>
      <c r="AN49" s="60" t="n"/>
      <c r="AO49" s="60" t="n"/>
      <c r="AP49" s="60" t="n"/>
      <c r="AQ49" s="60" t="n"/>
      <c r="AR49" s="60" t="n"/>
      <c r="AS49" s="60" t="n"/>
      <c r="AT49" s="60" t="n"/>
      <c r="AU49" s="60" t="n"/>
      <c r="AV49" s="60" t="n"/>
      <c r="AW49" s="60" t="n"/>
      <c r="AX49" s="60" t="n"/>
      <c r="AY49" s="60" t="n"/>
      <c r="AZ49" s="60" t="n"/>
      <c r="BA49" s="60" t="n"/>
      <c r="BB49" s="60" t="n"/>
      <c r="BC49" s="60" t="n"/>
      <c r="BD49" s="60" t="n"/>
      <c r="BE49" s="60" t="n"/>
      <c r="BF49" s="60" t="n"/>
      <c r="BG49" s="60" t="n"/>
      <c r="BH49" s="60" t="n"/>
      <c r="BI49" s="60" t="n"/>
      <c r="BJ49" s="60" t="n"/>
      <c r="BK49" s="60" t="n"/>
      <c r="BL49" s="60" t="n"/>
      <c r="BM49" s="60" t="n"/>
      <c r="BN49" s="60" t="n"/>
      <c r="BO49" s="60" t="n"/>
      <c r="BP49" s="60" t="n"/>
      <c r="BQ49" s="60" t="n"/>
      <c r="BR49" s="60" t="n"/>
      <c r="BS49" s="60" t="n"/>
      <c r="BT49" s="60" t="n"/>
      <c r="BU49" s="60" t="n"/>
      <c r="BV49" s="60" t="n"/>
      <c r="BW49" s="60" t="n"/>
      <c r="BX49" s="60" t="n"/>
      <c r="BY49" s="60" t="n"/>
      <c r="BZ49" s="60" t="n"/>
      <c r="CA49" s="60" t="n"/>
      <c r="CB49" s="60" t="n"/>
      <c r="CC49" s="60" t="n"/>
      <c r="CD49" s="60" t="n"/>
      <c r="CE49" s="60" t="n"/>
      <c r="CF49" s="60" t="n"/>
      <c r="CG49" s="60" t="n"/>
      <c r="CH49" s="60" t="n"/>
      <c r="CI49" s="60" t="n"/>
      <c r="CJ49" s="60" t="n"/>
      <c r="CK49" s="60" t="n"/>
      <c r="CL49" s="60" t="n"/>
      <c r="CM49" s="60" t="n"/>
      <c r="CN49" s="60" t="n"/>
      <c r="CO49" s="60" t="n"/>
      <c r="CP49" s="60" t="n"/>
    </row>
    <row r="50">
      <c r="A50" s="35" t="n"/>
      <c r="B50" s="35" t="n"/>
      <c r="C50" s="35" t="n"/>
      <c r="D50" s="40" t="n"/>
      <c r="E50" s="35" t="n"/>
      <c r="F50" s="59">
        <f>IF(OR(D50="",E50=""),"",WORKDAY(D50,MAX(E50,1)-1))</f>
        <v/>
      </c>
      <c r="G50" s="36" t="n"/>
      <c r="H50" s="9">
        <f>IF(D50="","",IF(G50&gt;=1,"Done",IF(TODAY()&gt;F50,"Late",IF(TODAY()&gt;=D50,"In progress","Not started"))))</f>
        <v/>
      </c>
      <c r="I50" s="9">
        <f>IF(B50="","",IF(AND(A50&lt;&gt;"",COUNTIF(Jobs!$A$5:$A$44,A50)=0),"Unknown Job ID",IF(D50="","Missing start",IF(E50="","Missing duration",""))))</f>
        <v/>
      </c>
      <c r="J50" s="35" t="n"/>
      <c r="K50" s="60" t="n"/>
      <c r="L50" s="60" t="n"/>
      <c r="M50" s="60" t="n"/>
      <c r="N50" s="60" t="n"/>
      <c r="O50" s="60" t="n"/>
      <c r="P50" s="60" t="n"/>
      <c r="Q50" s="60" t="n"/>
      <c r="R50" s="60" t="n"/>
      <c r="S50" s="60" t="n"/>
      <c r="T50" s="60" t="n"/>
      <c r="U50" s="60" t="n"/>
      <c r="V50" s="60" t="n"/>
      <c r="W50" s="60" t="n"/>
      <c r="X50" s="60" t="n"/>
      <c r="Y50" s="60" t="n"/>
      <c r="Z50" s="60" t="n"/>
      <c r="AA50" s="60" t="n"/>
      <c r="AB50" s="60" t="n"/>
      <c r="AC50" s="60" t="n"/>
      <c r="AD50" s="60" t="n"/>
      <c r="AE50" s="60" t="n"/>
      <c r="AF50" s="60" t="n"/>
      <c r="AG50" s="60" t="n"/>
      <c r="AH50" s="60" t="n"/>
      <c r="AI50" s="60" t="n"/>
      <c r="AJ50" s="60" t="n"/>
      <c r="AK50" s="60" t="n"/>
      <c r="AL50" s="60" t="n"/>
      <c r="AM50" s="60" t="n"/>
      <c r="AN50" s="60" t="n"/>
      <c r="AO50" s="60" t="n"/>
      <c r="AP50" s="60" t="n"/>
      <c r="AQ50" s="60" t="n"/>
      <c r="AR50" s="60" t="n"/>
      <c r="AS50" s="60" t="n"/>
      <c r="AT50" s="60" t="n"/>
      <c r="AU50" s="60" t="n"/>
      <c r="AV50" s="60" t="n"/>
      <c r="AW50" s="60" t="n"/>
      <c r="AX50" s="60" t="n"/>
      <c r="AY50" s="60" t="n"/>
      <c r="AZ50" s="60" t="n"/>
      <c r="BA50" s="60" t="n"/>
      <c r="BB50" s="60" t="n"/>
      <c r="BC50" s="60" t="n"/>
      <c r="BD50" s="60" t="n"/>
      <c r="BE50" s="60" t="n"/>
      <c r="BF50" s="60" t="n"/>
      <c r="BG50" s="60" t="n"/>
      <c r="BH50" s="60" t="n"/>
      <c r="BI50" s="60" t="n"/>
      <c r="BJ50" s="60" t="n"/>
      <c r="BK50" s="60" t="n"/>
      <c r="BL50" s="60" t="n"/>
      <c r="BM50" s="60" t="n"/>
      <c r="BN50" s="60" t="n"/>
      <c r="BO50" s="60" t="n"/>
      <c r="BP50" s="60" t="n"/>
      <c r="BQ50" s="60" t="n"/>
      <c r="BR50" s="60" t="n"/>
      <c r="BS50" s="60" t="n"/>
      <c r="BT50" s="60" t="n"/>
      <c r="BU50" s="60" t="n"/>
      <c r="BV50" s="60" t="n"/>
      <c r="BW50" s="60" t="n"/>
      <c r="BX50" s="60" t="n"/>
      <c r="BY50" s="60" t="n"/>
      <c r="BZ50" s="60" t="n"/>
      <c r="CA50" s="60" t="n"/>
      <c r="CB50" s="60" t="n"/>
      <c r="CC50" s="60" t="n"/>
      <c r="CD50" s="60" t="n"/>
      <c r="CE50" s="60" t="n"/>
      <c r="CF50" s="60" t="n"/>
      <c r="CG50" s="60" t="n"/>
      <c r="CH50" s="60" t="n"/>
      <c r="CI50" s="60" t="n"/>
      <c r="CJ50" s="60" t="n"/>
      <c r="CK50" s="60" t="n"/>
      <c r="CL50" s="60" t="n"/>
      <c r="CM50" s="60" t="n"/>
      <c r="CN50" s="60" t="n"/>
      <c r="CO50" s="60" t="n"/>
      <c r="CP50" s="60" t="n"/>
    </row>
    <row r="51">
      <c r="A51" s="35" t="n"/>
      <c r="B51" s="35" t="n"/>
      <c r="C51" s="35" t="n"/>
      <c r="D51" s="40" t="n"/>
      <c r="E51" s="35" t="n"/>
      <c r="F51" s="59">
        <f>IF(OR(D51="",E51=""),"",WORKDAY(D51,MAX(E51,1)-1))</f>
        <v/>
      </c>
      <c r="G51" s="36" t="n"/>
      <c r="H51" s="9">
        <f>IF(D51="","",IF(G51&gt;=1,"Done",IF(TODAY()&gt;F51,"Late",IF(TODAY()&gt;=D51,"In progress","Not started"))))</f>
        <v/>
      </c>
      <c r="I51" s="9">
        <f>IF(B51="","",IF(AND(A51&lt;&gt;"",COUNTIF(Jobs!$A$5:$A$44,A51)=0),"Unknown Job ID",IF(D51="","Missing start",IF(E51="","Missing duration",""))))</f>
        <v/>
      </c>
      <c r="J51" s="35" t="n"/>
      <c r="K51" s="60" t="n"/>
      <c r="L51" s="60" t="n"/>
      <c r="M51" s="60" t="n"/>
      <c r="N51" s="60" t="n"/>
      <c r="O51" s="60" t="n"/>
      <c r="P51" s="60" t="n"/>
      <c r="Q51" s="60" t="n"/>
      <c r="R51" s="60" t="n"/>
      <c r="S51" s="60" t="n"/>
      <c r="T51" s="60" t="n"/>
      <c r="U51" s="60" t="n"/>
      <c r="V51" s="60" t="n"/>
      <c r="W51" s="60" t="n"/>
      <c r="X51" s="60" t="n"/>
      <c r="Y51" s="60" t="n"/>
      <c r="Z51" s="60" t="n"/>
      <c r="AA51" s="60" t="n"/>
      <c r="AB51" s="60" t="n"/>
      <c r="AC51" s="60" t="n"/>
      <c r="AD51" s="60" t="n"/>
      <c r="AE51" s="60" t="n"/>
      <c r="AF51" s="60" t="n"/>
      <c r="AG51" s="60" t="n"/>
      <c r="AH51" s="60" t="n"/>
      <c r="AI51" s="60" t="n"/>
      <c r="AJ51" s="60" t="n"/>
      <c r="AK51" s="60" t="n"/>
      <c r="AL51" s="60" t="n"/>
      <c r="AM51" s="60" t="n"/>
      <c r="AN51" s="60" t="n"/>
      <c r="AO51" s="60" t="n"/>
      <c r="AP51" s="60" t="n"/>
      <c r="AQ51" s="60" t="n"/>
      <c r="AR51" s="60" t="n"/>
      <c r="AS51" s="60" t="n"/>
      <c r="AT51" s="60" t="n"/>
      <c r="AU51" s="60" t="n"/>
      <c r="AV51" s="60" t="n"/>
      <c r="AW51" s="60" t="n"/>
      <c r="AX51" s="60" t="n"/>
      <c r="AY51" s="60" t="n"/>
      <c r="AZ51" s="60" t="n"/>
      <c r="BA51" s="60" t="n"/>
      <c r="BB51" s="60" t="n"/>
      <c r="BC51" s="60" t="n"/>
      <c r="BD51" s="60" t="n"/>
      <c r="BE51" s="60" t="n"/>
      <c r="BF51" s="60" t="n"/>
      <c r="BG51" s="60" t="n"/>
      <c r="BH51" s="60" t="n"/>
      <c r="BI51" s="60" t="n"/>
      <c r="BJ51" s="60" t="n"/>
      <c r="BK51" s="60" t="n"/>
      <c r="BL51" s="60" t="n"/>
      <c r="BM51" s="60" t="n"/>
      <c r="BN51" s="60" t="n"/>
      <c r="BO51" s="60" t="n"/>
      <c r="BP51" s="60" t="n"/>
      <c r="BQ51" s="60" t="n"/>
      <c r="BR51" s="60" t="n"/>
      <c r="BS51" s="60" t="n"/>
      <c r="BT51" s="60" t="n"/>
      <c r="BU51" s="60" t="n"/>
      <c r="BV51" s="60" t="n"/>
      <c r="BW51" s="60" t="n"/>
      <c r="BX51" s="60" t="n"/>
      <c r="BY51" s="60" t="n"/>
      <c r="BZ51" s="60" t="n"/>
      <c r="CA51" s="60" t="n"/>
      <c r="CB51" s="60" t="n"/>
      <c r="CC51" s="60" t="n"/>
      <c r="CD51" s="60" t="n"/>
      <c r="CE51" s="60" t="n"/>
      <c r="CF51" s="60" t="n"/>
      <c r="CG51" s="60" t="n"/>
      <c r="CH51" s="60" t="n"/>
      <c r="CI51" s="60" t="n"/>
      <c r="CJ51" s="60" t="n"/>
      <c r="CK51" s="60" t="n"/>
      <c r="CL51" s="60" t="n"/>
      <c r="CM51" s="60" t="n"/>
      <c r="CN51" s="60" t="n"/>
      <c r="CO51" s="60" t="n"/>
      <c r="CP51" s="60" t="n"/>
    </row>
    <row r="52">
      <c r="A52" s="35" t="n"/>
      <c r="B52" s="35" t="n"/>
      <c r="C52" s="35" t="n"/>
      <c r="D52" s="40" t="n"/>
      <c r="E52" s="35" t="n"/>
      <c r="F52" s="59">
        <f>IF(OR(D52="",E52=""),"",WORKDAY(D52,MAX(E52,1)-1))</f>
        <v/>
      </c>
      <c r="G52" s="36" t="n"/>
      <c r="H52" s="9">
        <f>IF(D52="","",IF(G52&gt;=1,"Done",IF(TODAY()&gt;F52,"Late",IF(TODAY()&gt;=D52,"In progress","Not started"))))</f>
        <v/>
      </c>
      <c r="I52" s="9">
        <f>IF(B52="","",IF(AND(A52&lt;&gt;"",COUNTIF(Jobs!$A$5:$A$44,A52)=0),"Unknown Job ID",IF(D52="","Missing start",IF(E52="","Missing duration",""))))</f>
        <v/>
      </c>
      <c r="J52" s="35" t="n"/>
      <c r="K52" s="60" t="n"/>
      <c r="L52" s="60" t="n"/>
      <c r="M52" s="60" t="n"/>
      <c r="N52" s="60" t="n"/>
      <c r="O52" s="60" t="n"/>
      <c r="P52" s="60" t="n"/>
      <c r="Q52" s="60" t="n"/>
      <c r="R52" s="60" t="n"/>
      <c r="S52" s="60" t="n"/>
      <c r="T52" s="60" t="n"/>
      <c r="U52" s="60" t="n"/>
      <c r="V52" s="60" t="n"/>
      <c r="W52" s="60" t="n"/>
      <c r="X52" s="60" t="n"/>
      <c r="Y52" s="60" t="n"/>
      <c r="Z52" s="60" t="n"/>
      <c r="AA52" s="60" t="n"/>
      <c r="AB52" s="60" t="n"/>
      <c r="AC52" s="60" t="n"/>
      <c r="AD52" s="60" t="n"/>
      <c r="AE52" s="60" t="n"/>
      <c r="AF52" s="60" t="n"/>
      <c r="AG52" s="60" t="n"/>
      <c r="AH52" s="60" t="n"/>
      <c r="AI52" s="60" t="n"/>
      <c r="AJ52" s="60" t="n"/>
      <c r="AK52" s="60" t="n"/>
      <c r="AL52" s="60" t="n"/>
      <c r="AM52" s="60" t="n"/>
      <c r="AN52" s="60" t="n"/>
      <c r="AO52" s="60" t="n"/>
      <c r="AP52" s="60" t="n"/>
      <c r="AQ52" s="60" t="n"/>
      <c r="AR52" s="60" t="n"/>
      <c r="AS52" s="60" t="n"/>
      <c r="AT52" s="60" t="n"/>
      <c r="AU52" s="60" t="n"/>
      <c r="AV52" s="60" t="n"/>
      <c r="AW52" s="60" t="n"/>
      <c r="AX52" s="60" t="n"/>
      <c r="AY52" s="60" t="n"/>
      <c r="AZ52" s="60" t="n"/>
      <c r="BA52" s="60" t="n"/>
      <c r="BB52" s="60" t="n"/>
      <c r="BC52" s="60" t="n"/>
      <c r="BD52" s="60" t="n"/>
      <c r="BE52" s="60" t="n"/>
      <c r="BF52" s="60" t="n"/>
      <c r="BG52" s="60" t="n"/>
      <c r="BH52" s="60" t="n"/>
      <c r="BI52" s="60" t="n"/>
      <c r="BJ52" s="60" t="n"/>
      <c r="BK52" s="60" t="n"/>
      <c r="BL52" s="60" t="n"/>
      <c r="BM52" s="60" t="n"/>
      <c r="BN52" s="60" t="n"/>
      <c r="BO52" s="60" t="n"/>
      <c r="BP52" s="60" t="n"/>
      <c r="BQ52" s="60" t="n"/>
      <c r="BR52" s="60" t="n"/>
      <c r="BS52" s="60" t="n"/>
      <c r="BT52" s="60" t="n"/>
      <c r="BU52" s="60" t="n"/>
      <c r="BV52" s="60" t="n"/>
      <c r="BW52" s="60" t="n"/>
      <c r="BX52" s="60" t="n"/>
      <c r="BY52" s="60" t="n"/>
      <c r="BZ52" s="60" t="n"/>
      <c r="CA52" s="60" t="n"/>
      <c r="CB52" s="60" t="n"/>
      <c r="CC52" s="60" t="n"/>
      <c r="CD52" s="60" t="n"/>
      <c r="CE52" s="60" t="n"/>
      <c r="CF52" s="60" t="n"/>
      <c r="CG52" s="60" t="n"/>
      <c r="CH52" s="60" t="n"/>
      <c r="CI52" s="60" t="n"/>
      <c r="CJ52" s="60" t="n"/>
      <c r="CK52" s="60" t="n"/>
      <c r="CL52" s="60" t="n"/>
      <c r="CM52" s="60" t="n"/>
      <c r="CN52" s="60" t="n"/>
      <c r="CO52" s="60" t="n"/>
      <c r="CP52" s="60" t="n"/>
    </row>
    <row r="53">
      <c r="A53" s="35" t="n"/>
      <c r="B53" s="35" t="n"/>
      <c r="C53" s="35" t="n"/>
      <c r="D53" s="40" t="n"/>
      <c r="E53" s="35" t="n"/>
      <c r="F53" s="59">
        <f>IF(OR(D53="",E53=""),"",WORKDAY(D53,MAX(E53,1)-1))</f>
        <v/>
      </c>
      <c r="G53" s="36" t="n"/>
      <c r="H53" s="9">
        <f>IF(D53="","",IF(G53&gt;=1,"Done",IF(TODAY()&gt;F53,"Late",IF(TODAY()&gt;=D53,"In progress","Not started"))))</f>
        <v/>
      </c>
      <c r="I53" s="9">
        <f>IF(B53="","",IF(AND(A53&lt;&gt;"",COUNTIF(Jobs!$A$5:$A$44,A53)=0),"Unknown Job ID",IF(D53="","Missing start",IF(E53="","Missing duration",""))))</f>
        <v/>
      </c>
      <c r="J53" s="35" t="n"/>
      <c r="K53" s="60" t="n"/>
      <c r="L53" s="60" t="n"/>
      <c r="M53" s="60" t="n"/>
      <c r="N53" s="60" t="n"/>
      <c r="O53" s="60" t="n"/>
      <c r="P53" s="60" t="n"/>
      <c r="Q53" s="60" t="n"/>
      <c r="R53" s="60" t="n"/>
      <c r="S53" s="60" t="n"/>
      <c r="T53" s="60" t="n"/>
      <c r="U53" s="60" t="n"/>
      <c r="V53" s="60" t="n"/>
      <c r="W53" s="60" t="n"/>
      <c r="X53" s="60" t="n"/>
      <c r="Y53" s="60" t="n"/>
      <c r="Z53" s="60" t="n"/>
      <c r="AA53" s="60" t="n"/>
      <c r="AB53" s="60" t="n"/>
      <c r="AC53" s="60" t="n"/>
      <c r="AD53" s="60" t="n"/>
      <c r="AE53" s="60" t="n"/>
      <c r="AF53" s="60" t="n"/>
      <c r="AG53" s="60" t="n"/>
      <c r="AH53" s="60" t="n"/>
      <c r="AI53" s="60" t="n"/>
      <c r="AJ53" s="60" t="n"/>
      <c r="AK53" s="60" t="n"/>
      <c r="AL53" s="60" t="n"/>
      <c r="AM53" s="60" t="n"/>
      <c r="AN53" s="60" t="n"/>
      <c r="AO53" s="60" t="n"/>
      <c r="AP53" s="60" t="n"/>
      <c r="AQ53" s="60" t="n"/>
      <c r="AR53" s="60" t="n"/>
      <c r="AS53" s="60" t="n"/>
      <c r="AT53" s="60" t="n"/>
      <c r="AU53" s="60" t="n"/>
      <c r="AV53" s="60" t="n"/>
      <c r="AW53" s="60" t="n"/>
      <c r="AX53" s="60" t="n"/>
      <c r="AY53" s="60" t="n"/>
      <c r="AZ53" s="60" t="n"/>
      <c r="BA53" s="60" t="n"/>
      <c r="BB53" s="60" t="n"/>
      <c r="BC53" s="60" t="n"/>
      <c r="BD53" s="60" t="n"/>
      <c r="BE53" s="60" t="n"/>
      <c r="BF53" s="60" t="n"/>
      <c r="BG53" s="60" t="n"/>
      <c r="BH53" s="60" t="n"/>
      <c r="BI53" s="60" t="n"/>
      <c r="BJ53" s="60" t="n"/>
      <c r="BK53" s="60" t="n"/>
      <c r="BL53" s="60" t="n"/>
      <c r="BM53" s="60" t="n"/>
      <c r="BN53" s="60" t="n"/>
      <c r="BO53" s="60" t="n"/>
      <c r="BP53" s="60" t="n"/>
      <c r="BQ53" s="60" t="n"/>
      <c r="BR53" s="60" t="n"/>
      <c r="BS53" s="60" t="n"/>
      <c r="BT53" s="60" t="n"/>
      <c r="BU53" s="60" t="n"/>
      <c r="BV53" s="60" t="n"/>
      <c r="BW53" s="60" t="n"/>
      <c r="BX53" s="60" t="n"/>
      <c r="BY53" s="60" t="n"/>
      <c r="BZ53" s="60" t="n"/>
      <c r="CA53" s="60" t="n"/>
      <c r="CB53" s="60" t="n"/>
      <c r="CC53" s="60" t="n"/>
      <c r="CD53" s="60" t="n"/>
      <c r="CE53" s="60" t="n"/>
      <c r="CF53" s="60" t="n"/>
      <c r="CG53" s="60" t="n"/>
      <c r="CH53" s="60" t="n"/>
      <c r="CI53" s="60" t="n"/>
      <c r="CJ53" s="60" t="n"/>
      <c r="CK53" s="60" t="n"/>
      <c r="CL53" s="60" t="n"/>
      <c r="CM53" s="60" t="n"/>
      <c r="CN53" s="60" t="n"/>
      <c r="CO53" s="60" t="n"/>
      <c r="CP53" s="60" t="n"/>
    </row>
    <row r="54">
      <c r="A54" s="35" t="n"/>
      <c r="B54" s="35" t="n"/>
      <c r="C54" s="35" t="n"/>
      <c r="D54" s="40" t="n"/>
      <c r="E54" s="35" t="n"/>
      <c r="F54" s="59">
        <f>IF(OR(D54="",E54=""),"",WORKDAY(D54,MAX(E54,1)-1))</f>
        <v/>
      </c>
      <c r="G54" s="36" t="n"/>
      <c r="H54" s="9">
        <f>IF(D54="","",IF(G54&gt;=1,"Done",IF(TODAY()&gt;F54,"Late",IF(TODAY()&gt;=D54,"In progress","Not started"))))</f>
        <v/>
      </c>
      <c r="I54" s="9">
        <f>IF(B54="","",IF(AND(A54&lt;&gt;"",COUNTIF(Jobs!$A$5:$A$44,A54)=0),"Unknown Job ID",IF(D54="","Missing start",IF(E54="","Missing duration",""))))</f>
        <v/>
      </c>
      <c r="J54" s="35" t="n"/>
      <c r="K54" s="60" t="n"/>
      <c r="L54" s="60" t="n"/>
      <c r="M54" s="60" t="n"/>
      <c r="N54" s="60" t="n"/>
      <c r="O54" s="60" t="n"/>
      <c r="P54" s="60" t="n"/>
      <c r="Q54" s="60" t="n"/>
      <c r="R54" s="60" t="n"/>
      <c r="S54" s="60" t="n"/>
      <c r="T54" s="60" t="n"/>
      <c r="U54" s="60" t="n"/>
      <c r="V54" s="60" t="n"/>
      <c r="W54" s="60" t="n"/>
      <c r="X54" s="60" t="n"/>
      <c r="Y54" s="60" t="n"/>
      <c r="Z54" s="60" t="n"/>
      <c r="AA54" s="60" t="n"/>
      <c r="AB54" s="60" t="n"/>
      <c r="AC54" s="60" t="n"/>
      <c r="AD54" s="60" t="n"/>
      <c r="AE54" s="60" t="n"/>
      <c r="AF54" s="60" t="n"/>
      <c r="AG54" s="60" t="n"/>
      <c r="AH54" s="60" t="n"/>
      <c r="AI54" s="60" t="n"/>
      <c r="AJ54" s="60" t="n"/>
      <c r="AK54" s="60" t="n"/>
      <c r="AL54" s="60" t="n"/>
      <c r="AM54" s="60" t="n"/>
      <c r="AN54" s="60" t="n"/>
      <c r="AO54" s="60" t="n"/>
      <c r="AP54" s="60" t="n"/>
      <c r="AQ54" s="60" t="n"/>
      <c r="AR54" s="60" t="n"/>
      <c r="AS54" s="60" t="n"/>
      <c r="AT54" s="60" t="n"/>
      <c r="AU54" s="60" t="n"/>
      <c r="AV54" s="60" t="n"/>
      <c r="AW54" s="60" t="n"/>
      <c r="AX54" s="60" t="n"/>
      <c r="AY54" s="60" t="n"/>
      <c r="AZ54" s="60" t="n"/>
      <c r="BA54" s="60" t="n"/>
      <c r="BB54" s="60" t="n"/>
      <c r="BC54" s="60" t="n"/>
      <c r="BD54" s="60" t="n"/>
      <c r="BE54" s="60" t="n"/>
      <c r="BF54" s="60" t="n"/>
      <c r="BG54" s="60" t="n"/>
      <c r="BH54" s="60" t="n"/>
      <c r="BI54" s="60" t="n"/>
      <c r="BJ54" s="60" t="n"/>
      <c r="BK54" s="60" t="n"/>
      <c r="BL54" s="60" t="n"/>
      <c r="BM54" s="60" t="n"/>
      <c r="BN54" s="60" t="n"/>
      <c r="BO54" s="60" t="n"/>
      <c r="BP54" s="60" t="n"/>
      <c r="BQ54" s="60" t="n"/>
      <c r="BR54" s="60" t="n"/>
      <c r="BS54" s="60" t="n"/>
      <c r="BT54" s="60" t="n"/>
      <c r="BU54" s="60" t="n"/>
      <c r="BV54" s="60" t="n"/>
      <c r="BW54" s="60" t="n"/>
      <c r="BX54" s="60" t="n"/>
      <c r="BY54" s="60" t="n"/>
      <c r="BZ54" s="60" t="n"/>
      <c r="CA54" s="60" t="n"/>
      <c r="CB54" s="60" t="n"/>
      <c r="CC54" s="60" t="n"/>
      <c r="CD54" s="60" t="n"/>
      <c r="CE54" s="60" t="n"/>
      <c r="CF54" s="60" t="n"/>
      <c r="CG54" s="60" t="n"/>
      <c r="CH54" s="60" t="n"/>
      <c r="CI54" s="60" t="n"/>
      <c r="CJ54" s="60" t="n"/>
      <c r="CK54" s="60" t="n"/>
      <c r="CL54" s="60" t="n"/>
      <c r="CM54" s="60" t="n"/>
      <c r="CN54" s="60" t="n"/>
      <c r="CO54" s="60" t="n"/>
      <c r="CP54" s="60" t="n"/>
    </row>
    <row r="55">
      <c r="A55" s="35" t="n"/>
      <c r="B55" s="35" t="n"/>
      <c r="C55" s="35" t="n"/>
      <c r="D55" s="40" t="n"/>
      <c r="E55" s="35" t="n"/>
      <c r="F55" s="59">
        <f>IF(OR(D55="",E55=""),"",WORKDAY(D55,MAX(E55,1)-1))</f>
        <v/>
      </c>
      <c r="G55" s="36" t="n"/>
      <c r="H55" s="9">
        <f>IF(D55="","",IF(G55&gt;=1,"Done",IF(TODAY()&gt;F55,"Late",IF(TODAY()&gt;=D55,"In progress","Not started"))))</f>
        <v/>
      </c>
      <c r="I55" s="9">
        <f>IF(B55="","",IF(AND(A55&lt;&gt;"",COUNTIF(Jobs!$A$5:$A$44,A55)=0),"Unknown Job ID",IF(D55="","Missing start",IF(E55="","Missing duration",""))))</f>
        <v/>
      </c>
      <c r="J55" s="35" t="n"/>
      <c r="K55" s="60" t="n"/>
      <c r="L55" s="60" t="n"/>
      <c r="M55" s="60" t="n"/>
      <c r="N55" s="60" t="n"/>
      <c r="O55" s="60" t="n"/>
      <c r="P55" s="60" t="n"/>
      <c r="Q55" s="60" t="n"/>
      <c r="R55" s="60" t="n"/>
      <c r="S55" s="60" t="n"/>
      <c r="T55" s="60" t="n"/>
      <c r="U55" s="60" t="n"/>
      <c r="V55" s="60" t="n"/>
      <c r="W55" s="60" t="n"/>
      <c r="X55" s="60" t="n"/>
      <c r="Y55" s="60" t="n"/>
      <c r="Z55" s="60" t="n"/>
      <c r="AA55" s="60" t="n"/>
      <c r="AB55" s="60" t="n"/>
      <c r="AC55" s="60" t="n"/>
      <c r="AD55" s="60" t="n"/>
      <c r="AE55" s="60" t="n"/>
      <c r="AF55" s="60" t="n"/>
      <c r="AG55" s="60" t="n"/>
      <c r="AH55" s="60" t="n"/>
      <c r="AI55" s="60" t="n"/>
      <c r="AJ55" s="60" t="n"/>
      <c r="AK55" s="60" t="n"/>
      <c r="AL55" s="60" t="n"/>
      <c r="AM55" s="60" t="n"/>
      <c r="AN55" s="60" t="n"/>
      <c r="AO55" s="60" t="n"/>
      <c r="AP55" s="60" t="n"/>
      <c r="AQ55" s="60" t="n"/>
      <c r="AR55" s="60" t="n"/>
      <c r="AS55" s="60" t="n"/>
      <c r="AT55" s="60" t="n"/>
      <c r="AU55" s="60" t="n"/>
      <c r="AV55" s="60" t="n"/>
      <c r="AW55" s="60" t="n"/>
      <c r="AX55" s="60" t="n"/>
      <c r="AY55" s="60" t="n"/>
      <c r="AZ55" s="60" t="n"/>
      <c r="BA55" s="60" t="n"/>
      <c r="BB55" s="60" t="n"/>
      <c r="BC55" s="60" t="n"/>
      <c r="BD55" s="60" t="n"/>
      <c r="BE55" s="60" t="n"/>
      <c r="BF55" s="60" t="n"/>
      <c r="BG55" s="60" t="n"/>
      <c r="BH55" s="60" t="n"/>
      <c r="BI55" s="60" t="n"/>
      <c r="BJ55" s="60" t="n"/>
      <c r="BK55" s="60" t="n"/>
      <c r="BL55" s="60" t="n"/>
      <c r="BM55" s="60" t="n"/>
      <c r="BN55" s="60" t="n"/>
      <c r="BO55" s="60" t="n"/>
      <c r="BP55" s="60" t="n"/>
      <c r="BQ55" s="60" t="n"/>
      <c r="BR55" s="60" t="n"/>
      <c r="BS55" s="60" t="n"/>
      <c r="BT55" s="60" t="n"/>
      <c r="BU55" s="60" t="n"/>
      <c r="BV55" s="60" t="n"/>
      <c r="BW55" s="60" t="n"/>
      <c r="BX55" s="60" t="n"/>
      <c r="BY55" s="60" t="n"/>
      <c r="BZ55" s="60" t="n"/>
      <c r="CA55" s="60" t="n"/>
      <c r="CB55" s="60" t="n"/>
      <c r="CC55" s="60" t="n"/>
      <c r="CD55" s="60" t="n"/>
      <c r="CE55" s="60" t="n"/>
      <c r="CF55" s="60" t="n"/>
      <c r="CG55" s="60" t="n"/>
      <c r="CH55" s="60" t="n"/>
      <c r="CI55" s="60" t="n"/>
      <c r="CJ55" s="60" t="n"/>
      <c r="CK55" s="60" t="n"/>
      <c r="CL55" s="60" t="n"/>
      <c r="CM55" s="60" t="n"/>
      <c r="CN55" s="60" t="n"/>
      <c r="CO55" s="60" t="n"/>
      <c r="CP55" s="60" t="n"/>
    </row>
    <row r="56">
      <c r="A56" s="35" t="n"/>
      <c r="B56" s="35" t="n"/>
      <c r="C56" s="35" t="n"/>
      <c r="D56" s="40" t="n"/>
      <c r="E56" s="35" t="n"/>
      <c r="F56" s="59">
        <f>IF(OR(D56="",E56=""),"",WORKDAY(D56,MAX(E56,1)-1))</f>
        <v/>
      </c>
      <c r="G56" s="36" t="n"/>
      <c r="H56" s="9">
        <f>IF(D56="","",IF(G56&gt;=1,"Done",IF(TODAY()&gt;F56,"Late",IF(TODAY()&gt;=D56,"In progress","Not started"))))</f>
        <v/>
      </c>
      <c r="I56" s="9">
        <f>IF(B56="","",IF(AND(A56&lt;&gt;"",COUNTIF(Jobs!$A$5:$A$44,A56)=0),"Unknown Job ID",IF(D56="","Missing start",IF(E56="","Missing duration",""))))</f>
        <v/>
      </c>
      <c r="J56" s="35" t="n"/>
      <c r="K56" s="60" t="n"/>
      <c r="L56" s="60" t="n"/>
      <c r="M56" s="60" t="n"/>
      <c r="N56" s="60" t="n"/>
      <c r="O56" s="60" t="n"/>
      <c r="P56" s="60" t="n"/>
      <c r="Q56" s="60" t="n"/>
      <c r="R56" s="60" t="n"/>
      <c r="S56" s="60" t="n"/>
      <c r="T56" s="60" t="n"/>
      <c r="U56" s="60" t="n"/>
      <c r="V56" s="60" t="n"/>
      <c r="W56" s="60" t="n"/>
      <c r="X56" s="60" t="n"/>
      <c r="Y56" s="60" t="n"/>
      <c r="Z56" s="60" t="n"/>
      <c r="AA56" s="60" t="n"/>
      <c r="AB56" s="60" t="n"/>
      <c r="AC56" s="60" t="n"/>
      <c r="AD56" s="60" t="n"/>
      <c r="AE56" s="60" t="n"/>
      <c r="AF56" s="60" t="n"/>
      <c r="AG56" s="60" t="n"/>
      <c r="AH56" s="60" t="n"/>
      <c r="AI56" s="60" t="n"/>
      <c r="AJ56" s="60" t="n"/>
      <c r="AK56" s="60" t="n"/>
      <c r="AL56" s="60" t="n"/>
      <c r="AM56" s="60" t="n"/>
      <c r="AN56" s="60" t="n"/>
      <c r="AO56" s="60" t="n"/>
      <c r="AP56" s="60" t="n"/>
      <c r="AQ56" s="60" t="n"/>
      <c r="AR56" s="60" t="n"/>
      <c r="AS56" s="60" t="n"/>
      <c r="AT56" s="60" t="n"/>
      <c r="AU56" s="60" t="n"/>
      <c r="AV56" s="60" t="n"/>
      <c r="AW56" s="60" t="n"/>
      <c r="AX56" s="60" t="n"/>
      <c r="AY56" s="60" t="n"/>
      <c r="AZ56" s="60" t="n"/>
      <c r="BA56" s="60" t="n"/>
      <c r="BB56" s="60" t="n"/>
      <c r="BC56" s="60" t="n"/>
      <c r="BD56" s="60" t="n"/>
      <c r="BE56" s="60" t="n"/>
      <c r="BF56" s="60" t="n"/>
      <c r="BG56" s="60" t="n"/>
      <c r="BH56" s="60" t="n"/>
      <c r="BI56" s="60" t="n"/>
      <c r="BJ56" s="60" t="n"/>
      <c r="BK56" s="60" t="n"/>
      <c r="BL56" s="60" t="n"/>
      <c r="BM56" s="60" t="n"/>
      <c r="BN56" s="60" t="n"/>
      <c r="BO56" s="60" t="n"/>
      <c r="BP56" s="60" t="n"/>
      <c r="BQ56" s="60" t="n"/>
      <c r="BR56" s="60" t="n"/>
      <c r="BS56" s="60" t="n"/>
      <c r="BT56" s="60" t="n"/>
      <c r="BU56" s="60" t="n"/>
      <c r="BV56" s="60" t="n"/>
      <c r="BW56" s="60" t="n"/>
      <c r="BX56" s="60" t="n"/>
      <c r="BY56" s="60" t="n"/>
      <c r="BZ56" s="60" t="n"/>
      <c r="CA56" s="60" t="n"/>
      <c r="CB56" s="60" t="n"/>
      <c r="CC56" s="60" t="n"/>
      <c r="CD56" s="60" t="n"/>
      <c r="CE56" s="60" t="n"/>
      <c r="CF56" s="60" t="n"/>
      <c r="CG56" s="60" t="n"/>
      <c r="CH56" s="60" t="n"/>
      <c r="CI56" s="60" t="n"/>
      <c r="CJ56" s="60" t="n"/>
      <c r="CK56" s="60" t="n"/>
      <c r="CL56" s="60" t="n"/>
      <c r="CM56" s="60" t="n"/>
      <c r="CN56" s="60" t="n"/>
      <c r="CO56" s="60" t="n"/>
      <c r="CP56" s="60" t="n"/>
    </row>
    <row r="57">
      <c r="A57" s="35" t="n"/>
      <c r="B57" s="35" t="n"/>
      <c r="C57" s="35" t="n"/>
      <c r="D57" s="40" t="n"/>
      <c r="E57" s="35" t="n"/>
      <c r="F57" s="59">
        <f>IF(OR(D57="",E57=""),"",WORKDAY(D57,MAX(E57,1)-1))</f>
        <v/>
      </c>
      <c r="G57" s="36" t="n"/>
      <c r="H57" s="9">
        <f>IF(D57="","",IF(G57&gt;=1,"Done",IF(TODAY()&gt;F57,"Late",IF(TODAY()&gt;=D57,"In progress","Not started"))))</f>
        <v/>
      </c>
      <c r="I57" s="9">
        <f>IF(B57="","",IF(AND(A57&lt;&gt;"",COUNTIF(Jobs!$A$5:$A$44,A57)=0),"Unknown Job ID",IF(D57="","Missing start",IF(E57="","Missing duration",""))))</f>
        <v/>
      </c>
      <c r="J57" s="35" t="n"/>
      <c r="K57" s="60" t="n"/>
      <c r="L57" s="60" t="n"/>
      <c r="M57" s="60" t="n"/>
      <c r="N57" s="60" t="n"/>
      <c r="O57" s="60" t="n"/>
      <c r="P57" s="60" t="n"/>
      <c r="Q57" s="60" t="n"/>
      <c r="R57" s="60" t="n"/>
      <c r="S57" s="60" t="n"/>
      <c r="T57" s="60" t="n"/>
      <c r="U57" s="60" t="n"/>
      <c r="V57" s="60" t="n"/>
      <c r="W57" s="60" t="n"/>
      <c r="X57" s="60" t="n"/>
      <c r="Y57" s="60" t="n"/>
      <c r="Z57" s="60" t="n"/>
      <c r="AA57" s="60" t="n"/>
      <c r="AB57" s="60" t="n"/>
      <c r="AC57" s="60" t="n"/>
      <c r="AD57" s="60" t="n"/>
      <c r="AE57" s="60" t="n"/>
      <c r="AF57" s="60" t="n"/>
      <c r="AG57" s="60" t="n"/>
      <c r="AH57" s="60" t="n"/>
      <c r="AI57" s="60" t="n"/>
      <c r="AJ57" s="60" t="n"/>
      <c r="AK57" s="60" t="n"/>
      <c r="AL57" s="60" t="n"/>
      <c r="AM57" s="60" t="n"/>
      <c r="AN57" s="60" t="n"/>
      <c r="AO57" s="60" t="n"/>
      <c r="AP57" s="60" t="n"/>
      <c r="AQ57" s="60" t="n"/>
      <c r="AR57" s="60" t="n"/>
      <c r="AS57" s="60" t="n"/>
      <c r="AT57" s="60" t="n"/>
      <c r="AU57" s="60" t="n"/>
      <c r="AV57" s="60" t="n"/>
      <c r="AW57" s="60" t="n"/>
      <c r="AX57" s="60" t="n"/>
      <c r="AY57" s="60" t="n"/>
      <c r="AZ57" s="60" t="n"/>
      <c r="BA57" s="60" t="n"/>
      <c r="BB57" s="60" t="n"/>
      <c r="BC57" s="60" t="n"/>
      <c r="BD57" s="60" t="n"/>
      <c r="BE57" s="60" t="n"/>
      <c r="BF57" s="60" t="n"/>
      <c r="BG57" s="60" t="n"/>
      <c r="BH57" s="60" t="n"/>
      <c r="BI57" s="60" t="n"/>
      <c r="BJ57" s="60" t="n"/>
      <c r="BK57" s="60" t="n"/>
      <c r="BL57" s="60" t="n"/>
      <c r="BM57" s="60" t="n"/>
      <c r="BN57" s="60" t="n"/>
      <c r="BO57" s="60" t="n"/>
      <c r="BP57" s="60" t="n"/>
      <c r="BQ57" s="60" t="n"/>
      <c r="BR57" s="60" t="n"/>
      <c r="BS57" s="60" t="n"/>
      <c r="BT57" s="60" t="n"/>
      <c r="BU57" s="60" t="n"/>
      <c r="BV57" s="60" t="n"/>
      <c r="BW57" s="60" t="n"/>
      <c r="BX57" s="60" t="n"/>
      <c r="BY57" s="60" t="n"/>
      <c r="BZ57" s="60" t="n"/>
      <c r="CA57" s="60" t="n"/>
      <c r="CB57" s="60" t="n"/>
      <c r="CC57" s="60" t="n"/>
      <c r="CD57" s="60" t="n"/>
      <c r="CE57" s="60" t="n"/>
      <c r="CF57" s="60" t="n"/>
      <c r="CG57" s="60" t="n"/>
      <c r="CH57" s="60" t="n"/>
      <c r="CI57" s="60" t="n"/>
      <c r="CJ57" s="60" t="n"/>
      <c r="CK57" s="60" t="n"/>
      <c r="CL57" s="60" t="n"/>
      <c r="CM57" s="60" t="n"/>
      <c r="CN57" s="60" t="n"/>
      <c r="CO57" s="60" t="n"/>
      <c r="CP57" s="60" t="n"/>
    </row>
    <row r="58">
      <c r="A58" s="35" t="n"/>
      <c r="B58" s="35" t="n"/>
      <c r="C58" s="35" t="n"/>
      <c r="D58" s="40" t="n"/>
      <c r="E58" s="35" t="n"/>
      <c r="F58" s="59">
        <f>IF(OR(D58="",E58=""),"",WORKDAY(D58,MAX(E58,1)-1))</f>
        <v/>
      </c>
      <c r="G58" s="36" t="n"/>
      <c r="H58" s="9">
        <f>IF(D58="","",IF(G58&gt;=1,"Done",IF(TODAY()&gt;F58,"Late",IF(TODAY()&gt;=D58,"In progress","Not started"))))</f>
        <v/>
      </c>
      <c r="I58" s="9">
        <f>IF(B58="","",IF(AND(A58&lt;&gt;"",COUNTIF(Jobs!$A$5:$A$44,A58)=0),"Unknown Job ID",IF(D58="","Missing start",IF(E58="","Missing duration",""))))</f>
        <v/>
      </c>
      <c r="J58" s="35" t="n"/>
      <c r="K58" s="60" t="n"/>
      <c r="L58" s="60" t="n"/>
      <c r="M58" s="60" t="n"/>
      <c r="N58" s="60" t="n"/>
      <c r="O58" s="60" t="n"/>
      <c r="P58" s="60" t="n"/>
      <c r="Q58" s="60" t="n"/>
      <c r="R58" s="60" t="n"/>
      <c r="S58" s="60" t="n"/>
      <c r="T58" s="60" t="n"/>
      <c r="U58" s="60" t="n"/>
      <c r="V58" s="60" t="n"/>
      <c r="W58" s="60" t="n"/>
      <c r="X58" s="60" t="n"/>
      <c r="Y58" s="60" t="n"/>
      <c r="Z58" s="60" t="n"/>
      <c r="AA58" s="60" t="n"/>
      <c r="AB58" s="60" t="n"/>
      <c r="AC58" s="60" t="n"/>
      <c r="AD58" s="60" t="n"/>
      <c r="AE58" s="60" t="n"/>
      <c r="AF58" s="60" t="n"/>
      <c r="AG58" s="60" t="n"/>
      <c r="AH58" s="60" t="n"/>
      <c r="AI58" s="60" t="n"/>
      <c r="AJ58" s="60" t="n"/>
      <c r="AK58" s="60" t="n"/>
      <c r="AL58" s="60" t="n"/>
      <c r="AM58" s="60" t="n"/>
      <c r="AN58" s="60" t="n"/>
      <c r="AO58" s="60" t="n"/>
      <c r="AP58" s="60" t="n"/>
      <c r="AQ58" s="60" t="n"/>
      <c r="AR58" s="60" t="n"/>
      <c r="AS58" s="60" t="n"/>
      <c r="AT58" s="60" t="n"/>
      <c r="AU58" s="60" t="n"/>
      <c r="AV58" s="60" t="n"/>
      <c r="AW58" s="60" t="n"/>
      <c r="AX58" s="60" t="n"/>
      <c r="AY58" s="60" t="n"/>
      <c r="AZ58" s="60" t="n"/>
      <c r="BA58" s="60" t="n"/>
      <c r="BB58" s="60" t="n"/>
      <c r="BC58" s="60" t="n"/>
      <c r="BD58" s="60" t="n"/>
      <c r="BE58" s="60" t="n"/>
      <c r="BF58" s="60" t="n"/>
      <c r="BG58" s="60" t="n"/>
      <c r="BH58" s="60" t="n"/>
      <c r="BI58" s="60" t="n"/>
      <c r="BJ58" s="60" t="n"/>
      <c r="BK58" s="60" t="n"/>
      <c r="BL58" s="60" t="n"/>
      <c r="BM58" s="60" t="n"/>
      <c r="BN58" s="60" t="n"/>
      <c r="BO58" s="60" t="n"/>
      <c r="BP58" s="60" t="n"/>
      <c r="BQ58" s="60" t="n"/>
      <c r="BR58" s="60" t="n"/>
      <c r="BS58" s="60" t="n"/>
      <c r="BT58" s="60" t="n"/>
      <c r="BU58" s="60" t="n"/>
      <c r="BV58" s="60" t="n"/>
      <c r="BW58" s="60" t="n"/>
      <c r="BX58" s="60" t="n"/>
      <c r="BY58" s="60" t="n"/>
      <c r="BZ58" s="60" t="n"/>
      <c r="CA58" s="60" t="n"/>
      <c r="CB58" s="60" t="n"/>
      <c r="CC58" s="60" t="n"/>
      <c r="CD58" s="60" t="n"/>
      <c r="CE58" s="60" t="n"/>
      <c r="CF58" s="60" t="n"/>
      <c r="CG58" s="60" t="n"/>
      <c r="CH58" s="60" t="n"/>
      <c r="CI58" s="60" t="n"/>
      <c r="CJ58" s="60" t="n"/>
      <c r="CK58" s="60" t="n"/>
      <c r="CL58" s="60" t="n"/>
      <c r="CM58" s="60" t="n"/>
      <c r="CN58" s="60" t="n"/>
      <c r="CO58" s="60" t="n"/>
      <c r="CP58" s="60" t="n"/>
    </row>
    <row r="59">
      <c r="A59" s="35" t="n"/>
      <c r="B59" s="35" t="n"/>
      <c r="C59" s="35" t="n"/>
      <c r="D59" s="40" t="n"/>
      <c r="E59" s="35" t="n"/>
      <c r="F59" s="59">
        <f>IF(OR(D59="",E59=""),"",WORKDAY(D59,MAX(E59,1)-1))</f>
        <v/>
      </c>
      <c r="G59" s="36" t="n"/>
      <c r="H59" s="9">
        <f>IF(D59="","",IF(G59&gt;=1,"Done",IF(TODAY()&gt;F59,"Late",IF(TODAY()&gt;=D59,"In progress","Not started"))))</f>
        <v/>
      </c>
      <c r="I59" s="9">
        <f>IF(B59="","",IF(AND(A59&lt;&gt;"",COUNTIF(Jobs!$A$5:$A$44,A59)=0),"Unknown Job ID",IF(D59="","Missing start",IF(E59="","Missing duration",""))))</f>
        <v/>
      </c>
      <c r="J59" s="35" t="n"/>
      <c r="K59" s="60" t="n"/>
      <c r="L59" s="60" t="n"/>
      <c r="M59" s="60" t="n"/>
      <c r="N59" s="60" t="n"/>
      <c r="O59" s="60" t="n"/>
      <c r="P59" s="60" t="n"/>
      <c r="Q59" s="60" t="n"/>
      <c r="R59" s="60" t="n"/>
      <c r="S59" s="60" t="n"/>
      <c r="T59" s="60" t="n"/>
      <c r="U59" s="60" t="n"/>
      <c r="V59" s="60" t="n"/>
      <c r="W59" s="60" t="n"/>
      <c r="X59" s="60" t="n"/>
      <c r="Y59" s="60" t="n"/>
      <c r="Z59" s="60" t="n"/>
      <c r="AA59" s="60" t="n"/>
      <c r="AB59" s="60" t="n"/>
      <c r="AC59" s="60" t="n"/>
      <c r="AD59" s="60" t="n"/>
      <c r="AE59" s="60" t="n"/>
      <c r="AF59" s="60" t="n"/>
      <c r="AG59" s="60" t="n"/>
      <c r="AH59" s="60" t="n"/>
      <c r="AI59" s="60" t="n"/>
      <c r="AJ59" s="60" t="n"/>
      <c r="AK59" s="60" t="n"/>
      <c r="AL59" s="60" t="n"/>
      <c r="AM59" s="60" t="n"/>
      <c r="AN59" s="60" t="n"/>
      <c r="AO59" s="60" t="n"/>
      <c r="AP59" s="60" t="n"/>
      <c r="AQ59" s="60" t="n"/>
      <c r="AR59" s="60" t="n"/>
      <c r="AS59" s="60" t="n"/>
      <c r="AT59" s="60" t="n"/>
      <c r="AU59" s="60" t="n"/>
      <c r="AV59" s="60" t="n"/>
      <c r="AW59" s="60" t="n"/>
      <c r="AX59" s="60" t="n"/>
      <c r="AY59" s="60" t="n"/>
      <c r="AZ59" s="60" t="n"/>
      <c r="BA59" s="60" t="n"/>
      <c r="BB59" s="60" t="n"/>
      <c r="BC59" s="60" t="n"/>
      <c r="BD59" s="60" t="n"/>
      <c r="BE59" s="60" t="n"/>
      <c r="BF59" s="60" t="n"/>
      <c r="BG59" s="60" t="n"/>
      <c r="BH59" s="60" t="n"/>
      <c r="BI59" s="60" t="n"/>
      <c r="BJ59" s="60" t="n"/>
      <c r="BK59" s="60" t="n"/>
      <c r="BL59" s="60" t="n"/>
      <c r="BM59" s="60" t="n"/>
      <c r="BN59" s="60" t="n"/>
      <c r="BO59" s="60" t="n"/>
      <c r="BP59" s="60" t="n"/>
      <c r="BQ59" s="60" t="n"/>
      <c r="BR59" s="60" t="n"/>
      <c r="BS59" s="60" t="n"/>
      <c r="BT59" s="60" t="n"/>
      <c r="BU59" s="60" t="n"/>
      <c r="BV59" s="60" t="n"/>
      <c r="BW59" s="60" t="n"/>
      <c r="BX59" s="60" t="n"/>
      <c r="BY59" s="60" t="n"/>
      <c r="BZ59" s="60" t="n"/>
      <c r="CA59" s="60" t="n"/>
      <c r="CB59" s="60" t="n"/>
      <c r="CC59" s="60" t="n"/>
      <c r="CD59" s="60" t="n"/>
      <c r="CE59" s="60" t="n"/>
      <c r="CF59" s="60" t="n"/>
      <c r="CG59" s="60" t="n"/>
      <c r="CH59" s="60" t="n"/>
      <c r="CI59" s="60" t="n"/>
      <c r="CJ59" s="60" t="n"/>
      <c r="CK59" s="60" t="n"/>
      <c r="CL59" s="60" t="n"/>
      <c r="CM59" s="60" t="n"/>
      <c r="CN59" s="60" t="n"/>
      <c r="CO59" s="60" t="n"/>
      <c r="CP59" s="60" t="n"/>
    </row>
    <row r="60">
      <c r="A60" s="35" t="n"/>
      <c r="B60" s="35" t="n"/>
      <c r="C60" s="35" t="n"/>
      <c r="D60" s="40" t="n"/>
      <c r="E60" s="35" t="n"/>
      <c r="F60" s="59">
        <f>IF(OR(D60="",E60=""),"",WORKDAY(D60,MAX(E60,1)-1))</f>
        <v/>
      </c>
      <c r="G60" s="36" t="n"/>
      <c r="H60" s="9">
        <f>IF(D60="","",IF(G60&gt;=1,"Done",IF(TODAY()&gt;F60,"Late",IF(TODAY()&gt;=D60,"In progress","Not started"))))</f>
        <v/>
      </c>
      <c r="I60" s="9">
        <f>IF(B60="","",IF(AND(A60&lt;&gt;"",COUNTIF(Jobs!$A$5:$A$44,A60)=0),"Unknown Job ID",IF(D60="","Missing start",IF(E60="","Missing duration",""))))</f>
        <v/>
      </c>
      <c r="J60" s="35" t="n"/>
      <c r="K60" s="60" t="n"/>
      <c r="L60" s="60" t="n"/>
      <c r="M60" s="60" t="n"/>
      <c r="N60" s="60" t="n"/>
      <c r="O60" s="60" t="n"/>
      <c r="P60" s="60" t="n"/>
      <c r="Q60" s="60" t="n"/>
      <c r="R60" s="60" t="n"/>
      <c r="S60" s="60" t="n"/>
      <c r="T60" s="60" t="n"/>
      <c r="U60" s="60" t="n"/>
      <c r="V60" s="60" t="n"/>
      <c r="W60" s="60" t="n"/>
      <c r="X60" s="60" t="n"/>
      <c r="Y60" s="60" t="n"/>
      <c r="Z60" s="60" t="n"/>
      <c r="AA60" s="60" t="n"/>
      <c r="AB60" s="60" t="n"/>
      <c r="AC60" s="60" t="n"/>
      <c r="AD60" s="60" t="n"/>
      <c r="AE60" s="60" t="n"/>
      <c r="AF60" s="60" t="n"/>
      <c r="AG60" s="60" t="n"/>
      <c r="AH60" s="60" t="n"/>
      <c r="AI60" s="60" t="n"/>
      <c r="AJ60" s="60" t="n"/>
      <c r="AK60" s="60" t="n"/>
      <c r="AL60" s="60" t="n"/>
      <c r="AM60" s="60" t="n"/>
      <c r="AN60" s="60" t="n"/>
      <c r="AO60" s="60" t="n"/>
      <c r="AP60" s="60" t="n"/>
      <c r="AQ60" s="60" t="n"/>
      <c r="AR60" s="60" t="n"/>
      <c r="AS60" s="60" t="n"/>
      <c r="AT60" s="60" t="n"/>
      <c r="AU60" s="60" t="n"/>
      <c r="AV60" s="60" t="n"/>
      <c r="AW60" s="60" t="n"/>
      <c r="AX60" s="60" t="n"/>
      <c r="AY60" s="60" t="n"/>
      <c r="AZ60" s="60" t="n"/>
      <c r="BA60" s="60" t="n"/>
      <c r="BB60" s="60" t="n"/>
      <c r="BC60" s="60" t="n"/>
      <c r="BD60" s="60" t="n"/>
      <c r="BE60" s="60" t="n"/>
      <c r="BF60" s="60" t="n"/>
      <c r="BG60" s="60" t="n"/>
      <c r="BH60" s="60" t="n"/>
      <c r="BI60" s="60" t="n"/>
      <c r="BJ60" s="60" t="n"/>
      <c r="BK60" s="60" t="n"/>
      <c r="BL60" s="60" t="n"/>
      <c r="BM60" s="60" t="n"/>
      <c r="BN60" s="60" t="n"/>
      <c r="BO60" s="60" t="n"/>
      <c r="BP60" s="60" t="n"/>
      <c r="BQ60" s="60" t="n"/>
      <c r="BR60" s="60" t="n"/>
      <c r="BS60" s="60" t="n"/>
      <c r="BT60" s="60" t="n"/>
      <c r="BU60" s="60" t="n"/>
      <c r="BV60" s="60" t="n"/>
      <c r="BW60" s="60" t="n"/>
      <c r="BX60" s="60" t="n"/>
      <c r="BY60" s="60" t="n"/>
      <c r="BZ60" s="60" t="n"/>
      <c r="CA60" s="60" t="n"/>
      <c r="CB60" s="60" t="n"/>
      <c r="CC60" s="60" t="n"/>
      <c r="CD60" s="60" t="n"/>
      <c r="CE60" s="60" t="n"/>
      <c r="CF60" s="60" t="n"/>
      <c r="CG60" s="60" t="n"/>
      <c r="CH60" s="60" t="n"/>
      <c r="CI60" s="60" t="n"/>
      <c r="CJ60" s="60" t="n"/>
      <c r="CK60" s="60" t="n"/>
      <c r="CL60" s="60" t="n"/>
      <c r="CM60" s="60" t="n"/>
      <c r="CN60" s="60" t="n"/>
      <c r="CO60" s="60" t="n"/>
      <c r="CP60" s="60" t="n"/>
    </row>
    <row r="61">
      <c r="A61" s="35" t="n"/>
      <c r="B61" s="35" t="n"/>
      <c r="C61" s="35" t="n"/>
      <c r="D61" s="40" t="n"/>
      <c r="E61" s="35" t="n"/>
      <c r="F61" s="59">
        <f>IF(OR(D61="",E61=""),"",WORKDAY(D61,MAX(E61,1)-1))</f>
        <v/>
      </c>
      <c r="G61" s="36" t="n"/>
      <c r="H61" s="9">
        <f>IF(D61="","",IF(G61&gt;=1,"Done",IF(TODAY()&gt;F61,"Late",IF(TODAY()&gt;=D61,"In progress","Not started"))))</f>
        <v/>
      </c>
      <c r="I61" s="9">
        <f>IF(B61="","",IF(AND(A61&lt;&gt;"",COUNTIF(Jobs!$A$5:$A$44,A61)=0),"Unknown Job ID",IF(D61="","Missing start",IF(E61="","Missing duration",""))))</f>
        <v/>
      </c>
      <c r="J61" s="35" t="n"/>
      <c r="K61" s="60" t="n"/>
      <c r="L61" s="60" t="n"/>
      <c r="M61" s="60" t="n"/>
      <c r="N61" s="60" t="n"/>
      <c r="O61" s="60" t="n"/>
      <c r="P61" s="60" t="n"/>
      <c r="Q61" s="60" t="n"/>
      <c r="R61" s="60" t="n"/>
      <c r="S61" s="60" t="n"/>
      <c r="T61" s="60" t="n"/>
      <c r="U61" s="60" t="n"/>
      <c r="V61" s="60" t="n"/>
      <c r="W61" s="60" t="n"/>
      <c r="X61" s="60" t="n"/>
      <c r="Y61" s="60" t="n"/>
      <c r="Z61" s="60" t="n"/>
      <c r="AA61" s="60" t="n"/>
      <c r="AB61" s="60" t="n"/>
      <c r="AC61" s="60" t="n"/>
      <c r="AD61" s="60" t="n"/>
      <c r="AE61" s="60" t="n"/>
      <c r="AF61" s="60" t="n"/>
      <c r="AG61" s="60" t="n"/>
      <c r="AH61" s="60" t="n"/>
      <c r="AI61" s="60" t="n"/>
      <c r="AJ61" s="60" t="n"/>
      <c r="AK61" s="60" t="n"/>
      <c r="AL61" s="60" t="n"/>
      <c r="AM61" s="60" t="n"/>
      <c r="AN61" s="60" t="n"/>
      <c r="AO61" s="60" t="n"/>
      <c r="AP61" s="60" t="n"/>
      <c r="AQ61" s="60" t="n"/>
      <c r="AR61" s="60" t="n"/>
      <c r="AS61" s="60" t="n"/>
      <c r="AT61" s="60" t="n"/>
      <c r="AU61" s="60" t="n"/>
      <c r="AV61" s="60" t="n"/>
      <c r="AW61" s="60" t="n"/>
      <c r="AX61" s="60" t="n"/>
      <c r="AY61" s="60" t="n"/>
      <c r="AZ61" s="60" t="n"/>
      <c r="BA61" s="60" t="n"/>
      <c r="BB61" s="60" t="n"/>
      <c r="BC61" s="60" t="n"/>
      <c r="BD61" s="60" t="n"/>
      <c r="BE61" s="60" t="n"/>
      <c r="BF61" s="60" t="n"/>
      <c r="BG61" s="60" t="n"/>
      <c r="BH61" s="60" t="n"/>
      <c r="BI61" s="60" t="n"/>
      <c r="BJ61" s="60" t="n"/>
      <c r="BK61" s="60" t="n"/>
      <c r="BL61" s="60" t="n"/>
      <c r="BM61" s="60" t="n"/>
      <c r="BN61" s="60" t="n"/>
      <c r="BO61" s="60" t="n"/>
      <c r="BP61" s="60" t="n"/>
      <c r="BQ61" s="60" t="n"/>
      <c r="BR61" s="60" t="n"/>
      <c r="BS61" s="60" t="n"/>
      <c r="BT61" s="60" t="n"/>
      <c r="BU61" s="60" t="n"/>
      <c r="BV61" s="60" t="n"/>
      <c r="BW61" s="60" t="n"/>
      <c r="BX61" s="60" t="n"/>
      <c r="BY61" s="60" t="n"/>
      <c r="BZ61" s="60" t="n"/>
      <c r="CA61" s="60" t="n"/>
      <c r="CB61" s="60" t="n"/>
      <c r="CC61" s="60" t="n"/>
      <c r="CD61" s="60" t="n"/>
      <c r="CE61" s="60" t="n"/>
      <c r="CF61" s="60" t="n"/>
      <c r="CG61" s="60" t="n"/>
      <c r="CH61" s="60" t="n"/>
      <c r="CI61" s="60" t="n"/>
      <c r="CJ61" s="60" t="n"/>
      <c r="CK61" s="60" t="n"/>
      <c r="CL61" s="60" t="n"/>
      <c r="CM61" s="60" t="n"/>
      <c r="CN61" s="60" t="n"/>
      <c r="CO61" s="60" t="n"/>
      <c r="CP61" s="60" t="n"/>
    </row>
    <row r="62">
      <c r="A62" s="35" t="n"/>
      <c r="B62" s="35" t="n"/>
      <c r="C62" s="35" t="n"/>
      <c r="D62" s="40" t="n"/>
      <c r="E62" s="35" t="n"/>
      <c r="F62" s="59">
        <f>IF(OR(D62="",E62=""),"",WORKDAY(D62,MAX(E62,1)-1))</f>
        <v/>
      </c>
      <c r="G62" s="36" t="n"/>
      <c r="H62" s="9">
        <f>IF(D62="","",IF(G62&gt;=1,"Done",IF(TODAY()&gt;F62,"Late",IF(TODAY()&gt;=D62,"In progress","Not started"))))</f>
        <v/>
      </c>
      <c r="I62" s="9">
        <f>IF(B62="","",IF(AND(A62&lt;&gt;"",COUNTIF(Jobs!$A$5:$A$44,A62)=0),"Unknown Job ID",IF(D62="","Missing start",IF(E62="","Missing duration",""))))</f>
        <v/>
      </c>
      <c r="J62" s="35" t="n"/>
      <c r="K62" s="60" t="n"/>
      <c r="L62" s="60" t="n"/>
      <c r="M62" s="60" t="n"/>
      <c r="N62" s="60" t="n"/>
      <c r="O62" s="60" t="n"/>
      <c r="P62" s="60" t="n"/>
      <c r="Q62" s="60" t="n"/>
      <c r="R62" s="60" t="n"/>
      <c r="S62" s="60" t="n"/>
      <c r="T62" s="60" t="n"/>
      <c r="U62" s="60" t="n"/>
      <c r="V62" s="60" t="n"/>
      <c r="W62" s="60" t="n"/>
      <c r="X62" s="60" t="n"/>
      <c r="Y62" s="60" t="n"/>
      <c r="Z62" s="60" t="n"/>
      <c r="AA62" s="60" t="n"/>
      <c r="AB62" s="60" t="n"/>
      <c r="AC62" s="60" t="n"/>
      <c r="AD62" s="60" t="n"/>
      <c r="AE62" s="60" t="n"/>
      <c r="AF62" s="60" t="n"/>
      <c r="AG62" s="60" t="n"/>
      <c r="AH62" s="60" t="n"/>
      <c r="AI62" s="60" t="n"/>
      <c r="AJ62" s="60" t="n"/>
      <c r="AK62" s="60" t="n"/>
      <c r="AL62" s="60" t="n"/>
      <c r="AM62" s="60" t="n"/>
      <c r="AN62" s="60" t="n"/>
      <c r="AO62" s="60" t="n"/>
      <c r="AP62" s="60" t="n"/>
      <c r="AQ62" s="60" t="n"/>
      <c r="AR62" s="60" t="n"/>
      <c r="AS62" s="60" t="n"/>
      <c r="AT62" s="60" t="n"/>
      <c r="AU62" s="60" t="n"/>
      <c r="AV62" s="60" t="n"/>
      <c r="AW62" s="60" t="n"/>
      <c r="AX62" s="60" t="n"/>
      <c r="AY62" s="60" t="n"/>
      <c r="AZ62" s="60" t="n"/>
      <c r="BA62" s="60" t="n"/>
      <c r="BB62" s="60" t="n"/>
      <c r="BC62" s="60" t="n"/>
      <c r="BD62" s="60" t="n"/>
      <c r="BE62" s="60" t="n"/>
      <c r="BF62" s="60" t="n"/>
      <c r="BG62" s="60" t="n"/>
      <c r="BH62" s="60" t="n"/>
      <c r="BI62" s="60" t="n"/>
      <c r="BJ62" s="60" t="n"/>
      <c r="BK62" s="60" t="n"/>
      <c r="BL62" s="60" t="n"/>
      <c r="BM62" s="60" t="n"/>
      <c r="BN62" s="60" t="n"/>
      <c r="BO62" s="60" t="n"/>
      <c r="BP62" s="60" t="n"/>
      <c r="BQ62" s="60" t="n"/>
      <c r="BR62" s="60" t="n"/>
      <c r="BS62" s="60" t="n"/>
      <c r="BT62" s="60" t="n"/>
      <c r="BU62" s="60" t="n"/>
      <c r="BV62" s="60" t="n"/>
      <c r="BW62" s="60" t="n"/>
      <c r="BX62" s="60" t="n"/>
      <c r="BY62" s="60" t="n"/>
      <c r="BZ62" s="60" t="n"/>
      <c r="CA62" s="60" t="n"/>
      <c r="CB62" s="60" t="n"/>
      <c r="CC62" s="60" t="n"/>
      <c r="CD62" s="60" t="n"/>
      <c r="CE62" s="60" t="n"/>
      <c r="CF62" s="60" t="n"/>
      <c r="CG62" s="60" t="n"/>
      <c r="CH62" s="60" t="n"/>
      <c r="CI62" s="60" t="n"/>
      <c r="CJ62" s="60" t="n"/>
      <c r="CK62" s="60" t="n"/>
      <c r="CL62" s="60" t="n"/>
      <c r="CM62" s="60" t="n"/>
      <c r="CN62" s="60" t="n"/>
      <c r="CO62" s="60" t="n"/>
      <c r="CP62" s="60" t="n"/>
    </row>
    <row r="63">
      <c r="A63" s="35" t="n"/>
      <c r="B63" s="35" t="n"/>
      <c r="C63" s="35" t="n"/>
      <c r="D63" s="40" t="n"/>
      <c r="E63" s="35" t="n"/>
      <c r="F63" s="59">
        <f>IF(OR(D63="",E63=""),"",WORKDAY(D63,MAX(E63,1)-1))</f>
        <v/>
      </c>
      <c r="G63" s="36" t="n"/>
      <c r="H63" s="9">
        <f>IF(D63="","",IF(G63&gt;=1,"Done",IF(TODAY()&gt;F63,"Late",IF(TODAY()&gt;=D63,"In progress","Not started"))))</f>
        <v/>
      </c>
      <c r="I63" s="9">
        <f>IF(B63="","",IF(AND(A63&lt;&gt;"",COUNTIF(Jobs!$A$5:$A$44,A63)=0),"Unknown Job ID",IF(D63="","Missing start",IF(E63="","Missing duration",""))))</f>
        <v/>
      </c>
      <c r="J63" s="35" t="n"/>
      <c r="K63" s="60" t="n"/>
      <c r="L63" s="60" t="n"/>
      <c r="M63" s="60" t="n"/>
      <c r="N63" s="60" t="n"/>
      <c r="O63" s="60" t="n"/>
      <c r="P63" s="60" t="n"/>
      <c r="Q63" s="60" t="n"/>
      <c r="R63" s="60" t="n"/>
      <c r="S63" s="60" t="n"/>
      <c r="T63" s="60" t="n"/>
      <c r="U63" s="60" t="n"/>
      <c r="V63" s="60" t="n"/>
      <c r="W63" s="60" t="n"/>
      <c r="X63" s="60" t="n"/>
      <c r="Y63" s="60" t="n"/>
      <c r="Z63" s="60" t="n"/>
      <c r="AA63" s="60" t="n"/>
      <c r="AB63" s="60" t="n"/>
      <c r="AC63" s="60" t="n"/>
      <c r="AD63" s="60" t="n"/>
      <c r="AE63" s="60" t="n"/>
      <c r="AF63" s="60" t="n"/>
      <c r="AG63" s="60" t="n"/>
      <c r="AH63" s="60" t="n"/>
      <c r="AI63" s="60" t="n"/>
      <c r="AJ63" s="60" t="n"/>
      <c r="AK63" s="60" t="n"/>
      <c r="AL63" s="60" t="n"/>
      <c r="AM63" s="60" t="n"/>
      <c r="AN63" s="60" t="n"/>
      <c r="AO63" s="60" t="n"/>
      <c r="AP63" s="60" t="n"/>
      <c r="AQ63" s="60" t="n"/>
      <c r="AR63" s="60" t="n"/>
      <c r="AS63" s="60" t="n"/>
      <c r="AT63" s="60" t="n"/>
      <c r="AU63" s="60" t="n"/>
      <c r="AV63" s="60" t="n"/>
      <c r="AW63" s="60" t="n"/>
      <c r="AX63" s="60" t="n"/>
      <c r="AY63" s="60" t="n"/>
      <c r="AZ63" s="60" t="n"/>
      <c r="BA63" s="60" t="n"/>
      <c r="BB63" s="60" t="n"/>
      <c r="BC63" s="60" t="n"/>
      <c r="BD63" s="60" t="n"/>
      <c r="BE63" s="60" t="n"/>
      <c r="BF63" s="60" t="n"/>
      <c r="BG63" s="60" t="n"/>
      <c r="BH63" s="60" t="n"/>
      <c r="BI63" s="60" t="n"/>
      <c r="BJ63" s="60" t="n"/>
      <c r="BK63" s="60" t="n"/>
      <c r="BL63" s="60" t="n"/>
      <c r="BM63" s="60" t="n"/>
      <c r="BN63" s="60" t="n"/>
      <c r="BO63" s="60" t="n"/>
      <c r="BP63" s="60" t="n"/>
      <c r="BQ63" s="60" t="n"/>
      <c r="BR63" s="60" t="n"/>
      <c r="BS63" s="60" t="n"/>
      <c r="BT63" s="60" t="n"/>
      <c r="BU63" s="60" t="n"/>
      <c r="BV63" s="60" t="n"/>
      <c r="BW63" s="60" t="n"/>
      <c r="BX63" s="60" t="n"/>
      <c r="BY63" s="60" t="n"/>
      <c r="BZ63" s="60" t="n"/>
      <c r="CA63" s="60" t="n"/>
      <c r="CB63" s="60" t="n"/>
      <c r="CC63" s="60" t="n"/>
      <c r="CD63" s="60" t="n"/>
      <c r="CE63" s="60" t="n"/>
      <c r="CF63" s="60" t="n"/>
      <c r="CG63" s="60" t="n"/>
      <c r="CH63" s="60" t="n"/>
      <c r="CI63" s="60" t="n"/>
      <c r="CJ63" s="60" t="n"/>
      <c r="CK63" s="60" t="n"/>
      <c r="CL63" s="60" t="n"/>
      <c r="CM63" s="60" t="n"/>
      <c r="CN63" s="60" t="n"/>
      <c r="CO63" s="60" t="n"/>
      <c r="CP63" s="60" t="n"/>
    </row>
    <row r="64">
      <c r="A64" s="35" t="n"/>
      <c r="B64" s="35" t="n"/>
      <c r="C64" s="35" t="n"/>
      <c r="D64" s="40" t="n"/>
      <c r="E64" s="35" t="n"/>
      <c r="F64" s="59">
        <f>IF(OR(D64="",E64=""),"",WORKDAY(D64,MAX(E64,1)-1))</f>
        <v/>
      </c>
      <c r="G64" s="36" t="n"/>
      <c r="H64" s="9">
        <f>IF(D64="","",IF(G64&gt;=1,"Done",IF(TODAY()&gt;F64,"Late",IF(TODAY()&gt;=D64,"In progress","Not started"))))</f>
        <v/>
      </c>
      <c r="I64" s="9">
        <f>IF(B64="","",IF(AND(A64&lt;&gt;"",COUNTIF(Jobs!$A$5:$A$44,A64)=0),"Unknown Job ID",IF(D64="","Missing start",IF(E64="","Missing duration",""))))</f>
        <v/>
      </c>
      <c r="J64" s="35" t="n"/>
      <c r="K64" s="60" t="n"/>
      <c r="L64" s="60" t="n"/>
      <c r="M64" s="60" t="n"/>
      <c r="N64" s="60" t="n"/>
      <c r="O64" s="60" t="n"/>
      <c r="P64" s="60" t="n"/>
      <c r="Q64" s="60" t="n"/>
      <c r="R64" s="60" t="n"/>
      <c r="S64" s="60" t="n"/>
      <c r="T64" s="60" t="n"/>
      <c r="U64" s="60" t="n"/>
      <c r="V64" s="60" t="n"/>
      <c r="W64" s="60" t="n"/>
      <c r="X64" s="60" t="n"/>
      <c r="Y64" s="60" t="n"/>
      <c r="Z64" s="60" t="n"/>
      <c r="AA64" s="60" t="n"/>
      <c r="AB64" s="60" t="n"/>
      <c r="AC64" s="60" t="n"/>
      <c r="AD64" s="60" t="n"/>
      <c r="AE64" s="60" t="n"/>
      <c r="AF64" s="60" t="n"/>
      <c r="AG64" s="60" t="n"/>
      <c r="AH64" s="60" t="n"/>
      <c r="AI64" s="60" t="n"/>
      <c r="AJ64" s="60" t="n"/>
      <c r="AK64" s="60" t="n"/>
      <c r="AL64" s="60" t="n"/>
      <c r="AM64" s="60" t="n"/>
      <c r="AN64" s="60" t="n"/>
      <c r="AO64" s="60" t="n"/>
      <c r="AP64" s="60" t="n"/>
      <c r="AQ64" s="60" t="n"/>
      <c r="AR64" s="60" t="n"/>
      <c r="AS64" s="60" t="n"/>
      <c r="AT64" s="60" t="n"/>
      <c r="AU64" s="60" t="n"/>
      <c r="AV64" s="60" t="n"/>
      <c r="AW64" s="60" t="n"/>
      <c r="AX64" s="60" t="n"/>
      <c r="AY64" s="60" t="n"/>
      <c r="AZ64" s="60" t="n"/>
      <c r="BA64" s="60" t="n"/>
      <c r="BB64" s="60" t="n"/>
      <c r="BC64" s="60" t="n"/>
      <c r="BD64" s="60" t="n"/>
      <c r="BE64" s="60" t="n"/>
      <c r="BF64" s="60" t="n"/>
      <c r="BG64" s="60" t="n"/>
      <c r="BH64" s="60" t="n"/>
      <c r="BI64" s="60" t="n"/>
      <c r="BJ64" s="60" t="n"/>
      <c r="BK64" s="60" t="n"/>
      <c r="BL64" s="60" t="n"/>
      <c r="BM64" s="60" t="n"/>
      <c r="BN64" s="60" t="n"/>
      <c r="BO64" s="60" t="n"/>
      <c r="BP64" s="60" t="n"/>
      <c r="BQ64" s="60" t="n"/>
      <c r="BR64" s="60" t="n"/>
      <c r="BS64" s="60" t="n"/>
      <c r="BT64" s="60" t="n"/>
      <c r="BU64" s="60" t="n"/>
      <c r="BV64" s="60" t="n"/>
      <c r="BW64" s="60" t="n"/>
      <c r="BX64" s="60" t="n"/>
      <c r="BY64" s="60" t="n"/>
      <c r="BZ64" s="60" t="n"/>
      <c r="CA64" s="60" t="n"/>
      <c r="CB64" s="60" t="n"/>
      <c r="CC64" s="60" t="n"/>
      <c r="CD64" s="60" t="n"/>
      <c r="CE64" s="60" t="n"/>
      <c r="CF64" s="60" t="n"/>
      <c r="CG64" s="60" t="n"/>
      <c r="CH64" s="60" t="n"/>
      <c r="CI64" s="60" t="n"/>
      <c r="CJ64" s="60" t="n"/>
      <c r="CK64" s="60" t="n"/>
      <c r="CL64" s="60" t="n"/>
      <c r="CM64" s="60" t="n"/>
      <c r="CN64" s="60" t="n"/>
      <c r="CO64" s="60" t="n"/>
      <c r="CP64" s="60" t="n"/>
    </row>
    <row r="65">
      <c r="A65" s="35" t="n"/>
      <c r="B65" s="35" t="n"/>
      <c r="C65" s="35" t="n"/>
      <c r="D65" s="40" t="n"/>
      <c r="E65" s="35" t="n"/>
      <c r="F65" s="59">
        <f>IF(OR(D65="",E65=""),"",WORKDAY(D65,MAX(E65,1)-1))</f>
        <v/>
      </c>
      <c r="G65" s="36" t="n"/>
      <c r="H65" s="9">
        <f>IF(D65="","",IF(G65&gt;=1,"Done",IF(TODAY()&gt;F65,"Late",IF(TODAY()&gt;=D65,"In progress","Not started"))))</f>
        <v/>
      </c>
      <c r="I65" s="9">
        <f>IF(B65="","",IF(AND(A65&lt;&gt;"",COUNTIF(Jobs!$A$5:$A$44,A65)=0),"Unknown Job ID",IF(D65="","Missing start",IF(E65="","Missing duration",""))))</f>
        <v/>
      </c>
      <c r="J65" s="35" t="n"/>
      <c r="K65" s="60" t="n"/>
      <c r="L65" s="60" t="n"/>
      <c r="M65" s="60" t="n"/>
      <c r="N65" s="60" t="n"/>
      <c r="O65" s="60" t="n"/>
      <c r="P65" s="60" t="n"/>
      <c r="Q65" s="60" t="n"/>
      <c r="R65" s="60" t="n"/>
      <c r="S65" s="60" t="n"/>
      <c r="T65" s="60" t="n"/>
      <c r="U65" s="60" t="n"/>
      <c r="V65" s="60" t="n"/>
      <c r="W65" s="60" t="n"/>
      <c r="X65" s="60" t="n"/>
      <c r="Y65" s="60" t="n"/>
      <c r="Z65" s="60" t="n"/>
      <c r="AA65" s="60" t="n"/>
      <c r="AB65" s="60" t="n"/>
      <c r="AC65" s="60" t="n"/>
      <c r="AD65" s="60" t="n"/>
      <c r="AE65" s="60" t="n"/>
      <c r="AF65" s="60" t="n"/>
      <c r="AG65" s="60" t="n"/>
      <c r="AH65" s="60" t="n"/>
      <c r="AI65" s="60" t="n"/>
      <c r="AJ65" s="60" t="n"/>
      <c r="AK65" s="60" t="n"/>
      <c r="AL65" s="60" t="n"/>
      <c r="AM65" s="60" t="n"/>
      <c r="AN65" s="60" t="n"/>
      <c r="AO65" s="60" t="n"/>
      <c r="AP65" s="60" t="n"/>
      <c r="AQ65" s="60" t="n"/>
      <c r="AR65" s="60" t="n"/>
      <c r="AS65" s="60" t="n"/>
      <c r="AT65" s="60" t="n"/>
      <c r="AU65" s="60" t="n"/>
      <c r="AV65" s="60" t="n"/>
      <c r="AW65" s="60" t="n"/>
      <c r="AX65" s="60" t="n"/>
      <c r="AY65" s="60" t="n"/>
      <c r="AZ65" s="60" t="n"/>
      <c r="BA65" s="60" t="n"/>
      <c r="BB65" s="60" t="n"/>
      <c r="BC65" s="60" t="n"/>
      <c r="BD65" s="60" t="n"/>
      <c r="BE65" s="60" t="n"/>
      <c r="BF65" s="60" t="n"/>
      <c r="BG65" s="60" t="n"/>
      <c r="BH65" s="60" t="n"/>
      <c r="BI65" s="60" t="n"/>
      <c r="BJ65" s="60" t="n"/>
      <c r="BK65" s="60" t="n"/>
      <c r="BL65" s="60" t="n"/>
      <c r="BM65" s="60" t="n"/>
      <c r="BN65" s="60" t="n"/>
      <c r="BO65" s="60" t="n"/>
      <c r="BP65" s="60" t="n"/>
      <c r="BQ65" s="60" t="n"/>
      <c r="BR65" s="60" t="n"/>
      <c r="BS65" s="60" t="n"/>
      <c r="BT65" s="60" t="n"/>
      <c r="BU65" s="60" t="n"/>
      <c r="BV65" s="60" t="n"/>
      <c r="BW65" s="60" t="n"/>
      <c r="BX65" s="60" t="n"/>
      <c r="BY65" s="60" t="n"/>
      <c r="BZ65" s="60" t="n"/>
      <c r="CA65" s="60" t="n"/>
      <c r="CB65" s="60" t="n"/>
      <c r="CC65" s="60" t="n"/>
      <c r="CD65" s="60" t="n"/>
      <c r="CE65" s="60" t="n"/>
      <c r="CF65" s="60" t="n"/>
      <c r="CG65" s="60" t="n"/>
      <c r="CH65" s="60" t="n"/>
      <c r="CI65" s="60" t="n"/>
      <c r="CJ65" s="60" t="n"/>
      <c r="CK65" s="60" t="n"/>
      <c r="CL65" s="60" t="n"/>
      <c r="CM65" s="60" t="n"/>
      <c r="CN65" s="60" t="n"/>
      <c r="CO65" s="60" t="n"/>
      <c r="CP65" s="60" t="n"/>
    </row>
    <row r="66">
      <c r="A66" s="35" t="n"/>
      <c r="B66" s="35" t="n"/>
      <c r="C66" s="35" t="n"/>
      <c r="D66" s="40" t="n"/>
      <c r="E66" s="35" t="n"/>
      <c r="F66" s="59">
        <f>IF(OR(D66="",E66=""),"",WORKDAY(D66,MAX(E66,1)-1))</f>
        <v/>
      </c>
      <c r="G66" s="36" t="n"/>
      <c r="H66" s="9">
        <f>IF(D66="","",IF(G66&gt;=1,"Done",IF(TODAY()&gt;F66,"Late",IF(TODAY()&gt;=D66,"In progress","Not started"))))</f>
        <v/>
      </c>
      <c r="I66" s="9">
        <f>IF(B66="","",IF(AND(A66&lt;&gt;"",COUNTIF(Jobs!$A$5:$A$44,A66)=0),"Unknown Job ID",IF(D66="","Missing start",IF(E66="","Missing duration",""))))</f>
        <v/>
      </c>
      <c r="J66" s="35" t="n"/>
      <c r="K66" s="60" t="n"/>
      <c r="L66" s="60" t="n"/>
      <c r="M66" s="60" t="n"/>
      <c r="N66" s="60" t="n"/>
      <c r="O66" s="60" t="n"/>
      <c r="P66" s="60" t="n"/>
      <c r="Q66" s="60" t="n"/>
      <c r="R66" s="60" t="n"/>
      <c r="S66" s="60" t="n"/>
      <c r="T66" s="60" t="n"/>
      <c r="U66" s="60" t="n"/>
      <c r="V66" s="60" t="n"/>
      <c r="W66" s="60" t="n"/>
      <c r="X66" s="60" t="n"/>
      <c r="Y66" s="60" t="n"/>
      <c r="Z66" s="60" t="n"/>
      <c r="AA66" s="60" t="n"/>
      <c r="AB66" s="60" t="n"/>
      <c r="AC66" s="60" t="n"/>
      <c r="AD66" s="60" t="n"/>
      <c r="AE66" s="60" t="n"/>
      <c r="AF66" s="60" t="n"/>
      <c r="AG66" s="60" t="n"/>
      <c r="AH66" s="60" t="n"/>
      <c r="AI66" s="60" t="n"/>
      <c r="AJ66" s="60" t="n"/>
      <c r="AK66" s="60" t="n"/>
      <c r="AL66" s="60" t="n"/>
      <c r="AM66" s="60" t="n"/>
      <c r="AN66" s="60" t="n"/>
      <c r="AO66" s="60" t="n"/>
      <c r="AP66" s="60" t="n"/>
      <c r="AQ66" s="60" t="n"/>
      <c r="AR66" s="60" t="n"/>
      <c r="AS66" s="60" t="n"/>
      <c r="AT66" s="60" t="n"/>
      <c r="AU66" s="60" t="n"/>
      <c r="AV66" s="60" t="n"/>
      <c r="AW66" s="60" t="n"/>
      <c r="AX66" s="60" t="n"/>
      <c r="AY66" s="60" t="n"/>
      <c r="AZ66" s="60" t="n"/>
      <c r="BA66" s="60" t="n"/>
      <c r="BB66" s="60" t="n"/>
      <c r="BC66" s="60" t="n"/>
      <c r="BD66" s="60" t="n"/>
      <c r="BE66" s="60" t="n"/>
      <c r="BF66" s="60" t="n"/>
      <c r="BG66" s="60" t="n"/>
      <c r="BH66" s="60" t="n"/>
      <c r="BI66" s="60" t="n"/>
      <c r="BJ66" s="60" t="n"/>
      <c r="BK66" s="60" t="n"/>
      <c r="BL66" s="60" t="n"/>
      <c r="BM66" s="60" t="n"/>
      <c r="BN66" s="60" t="n"/>
      <c r="BO66" s="60" t="n"/>
      <c r="BP66" s="60" t="n"/>
      <c r="BQ66" s="60" t="n"/>
      <c r="BR66" s="60" t="n"/>
      <c r="BS66" s="60" t="n"/>
      <c r="BT66" s="60" t="n"/>
      <c r="BU66" s="60" t="n"/>
      <c r="BV66" s="60" t="n"/>
      <c r="BW66" s="60" t="n"/>
      <c r="BX66" s="60" t="n"/>
      <c r="BY66" s="60" t="n"/>
      <c r="BZ66" s="60" t="n"/>
      <c r="CA66" s="60" t="n"/>
      <c r="CB66" s="60" t="n"/>
      <c r="CC66" s="60" t="n"/>
      <c r="CD66" s="60" t="n"/>
      <c r="CE66" s="60" t="n"/>
      <c r="CF66" s="60" t="n"/>
      <c r="CG66" s="60" t="n"/>
      <c r="CH66" s="60" t="n"/>
      <c r="CI66" s="60" t="n"/>
      <c r="CJ66" s="60" t="n"/>
      <c r="CK66" s="60" t="n"/>
      <c r="CL66" s="60" t="n"/>
      <c r="CM66" s="60" t="n"/>
      <c r="CN66" s="60" t="n"/>
      <c r="CO66" s="60" t="n"/>
      <c r="CP66" s="60" t="n"/>
    </row>
    <row r="67">
      <c r="A67" s="35" t="n"/>
      <c r="B67" s="35" t="n"/>
      <c r="C67" s="35" t="n"/>
      <c r="D67" s="40" t="n"/>
      <c r="E67" s="35" t="n"/>
      <c r="F67" s="59">
        <f>IF(OR(D67="",E67=""),"",WORKDAY(D67,MAX(E67,1)-1))</f>
        <v/>
      </c>
      <c r="G67" s="36" t="n"/>
      <c r="H67" s="9">
        <f>IF(D67="","",IF(G67&gt;=1,"Done",IF(TODAY()&gt;F67,"Late",IF(TODAY()&gt;=D67,"In progress","Not started"))))</f>
        <v/>
      </c>
      <c r="I67" s="9">
        <f>IF(B67="","",IF(AND(A67&lt;&gt;"",COUNTIF(Jobs!$A$5:$A$44,A67)=0),"Unknown Job ID",IF(D67="","Missing start",IF(E67="","Missing duration",""))))</f>
        <v/>
      </c>
      <c r="J67" s="35" t="n"/>
      <c r="K67" s="60" t="n"/>
      <c r="L67" s="60" t="n"/>
      <c r="M67" s="60" t="n"/>
      <c r="N67" s="60" t="n"/>
      <c r="O67" s="60" t="n"/>
      <c r="P67" s="60" t="n"/>
      <c r="Q67" s="60" t="n"/>
      <c r="R67" s="60" t="n"/>
      <c r="S67" s="60" t="n"/>
      <c r="T67" s="60" t="n"/>
      <c r="U67" s="60" t="n"/>
      <c r="V67" s="60" t="n"/>
      <c r="W67" s="60" t="n"/>
      <c r="X67" s="60" t="n"/>
      <c r="Y67" s="60" t="n"/>
      <c r="Z67" s="60" t="n"/>
      <c r="AA67" s="60" t="n"/>
      <c r="AB67" s="60" t="n"/>
      <c r="AC67" s="60" t="n"/>
      <c r="AD67" s="60" t="n"/>
      <c r="AE67" s="60" t="n"/>
      <c r="AF67" s="60" t="n"/>
      <c r="AG67" s="60" t="n"/>
      <c r="AH67" s="60" t="n"/>
      <c r="AI67" s="60" t="n"/>
      <c r="AJ67" s="60" t="n"/>
      <c r="AK67" s="60" t="n"/>
      <c r="AL67" s="60" t="n"/>
      <c r="AM67" s="60" t="n"/>
      <c r="AN67" s="60" t="n"/>
      <c r="AO67" s="60" t="n"/>
      <c r="AP67" s="60" t="n"/>
      <c r="AQ67" s="60" t="n"/>
      <c r="AR67" s="60" t="n"/>
      <c r="AS67" s="60" t="n"/>
      <c r="AT67" s="60" t="n"/>
      <c r="AU67" s="60" t="n"/>
      <c r="AV67" s="60" t="n"/>
      <c r="AW67" s="60" t="n"/>
      <c r="AX67" s="60" t="n"/>
      <c r="AY67" s="60" t="n"/>
      <c r="AZ67" s="60" t="n"/>
      <c r="BA67" s="60" t="n"/>
      <c r="BB67" s="60" t="n"/>
      <c r="BC67" s="60" t="n"/>
      <c r="BD67" s="60" t="n"/>
      <c r="BE67" s="60" t="n"/>
      <c r="BF67" s="60" t="n"/>
      <c r="BG67" s="60" t="n"/>
      <c r="BH67" s="60" t="n"/>
      <c r="BI67" s="60" t="n"/>
      <c r="BJ67" s="60" t="n"/>
      <c r="BK67" s="60" t="n"/>
      <c r="BL67" s="60" t="n"/>
      <c r="BM67" s="60" t="n"/>
      <c r="BN67" s="60" t="n"/>
      <c r="BO67" s="60" t="n"/>
      <c r="BP67" s="60" t="n"/>
      <c r="BQ67" s="60" t="n"/>
      <c r="BR67" s="60" t="n"/>
      <c r="BS67" s="60" t="n"/>
      <c r="BT67" s="60" t="n"/>
      <c r="BU67" s="60" t="n"/>
      <c r="BV67" s="60" t="n"/>
      <c r="BW67" s="60" t="n"/>
      <c r="BX67" s="60" t="n"/>
      <c r="BY67" s="60" t="n"/>
      <c r="BZ67" s="60" t="n"/>
      <c r="CA67" s="60" t="n"/>
      <c r="CB67" s="60" t="n"/>
      <c r="CC67" s="60" t="n"/>
      <c r="CD67" s="60" t="n"/>
      <c r="CE67" s="60" t="n"/>
      <c r="CF67" s="60" t="n"/>
      <c r="CG67" s="60" t="n"/>
      <c r="CH67" s="60" t="n"/>
      <c r="CI67" s="60" t="n"/>
      <c r="CJ67" s="60" t="n"/>
      <c r="CK67" s="60" t="n"/>
      <c r="CL67" s="60" t="n"/>
      <c r="CM67" s="60" t="n"/>
      <c r="CN67" s="60" t="n"/>
      <c r="CO67" s="60" t="n"/>
      <c r="CP67" s="60" t="n"/>
    </row>
    <row r="68">
      <c r="A68" s="35" t="n"/>
      <c r="B68" s="35" t="n"/>
      <c r="C68" s="35" t="n"/>
      <c r="D68" s="40" t="n"/>
      <c r="E68" s="35" t="n"/>
      <c r="F68" s="59">
        <f>IF(OR(D68="",E68=""),"",WORKDAY(D68,MAX(E68,1)-1))</f>
        <v/>
      </c>
      <c r="G68" s="36" t="n"/>
      <c r="H68" s="9">
        <f>IF(D68="","",IF(G68&gt;=1,"Done",IF(TODAY()&gt;F68,"Late",IF(TODAY()&gt;=D68,"In progress","Not started"))))</f>
        <v/>
      </c>
      <c r="I68" s="9">
        <f>IF(B68="","",IF(AND(A68&lt;&gt;"",COUNTIF(Jobs!$A$5:$A$44,A68)=0),"Unknown Job ID",IF(D68="","Missing start",IF(E68="","Missing duration",""))))</f>
        <v/>
      </c>
      <c r="J68" s="35" t="n"/>
      <c r="K68" s="60" t="n"/>
      <c r="L68" s="60" t="n"/>
      <c r="M68" s="60" t="n"/>
      <c r="N68" s="60" t="n"/>
      <c r="O68" s="60" t="n"/>
      <c r="P68" s="60" t="n"/>
      <c r="Q68" s="60" t="n"/>
      <c r="R68" s="60" t="n"/>
      <c r="S68" s="60" t="n"/>
      <c r="T68" s="60" t="n"/>
      <c r="U68" s="60" t="n"/>
      <c r="V68" s="60" t="n"/>
      <c r="W68" s="60" t="n"/>
      <c r="X68" s="60" t="n"/>
      <c r="Y68" s="60" t="n"/>
      <c r="Z68" s="60" t="n"/>
      <c r="AA68" s="60" t="n"/>
      <c r="AB68" s="60" t="n"/>
      <c r="AC68" s="60" t="n"/>
      <c r="AD68" s="60" t="n"/>
      <c r="AE68" s="60" t="n"/>
      <c r="AF68" s="60" t="n"/>
      <c r="AG68" s="60" t="n"/>
      <c r="AH68" s="60" t="n"/>
      <c r="AI68" s="60" t="n"/>
      <c r="AJ68" s="60" t="n"/>
      <c r="AK68" s="60" t="n"/>
      <c r="AL68" s="60" t="n"/>
      <c r="AM68" s="60" t="n"/>
      <c r="AN68" s="60" t="n"/>
      <c r="AO68" s="60" t="n"/>
      <c r="AP68" s="60" t="n"/>
      <c r="AQ68" s="60" t="n"/>
      <c r="AR68" s="60" t="n"/>
      <c r="AS68" s="60" t="n"/>
      <c r="AT68" s="60" t="n"/>
      <c r="AU68" s="60" t="n"/>
      <c r="AV68" s="60" t="n"/>
      <c r="AW68" s="60" t="n"/>
      <c r="AX68" s="60" t="n"/>
      <c r="AY68" s="60" t="n"/>
      <c r="AZ68" s="60" t="n"/>
      <c r="BA68" s="60" t="n"/>
      <c r="BB68" s="60" t="n"/>
      <c r="BC68" s="60" t="n"/>
      <c r="BD68" s="60" t="n"/>
      <c r="BE68" s="60" t="n"/>
      <c r="BF68" s="60" t="n"/>
      <c r="BG68" s="60" t="n"/>
      <c r="BH68" s="60" t="n"/>
      <c r="BI68" s="60" t="n"/>
      <c r="BJ68" s="60" t="n"/>
      <c r="BK68" s="60" t="n"/>
      <c r="BL68" s="60" t="n"/>
      <c r="BM68" s="60" t="n"/>
      <c r="BN68" s="60" t="n"/>
      <c r="BO68" s="60" t="n"/>
      <c r="BP68" s="60" t="n"/>
      <c r="BQ68" s="60" t="n"/>
      <c r="BR68" s="60" t="n"/>
      <c r="BS68" s="60" t="n"/>
      <c r="BT68" s="60" t="n"/>
      <c r="BU68" s="60" t="n"/>
      <c r="BV68" s="60" t="n"/>
      <c r="BW68" s="60" t="n"/>
      <c r="BX68" s="60" t="n"/>
      <c r="BY68" s="60" t="n"/>
      <c r="BZ68" s="60" t="n"/>
      <c r="CA68" s="60" t="n"/>
      <c r="CB68" s="60" t="n"/>
      <c r="CC68" s="60" t="n"/>
      <c r="CD68" s="60" t="n"/>
      <c r="CE68" s="60" t="n"/>
      <c r="CF68" s="60" t="n"/>
      <c r="CG68" s="60" t="n"/>
      <c r="CH68" s="60" t="n"/>
      <c r="CI68" s="60" t="n"/>
      <c r="CJ68" s="60" t="n"/>
      <c r="CK68" s="60" t="n"/>
      <c r="CL68" s="60" t="n"/>
      <c r="CM68" s="60" t="n"/>
      <c r="CN68" s="60" t="n"/>
      <c r="CO68" s="60" t="n"/>
      <c r="CP68" s="60" t="n"/>
    </row>
    <row r="69">
      <c r="A69" s="35" t="n"/>
      <c r="B69" s="35" t="n"/>
      <c r="C69" s="35" t="n"/>
      <c r="D69" s="40" t="n"/>
      <c r="E69" s="35" t="n"/>
      <c r="F69" s="59">
        <f>IF(OR(D69="",E69=""),"",WORKDAY(D69,MAX(E69,1)-1))</f>
        <v/>
      </c>
      <c r="G69" s="36" t="n"/>
      <c r="H69" s="9">
        <f>IF(D69="","",IF(G69&gt;=1,"Done",IF(TODAY()&gt;F69,"Late",IF(TODAY()&gt;=D69,"In progress","Not started"))))</f>
        <v/>
      </c>
      <c r="I69" s="9">
        <f>IF(B69="","",IF(AND(A69&lt;&gt;"",COUNTIF(Jobs!$A$5:$A$44,A69)=0),"Unknown Job ID",IF(D69="","Missing start",IF(E69="","Missing duration",""))))</f>
        <v/>
      </c>
      <c r="J69" s="35" t="n"/>
      <c r="K69" s="60" t="n"/>
      <c r="L69" s="60" t="n"/>
      <c r="M69" s="60" t="n"/>
      <c r="N69" s="60" t="n"/>
      <c r="O69" s="60" t="n"/>
      <c r="P69" s="60" t="n"/>
      <c r="Q69" s="60" t="n"/>
      <c r="R69" s="60" t="n"/>
      <c r="S69" s="60" t="n"/>
      <c r="T69" s="60" t="n"/>
      <c r="U69" s="60" t="n"/>
      <c r="V69" s="60" t="n"/>
      <c r="W69" s="60" t="n"/>
      <c r="X69" s="60" t="n"/>
      <c r="Y69" s="60" t="n"/>
      <c r="Z69" s="60" t="n"/>
      <c r="AA69" s="60" t="n"/>
      <c r="AB69" s="60" t="n"/>
      <c r="AC69" s="60" t="n"/>
      <c r="AD69" s="60" t="n"/>
      <c r="AE69" s="60" t="n"/>
      <c r="AF69" s="60" t="n"/>
      <c r="AG69" s="60" t="n"/>
      <c r="AH69" s="60" t="n"/>
      <c r="AI69" s="60" t="n"/>
      <c r="AJ69" s="60" t="n"/>
      <c r="AK69" s="60" t="n"/>
      <c r="AL69" s="60" t="n"/>
      <c r="AM69" s="60" t="n"/>
      <c r="AN69" s="60" t="n"/>
      <c r="AO69" s="60" t="n"/>
      <c r="AP69" s="60" t="n"/>
      <c r="AQ69" s="60" t="n"/>
      <c r="AR69" s="60" t="n"/>
      <c r="AS69" s="60" t="n"/>
      <c r="AT69" s="60" t="n"/>
      <c r="AU69" s="60" t="n"/>
      <c r="AV69" s="60" t="n"/>
      <c r="AW69" s="60" t="n"/>
      <c r="AX69" s="60" t="n"/>
      <c r="AY69" s="60" t="n"/>
      <c r="AZ69" s="60" t="n"/>
      <c r="BA69" s="60" t="n"/>
      <c r="BB69" s="60" t="n"/>
      <c r="BC69" s="60" t="n"/>
      <c r="BD69" s="60" t="n"/>
      <c r="BE69" s="60" t="n"/>
      <c r="BF69" s="60" t="n"/>
      <c r="BG69" s="60" t="n"/>
      <c r="BH69" s="60" t="n"/>
      <c r="BI69" s="60" t="n"/>
      <c r="BJ69" s="60" t="n"/>
      <c r="BK69" s="60" t="n"/>
      <c r="BL69" s="60" t="n"/>
      <c r="BM69" s="60" t="n"/>
      <c r="BN69" s="60" t="n"/>
      <c r="BO69" s="60" t="n"/>
      <c r="BP69" s="60" t="n"/>
      <c r="BQ69" s="60" t="n"/>
      <c r="BR69" s="60" t="n"/>
      <c r="BS69" s="60" t="n"/>
      <c r="BT69" s="60" t="n"/>
      <c r="BU69" s="60" t="n"/>
      <c r="BV69" s="60" t="n"/>
      <c r="BW69" s="60" t="n"/>
      <c r="BX69" s="60" t="n"/>
      <c r="BY69" s="60" t="n"/>
      <c r="BZ69" s="60" t="n"/>
      <c r="CA69" s="60" t="n"/>
      <c r="CB69" s="60" t="n"/>
      <c r="CC69" s="60" t="n"/>
      <c r="CD69" s="60" t="n"/>
      <c r="CE69" s="60" t="n"/>
      <c r="CF69" s="60" t="n"/>
      <c r="CG69" s="60" t="n"/>
      <c r="CH69" s="60" t="n"/>
      <c r="CI69" s="60" t="n"/>
      <c r="CJ69" s="60" t="n"/>
      <c r="CK69" s="60" t="n"/>
      <c r="CL69" s="60" t="n"/>
      <c r="CM69" s="60" t="n"/>
      <c r="CN69" s="60" t="n"/>
      <c r="CO69" s="60" t="n"/>
      <c r="CP69" s="60" t="n"/>
    </row>
    <row r="70">
      <c r="A70" s="35" t="n"/>
      <c r="B70" s="35" t="n"/>
      <c r="C70" s="35" t="n"/>
      <c r="D70" s="40" t="n"/>
      <c r="E70" s="35" t="n"/>
      <c r="F70" s="59">
        <f>IF(OR(D70="",E70=""),"",WORKDAY(D70,MAX(E70,1)-1))</f>
        <v/>
      </c>
      <c r="G70" s="36" t="n"/>
      <c r="H70" s="9">
        <f>IF(D70="","",IF(G70&gt;=1,"Done",IF(TODAY()&gt;F70,"Late",IF(TODAY()&gt;=D70,"In progress","Not started"))))</f>
        <v/>
      </c>
      <c r="I70" s="9">
        <f>IF(B70="","",IF(AND(A70&lt;&gt;"",COUNTIF(Jobs!$A$5:$A$44,A70)=0),"Unknown Job ID",IF(D70="","Missing start",IF(E70="","Missing duration",""))))</f>
        <v/>
      </c>
      <c r="J70" s="35" t="n"/>
      <c r="K70" s="60" t="n"/>
      <c r="L70" s="60" t="n"/>
      <c r="M70" s="60" t="n"/>
      <c r="N70" s="60" t="n"/>
      <c r="O70" s="60" t="n"/>
      <c r="P70" s="60" t="n"/>
      <c r="Q70" s="60" t="n"/>
      <c r="R70" s="60" t="n"/>
      <c r="S70" s="60" t="n"/>
      <c r="T70" s="60" t="n"/>
      <c r="U70" s="60" t="n"/>
      <c r="V70" s="60" t="n"/>
      <c r="W70" s="60" t="n"/>
      <c r="X70" s="60" t="n"/>
      <c r="Y70" s="60" t="n"/>
      <c r="Z70" s="60" t="n"/>
      <c r="AA70" s="60" t="n"/>
      <c r="AB70" s="60" t="n"/>
      <c r="AC70" s="60" t="n"/>
      <c r="AD70" s="60" t="n"/>
      <c r="AE70" s="60" t="n"/>
      <c r="AF70" s="60" t="n"/>
      <c r="AG70" s="60" t="n"/>
      <c r="AH70" s="60" t="n"/>
      <c r="AI70" s="60" t="n"/>
      <c r="AJ70" s="60" t="n"/>
      <c r="AK70" s="60" t="n"/>
      <c r="AL70" s="60" t="n"/>
      <c r="AM70" s="60" t="n"/>
      <c r="AN70" s="60" t="n"/>
      <c r="AO70" s="60" t="n"/>
      <c r="AP70" s="60" t="n"/>
      <c r="AQ70" s="60" t="n"/>
      <c r="AR70" s="60" t="n"/>
      <c r="AS70" s="60" t="n"/>
      <c r="AT70" s="60" t="n"/>
      <c r="AU70" s="60" t="n"/>
      <c r="AV70" s="60" t="n"/>
      <c r="AW70" s="60" t="n"/>
      <c r="AX70" s="60" t="n"/>
      <c r="AY70" s="60" t="n"/>
      <c r="AZ70" s="60" t="n"/>
      <c r="BA70" s="60" t="n"/>
      <c r="BB70" s="60" t="n"/>
      <c r="BC70" s="60" t="n"/>
      <c r="BD70" s="60" t="n"/>
      <c r="BE70" s="60" t="n"/>
      <c r="BF70" s="60" t="n"/>
      <c r="BG70" s="60" t="n"/>
      <c r="BH70" s="60" t="n"/>
      <c r="BI70" s="60" t="n"/>
      <c r="BJ70" s="60" t="n"/>
      <c r="BK70" s="60" t="n"/>
      <c r="BL70" s="60" t="n"/>
      <c r="BM70" s="60" t="n"/>
      <c r="BN70" s="60" t="n"/>
      <c r="BO70" s="60" t="n"/>
      <c r="BP70" s="60" t="n"/>
      <c r="BQ70" s="60" t="n"/>
      <c r="BR70" s="60" t="n"/>
      <c r="BS70" s="60" t="n"/>
      <c r="BT70" s="60" t="n"/>
      <c r="BU70" s="60" t="n"/>
      <c r="BV70" s="60" t="n"/>
      <c r="BW70" s="60" t="n"/>
      <c r="BX70" s="60" t="n"/>
      <c r="BY70" s="60" t="n"/>
      <c r="BZ70" s="60" t="n"/>
      <c r="CA70" s="60" t="n"/>
      <c r="CB70" s="60" t="n"/>
      <c r="CC70" s="60" t="n"/>
      <c r="CD70" s="60" t="n"/>
      <c r="CE70" s="60" t="n"/>
      <c r="CF70" s="60" t="n"/>
      <c r="CG70" s="60" t="n"/>
      <c r="CH70" s="60" t="n"/>
      <c r="CI70" s="60" t="n"/>
      <c r="CJ70" s="60" t="n"/>
      <c r="CK70" s="60" t="n"/>
      <c r="CL70" s="60" t="n"/>
      <c r="CM70" s="60" t="n"/>
      <c r="CN70" s="60" t="n"/>
      <c r="CO70" s="60" t="n"/>
      <c r="CP70" s="60" t="n"/>
    </row>
    <row r="71">
      <c r="A71" s="35" t="n"/>
      <c r="B71" s="35" t="n"/>
      <c r="C71" s="35" t="n"/>
      <c r="D71" s="40" t="n"/>
      <c r="E71" s="35" t="n"/>
      <c r="F71" s="59">
        <f>IF(OR(D71="",E71=""),"",WORKDAY(D71,MAX(E71,1)-1))</f>
        <v/>
      </c>
      <c r="G71" s="36" t="n"/>
      <c r="H71" s="9">
        <f>IF(D71="","",IF(G71&gt;=1,"Done",IF(TODAY()&gt;F71,"Late",IF(TODAY()&gt;=D71,"In progress","Not started"))))</f>
        <v/>
      </c>
      <c r="I71" s="9">
        <f>IF(B71="","",IF(AND(A71&lt;&gt;"",COUNTIF(Jobs!$A$5:$A$44,A71)=0),"Unknown Job ID",IF(D71="","Missing start",IF(E71="","Missing duration",""))))</f>
        <v/>
      </c>
      <c r="J71" s="35" t="n"/>
      <c r="K71" s="60" t="n"/>
      <c r="L71" s="60" t="n"/>
      <c r="M71" s="60" t="n"/>
      <c r="N71" s="60" t="n"/>
      <c r="O71" s="60" t="n"/>
      <c r="P71" s="60" t="n"/>
      <c r="Q71" s="60" t="n"/>
      <c r="R71" s="60" t="n"/>
      <c r="S71" s="60" t="n"/>
      <c r="T71" s="60" t="n"/>
      <c r="U71" s="60" t="n"/>
      <c r="V71" s="60" t="n"/>
      <c r="W71" s="60" t="n"/>
      <c r="X71" s="60" t="n"/>
      <c r="Y71" s="60" t="n"/>
      <c r="Z71" s="60" t="n"/>
      <c r="AA71" s="60" t="n"/>
      <c r="AB71" s="60" t="n"/>
      <c r="AC71" s="60" t="n"/>
      <c r="AD71" s="60" t="n"/>
      <c r="AE71" s="60" t="n"/>
      <c r="AF71" s="60" t="n"/>
      <c r="AG71" s="60" t="n"/>
      <c r="AH71" s="60" t="n"/>
      <c r="AI71" s="60" t="n"/>
      <c r="AJ71" s="60" t="n"/>
      <c r="AK71" s="60" t="n"/>
      <c r="AL71" s="60" t="n"/>
      <c r="AM71" s="60" t="n"/>
      <c r="AN71" s="60" t="n"/>
      <c r="AO71" s="60" t="n"/>
      <c r="AP71" s="60" t="n"/>
      <c r="AQ71" s="60" t="n"/>
      <c r="AR71" s="60" t="n"/>
      <c r="AS71" s="60" t="n"/>
      <c r="AT71" s="60" t="n"/>
      <c r="AU71" s="60" t="n"/>
      <c r="AV71" s="60" t="n"/>
      <c r="AW71" s="60" t="n"/>
      <c r="AX71" s="60" t="n"/>
      <c r="AY71" s="60" t="n"/>
      <c r="AZ71" s="60" t="n"/>
      <c r="BA71" s="60" t="n"/>
      <c r="BB71" s="60" t="n"/>
      <c r="BC71" s="60" t="n"/>
      <c r="BD71" s="60" t="n"/>
      <c r="BE71" s="60" t="n"/>
      <c r="BF71" s="60" t="n"/>
      <c r="BG71" s="60" t="n"/>
      <c r="BH71" s="60" t="n"/>
      <c r="BI71" s="60" t="n"/>
      <c r="BJ71" s="60" t="n"/>
      <c r="BK71" s="60" t="n"/>
      <c r="BL71" s="60" t="n"/>
      <c r="BM71" s="60" t="n"/>
      <c r="BN71" s="60" t="n"/>
      <c r="BO71" s="60" t="n"/>
      <c r="BP71" s="60" t="n"/>
      <c r="BQ71" s="60" t="n"/>
      <c r="BR71" s="60" t="n"/>
      <c r="BS71" s="60" t="n"/>
      <c r="BT71" s="60" t="n"/>
      <c r="BU71" s="60" t="n"/>
      <c r="BV71" s="60" t="n"/>
      <c r="BW71" s="60" t="n"/>
      <c r="BX71" s="60" t="n"/>
      <c r="BY71" s="60" t="n"/>
      <c r="BZ71" s="60" t="n"/>
      <c r="CA71" s="60" t="n"/>
      <c r="CB71" s="60" t="n"/>
      <c r="CC71" s="60" t="n"/>
      <c r="CD71" s="60" t="n"/>
      <c r="CE71" s="60" t="n"/>
      <c r="CF71" s="60" t="n"/>
      <c r="CG71" s="60" t="n"/>
      <c r="CH71" s="60" t="n"/>
      <c r="CI71" s="60" t="n"/>
      <c r="CJ71" s="60" t="n"/>
      <c r="CK71" s="60" t="n"/>
      <c r="CL71" s="60" t="n"/>
      <c r="CM71" s="60" t="n"/>
      <c r="CN71" s="60" t="n"/>
      <c r="CO71" s="60" t="n"/>
      <c r="CP71" s="60" t="n"/>
    </row>
    <row r="72">
      <c r="A72" s="35" t="n"/>
      <c r="B72" s="35" t="n"/>
      <c r="C72" s="35" t="n"/>
      <c r="D72" s="40" t="n"/>
      <c r="E72" s="35" t="n"/>
      <c r="F72" s="59">
        <f>IF(OR(D72="",E72=""),"",WORKDAY(D72,MAX(E72,1)-1))</f>
        <v/>
      </c>
      <c r="G72" s="36" t="n"/>
      <c r="H72" s="9">
        <f>IF(D72="","",IF(G72&gt;=1,"Done",IF(TODAY()&gt;F72,"Late",IF(TODAY()&gt;=D72,"In progress","Not started"))))</f>
        <v/>
      </c>
      <c r="I72" s="9">
        <f>IF(B72="","",IF(AND(A72&lt;&gt;"",COUNTIF(Jobs!$A$5:$A$44,A72)=0),"Unknown Job ID",IF(D72="","Missing start",IF(E72="","Missing duration",""))))</f>
        <v/>
      </c>
      <c r="J72" s="35" t="n"/>
      <c r="K72" s="60" t="n"/>
      <c r="L72" s="60" t="n"/>
      <c r="M72" s="60" t="n"/>
      <c r="N72" s="60" t="n"/>
      <c r="O72" s="60" t="n"/>
      <c r="P72" s="60" t="n"/>
      <c r="Q72" s="60" t="n"/>
      <c r="R72" s="60" t="n"/>
      <c r="S72" s="60" t="n"/>
      <c r="T72" s="60" t="n"/>
      <c r="U72" s="60" t="n"/>
      <c r="V72" s="60" t="n"/>
      <c r="W72" s="60" t="n"/>
      <c r="X72" s="60" t="n"/>
      <c r="Y72" s="60" t="n"/>
      <c r="Z72" s="60" t="n"/>
      <c r="AA72" s="60" t="n"/>
      <c r="AB72" s="60" t="n"/>
      <c r="AC72" s="60" t="n"/>
      <c r="AD72" s="60" t="n"/>
      <c r="AE72" s="60" t="n"/>
      <c r="AF72" s="60" t="n"/>
      <c r="AG72" s="60" t="n"/>
      <c r="AH72" s="60" t="n"/>
      <c r="AI72" s="60" t="n"/>
      <c r="AJ72" s="60" t="n"/>
      <c r="AK72" s="60" t="n"/>
      <c r="AL72" s="60" t="n"/>
      <c r="AM72" s="60" t="n"/>
      <c r="AN72" s="60" t="n"/>
      <c r="AO72" s="60" t="n"/>
      <c r="AP72" s="60" t="n"/>
      <c r="AQ72" s="60" t="n"/>
      <c r="AR72" s="60" t="n"/>
      <c r="AS72" s="60" t="n"/>
      <c r="AT72" s="60" t="n"/>
      <c r="AU72" s="60" t="n"/>
      <c r="AV72" s="60" t="n"/>
      <c r="AW72" s="60" t="n"/>
      <c r="AX72" s="60" t="n"/>
      <c r="AY72" s="60" t="n"/>
      <c r="AZ72" s="60" t="n"/>
      <c r="BA72" s="60" t="n"/>
      <c r="BB72" s="60" t="n"/>
      <c r="BC72" s="60" t="n"/>
      <c r="BD72" s="60" t="n"/>
      <c r="BE72" s="60" t="n"/>
      <c r="BF72" s="60" t="n"/>
      <c r="BG72" s="60" t="n"/>
      <c r="BH72" s="60" t="n"/>
      <c r="BI72" s="60" t="n"/>
      <c r="BJ72" s="60" t="n"/>
      <c r="BK72" s="60" t="n"/>
      <c r="BL72" s="60" t="n"/>
      <c r="BM72" s="60" t="n"/>
      <c r="BN72" s="60" t="n"/>
      <c r="BO72" s="60" t="n"/>
      <c r="BP72" s="60" t="n"/>
      <c r="BQ72" s="60" t="n"/>
      <c r="BR72" s="60" t="n"/>
      <c r="BS72" s="60" t="n"/>
      <c r="BT72" s="60" t="n"/>
      <c r="BU72" s="60" t="n"/>
      <c r="BV72" s="60" t="n"/>
      <c r="BW72" s="60" t="n"/>
      <c r="BX72" s="60" t="n"/>
      <c r="BY72" s="60" t="n"/>
      <c r="BZ72" s="60" t="n"/>
      <c r="CA72" s="60" t="n"/>
      <c r="CB72" s="60" t="n"/>
      <c r="CC72" s="60" t="n"/>
      <c r="CD72" s="60" t="n"/>
      <c r="CE72" s="60" t="n"/>
      <c r="CF72" s="60" t="n"/>
      <c r="CG72" s="60" t="n"/>
      <c r="CH72" s="60" t="n"/>
      <c r="CI72" s="60" t="n"/>
      <c r="CJ72" s="60" t="n"/>
      <c r="CK72" s="60" t="n"/>
      <c r="CL72" s="60" t="n"/>
      <c r="CM72" s="60" t="n"/>
      <c r="CN72" s="60" t="n"/>
      <c r="CO72" s="60" t="n"/>
      <c r="CP72" s="60" t="n"/>
    </row>
    <row r="73">
      <c r="A73" s="35" t="n"/>
      <c r="B73" s="35" t="n"/>
      <c r="C73" s="35" t="n"/>
      <c r="D73" s="40" t="n"/>
      <c r="E73" s="35" t="n"/>
      <c r="F73" s="59">
        <f>IF(OR(D73="",E73=""),"",WORKDAY(D73,MAX(E73,1)-1))</f>
        <v/>
      </c>
      <c r="G73" s="36" t="n"/>
      <c r="H73" s="9">
        <f>IF(D73="","",IF(G73&gt;=1,"Done",IF(TODAY()&gt;F73,"Late",IF(TODAY()&gt;=D73,"In progress","Not started"))))</f>
        <v/>
      </c>
      <c r="I73" s="9">
        <f>IF(B73="","",IF(AND(A73&lt;&gt;"",COUNTIF(Jobs!$A$5:$A$44,A73)=0),"Unknown Job ID",IF(D73="","Missing start",IF(E73="","Missing duration",""))))</f>
        <v/>
      </c>
      <c r="J73" s="35" t="n"/>
      <c r="K73" s="60" t="n"/>
      <c r="L73" s="60" t="n"/>
      <c r="M73" s="60" t="n"/>
      <c r="N73" s="60" t="n"/>
      <c r="O73" s="60" t="n"/>
      <c r="P73" s="60" t="n"/>
      <c r="Q73" s="60" t="n"/>
      <c r="R73" s="60" t="n"/>
      <c r="S73" s="60" t="n"/>
      <c r="T73" s="60" t="n"/>
      <c r="U73" s="60" t="n"/>
      <c r="V73" s="60" t="n"/>
      <c r="W73" s="60" t="n"/>
      <c r="X73" s="60" t="n"/>
      <c r="Y73" s="60" t="n"/>
      <c r="Z73" s="60" t="n"/>
      <c r="AA73" s="60" t="n"/>
      <c r="AB73" s="60" t="n"/>
      <c r="AC73" s="60" t="n"/>
      <c r="AD73" s="60" t="n"/>
      <c r="AE73" s="60" t="n"/>
      <c r="AF73" s="60" t="n"/>
      <c r="AG73" s="60" t="n"/>
      <c r="AH73" s="60" t="n"/>
      <c r="AI73" s="60" t="n"/>
      <c r="AJ73" s="60" t="n"/>
      <c r="AK73" s="60" t="n"/>
      <c r="AL73" s="60" t="n"/>
      <c r="AM73" s="60" t="n"/>
      <c r="AN73" s="60" t="n"/>
      <c r="AO73" s="60" t="n"/>
      <c r="AP73" s="60" t="n"/>
      <c r="AQ73" s="60" t="n"/>
      <c r="AR73" s="60" t="n"/>
      <c r="AS73" s="60" t="n"/>
      <c r="AT73" s="60" t="n"/>
      <c r="AU73" s="60" t="n"/>
      <c r="AV73" s="60" t="n"/>
      <c r="AW73" s="60" t="n"/>
      <c r="AX73" s="60" t="n"/>
      <c r="AY73" s="60" t="n"/>
      <c r="AZ73" s="60" t="n"/>
      <c r="BA73" s="60" t="n"/>
      <c r="BB73" s="60" t="n"/>
      <c r="BC73" s="60" t="n"/>
      <c r="BD73" s="60" t="n"/>
      <c r="BE73" s="60" t="n"/>
      <c r="BF73" s="60" t="n"/>
      <c r="BG73" s="60" t="n"/>
      <c r="BH73" s="60" t="n"/>
      <c r="BI73" s="60" t="n"/>
      <c r="BJ73" s="60" t="n"/>
      <c r="BK73" s="60" t="n"/>
      <c r="BL73" s="60" t="n"/>
      <c r="BM73" s="60" t="n"/>
      <c r="BN73" s="60" t="n"/>
      <c r="BO73" s="60" t="n"/>
      <c r="BP73" s="60" t="n"/>
      <c r="BQ73" s="60" t="n"/>
      <c r="BR73" s="60" t="n"/>
      <c r="BS73" s="60" t="n"/>
      <c r="BT73" s="60" t="n"/>
      <c r="BU73" s="60" t="n"/>
      <c r="BV73" s="60" t="n"/>
      <c r="BW73" s="60" t="n"/>
      <c r="BX73" s="60" t="n"/>
      <c r="BY73" s="60" t="n"/>
      <c r="BZ73" s="60" t="n"/>
      <c r="CA73" s="60" t="n"/>
      <c r="CB73" s="60" t="n"/>
      <c r="CC73" s="60" t="n"/>
      <c r="CD73" s="60" t="n"/>
      <c r="CE73" s="60" t="n"/>
      <c r="CF73" s="60" t="n"/>
      <c r="CG73" s="60" t="n"/>
      <c r="CH73" s="60" t="n"/>
      <c r="CI73" s="60" t="n"/>
      <c r="CJ73" s="60" t="n"/>
      <c r="CK73" s="60" t="n"/>
      <c r="CL73" s="60" t="n"/>
      <c r="CM73" s="60" t="n"/>
      <c r="CN73" s="60" t="n"/>
      <c r="CO73" s="60" t="n"/>
      <c r="CP73" s="60" t="n"/>
    </row>
    <row r="74">
      <c r="A74" s="35" t="n"/>
      <c r="B74" s="35" t="n"/>
      <c r="C74" s="35" t="n"/>
      <c r="D74" s="40" t="n"/>
      <c r="E74" s="35" t="n"/>
      <c r="F74" s="59">
        <f>IF(OR(D74="",E74=""),"",WORKDAY(D74,MAX(E74,1)-1))</f>
        <v/>
      </c>
      <c r="G74" s="36" t="n"/>
      <c r="H74" s="9">
        <f>IF(D74="","",IF(G74&gt;=1,"Done",IF(TODAY()&gt;F74,"Late",IF(TODAY()&gt;=D74,"In progress","Not started"))))</f>
        <v/>
      </c>
      <c r="I74" s="9">
        <f>IF(B74="","",IF(AND(A74&lt;&gt;"",COUNTIF(Jobs!$A$5:$A$44,A74)=0),"Unknown Job ID",IF(D74="","Missing start",IF(E74="","Missing duration",""))))</f>
        <v/>
      </c>
      <c r="J74" s="35" t="n"/>
      <c r="K74" s="60" t="n"/>
      <c r="L74" s="60" t="n"/>
      <c r="M74" s="60" t="n"/>
      <c r="N74" s="60" t="n"/>
      <c r="O74" s="60" t="n"/>
      <c r="P74" s="60" t="n"/>
      <c r="Q74" s="60" t="n"/>
      <c r="R74" s="60" t="n"/>
      <c r="S74" s="60" t="n"/>
      <c r="T74" s="60" t="n"/>
      <c r="U74" s="60" t="n"/>
      <c r="V74" s="60" t="n"/>
      <c r="W74" s="60" t="n"/>
      <c r="X74" s="60" t="n"/>
      <c r="Y74" s="60" t="n"/>
      <c r="Z74" s="60" t="n"/>
      <c r="AA74" s="60" t="n"/>
      <c r="AB74" s="60" t="n"/>
      <c r="AC74" s="60" t="n"/>
      <c r="AD74" s="60" t="n"/>
      <c r="AE74" s="60" t="n"/>
      <c r="AF74" s="60" t="n"/>
      <c r="AG74" s="60" t="n"/>
      <c r="AH74" s="60" t="n"/>
      <c r="AI74" s="60" t="n"/>
      <c r="AJ74" s="60" t="n"/>
      <c r="AK74" s="60" t="n"/>
      <c r="AL74" s="60" t="n"/>
      <c r="AM74" s="60" t="n"/>
      <c r="AN74" s="60" t="n"/>
      <c r="AO74" s="60" t="n"/>
      <c r="AP74" s="60" t="n"/>
      <c r="AQ74" s="60" t="n"/>
      <c r="AR74" s="60" t="n"/>
      <c r="AS74" s="60" t="n"/>
      <c r="AT74" s="60" t="n"/>
      <c r="AU74" s="60" t="n"/>
      <c r="AV74" s="60" t="n"/>
      <c r="AW74" s="60" t="n"/>
      <c r="AX74" s="60" t="n"/>
      <c r="AY74" s="60" t="n"/>
      <c r="AZ74" s="60" t="n"/>
      <c r="BA74" s="60" t="n"/>
      <c r="BB74" s="60" t="n"/>
      <c r="BC74" s="60" t="n"/>
      <c r="BD74" s="60" t="n"/>
      <c r="BE74" s="60" t="n"/>
      <c r="BF74" s="60" t="n"/>
      <c r="BG74" s="60" t="n"/>
      <c r="BH74" s="60" t="n"/>
      <c r="BI74" s="60" t="n"/>
      <c r="BJ74" s="60" t="n"/>
      <c r="BK74" s="60" t="n"/>
      <c r="BL74" s="60" t="n"/>
      <c r="BM74" s="60" t="n"/>
      <c r="BN74" s="60" t="n"/>
      <c r="BO74" s="60" t="n"/>
      <c r="BP74" s="60" t="n"/>
      <c r="BQ74" s="60" t="n"/>
      <c r="BR74" s="60" t="n"/>
      <c r="BS74" s="60" t="n"/>
      <c r="BT74" s="60" t="n"/>
      <c r="BU74" s="60" t="n"/>
      <c r="BV74" s="60" t="n"/>
      <c r="BW74" s="60" t="n"/>
      <c r="BX74" s="60" t="n"/>
      <c r="BY74" s="60" t="n"/>
      <c r="BZ74" s="60" t="n"/>
      <c r="CA74" s="60" t="n"/>
      <c r="CB74" s="60" t="n"/>
      <c r="CC74" s="60" t="n"/>
      <c r="CD74" s="60" t="n"/>
      <c r="CE74" s="60" t="n"/>
      <c r="CF74" s="60" t="n"/>
      <c r="CG74" s="60" t="n"/>
      <c r="CH74" s="60" t="n"/>
      <c r="CI74" s="60" t="n"/>
      <c r="CJ74" s="60" t="n"/>
      <c r="CK74" s="60" t="n"/>
      <c r="CL74" s="60" t="n"/>
      <c r="CM74" s="60" t="n"/>
      <c r="CN74" s="60" t="n"/>
      <c r="CO74" s="60" t="n"/>
      <c r="CP74" s="60" t="n"/>
    </row>
    <row r="75">
      <c r="A75" s="35" t="n"/>
      <c r="B75" s="35" t="n"/>
      <c r="C75" s="35" t="n"/>
      <c r="D75" s="40" t="n"/>
      <c r="E75" s="35" t="n"/>
      <c r="F75" s="59">
        <f>IF(OR(D75="",E75=""),"",WORKDAY(D75,MAX(E75,1)-1))</f>
        <v/>
      </c>
      <c r="G75" s="36" t="n"/>
      <c r="H75" s="9">
        <f>IF(D75="","",IF(G75&gt;=1,"Done",IF(TODAY()&gt;F75,"Late",IF(TODAY()&gt;=D75,"In progress","Not started"))))</f>
        <v/>
      </c>
      <c r="I75" s="9">
        <f>IF(B75="","",IF(AND(A75&lt;&gt;"",COUNTIF(Jobs!$A$5:$A$44,A75)=0),"Unknown Job ID",IF(D75="","Missing start",IF(E75="","Missing duration",""))))</f>
        <v/>
      </c>
      <c r="J75" s="35" t="n"/>
      <c r="K75" s="60" t="n"/>
      <c r="L75" s="60" t="n"/>
      <c r="M75" s="60" t="n"/>
      <c r="N75" s="60" t="n"/>
      <c r="O75" s="60" t="n"/>
      <c r="P75" s="60" t="n"/>
      <c r="Q75" s="60" t="n"/>
      <c r="R75" s="60" t="n"/>
      <c r="S75" s="60" t="n"/>
      <c r="T75" s="60" t="n"/>
      <c r="U75" s="60" t="n"/>
      <c r="V75" s="60" t="n"/>
      <c r="W75" s="60" t="n"/>
      <c r="X75" s="60" t="n"/>
      <c r="Y75" s="60" t="n"/>
      <c r="Z75" s="60" t="n"/>
      <c r="AA75" s="60" t="n"/>
      <c r="AB75" s="60" t="n"/>
      <c r="AC75" s="60" t="n"/>
      <c r="AD75" s="60" t="n"/>
      <c r="AE75" s="60" t="n"/>
      <c r="AF75" s="60" t="n"/>
      <c r="AG75" s="60" t="n"/>
      <c r="AH75" s="60" t="n"/>
      <c r="AI75" s="60" t="n"/>
      <c r="AJ75" s="60" t="n"/>
      <c r="AK75" s="60" t="n"/>
      <c r="AL75" s="60" t="n"/>
      <c r="AM75" s="60" t="n"/>
      <c r="AN75" s="60" t="n"/>
      <c r="AO75" s="60" t="n"/>
      <c r="AP75" s="60" t="n"/>
      <c r="AQ75" s="60" t="n"/>
      <c r="AR75" s="60" t="n"/>
      <c r="AS75" s="60" t="n"/>
      <c r="AT75" s="60" t="n"/>
      <c r="AU75" s="60" t="n"/>
      <c r="AV75" s="60" t="n"/>
      <c r="AW75" s="60" t="n"/>
      <c r="AX75" s="60" t="n"/>
      <c r="AY75" s="60" t="n"/>
      <c r="AZ75" s="60" t="n"/>
      <c r="BA75" s="60" t="n"/>
      <c r="BB75" s="60" t="n"/>
      <c r="BC75" s="60" t="n"/>
      <c r="BD75" s="60" t="n"/>
      <c r="BE75" s="60" t="n"/>
      <c r="BF75" s="60" t="n"/>
      <c r="BG75" s="60" t="n"/>
      <c r="BH75" s="60" t="n"/>
      <c r="BI75" s="60" t="n"/>
      <c r="BJ75" s="60" t="n"/>
      <c r="BK75" s="60" t="n"/>
      <c r="BL75" s="60" t="n"/>
      <c r="BM75" s="60" t="n"/>
      <c r="BN75" s="60" t="n"/>
      <c r="BO75" s="60" t="n"/>
      <c r="BP75" s="60" t="n"/>
      <c r="BQ75" s="60" t="n"/>
      <c r="BR75" s="60" t="n"/>
      <c r="BS75" s="60" t="n"/>
      <c r="BT75" s="60" t="n"/>
      <c r="BU75" s="60" t="n"/>
      <c r="BV75" s="60" t="n"/>
      <c r="BW75" s="60" t="n"/>
      <c r="BX75" s="60" t="n"/>
      <c r="BY75" s="60" t="n"/>
      <c r="BZ75" s="60" t="n"/>
      <c r="CA75" s="60" t="n"/>
      <c r="CB75" s="60" t="n"/>
      <c r="CC75" s="60" t="n"/>
      <c r="CD75" s="60" t="n"/>
      <c r="CE75" s="60" t="n"/>
      <c r="CF75" s="60" t="n"/>
      <c r="CG75" s="60" t="n"/>
      <c r="CH75" s="60" t="n"/>
      <c r="CI75" s="60" t="n"/>
      <c r="CJ75" s="60" t="n"/>
      <c r="CK75" s="60" t="n"/>
      <c r="CL75" s="60" t="n"/>
      <c r="CM75" s="60" t="n"/>
      <c r="CN75" s="60" t="n"/>
      <c r="CO75" s="60" t="n"/>
      <c r="CP75" s="60" t="n"/>
    </row>
    <row r="76">
      <c r="A76" s="35" t="n"/>
      <c r="B76" s="35" t="n"/>
      <c r="C76" s="35" t="n"/>
      <c r="D76" s="40" t="n"/>
      <c r="E76" s="35" t="n"/>
      <c r="F76" s="59">
        <f>IF(OR(D76="",E76=""),"",WORKDAY(D76,MAX(E76,1)-1))</f>
        <v/>
      </c>
      <c r="G76" s="36" t="n"/>
      <c r="H76" s="9">
        <f>IF(D76="","",IF(G76&gt;=1,"Done",IF(TODAY()&gt;F76,"Late",IF(TODAY()&gt;=D76,"In progress","Not started"))))</f>
        <v/>
      </c>
      <c r="I76" s="9">
        <f>IF(B76="","",IF(AND(A76&lt;&gt;"",COUNTIF(Jobs!$A$5:$A$44,A76)=0),"Unknown Job ID",IF(D76="","Missing start",IF(E76="","Missing duration",""))))</f>
        <v/>
      </c>
      <c r="J76" s="35" t="n"/>
      <c r="K76" s="60" t="n"/>
      <c r="L76" s="60" t="n"/>
      <c r="M76" s="60" t="n"/>
      <c r="N76" s="60" t="n"/>
      <c r="O76" s="60" t="n"/>
      <c r="P76" s="60" t="n"/>
      <c r="Q76" s="60" t="n"/>
      <c r="R76" s="60" t="n"/>
      <c r="S76" s="60" t="n"/>
      <c r="T76" s="60" t="n"/>
      <c r="U76" s="60" t="n"/>
      <c r="V76" s="60" t="n"/>
      <c r="W76" s="60" t="n"/>
      <c r="X76" s="60" t="n"/>
      <c r="Y76" s="60" t="n"/>
      <c r="Z76" s="60" t="n"/>
      <c r="AA76" s="60" t="n"/>
      <c r="AB76" s="60" t="n"/>
      <c r="AC76" s="60" t="n"/>
      <c r="AD76" s="60" t="n"/>
      <c r="AE76" s="60" t="n"/>
      <c r="AF76" s="60" t="n"/>
      <c r="AG76" s="60" t="n"/>
      <c r="AH76" s="60" t="n"/>
      <c r="AI76" s="60" t="n"/>
      <c r="AJ76" s="60" t="n"/>
      <c r="AK76" s="60" t="n"/>
      <c r="AL76" s="60" t="n"/>
      <c r="AM76" s="60" t="n"/>
      <c r="AN76" s="60" t="n"/>
      <c r="AO76" s="60" t="n"/>
      <c r="AP76" s="60" t="n"/>
      <c r="AQ76" s="60" t="n"/>
      <c r="AR76" s="60" t="n"/>
      <c r="AS76" s="60" t="n"/>
      <c r="AT76" s="60" t="n"/>
      <c r="AU76" s="60" t="n"/>
      <c r="AV76" s="60" t="n"/>
      <c r="AW76" s="60" t="n"/>
      <c r="AX76" s="60" t="n"/>
      <c r="AY76" s="60" t="n"/>
      <c r="AZ76" s="60" t="n"/>
      <c r="BA76" s="60" t="n"/>
      <c r="BB76" s="60" t="n"/>
      <c r="BC76" s="60" t="n"/>
      <c r="BD76" s="60" t="n"/>
      <c r="BE76" s="60" t="n"/>
      <c r="BF76" s="60" t="n"/>
      <c r="BG76" s="60" t="n"/>
      <c r="BH76" s="60" t="n"/>
      <c r="BI76" s="60" t="n"/>
      <c r="BJ76" s="60" t="n"/>
      <c r="BK76" s="60" t="n"/>
      <c r="BL76" s="60" t="n"/>
      <c r="BM76" s="60" t="n"/>
      <c r="BN76" s="60" t="n"/>
      <c r="BO76" s="60" t="n"/>
      <c r="BP76" s="60" t="n"/>
      <c r="BQ76" s="60" t="n"/>
      <c r="BR76" s="60" t="n"/>
      <c r="BS76" s="60" t="n"/>
      <c r="BT76" s="60" t="n"/>
      <c r="BU76" s="60" t="n"/>
      <c r="BV76" s="60" t="n"/>
      <c r="BW76" s="60" t="n"/>
      <c r="BX76" s="60" t="n"/>
      <c r="BY76" s="60" t="n"/>
      <c r="BZ76" s="60" t="n"/>
      <c r="CA76" s="60" t="n"/>
      <c r="CB76" s="60" t="n"/>
      <c r="CC76" s="60" t="n"/>
      <c r="CD76" s="60" t="n"/>
      <c r="CE76" s="60" t="n"/>
      <c r="CF76" s="60" t="n"/>
      <c r="CG76" s="60" t="n"/>
      <c r="CH76" s="60" t="n"/>
      <c r="CI76" s="60" t="n"/>
      <c r="CJ76" s="60" t="n"/>
      <c r="CK76" s="60" t="n"/>
      <c r="CL76" s="60" t="n"/>
      <c r="CM76" s="60" t="n"/>
      <c r="CN76" s="60" t="n"/>
      <c r="CO76" s="60" t="n"/>
      <c r="CP76" s="60" t="n"/>
    </row>
    <row r="77">
      <c r="A77" s="35" t="n"/>
      <c r="B77" s="35" t="n"/>
      <c r="C77" s="35" t="n"/>
      <c r="D77" s="40" t="n"/>
      <c r="E77" s="35" t="n"/>
      <c r="F77" s="59">
        <f>IF(OR(D77="",E77=""),"",WORKDAY(D77,MAX(E77,1)-1))</f>
        <v/>
      </c>
      <c r="G77" s="36" t="n"/>
      <c r="H77" s="9">
        <f>IF(D77="","",IF(G77&gt;=1,"Done",IF(TODAY()&gt;F77,"Late",IF(TODAY()&gt;=D77,"In progress","Not started"))))</f>
        <v/>
      </c>
      <c r="I77" s="9">
        <f>IF(B77="","",IF(AND(A77&lt;&gt;"",COUNTIF(Jobs!$A$5:$A$44,A77)=0),"Unknown Job ID",IF(D77="","Missing start",IF(E77="","Missing duration",""))))</f>
        <v/>
      </c>
      <c r="J77" s="35" t="n"/>
      <c r="K77" s="60" t="n"/>
      <c r="L77" s="60" t="n"/>
      <c r="M77" s="60" t="n"/>
      <c r="N77" s="60" t="n"/>
      <c r="O77" s="60" t="n"/>
      <c r="P77" s="60" t="n"/>
      <c r="Q77" s="60" t="n"/>
      <c r="R77" s="60" t="n"/>
      <c r="S77" s="60" t="n"/>
      <c r="T77" s="60" t="n"/>
      <c r="U77" s="60" t="n"/>
      <c r="V77" s="60" t="n"/>
      <c r="W77" s="60" t="n"/>
      <c r="X77" s="60" t="n"/>
      <c r="Y77" s="60" t="n"/>
      <c r="Z77" s="60" t="n"/>
      <c r="AA77" s="60" t="n"/>
      <c r="AB77" s="60" t="n"/>
      <c r="AC77" s="60" t="n"/>
      <c r="AD77" s="60" t="n"/>
      <c r="AE77" s="60" t="n"/>
      <c r="AF77" s="60" t="n"/>
      <c r="AG77" s="60" t="n"/>
      <c r="AH77" s="60" t="n"/>
      <c r="AI77" s="60" t="n"/>
      <c r="AJ77" s="60" t="n"/>
      <c r="AK77" s="60" t="n"/>
      <c r="AL77" s="60" t="n"/>
      <c r="AM77" s="60" t="n"/>
      <c r="AN77" s="60" t="n"/>
      <c r="AO77" s="60" t="n"/>
      <c r="AP77" s="60" t="n"/>
      <c r="AQ77" s="60" t="n"/>
      <c r="AR77" s="60" t="n"/>
      <c r="AS77" s="60" t="n"/>
      <c r="AT77" s="60" t="n"/>
      <c r="AU77" s="60" t="n"/>
      <c r="AV77" s="60" t="n"/>
      <c r="AW77" s="60" t="n"/>
      <c r="AX77" s="60" t="n"/>
      <c r="AY77" s="60" t="n"/>
      <c r="AZ77" s="60" t="n"/>
      <c r="BA77" s="60" t="n"/>
      <c r="BB77" s="60" t="n"/>
      <c r="BC77" s="60" t="n"/>
      <c r="BD77" s="60" t="n"/>
      <c r="BE77" s="60" t="n"/>
      <c r="BF77" s="60" t="n"/>
      <c r="BG77" s="60" t="n"/>
      <c r="BH77" s="60" t="n"/>
      <c r="BI77" s="60" t="n"/>
      <c r="BJ77" s="60" t="n"/>
      <c r="BK77" s="60" t="n"/>
      <c r="BL77" s="60" t="n"/>
      <c r="BM77" s="60" t="n"/>
      <c r="BN77" s="60" t="n"/>
      <c r="BO77" s="60" t="n"/>
      <c r="BP77" s="60" t="n"/>
      <c r="BQ77" s="60" t="n"/>
      <c r="BR77" s="60" t="n"/>
      <c r="BS77" s="60" t="n"/>
      <c r="BT77" s="60" t="n"/>
      <c r="BU77" s="60" t="n"/>
      <c r="BV77" s="60" t="n"/>
      <c r="BW77" s="60" t="n"/>
      <c r="BX77" s="60" t="n"/>
      <c r="BY77" s="60" t="n"/>
      <c r="BZ77" s="60" t="n"/>
      <c r="CA77" s="60" t="n"/>
      <c r="CB77" s="60" t="n"/>
      <c r="CC77" s="60" t="n"/>
      <c r="CD77" s="60" t="n"/>
      <c r="CE77" s="60" t="n"/>
      <c r="CF77" s="60" t="n"/>
      <c r="CG77" s="60" t="n"/>
      <c r="CH77" s="60" t="n"/>
      <c r="CI77" s="60" t="n"/>
      <c r="CJ77" s="60" t="n"/>
      <c r="CK77" s="60" t="n"/>
      <c r="CL77" s="60" t="n"/>
      <c r="CM77" s="60" t="n"/>
      <c r="CN77" s="60" t="n"/>
      <c r="CO77" s="60" t="n"/>
      <c r="CP77" s="60" t="n"/>
    </row>
    <row r="78">
      <c r="A78" s="35" t="n"/>
      <c r="B78" s="35" t="n"/>
      <c r="C78" s="35" t="n"/>
      <c r="D78" s="40" t="n"/>
      <c r="E78" s="35" t="n"/>
      <c r="F78" s="59">
        <f>IF(OR(D78="",E78=""),"",WORKDAY(D78,MAX(E78,1)-1))</f>
        <v/>
      </c>
      <c r="G78" s="36" t="n"/>
      <c r="H78" s="9">
        <f>IF(D78="","",IF(G78&gt;=1,"Done",IF(TODAY()&gt;F78,"Late",IF(TODAY()&gt;=D78,"In progress","Not started"))))</f>
        <v/>
      </c>
      <c r="I78" s="9">
        <f>IF(B78="","",IF(AND(A78&lt;&gt;"",COUNTIF(Jobs!$A$5:$A$44,A78)=0),"Unknown Job ID",IF(D78="","Missing start",IF(E78="","Missing duration",""))))</f>
        <v/>
      </c>
      <c r="J78" s="35" t="n"/>
      <c r="K78" s="60" t="n"/>
      <c r="L78" s="60" t="n"/>
      <c r="M78" s="60" t="n"/>
      <c r="N78" s="60" t="n"/>
      <c r="O78" s="60" t="n"/>
      <c r="P78" s="60" t="n"/>
      <c r="Q78" s="60" t="n"/>
      <c r="R78" s="60" t="n"/>
      <c r="S78" s="60" t="n"/>
      <c r="T78" s="60" t="n"/>
      <c r="U78" s="60" t="n"/>
      <c r="V78" s="60" t="n"/>
      <c r="W78" s="60" t="n"/>
      <c r="X78" s="60" t="n"/>
      <c r="Y78" s="60" t="n"/>
      <c r="Z78" s="60" t="n"/>
      <c r="AA78" s="60" t="n"/>
      <c r="AB78" s="60" t="n"/>
      <c r="AC78" s="60" t="n"/>
      <c r="AD78" s="60" t="n"/>
      <c r="AE78" s="60" t="n"/>
      <c r="AF78" s="60" t="n"/>
      <c r="AG78" s="60" t="n"/>
      <c r="AH78" s="60" t="n"/>
      <c r="AI78" s="60" t="n"/>
      <c r="AJ78" s="60" t="n"/>
      <c r="AK78" s="60" t="n"/>
      <c r="AL78" s="60" t="n"/>
      <c r="AM78" s="60" t="n"/>
      <c r="AN78" s="60" t="n"/>
      <c r="AO78" s="60" t="n"/>
      <c r="AP78" s="60" t="n"/>
      <c r="AQ78" s="60" t="n"/>
      <c r="AR78" s="60" t="n"/>
      <c r="AS78" s="60" t="n"/>
      <c r="AT78" s="60" t="n"/>
      <c r="AU78" s="60" t="n"/>
      <c r="AV78" s="60" t="n"/>
      <c r="AW78" s="60" t="n"/>
      <c r="AX78" s="60" t="n"/>
      <c r="AY78" s="60" t="n"/>
      <c r="AZ78" s="60" t="n"/>
      <c r="BA78" s="60" t="n"/>
      <c r="BB78" s="60" t="n"/>
      <c r="BC78" s="60" t="n"/>
      <c r="BD78" s="60" t="n"/>
      <c r="BE78" s="60" t="n"/>
      <c r="BF78" s="60" t="n"/>
      <c r="BG78" s="60" t="n"/>
      <c r="BH78" s="60" t="n"/>
      <c r="BI78" s="60" t="n"/>
      <c r="BJ78" s="60" t="n"/>
      <c r="BK78" s="60" t="n"/>
      <c r="BL78" s="60" t="n"/>
      <c r="BM78" s="60" t="n"/>
      <c r="BN78" s="60" t="n"/>
      <c r="BO78" s="60" t="n"/>
      <c r="BP78" s="60" t="n"/>
      <c r="BQ78" s="60" t="n"/>
      <c r="BR78" s="60" t="n"/>
      <c r="BS78" s="60" t="n"/>
      <c r="BT78" s="60" t="n"/>
      <c r="BU78" s="60" t="n"/>
      <c r="BV78" s="60" t="n"/>
      <c r="BW78" s="60" t="n"/>
      <c r="BX78" s="60" t="n"/>
      <c r="BY78" s="60" t="n"/>
      <c r="BZ78" s="60" t="n"/>
      <c r="CA78" s="60" t="n"/>
      <c r="CB78" s="60" t="n"/>
      <c r="CC78" s="60" t="n"/>
      <c r="CD78" s="60" t="n"/>
      <c r="CE78" s="60" t="n"/>
      <c r="CF78" s="60" t="n"/>
      <c r="CG78" s="60" t="n"/>
      <c r="CH78" s="60" t="n"/>
      <c r="CI78" s="60" t="n"/>
      <c r="CJ78" s="60" t="n"/>
      <c r="CK78" s="60" t="n"/>
      <c r="CL78" s="60" t="n"/>
      <c r="CM78" s="60" t="n"/>
      <c r="CN78" s="60" t="n"/>
      <c r="CO78" s="60" t="n"/>
      <c r="CP78" s="60" t="n"/>
    </row>
    <row r="79">
      <c r="A79" s="35" t="n"/>
      <c r="B79" s="35" t="n"/>
      <c r="C79" s="35" t="n"/>
      <c r="D79" s="40" t="n"/>
      <c r="E79" s="35" t="n"/>
      <c r="F79" s="59">
        <f>IF(OR(D79="",E79=""),"",WORKDAY(D79,MAX(E79,1)-1))</f>
        <v/>
      </c>
      <c r="G79" s="36" t="n"/>
      <c r="H79" s="9">
        <f>IF(D79="","",IF(G79&gt;=1,"Done",IF(TODAY()&gt;F79,"Late",IF(TODAY()&gt;=D79,"In progress","Not started"))))</f>
        <v/>
      </c>
      <c r="I79" s="9">
        <f>IF(B79="","",IF(AND(A79&lt;&gt;"",COUNTIF(Jobs!$A$5:$A$44,A79)=0),"Unknown Job ID",IF(D79="","Missing start",IF(E79="","Missing duration",""))))</f>
        <v/>
      </c>
      <c r="J79" s="35" t="n"/>
      <c r="K79" s="60" t="n"/>
      <c r="L79" s="60" t="n"/>
      <c r="M79" s="60" t="n"/>
      <c r="N79" s="60" t="n"/>
      <c r="O79" s="60" t="n"/>
      <c r="P79" s="60" t="n"/>
      <c r="Q79" s="60" t="n"/>
      <c r="R79" s="60" t="n"/>
      <c r="S79" s="60" t="n"/>
      <c r="T79" s="60" t="n"/>
      <c r="U79" s="60" t="n"/>
      <c r="V79" s="60" t="n"/>
      <c r="W79" s="60" t="n"/>
      <c r="X79" s="60" t="n"/>
      <c r="Y79" s="60" t="n"/>
      <c r="Z79" s="60" t="n"/>
      <c r="AA79" s="60" t="n"/>
      <c r="AB79" s="60" t="n"/>
      <c r="AC79" s="60" t="n"/>
      <c r="AD79" s="60" t="n"/>
      <c r="AE79" s="60" t="n"/>
      <c r="AF79" s="60" t="n"/>
      <c r="AG79" s="60" t="n"/>
      <c r="AH79" s="60" t="n"/>
      <c r="AI79" s="60" t="n"/>
      <c r="AJ79" s="60" t="n"/>
      <c r="AK79" s="60" t="n"/>
      <c r="AL79" s="60" t="n"/>
      <c r="AM79" s="60" t="n"/>
      <c r="AN79" s="60" t="n"/>
      <c r="AO79" s="60" t="n"/>
      <c r="AP79" s="60" t="n"/>
      <c r="AQ79" s="60" t="n"/>
      <c r="AR79" s="60" t="n"/>
      <c r="AS79" s="60" t="n"/>
      <c r="AT79" s="60" t="n"/>
      <c r="AU79" s="60" t="n"/>
      <c r="AV79" s="60" t="n"/>
      <c r="AW79" s="60" t="n"/>
      <c r="AX79" s="60" t="n"/>
      <c r="AY79" s="60" t="n"/>
      <c r="AZ79" s="60" t="n"/>
      <c r="BA79" s="60" t="n"/>
      <c r="BB79" s="60" t="n"/>
      <c r="BC79" s="60" t="n"/>
      <c r="BD79" s="60" t="n"/>
      <c r="BE79" s="60" t="n"/>
      <c r="BF79" s="60" t="n"/>
      <c r="BG79" s="60" t="n"/>
      <c r="BH79" s="60" t="n"/>
      <c r="BI79" s="60" t="n"/>
      <c r="BJ79" s="60" t="n"/>
      <c r="BK79" s="60" t="n"/>
      <c r="BL79" s="60" t="n"/>
      <c r="BM79" s="60" t="n"/>
      <c r="BN79" s="60" t="n"/>
      <c r="BO79" s="60" t="n"/>
      <c r="BP79" s="60" t="n"/>
      <c r="BQ79" s="60" t="n"/>
      <c r="BR79" s="60" t="n"/>
      <c r="BS79" s="60" t="n"/>
      <c r="BT79" s="60" t="n"/>
      <c r="BU79" s="60" t="n"/>
      <c r="BV79" s="60" t="n"/>
      <c r="BW79" s="60" t="n"/>
      <c r="BX79" s="60" t="n"/>
      <c r="BY79" s="60" t="n"/>
      <c r="BZ79" s="60" t="n"/>
      <c r="CA79" s="60" t="n"/>
      <c r="CB79" s="60" t="n"/>
      <c r="CC79" s="60" t="n"/>
      <c r="CD79" s="60" t="n"/>
      <c r="CE79" s="60" t="n"/>
      <c r="CF79" s="60" t="n"/>
      <c r="CG79" s="60" t="n"/>
      <c r="CH79" s="60" t="n"/>
      <c r="CI79" s="60" t="n"/>
      <c r="CJ79" s="60" t="n"/>
      <c r="CK79" s="60" t="n"/>
      <c r="CL79" s="60" t="n"/>
      <c r="CM79" s="60" t="n"/>
      <c r="CN79" s="60" t="n"/>
      <c r="CO79" s="60" t="n"/>
      <c r="CP79" s="60" t="n"/>
    </row>
    <row r="80">
      <c r="A80" s="35" t="n"/>
      <c r="B80" s="35" t="n"/>
      <c r="C80" s="35" t="n"/>
      <c r="D80" s="40" t="n"/>
      <c r="E80" s="35" t="n"/>
      <c r="F80" s="59">
        <f>IF(OR(D80="",E80=""),"",WORKDAY(D80,MAX(E80,1)-1))</f>
        <v/>
      </c>
      <c r="G80" s="36" t="n"/>
      <c r="H80" s="9">
        <f>IF(D80="","",IF(G80&gt;=1,"Done",IF(TODAY()&gt;F80,"Late",IF(TODAY()&gt;=D80,"In progress","Not started"))))</f>
        <v/>
      </c>
      <c r="I80" s="9">
        <f>IF(B80="","",IF(AND(A80&lt;&gt;"",COUNTIF(Jobs!$A$5:$A$44,A80)=0),"Unknown Job ID",IF(D80="","Missing start",IF(E80="","Missing duration",""))))</f>
        <v/>
      </c>
      <c r="J80" s="35" t="n"/>
      <c r="K80" s="60" t="n"/>
      <c r="L80" s="60" t="n"/>
      <c r="M80" s="60" t="n"/>
      <c r="N80" s="60" t="n"/>
      <c r="O80" s="60" t="n"/>
      <c r="P80" s="60" t="n"/>
      <c r="Q80" s="60" t="n"/>
      <c r="R80" s="60" t="n"/>
      <c r="S80" s="60" t="n"/>
      <c r="T80" s="60" t="n"/>
      <c r="U80" s="60" t="n"/>
      <c r="V80" s="60" t="n"/>
      <c r="W80" s="60" t="n"/>
      <c r="X80" s="60" t="n"/>
      <c r="Y80" s="60" t="n"/>
      <c r="Z80" s="60" t="n"/>
      <c r="AA80" s="60" t="n"/>
      <c r="AB80" s="60" t="n"/>
      <c r="AC80" s="60" t="n"/>
      <c r="AD80" s="60" t="n"/>
      <c r="AE80" s="60" t="n"/>
      <c r="AF80" s="60" t="n"/>
      <c r="AG80" s="60" t="n"/>
      <c r="AH80" s="60" t="n"/>
      <c r="AI80" s="60" t="n"/>
      <c r="AJ80" s="60" t="n"/>
      <c r="AK80" s="60" t="n"/>
      <c r="AL80" s="60" t="n"/>
      <c r="AM80" s="60" t="n"/>
      <c r="AN80" s="60" t="n"/>
      <c r="AO80" s="60" t="n"/>
      <c r="AP80" s="60" t="n"/>
      <c r="AQ80" s="60" t="n"/>
      <c r="AR80" s="60" t="n"/>
      <c r="AS80" s="60" t="n"/>
      <c r="AT80" s="60" t="n"/>
      <c r="AU80" s="60" t="n"/>
      <c r="AV80" s="60" t="n"/>
      <c r="AW80" s="60" t="n"/>
      <c r="AX80" s="60" t="n"/>
      <c r="AY80" s="60" t="n"/>
      <c r="AZ80" s="60" t="n"/>
      <c r="BA80" s="60" t="n"/>
      <c r="BB80" s="60" t="n"/>
      <c r="BC80" s="60" t="n"/>
      <c r="BD80" s="60" t="n"/>
      <c r="BE80" s="60" t="n"/>
      <c r="BF80" s="60" t="n"/>
      <c r="BG80" s="60" t="n"/>
      <c r="BH80" s="60" t="n"/>
      <c r="BI80" s="60" t="n"/>
      <c r="BJ80" s="60" t="n"/>
      <c r="BK80" s="60" t="n"/>
      <c r="BL80" s="60" t="n"/>
      <c r="BM80" s="60" t="n"/>
      <c r="BN80" s="60" t="n"/>
      <c r="BO80" s="60" t="n"/>
      <c r="BP80" s="60" t="n"/>
      <c r="BQ80" s="60" t="n"/>
      <c r="BR80" s="60" t="n"/>
      <c r="BS80" s="60" t="n"/>
      <c r="BT80" s="60" t="n"/>
      <c r="BU80" s="60" t="n"/>
      <c r="BV80" s="60" t="n"/>
      <c r="BW80" s="60" t="n"/>
      <c r="BX80" s="60" t="n"/>
      <c r="BY80" s="60" t="n"/>
      <c r="BZ80" s="60" t="n"/>
      <c r="CA80" s="60" t="n"/>
      <c r="CB80" s="60" t="n"/>
      <c r="CC80" s="60" t="n"/>
      <c r="CD80" s="60" t="n"/>
      <c r="CE80" s="60" t="n"/>
      <c r="CF80" s="60" t="n"/>
      <c r="CG80" s="60" t="n"/>
      <c r="CH80" s="60" t="n"/>
      <c r="CI80" s="60" t="n"/>
      <c r="CJ80" s="60" t="n"/>
      <c r="CK80" s="60" t="n"/>
      <c r="CL80" s="60" t="n"/>
      <c r="CM80" s="60" t="n"/>
      <c r="CN80" s="60" t="n"/>
      <c r="CO80" s="60" t="n"/>
      <c r="CP80" s="60" t="n"/>
    </row>
    <row r="81">
      <c r="A81" s="35" t="n"/>
      <c r="B81" s="35" t="n"/>
      <c r="C81" s="35" t="n"/>
      <c r="D81" s="40" t="n"/>
      <c r="E81" s="35" t="n"/>
      <c r="F81" s="59">
        <f>IF(OR(D81="",E81=""),"",WORKDAY(D81,MAX(E81,1)-1))</f>
        <v/>
      </c>
      <c r="G81" s="36" t="n"/>
      <c r="H81" s="9">
        <f>IF(D81="","",IF(G81&gt;=1,"Done",IF(TODAY()&gt;F81,"Late",IF(TODAY()&gt;=D81,"In progress","Not started"))))</f>
        <v/>
      </c>
      <c r="I81" s="9">
        <f>IF(B81="","",IF(AND(A81&lt;&gt;"",COUNTIF(Jobs!$A$5:$A$44,A81)=0),"Unknown Job ID",IF(D81="","Missing start",IF(E81="","Missing duration",""))))</f>
        <v/>
      </c>
      <c r="J81" s="35" t="n"/>
      <c r="K81" s="60" t="n"/>
      <c r="L81" s="60" t="n"/>
      <c r="M81" s="60" t="n"/>
      <c r="N81" s="60" t="n"/>
      <c r="O81" s="60" t="n"/>
      <c r="P81" s="60" t="n"/>
      <c r="Q81" s="60" t="n"/>
      <c r="R81" s="60" t="n"/>
      <c r="S81" s="60" t="n"/>
      <c r="T81" s="60" t="n"/>
      <c r="U81" s="60" t="n"/>
      <c r="V81" s="60" t="n"/>
      <c r="W81" s="60" t="n"/>
      <c r="X81" s="60" t="n"/>
      <c r="Y81" s="60" t="n"/>
      <c r="Z81" s="60" t="n"/>
      <c r="AA81" s="60" t="n"/>
      <c r="AB81" s="60" t="n"/>
      <c r="AC81" s="60" t="n"/>
      <c r="AD81" s="60" t="n"/>
      <c r="AE81" s="60" t="n"/>
      <c r="AF81" s="60" t="n"/>
      <c r="AG81" s="60" t="n"/>
      <c r="AH81" s="60" t="n"/>
      <c r="AI81" s="60" t="n"/>
      <c r="AJ81" s="60" t="n"/>
      <c r="AK81" s="60" t="n"/>
      <c r="AL81" s="60" t="n"/>
      <c r="AM81" s="60" t="n"/>
      <c r="AN81" s="60" t="n"/>
      <c r="AO81" s="60" t="n"/>
      <c r="AP81" s="60" t="n"/>
      <c r="AQ81" s="60" t="n"/>
      <c r="AR81" s="60" t="n"/>
      <c r="AS81" s="60" t="n"/>
      <c r="AT81" s="60" t="n"/>
      <c r="AU81" s="60" t="n"/>
      <c r="AV81" s="60" t="n"/>
      <c r="AW81" s="60" t="n"/>
      <c r="AX81" s="60" t="n"/>
      <c r="AY81" s="60" t="n"/>
      <c r="AZ81" s="60" t="n"/>
      <c r="BA81" s="60" t="n"/>
      <c r="BB81" s="60" t="n"/>
      <c r="BC81" s="60" t="n"/>
      <c r="BD81" s="60" t="n"/>
      <c r="BE81" s="60" t="n"/>
      <c r="BF81" s="60" t="n"/>
      <c r="BG81" s="60" t="n"/>
      <c r="BH81" s="60" t="n"/>
      <c r="BI81" s="60" t="n"/>
      <c r="BJ81" s="60" t="n"/>
      <c r="BK81" s="60" t="n"/>
      <c r="BL81" s="60" t="n"/>
      <c r="BM81" s="60" t="n"/>
      <c r="BN81" s="60" t="n"/>
      <c r="BO81" s="60" t="n"/>
      <c r="BP81" s="60" t="n"/>
      <c r="BQ81" s="60" t="n"/>
      <c r="BR81" s="60" t="n"/>
      <c r="BS81" s="60" t="n"/>
      <c r="BT81" s="60" t="n"/>
      <c r="BU81" s="60" t="n"/>
      <c r="BV81" s="60" t="n"/>
      <c r="BW81" s="60" t="n"/>
      <c r="BX81" s="60" t="n"/>
      <c r="BY81" s="60" t="n"/>
      <c r="BZ81" s="60" t="n"/>
      <c r="CA81" s="60" t="n"/>
      <c r="CB81" s="60" t="n"/>
      <c r="CC81" s="60" t="n"/>
      <c r="CD81" s="60" t="n"/>
      <c r="CE81" s="60" t="n"/>
      <c r="CF81" s="60" t="n"/>
      <c r="CG81" s="60" t="n"/>
      <c r="CH81" s="60" t="n"/>
      <c r="CI81" s="60" t="n"/>
      <c r="CJ81" s="60" t="n"/>
      <c r="CK81" s="60" t="n"/>
      <c r="CL81" s="60" t="n"/>
      <c r="CM81" s="60" t="n"/>
      <c r="CN81" s="60" t="n"/>
      <c r="CO81" s="60" t="n"/>
      <c r="CP81" s="60" t="n"/>
    </row>
    <row r="82">
      <c r="A82" s="35" t="n"/>
      <c r="B82" s="35" t="n"/>
      <c r="C82" s="35" t="n"/>
      <c r="D82" s="40" t="n"/>
      <c r="E82" s="35" t="n"/>
      <c r="F82" s="59">
        <f>IF(OR(D82="",E82=""),"",WORKDAY(D82,MAX(E82,1)-1))</f>
        <v/>
      </c>
      <c r="G82" s="36" t="n"/>
      <c r="H82" s="9">
        <f>IF(D82="","",IF(G82&gt;=1,"Done",IF(TODAY()&gt;F82,"Late",IF(TODAY()&gt;=D82,"In progress","Not started"))))</f>
        <v/>
      </c>
      <c r="I82" s="9">
        <f>IF(B82="","",IF(AND(A82&lt;&gt;"",COUNTIF(Jobs!$A$5:$A$44,A82)=0),"Unknown Job ID",IF(D82="","Missing start",IF(E82="","Missing duration",""))))</f>
        <v/>
      </c>
      <c r="J82" s="35" t="n"/>
      <c r="K82" s="60" t="n"/>
      <c r="L82" s="60" t="n"/>
      <c r="M82" s="60" t="n"/>
      <c r="N82" s="60" t="n"/>
      <c r="O82" s="60" t="n"/>
      <c r="P82" s="60" t="n"/>
      <c r="Q82" s="60" t="n"/>
      <c r="R82" s="60" t="n"/>
      <c r="S82" s="60" t="n"/>
      <c r="T82" s="60" t="n"/>
      <c r="U82" s="60" t="n"/>
      <c r="V82" s="60" t="n"/>
      <c r="W82" s="60" t="n"/>
      <c r="X82" s="60" t="n"/>
      <c r="Y82" s="60" t="n"/>
      <c r="Z82" s="60" t="n"/>
      <c r="AA82" s="60" t="n"/>
      <c r="AB82" s="60" t="n"/>
      <c r="AC82" s="60" t="n"/>
      <c r="AD82" s="60" t="n"/>
      <c r="AE82" s="60" t="n"/>
      <c r="AF82" s="60" t="n"/>
      <c r="AG82" s="60" t="n"/>
      <c r="AH82" s="60" t="n"/>
      <c r="AI82" s="60" t="n"/>
      <c r="AJ82" s="60" t="n"/>
      <c r="AK82" s="60" t="n"/>
      <c r="AL82" s="60" t="n"/>
      <c r="AM82" s="60" t="n"/>
      <c r="AN82" s="60" t="n"/>
      <c r="AO82" s="60" t="n"/>
      <c r="AP82" s="60" t="n"/>
      <c r="AQ82" s="60" t="n"/>
      <c r="AR82" s="60" t="n"/>
      <c r="AS82" s="60" t="n"/>
      <c r="AT82" s="60" t="n"/>
      <c r="AU82" s="60" t="n"/>
      <c r="AV82" s="60" t="n"/>
      <c r="AW82" s="60" t="n"/>
      <c r="AX82" s="60" t="n"/>
      <c r="AY82" s="60" t="n"/>
      <c r="AZ82" s="60" t="n"/>
      <c r="BA82" s="60" t="n"/>
      <c r="BB82" s="60" t="n"/>
      <c r="BC82" s="60" t="n"/>
      <c r="BD82" s="60" t="n"/>
      <c r="BE82" s="60" t="n"/>
      <c r="BF82" s="60" t="n"/>
      <c r="BG82" s="60" t="n"/>
      <c r="BH82" s="60" t="n"/>
      <c r="BI82" s="60" t="n"/>
      <c r="BJ82" s="60" t="n"/>
      <c r="BK82" s="60" t="n"/>
      <c r="BL82" s="60" t="n"/>
      <c r="BM82" s="60" t="n"/>
      <c r="BN82" s="60" t="n"/>
      <c r="BO82" s="60" t="n"/>
      <c r="BP82" s="60" t="n"/>
      <c r="BQ82" s="60" t="n"/>
      <c r="BR82" s="60" t="n"/>
      <c r="BS82" s="60" t="n"/>
      <c r="BT82" s="60" t="n"/>
      <c r="BU82" s="60" t="n"/>
      <c r="BV82" s="60" t="n"/>
      <c r="BW82" s="60" t="n"/>
      <c r="BX82" s="60" t="n"/>
      <c r="BY82" s="60" t="n"/>
      <c r="BZ82" s="60" t="n"/>
      <c r="CA82" s="60" t="n"/>
      <c r="CB82" s="60" t="n"/>
      <c r="CC82" s="60" t="n"/>
      <c r="CD82" s="60" t="n"/>
      <c r="CE82" s="60" t="n"/>
      <c r="CF82" s="60" t="n"/>
      <c r="CG82" s="60" t="n"/>
      <c r="CH82" s="60" t="n"/>
      <c r="CI82" s="60" t="n"/>
      <c r="CJ82" s="60" t="n"/>
      <c r="CK82" s="60" t="n"/>
      <c r="CL82" s="60" t="n"/>
      <c r="CM82" s="60" t="n"/>
      <c r="CN82" s="60" t="n"/>
      <c r="CO82" s="60" t="n"/>
      <c r="CP82" s="60" t="n"/>
    </row>
    <row r="83">
      <c r="A83" s="35" t="n"/>
      <c r="B83" s="35" t="n"/>
      <c r="C83" s="35" t="n"/>
      <c r="D83" s="40" t="n"/>
      <c r="E83" s="35" t="n"/>
      <c r="F83" s="59">
        <f>IF(OR(D83="",E83=""),"",WORKDAY(D83,MAX(E83,1)-1))</f>
        <v/>
      </c>
      <c r="G83" s="36" t="n"/>
      <c r="H83" s="9">
        <f>IF(D83="","",IF(G83&gt;=1,"Done",IF(TODAY()&gt;F83,"Late",IF(TODAY()&gt;=D83,"In progress","Not started"))))</f>
        <v/>
      </c>
      <c r="I83" s="9">
        <f>IF(B83="","",IF(AND(A83&lt;&gt;"",COUNTIF(Jobs!$A$5:$A$44,A83)=0),"Unknown Job ID",IF(D83="","Missing start",IF(E83="","Missing duration",""))))</f>
        <v/>
      </c>
      <c r="J83" s="35" t="n"/>
      <c r="K83" s="60" t="n"/>
      <c r="L83" s="60" t="n"/>
      <c r="M83" s="60" t="n"/>
      <c r="N83" s="60" t="n"/>
      <c r="O83" s="60" t="n"/>
      <c r="P83" s="60" t="n"/>
      <c r="Q83" s="60" t="n"/>
      <c r="R83" s="60" t="n"/>
      <c r="S83" s="60" t="n"/>
      <c r="T83" s="60" t="n"/>
      <c r="U83" s="60" t="n"/>
      <c r="V83" s="60" t="n"/>
      <c r="W83" s="60" t="n"/>
      <c r="X83" s="60" t="n"/>
      <c r="Y83" s="60" t="n"/>
      <c r="Z83" s="60" t="n"/>
      <c r="AA83" s="60" t="n"/>
      <c r="AB83" s="60" t="n"/>
      <c r="AC83" s="60" t="n"/>
      <c r="AD83" s="60" t="n"/>
      <c r="AE83" s="60" t="n"/>
      <c r="AF83" s="60" t="n"/>
      <c r="AG83" s="60" t="n"/>
      <c r="AH83" s="60" t="n"/>
      <c r="AI83" s="60" t="n"/>
      <c r="AJ83" s="60" t="n"/>
      <c r="AK83" s="60" t="n"/>
      <c r="AL83" s="60" t="n"/>
      <c r="AM83" s="60" t="n"/>
      <c r="AN83" s="60" t="n"/>
      <c r="AO83" s="60" t="n"/>
      <c r="AP83" s="60" t="n"/>
      <c r="AQ83" s="60" t="n"/>
      <c r="AR83" s="60" t="n"/>
      <c r="AS83" s="60" t="n"/>
      <c r="AT83" s="60" t="n"/>
      <c r="AU83" s="60" t="n"/>
      <c r="AV83" s="60" t="n"/>
      <c r="AW83" s="60" t="n"/>
      <c r="AX83" s="60" t="n"/>
      <c r="AY83" s="60" t="n"/>
      <c r="AZ83" s="60" t="n"/>
      <c r="BA83" s="60" t="n"/>
      <c r="BB83" s="60" t="n"/>
      <c r="BC83" s="60" t="n"/>
      <c r="BD83" s="60" t="n"/>
      <c r="BE83" s="60" t="n"/>
      <c r="BF83" s="60" t="n"/>
      <c r="BG83" s="60" t="n"/>
      <c r="BH83" s="60" t="n"/>
      <c r="BI83" s="60" t="n"/>
      <c r="BJ83" s="60" t="n"/>
      <c r="BK83" s="60" t="n"/>
      <c r="BL83" s="60" t="n"/>
      <c r="BM83" s="60" t="n"/>
      <c r="BN83" s="60" t="n"/>
      <c r="BO83" s="60" t="n"/>
      <c r="BP83" s="60" t="n"/>
      <c r="BQ83" s="60" t="n"/>
      <c r="BR83" s="60" t="n"/>
      <c r="BS83" s="60" t="n"/>
      <c r="BT83" s="60" t="n"/>
      <c r="BU83" s="60" t="n"/>
      <c r="BV83" s="60" t="n"/>
      <c r="BW83" s="60" t="n"/>
      <c r="BX83" s="60" t="n"/>
      <c r="BY83" s="60" t="n"/>
      <c r="BZ83" s="60" t="n"/>
      <c r="CA83" s="60" t="n"/>
      <c r="CB83" s="60" t="n"/>
      <c r="CC83" s="60" t="n"/>
      <c r="CD83" s="60" t="n"/>
      <c r="CE83" s="60" t="n"/>
      <c r="CF83" s="60" t="n"/>
      <c r="CG83" s="60" t="n"/>
      <c r="CH83" s="60" t="n"/>
      <c r="CI83" s="60" t="n"/>
      <c r="CJ83" s="60" t="n"/>
      <c r="CK83" s="60" t="n"/>
      <c r="CL83" s="60" t="n"/>
      <c r="CM83" s="60" t="n"/>
      <c r="CN83" s="60" t="n"/>
      <c r="CO83" s="60" t="n"/>
      <c r="CP83" s="60" t="n"/>
    </row>
    <row r="84">
      <c r="A84" s="35" t="n"/>
      <c r="B84" s="35" t="n"/>
      <c r="C84" s="35" t="n"/>
      <c r="D84" s="40" t="n"/>
      <c r="E84" s="35" t="n"/>
      <c r="F84" s="59">
        <f>IF(OR(D84="",E84=""),"",WORKDAY(D84,MAX(E84,1)-1))</f>
        <v/>
      </c>
      <c r="G84" s="36" t="n"/>
      <c r="H84" s="9">
        <f>IF(D84="","",IF(G84&gt;=1,"Done",IF(TODAY()&gt;F84,"Late",IF(TODAY()&gt;=D84,"In progress","Not started"))))</f>
        <v/>
      </c>
      <c r="I84" s="9">
        <f>IF(B84="","",IF(AND(A84&lt;&gt;"",COUNTIF(Jobs!$A$5:$A$44,A84)=0),"Unknown Job ID",IF(D84="","Missing start",IF(E84="","Missing duration",""))))</f>
        <v/>
      </c>
      <c r="J84" s="35" t="n"/>
      <c r="K84" s="60" t="n"/>
      <c r="L84" s="60" t="n"/>
      <c r="M84" s="60" t="n"/>
      <c r="N84" s="60" t="n"/>
      <c r="O84" s="60" t="n"/>
      <c r="P84" s="60" t="n"/>
      <c r="Q84" s="60" t="n"/>
      <c r="R84" s="60" t="n"/>
      <c r="S84" s="60" t="n"/>
      <c r="T84" s="60" t="n"/>
      <c r="U84" s="60" t="n"/>
      <c r="V84" s="60" t="n"/>
      <c r="W84" s="60" t="n"/>
      <c r="X84" s="60" t="n"/>
      <c r="Y84" s="60" t="n"/>
      <c r="Z84" s="60" t="n"/>
      <c r="AA84" s="60" t="n"/>
      <c r="AB84" s="60" t="n"/>
      <c r="AC84" s="60" t="n"/>
      <c r="AD84" s="60" t="n"/>
      <c r="AE84" s="60" t="n"/>
      <c r="AF84" s="60" t="n"/>
      <c r="AG84" s="60" t="n"/>
      <c r="AH84" s="60" t="n"/>
      <c r="AI84" s="60" t="n"/>
      <c r="AJ84" s="60" t="n"/>
      <c r="AK84" s="60" t="n"/>
      <c r="AL84" s="60" t="n"/>
      <c r="AM84" s="60" t="n"/>
      <c r="AN84" s="60" t="n"/>
      <c r="AO84" s="60" t="n"/>
      <c r="AP84" s="60" t="n"/>
      <c r="AQ84" s="60" t="n"/>
      <c r="AR84" s="60" t="n"/>
      <c r="AS84" s="60" t="n"/>
      <c r="AT84" s="60" t="n"/>
      <c r="AU84" s="60" t="n"/>
      <c r="AV84" s="60" t="n"/>
      <c r="AW84" s="60" t="n"/>
      <c r="AX84" s="60" t="n"/>
      <c r="AY84" s="60" t="n"/>
      <c r="AZ84" s="60" t="n"/>
      <c r="BA84" s="60" t="n"/>
      <c r="BB84" s="60" t="n"/>
      <c r="BC84" s="60" t="n"/>
      <c r="BD84" s="60" t="n"/>
      <c r="BE84" s="60" t="n"/>
      <c r="BF84" s="60" t="n"/>
      <c r="BG84" s="60" t="n"/>
      <c r="BH84" s="60" t="n"/>
      <c r="BI84" s="60" t="n"/>
      <c r="BJ84" s="60" t="n"/>
      <c r="BK84" s="60" t="n"/>
      <c r="BL84" s="60" t="n"/>
      <c r="BM84" s="60" t="n"/>
      <c r="BN84" s="60" t="n"/>
      <c r="BO84" s="60" t="n"/>
      <c r="BP84" s="60" t="n"/>
      <c r="BQ84" s="60" t="n"/>
      <c r="BR84" s="60" t="n"/>
      <c r="BS84" s="60" t="n"/>
      <c r="BT84" s="60" t="n"/>
      <c r="BU84" s="60" t="n"/>
      <c r="BV84" s="60" t="n"/>
      <c r="BW84" s="60" t="n"/>
      <c r="BX84" s="60" t="n"/>
      <c r="BY84" s="60" t="n"/>
      <c r="BZ84" s="60" t="n"/>
      <c r="CA84" s="60" t="n"/>
      <c r="CB84" s="60" t="n"/>
      <c r="CC84" s="60" t="n"/>
      <c r="CD84" s="60" t="n"/>
      <c r="CE84" s="60" t="n"/>
      <c r="CF84" s="60" t="n"/>
      <c r="CG84" s="60" t="n"/>
      <c r="CH84" s="60" t="n"/>
      <c r="CI84" s="60" t="n"/>
      <c r="CJ84" s="60" t="n"/>
      <c r="CK84" s="60" t="n"/>
      <c r="CL84" s="60" t="n"/>
      <c r="CM84" s="60" t="n"/>
      <c r="CN84" s="60" t="n"/>
      <c r="CO84" s="60" t="n"/>
      <c r="CP84" s="60" t="n"/>
    </row>
    <row r="85">
      <c r="A85" s="35" t="n"/>
      <c r="B85" s="35" t="n"/>
      <c r="C85" s="35" t="n"/>
      <c r="D85" s="40" t="n"/>
      <c r="E85" s="35" t="n"/>
      <c r="F85" s="59">
        <f>IF(OR(D85="",E85=""),"",WORKDAY(D85,MAX(E85,1)-1))</f>
        <v/>
      </c>
      <c r="G85" s="36" t="n"/>
      <c r="H85" s="9">
        <f>IF(D85="","",IF(G85&gt;=1,"Done",IF(TODAY()&gt;F85,"Late",IF(TODAY()&gt;=D85,"In progress","Not started"))))</f>
        <v/>
      </c>
      <c r="I85" s="9">
        <f>IF(B85="","",IF(AND(A85&lt;&gt;"",COUNTIF(Jobs!$A$5:$A$44,A85)=0),"Unknown Job ID",IF(D85="","Missing start",IF(E85="","Missing duration",""))))</f>
        <v/>
      </c>
      <c r="J85" s="35" t="n"/>
      <c r="K85" s="60" t="n"/>
      <c r="L85" s="60" t="n"/>
      <c r="M85" s="60" t="n"/>
      <c r="N85" s="60" t="n"/>
      <c r="O85" s="60" t="n"/>
      <c r="P85" s="60" t="n"/>
      <c r="Q85" s="60" t="n"/>
      <c r="R85" s="60" t="n"/>
      <c r="S85" s="60" t="n"/>
      <c r="T85" s="60" t="n"/>
      <c r="U85" s="60" t="n"/>
      <c r="V85" s="60" t="n"/>
      <c r="W85" s="60" t="n"/>
      <c r="X85" s="60" t="n"/>
      <c r="Y85" s="60" t="n"/>
      <c r="Z85" s="60" t="n"/>
      <c r="AA85" s="60" t="n"/>
      <c r="AB85" s="60" t="n"/>
      <c r="AC85" s="60" t="n"/>
      <c r="AD85" s="60" t="n"/>
      <c r="AE85" s="60" t="n"/>
      <c r="AF85" s="60" t="n"/>
      <c r="AG85" s="60" t="n"/>
      <c r="AH85" s="60" t="n"/>
      <c r="AI85" s="60" t="n"/>
      <c r="AJ85" s="60" t="n"/>
      <c r="AK85" s="60" t="n"/>
      <c r="AL85" s="60" t="n"/>
      <c r="AM85" s="60" t="n"/>
      <c r="AN85" s="60" t="n"/>
      <c r="AO85" s="60" t="n"/>
      <c r="AP85" s="60" t="n"/>
      <c r="AQ85" s="60" t="n"/>
      <c r="AR85" s="60" t="n"/>
      <c r="AS85" s="60" t="n"/>
      <c r="AT85" s="60" t="n"/>
      <c r="AU85" s="60" t="n"/>
      <c r="AV85" s="60" t="n"/>
      <c r="AW85" s="60" t="n"/>
      <c r="AX85" s="60" t="n"/>
      <c r="AY85" s="60" t="n"/>
      <c r="AZ85" s="60" t="n"/>
      <c r="BA85" s="60" t="n"/>
      <c r="BB85" s="60" t="n"/>
      <c r="BC85" s="60" t="n"/>
      <c r="BD85" s="60" t="n"/>
      <c r="BE85" s="60" t="n"/>
      <c r="BF85" s="60" t="n"/>
      <c r="BG85" s="60" t="n"/>
      <c r="BH85" s="60" t="n"/>
      <c r="BI85" s="60" t="n"/>
      <c r="BJ85" s="60" t="n"/>
      <c r="BK85" s="60" t="n"/>
      <c r="BL85" s="60" t="n"/>
      <c r="BM85" s="60" t="n"/>
      <c r="BN85" s="60" t="n"/>
      <c r="BO85" s="60" t="n"/>
      <c r="BP85" s="60" t="n"/>
      <c r="BQ85" s="60" t="n"/>
      <c r="BR85" s="60" t="n"/>
      <c r="BS85" s="60" t="n"/>
      <c r="BT85" s="60" t="n"/>
      <c r="BU85" s="60" t="n"/>
      <c r="BV85" s="60" t="n"/>
      <c r="BW85" s="60" t="n"/>
      <c r="BX85" s="60" t="n"/>
      <c r="BY85" s="60" t="n"/>
      <c r="BZ85" s="60" t="n"/>
      <c r="CA85" s="60" t="n"/>
      <c r="CB85" s="60" t="n"/>
      <c r="CC85" s="60" t="n"/>
      <c r="CD85" s="60" t="n"/>
      <c r="CE85" s="60" t="n"/>
      <c r="CF85" s="60" t="n"/>
      <c r="CG85" s="60" t="n"/>
      <c r="CH85" s="60" t="n"/>
      <c r="CI85" s="60" t="n"/>
      <c r="CJ85" s="60" t="n"/>
      <c r="CK85" s="60" t="n"/>
      <c r="CL85" s="60" t="n"/>
      <c r="CM85" s="60" t="n"/>
      <c r="CN85" s="60" t="n"/>
      <c r="CO85" s="60" t="n"/>
      <c r="CP85" s="60" t="n"/>
    </row>
    <row r="86">
      <c r="A86" s="35" t="n"/>
      <c r="B86" s="35" t="n"/>
      <c r="C86" s="35" t="n"/>
      <c r="D86" s="40" t="n"/>
      <c r="E86" s="35" t="n"/>
      <c r="F86" s="59">
        <f>IF(OR(D86="",E86=""),"",WORKDAY(D86,MAX(E86,1)-1))</f>
        <v/>
      </c>
      <c r="G86" s="36" t="n"/>
      <c r="H86" s="9">
        <f>IF(D86="","",IF(G86&gt;=1,"Done",IF(TODAY()&gt;F86,"Late",IF(TODAY()&gt;=D86,"In progress","Not started"))))</f>
        <v/>
      </c>
      <c r="I86" s="9">
        <f>IF(B86="","",IF(AND(A86&lt;&gt;"",COUNTIF(Jobs!$A$5:$A$44,A86)=0),"Unknown Job ID",IF(D86="","Missing start",IF(E86="","Missing duration",""))))</f>
        <v/>
      </c>
      <c r="J86" s="35" t="n"/>
      <c r="K86" s="60" t="n"/>
      <c r="L86" s="60" t="n"/>
      <c r="M86" s="60" t="n"/>
      <c r="N86" s="60" t="n"/>
      <c r="O86" s="60" t="n"/>
      <c r="P86" s="60" t="n"/>
      <c r="Q86" s="60" t="n"/>
      <c r="R86" s="60" t="n"/>
      <c r="S86" s="60" t="n"/>
      <c r="T86" s="60" t="n"/>
      <c r="U86" s="60" t="n"/>
      <c r="V86" s="60" t="n"/>
      <c r="W86" s="60" t="n"/>
      <c r="X86" s="60" t="n"/>
      <c r="Y86" s="60" t="n"/>
      <c r="Z86" s="60" t="n"/>
      <c r="AA86" s="60" t="n"/>
      <c r="AB86" s="60" t="n"/>
      <c r="AC86" s="60" t="n"/>
      <c r="AD86" s="60" t="n"/>
      <c r="AE86" s="60" t="n"/>
      <c r="AF86" s="60" t="n"/>
      <c r="AG86" s="60" t="n"/>
      <c r="AH86" s="60" t="n"/>
      <c r="AI86" s="60" t="n"/>
      <c r="AJ86" s="60" t="n"/>
      <c r="AK86" s="60" t="n"/>
      <c r="AL86" s="60" t="n"/>
      <c r="AM86" s="60" t="n"/>
      <c r="AN86" s="60" t="n"/>
      <c r="AO86" s="60" t="n"/>
      <c r="AP86" s="60" t="n"/>
      <c r="AQ86" s="60" t="n"/>
      <c r="AR86" s="60" t="n"/>
      <c r="AS86" s="60" t="n"/>
      <c r="AT86" s="60" t="n"/>
      <c r="AU86" s="60" t="n"/>
      <c r="AV86" s="60" t="n"/>
      <c r="AW86" s="60" t="n"/>
      <c r="AX86" s="60" t="n"/>
      <c r="AY86" s="60" t="n"/>
      <c r="AZ86" s="60" t="n"/>
      <c r="BA86" s="60" t="n"/>
      <c r="BB86" s="60" t="n"/>
      <c r="BC86" s="60" t="n"/>
      <c r="BD86" s="60" t="n"/>
      <c r="BE86" s="60" t="n"/>
      <c r="BF86" s="60" t="n"/>
      <c r="BG86" s="60" t="n"/>
      <c r="BH86" s="60" t="n"/>
      <c r="BI86" s="60" t="n"/>
      <c r="BJ86" s="60" t="n"/>
      <c r="BK86" s="60" t="n"/>
      <c r="BL86" s="60" t="n"/>
      <c r="BM86" s="60" t="n"/>
      <c r="BN86" s="60" t="n"/>
      <c r="BO86" s="60" t="n"/>
      <c r="BP86" s="60" t="n"/>
      <c r="BQ86" s="60" t="n"/>
      <c r="BR86" s="60" t="n"/>
      <c r="BS86" s="60" t="n"/>
      <c r="BT86" s="60" t="n"/>
      <c r="BU86" s="60" t="n"/>
      <c r="BV86" s="60" t="n"/>
      <c r="BW86" s="60" t="n"/>
      <c r="BX86" s="60" t="n"/>
      <c r="BY86" s="60" t="n"/>
      <c r="BZ86" s="60" t="n"/>
      <c r="CA86" s="60" t="n"/>
      <c r="CB86" s="60" t="n"/>
      <c r="CC86" s="60" t="n"/>
      <c r="CD86" s="60" t="n"/>
      <c r="CE86" s="60" t="n"/>
      <c r="CF86" s="60" t="n"/>
      <c r="CG86" s="60" t="n"/>
      <c r="CH86" s="60" t="n"/>
      <c r="CI86" s="60" t="n"/>
      <c r="CJ86" s="60" t="n"/>
      <c r="CK86" s="60" t="n"/>
      <c r="CL86" s="60" t="n"/>
      <c r="CM86" s="60" t="n"/>
      <c r="CN86" s="60" t="n"/>
      <c r="CO86" s="60" t="n"/>
      <c r="CP86" s="60" t="n"/>
    </row>
    <row r="87">
      <c r="A87" s="35" t="n"/>
      <c r="B87" s="35" t="n"/>
      <c r="C87" s="35" t="n"/>
      <c r="D87" s="40" t="n"/>
      <c r="E87" s="35" t="n"/>
      <c r="F87" s="59">
        <f>IF(OR(D87="",E87=""),"",WORKDAY(D87,MAX(E87,1)-1))</f>
        <v/>
      </c>
      <c r="G87" s="36" t="n"/>
      <c r="H87" s="9">
        <f>IF(D87="","",IF(G87&gt;=1,"Done",IF(TODAY()&gt;F87,"Late",IF(TODAY()&gt;=D87,"In progress","Not started"))))</f>
        <v/>
      </c>
      <c r="I87" s="9">
        <f>IF(B87="","",IF(AND(A87&lt;&gt;"",COUNTIF(Jobs!$A$5:$A$44,A87)=0),"Unknown Job ID",IF(D87="","Missing start",IF(E87="","Missing duration",""))))</f>
        <v/>
      </c>
      <c r="J87" s="35" t="n"/>
      <c r="K87" s="60" t="n"/>
      <c r="L87" s="60" t="n"/>
      <c r="M87" s="60" t="n"/>
      <c r="N87" s="60" t="n"/>
      <c r="O87" s="60" t="n"/>
      <c r="P87" s="60" t="n"/>
      <c r="Q87" s="60" t="n"/>
      <c r="R87" s="60" t="n"/>
      <c r="S87" s="60" t="n"/>
      <c r="T87" s="60" t="n"/>
      <c r="U87" s="60" t="n"/>
      <c r="V87" s="60" t="n"/>
      <c r="W87" s="60" t="n"/>
      <c r="X87" s="60" t="n"/>
      <c r="Y87" s="60" t="n"/>
      <c r="Z87" s="60" t="n"/>
      <c r="AA87" s="60" t="n"/>
      <c r="AB87" s="60" t="n"/>
      <c r="AC87" s="60" t="n"/>
      <c r="AD87" s="60" t="n"/>
      <c r="AE87" s="60" t="n"/>
      <c r="AF87" s="60" t="n"/>
      <c r="AG87" s="60" t="n"/>
      <c r="AH87" s="60" t="n"/>
      <c r="AI87" s="60" t="n"/>
      <c r="AJ87" s="60" t="n"/>
      <c r="AK87" s="60" t="n"/>
      <c r="AL87" s="60" t="n"/>
      <c r="AM87" s="60" t="n"/>
      <c r="AN87" s="60" t="n"/>
      <c r="AO87" s="60" t="n"/>
      <c r="AP87" s="60" t="n"/>
      <c r="AQ87" s="60" t="n"/>
      <c r="AR87" s="60" t="n"/>
      <c r="AS87" s="60" t="n"/>
      <c r="AT87" s="60" t="n"/>
      <c r="AU87" s="60" t="n"/>
      <c r="AV87" s="60" t="n"/>
      <c r="AW87" s="60" t="n"/>
      <c r="AX87" s="60" t="n"/>
      <c r="AY87" s="60" t="n"/>
      <c r="AZ87" s="60" t="n"/>
      <c r="BA87" s="60" t="n"/>
      <c r="BB87" s="60" t="n"/>
      <c r="BC87" s="60" t="n"/>
      <c r="BD87" s="60" t="n"/>
      <c r="BE87" s="60" t="n"/>
      <c r="BF87" s="60" t="n"/>
      <c r="BG87" s="60" t="n"/>
      <c r="BH87" s="60" t="n"/>
      <c r="BI87" s="60" t="n"/>
      <c r="BJ87" s="60" t="n"/>
      <c r="BK87" s="60" t="n"/>
      <c r="BL87" s="60" t="n"/>
      <c r="BM87" s="60" t="n"/>
      <c r="BN87" s="60" t="n"/>
      <c r="BO87" s="60" t="n"/>
      <c r="BP87" s="60" t="n"/>
      <c r="BQ87" s="60" t="n"/>
      <c r="BR87" s="60" t="n"/>
      <c r="BS87" s="60" t="n"/>
      <c r="BT87" s="60" t="n"/>
      <c r="BU87" s="60" t="n"/>
      <c r="BV87" s="60" t="n"/>
      <c r="BW87" s="60" t="n"/>
      <c r="BX87" s="60" t="n"/>
      <c r="BY87" s="60" t="n"/>
      <c r="BZ87" s="60" t="n"/>
      <c r="CA87" s="60" t="n"/>
      <c r="CB87" s="60" t="n"/>
      <c r="CC87" s="60" t="n"/>
      <c r="CD87" s="60" t="n"/>
      <c r="CE87" s="60" t="n"/>
      <c r="CF87" s="60" t="n"/>
      <c r="CG87" s="60" t="n"/>
      <c r="CH87" s="60" t="n"/>
      <c r="CI87" s="60" t="n"/>
      <c r="CJ87" s="60" t="n"/>
      <c r="CK87" s="60" t="n"/>
      <c r="CL87" s="60" t="n"/>
      <c r="CM87" s="60" t="n"/>
      <c r="CN87" s="60" t="n"/>
      <c r="CO87" s="60" t="n"/>
      <c r="CP87" s="60" t="n"/>
    </row>
    <row r="88">
      <c r="A88" s="35" t="n"/>
      <c r="B88" s="35" t="n"/>
      <c r="C88" s="35" t="n"/>
      <c r="D88" s="40" t="n"/>
      <c r="E88" s="35" t="n"/>
      <c r="F88" s="59">
        <f>IF(OR(D88="",E88=""),"",WORKDAY(D88,MAX(E88,1)-1))</f>
        <v/>
      </c>
      <c r="G88" s="36" t="n"/>
      <c r="H88" s="9">
        <f>IF(D88="","",IF(G88&gt;=1,"Done",IF(TODAY()&gt;F88,"Late",IF(TODAY()&gt;=D88,"In progress","Not started"))))</f>
        <v/>
      </c>
      <c r="I88" s="9">
        <f>IF(B88="","",IF(AND(A88&lt;&gt;"",COUNTIF(Jobs!$A$5:$A$44,A88)=0),"Unknown Job ID",IF(D88="","Missing start",IF(E88="","Missing duration",""))))</f>
        <v/>
      </c>
      <c r="J88" s="35" t="n"/>
      <c r="K88" s="60" t="n"/>
      <c r="L88" s="60" t="n"/>
      <c r="M88" s="60" t="n"/>
      <c r="N88" s="60" t="n"/>
      <c r="O88" s="60" t="n"/>
      <c r="P88" s="60" t="n"/>
      <c r="Q88" s="60" t="n"/>
      <c r="R88" s="60" t="n"/>
      <c r="S88" s="60" t="n"/>
      <c r="T88" s="60" t="n"/>
      <c r="U88" s="60" t="n"/>
      <c r="V88" s="60" t="n"/>
      <c r="W88" s="60" t="n"/>
      <c r="X88" s="60" t="n"/>
      <c r="Y88" s="60" t="n"/>
      <c r="Z88" s="60" t="n"/>
      <c r="AA88" s="60" t="n"/>
      <c r="AB88" s="60" t="n"/>
      <c r="AC88" s="60" t="n"/>
      <c r="AD88" s="60" t="n"/>
      <c r="AE88" s="60" t="n"/>
      <c r="AF88" s="60" t="n"/>
      <c r="AG88" s="60" t="n"/>
      <c r="AH88" s="60" t="n"/>
      <c r="AI88" s="60" t="n"/>
      <c r="AJ88" s="60" t="n"/>
      <c r="AK88" s="60" t="n"/>
      <c r="AL88" s="60" t="n"/>
      <c r="AM88" s="60" t="n"/>
      <c r="AN88" s="60" t="n"/>
      <c r="AO88" s="60" t="n"/>
      <c r="AP88" s="60" t="n"/>
      <c r="AQ88" s="60" t="n"/>
      <c r="AR88" s="60" t="n"/>
      <c r="AS88" s="60" t="n"/>
      <c r="AT88" s="60" t="n"/>
      <c r="AU88" s="60" t="n"/>
      <c r="AV88" s="60" t="n"/>
      <c r="AW88" s="60" t="n"/>
      <c r="AX88" s="60" t="n"/>
      <c r="AY88" s="60" t="n"/>
      <c r="AZ88" s="60" t="n"/>
      <c r="BA88" s="60" t="n"/>
      <c r="BB88" s="60" t="n"/>
      <c r="BC88" s="60" t="n"/>
      <c r="BD88" s="60" t="n"/>
      <c r="BE88" s="60" t="n"/>
      <c r="BF88" s="60" t="n"/>
      <c r="BG88" s="60" t="n"/>
      <c r="BH88" s="60" t="n"/>
      <c r="BI88" s="60" t="n"/>
      <c r="BJ88" s="60" t="n"/>
      <c r="BK88" s="60" t="n"/>
      <c r="BL88" s="60" t="n"/>
      <c r="BM88" s="60" t="n"/>
      <c r="BN88" s="60" t="n"/>
      <c r="BO88" s="60" t="n"/>
      <c r="BP88" s="60" t="n"/>
      <c r="BQ88" s="60" t="n"/>
      <c r="BR88" s="60" t="n"/>
      <c r="BS88" s="60" t="n"/>
      <c r="BT88" s="60" t="n"/>
      <c r="BU88" s="60" t="n"/>
      <c r="BV88" s="60" t="n"/>
      <c r="BW88" s="60" t="n"/>
      <c r="BX88" s="60" t="n"/>
      <c r="BY88" s="60" t="n"/>
      <c r="BZ88" s="60" t="n"/>
      <c r="CA88" s="60" t="n"/>
      <c r="CB88" s="60" t="n"/>
      <c r="CC88" s="60" t="n"/>
      <c r="CD88" s="60" t="n"/>
      <c r="CE88" s="60" t="n"/>
      <c r="CF88" s="60" t="n"/>
      <c r="CG88" s="60" t="n"/>
      <c r="CH88" s="60" t="n"/>
      <c r="CI88" s="60" t="n"/>
      <c r="CJ88" s="60" t="n"/>
      <c r="CK88" s="60" t="n"/>
      <c r="CL88" s="60" t="n"/>
      <c r="CM88" s="60" t="n"/>
      <c r="CN88" s="60" t="n"/>
      <c r="CO88" s="60" t="n"/>
      <c r="CP88" s="60" t="n"/>
    </row>
    <row r="89">
      <c r="A89" s="35" t="n"/>
      <c r="B89" s="35" t="n"/>
      <c r="C89" s="35" t="n"/>
      <c r="D89" s="40" t="n"/>
      <c r="E89" s="35" t="n"/>
      <c r="F89" s="59">
        <f>IF(OR(D89="",E89=""),"",WORKDAY(D89,MAX(E89,1)-1))</f>
        <v/>
      </c>
      <c r="G89" s="36" t="n"/>
      <c r="H89" s="9">
        <f>IF(D89="","",IF(G89&gt;=1,"Done",IF(TODAY()&gt;F89,"Late",IF(TODAY()&gt;=D89,"In progress","Not started"))))</f>
        <v/>
      </c>
      <c r="I89" s="9">
        <f>IF(B89="","",IF(AND(A89&lt;&gt;"",COUNTIF(Jobs!$A$5:$A$44,A89)=0),"Unknown Job ID",IF(D89="","Missing start",IF(E89="","Missing duration",""))))</f>
        <v/>
      </c>
      <c r="J89" s="35" t="n"/>
      <c r="K89" s="60" t="n"/>
      <c r="L89" s="60" t="n"/>
      <c r="M89" s="60" t="n"/>
      <c r="N89" s="60" t="n"/>
      <c r="O89" s="60" t="n"/>
      <c r="P89" s="60" t="n"/>
      <c r="Q89" s="60" t="n"/>
      <c r="R89" s="60" t="n"/>
      <c r="S89" s="60" t="n"/>
      <c r="T89" s="60" t="n"/>
      <c r="U89" s="60" t="n"/>
      <c r="V89" s="60" t="n"/>
      <c r="W89" s="60" t="n"/>
      <c r="X89" s="60" t="n"/>
      <c r="Y89" s="60" t="n"/>
      <c r="Z89" s="60" t="n"/>
      <c r="AA89" s="60" t="n"/>
      <c r="AB89" s="60" t="n"/>
      <c r="AC89" s="60" t="n"/>
      <c r="AD89" s="60" t="n"/>
      <c r="AE89" s="60" t="n"/>
      <c r="AF89" s="60" t="n"/>
      <c r="AG89" s="60" t="n"/>
      <c r="AH89" s="60" t="n"/>
      <c r="AI89" s="60" t="n"/>
      <c r="AJ89" s="60" t="n"/>
      <c r="AK89" s="60" t="n"/>
      <c r="AL89" s="60" t="n"/>
      <c r="AM89" s="60" t="n"/>
      <c r="AN89" s="60" t="n"/>
      <c r="AO89" s="60" t="n"/>
      <c r="AP89" s="60" t="n"/>
      <c r="AQ89" s="60" t="n"/>
      <c r="AR89" s="60" t="n"/>
      <c r="AS89" s="60" t="n"/>
      <c r="AT89" s="60" t="n"/>
      <c r="AU89" s="60" t="n"/>
      <c r="AV89" s="60" t="n"/>
      <c r="AW89" s="60" t="n"/>
      <c r="AX89" s="60" t="n"/>
      <c r="AY89" s="60" t="n"/>
      <c r="AZ89" s="60" t="n"/>
      <c r="BA89" s="60" t="n"/>
      <c r="BB89" s="60" t="n"/>
      <c r="BC89" s="60" t="n"/>
      <c r="BD89" s="60" t="n"/>
      <c r="BE89" s="60" t="n"/>
      <c r="BF89" s="60" t="n"/>
      <c r="BG89" s="60" t="n"/>
      <c r="BH89" s="60" t="n"/>
      <c r="BI89" s="60" t="n"/>
      <c r="BJ89" s="60" t="n"/>
      <c r="BK89" s="60" t="n"/>
      <c r="BL89" s="60" t="n"/>
      <c r="BM89" s="60" t="n"/>
      <c r="BN89" s="60" t="n"/>
      <c r="BO89" s="60" t="n"/>
      <c r="BP89" s="60" t="n"/>
      <c r="BQ89" s="60" t="n"/>
      <c r="BR89" s="60" t="n"/>
      <c r="BS89" s="60" t="n"/>
      <c r="BT89" s="60" t="n"/>
      <c r="BU89" s="60" t="n"/>
      <c r="BV89" s="60" t="n"/>
      <c r="BW89" s="60" t="n"/>
      <c r="BX89" s="60" t="n"/>
      <c r="BY89" s="60" t="n"/>
      <c r="BZ89" s="60" t="n"/>
      <c r="CA89" s="60" t="n"/>
      <c r="CB89" s="60" t="n"/>
      <c r="CC89" s="60" t="n"/>
      <c r="CD89" s="60" t="n"/>
      <c r="CE89" s="60" t="n"/>
      <c r="CF89" s="60" t="n"/>
      <c r="CG89" s="60" t="n"/>
      <c r="CH89" s="60" t="n"/>
      <c r="CI89" s="60" t="n"/>
      <c r="CJ89" s="60" t="n"/>
      <c r="CK89" s="60" t="n"/>
      <c r="CL89" s="60" t="n"/>
      <c r="CM89" s="60" t="n"/>
      <c r="CN89" s="60" t="n"/>
      <c r="CO89" s="60" t="n"/>
      <c r="CP89" s="60" t="n"/>
    </row>
    <row r="90">
      <c r="A90" s="35" t="n"/>
      <c r="B90" s="35" t="n"/>
      <c r="C90" s="35" t="n"/>
      <c r="D90" s="40" t="n"/>
      <c r="E90" s="35" t="n"/>
      <c r="F90" s="59">
        <f>IF(OR(D90="",E90=""),"",WORKDAY(D90,MAX(E90,1)-1))</f>
        <v/>
      </c>
      <c r="G90" s="36" t="n"/>
      <c r="H90" s="9">
        <f>IF(D90="","",IF(G90&gt;=1,"Done",IF(TODAY()&gt;F90,"Late",IF(TODAY()&gt;=D90,"In progress","Not started"))))</f>
        <v/>
      </c>
      <c r="I90" s="9">
        <f>IF(B90="","",IF(AND(A90&lt;&gt;"",COUNTIF(Jobs!$A$5:$A$44,A90)=0),"Unknown Job ID",IF(D90="","Missing start",IF(E90="","Missing duration",""))))</f>
        <v/>
      </c>
      <c r="J90" s="35" t="n"/>
      <c r="K90" s="60" t="n"/>
      <c r="L90" s="60" t="n"/>
      <c r="M90" s="60" t="n"/>
      <c r="N90" s="60" t="n"/>
      <c r="O90" s="60" t="n"/>
      <c r="P90" s="60" t="n"/>
      <c r="Q90" s="60" t="n"/>
      <c r="R90" s="60" t="n"/>
      <c r="S90" s="60" t="n"/>
      <c r="T90" s="60" t="n"/>
      <c r="U90" s="60" t="n"/>
      <c r="V90" s="60" t="n"/>
      <c r="W90" s="60" t="n"/>
      <c r="X90" s="60" t="n"/>
      <c r="Y90" s="60" t="n"/>
      <c r="Z90" s="60" t="n"/>
      <c r="AA90" s="60" t="n"/>
      <c r="AB90" s="60" t="n"/>
      <c r="AC90" s="60" t="n"/>
      <c r="AD90" s="60" t="n"/>
      <c r="AE90" s="60" t="n"/>
      <c r="AF90" s="60" t="n"/>
      <c r="AG90" s="60" t="n"/>
      <c r="AH90" s="60" t="n"/>
      <c r="AI90" s="60" t="n"/>
      <c r="AJ90" s="60" t="n"/>
      <c r="AK90" s="60" t="n"/>
      <c r="AL90" s="60" t="n"/>
      <c r="AM90" s="60" t="n"/>
      <c r="AN90" s="60" t="n"/>
      <c r="AO90" s="60" t="n"/>
      <c r="AP90" s="60" t="n"/>
      <c r="AQ90" s="60" t="n"/>
      <c r="AR90" s="60" t="n"/>
      <c r="AS90" s="60" t="n"/>
      <c r="AT90" s="60" t="n"/>
      <c r="AU90" s="60" t="n"/>
      <c r="AV90" s="60" t="n"/>
      <c r="AW90" s="60" t="n"/>
      <c r="AX90" s="60" t="n"/>
      <c r="AY90" s="60" t="n"/>
      <c r="AZ90" s="60" t="n"/>
      <c r="BA90" s="60" t="n"/>
      <c r="BB90" s="60" t="n"/>
      <c r="BC90" s="60" t="n"/>
      <c r="BD90" s="60" t="n"/>
      <c r="BE90" s="60" t="n"/>
      <c r="BF90" s="60" t="n"/>
      <c r="BG90" s="60" t="n"/>
      <c r="BH90" s="60" t="n"/>
      <c r="BI90" s="60" t="n"/>
      <c r="BJ90" s="60" t="n"/>
      <c r="BK90" s="60" t="n"/>
      <c r="BL90" s="60" t="n"/>
      <c r="BM90" s="60" t="n"/>
      <c r="BN90" s="60" t="n"/>
      <c r="BO90" s="60" t="n"/>
      <c r="BP90" s="60" t="n"/>
      <c r="BQ90" s="60" t="n"/>
      <c r="BR90" s="60" t="n"/>
      <c r="BS90" s="60" t="n"/>
      <c r="BT90" s="60" t="n"/>
      <c r="BU90" s="60" t="n"/>
      <c r="BV90" s="60" t="n"/>
      <c r="BW90" s="60" t="n"/>
      <c r="BX90" s="60" t="n"/>
      <c r="BY90" s="60" t="n"/>
      <c r="BZ90" s="60" t="n"/>
      <c r="CA90" s="60" t="n"/>
      <c r="CB90" s="60" t="n"/>
      <c r="CC90" s="60" t="n"/>
      <c r="CD90" s="60" t="n"/>
      <c r="CE90" s="60" t="n"/>
      <c r="CF90" s="60" t="n"/>
      <c r="CG90" s="60" t="n"/>
      <c r="CH90" s="60" t="n"/>
      <c r="CI90" s="60" t="n"/>
      <c r="CJ90" s="60" t="n"/>
      <c r="CK90" s="60" t="n"/>
      <c r="CL90" s="60" t="n"/>
      <c r="CM90" s="60" t="n"/>
      <c r="CN90" s="60" t="n"/>
      <c r="CO90" s="60" t="n"/>
      <c r="CP90" s="60" t="n"/>
    </row>
    <row r="91">
      <c r="A91" s="35" t="n"/>
      <c r="B91" s="35" t="n"/>
      <c r="C91" s="35" t="n"/>
      <c r="D91" s="40" t="n"/>
      <c r="E91" s="35" t="n"/>
      <c r="F91" s="59">
        <f>IF(OR(D91="",E91=""),"",WORKDAY(D91,MAX(E91,1)-1))</f>
        <v/>
      </c>
      <c r="G91" s="36" t="n"/>
      <c r="H91" s="9">
        <f>IF(D91="","",IF(G91&gt;=1,"Done",IF(TODAY()&gt;F91,"Late",IF(TODAY()&gt;=D91,"In progress","Not started"))))</f>
        <v/>
      </c>
      <c r="I91" s="9">
        <f>IF(B91="","",IF(AND(A91&lt;&gt;"",COUNTIF(Jobs!$A$5:$A$44,A91)=0),"Unknown Job ID",IF(D91="","Missing start",IF(E91="","Missing duration",""))))</f>
        <v/>
      </c>
      <c r="J91" s="35" t="n"/>
      <c r="K91" s="60" t="n"/>
      <c r="L91" s="60" t="n"/>
      <c r="M91" s="60" t="n"/>
      <c r="N91" s="60" t="n"/>
      <c r="O91" s="60" t="n"/>
      <c r="P91" s="60" t="n"/>
      <c r="Q91" s="60" t="n"/>
      <c r="R91" s="60" t="n"/>
      <c r="S91" s="60" t="n"/>
      <c r="T91" s="60" t="n"/>
      <c r="U91" s="60" t="n"/>
      <c r="V91" s="60" t="n"/>
      <c r="W91" s="60" t="n"/>
      <c r="X91" s="60" t="n"/>
      <c r="Y91" s="60" t="n"/>
      <c r="Z91" s="60" t="n"/>
      <c r="AA91" s="60" t="n"/>
      <c r="AB91" s="60" t="n"/>
      <c r="AC91" s="60" t="n"/>
      <c r="AD91" s="60" t="n"/>
      <c r="AE91" s="60" t="n"/>
      <c r="AF91" s="60" t="n"/>
      <c r="AG91" s="60" t="n"/>
      <c r="AH91" s="60" t="n"/>
      <c r="AI91" s="60" t="n"/>
      <c r="AJ91" s="60" t="n"/>
      <c r="AK91" s="60" t="n"/>
      <c r="AL91" s="60" t="n"/>
      <c r="AM91" s="60" t="n"/>
      <c r="AN91" s="60" t="n"/>
      <c r="AO91" s="60" t="n"/>
      <c r="AP91" s="60" t="n"/>
      <c r="AQ91" s="60" t="n"/>
      <c r="AR91" s="60" t="n"/>
      <c r="AS91" s="60" t="n"/>
      <c r="AT91" s="60" t="n"/>
      <c r="AU91" s="60" t="n"/>
      <c r="AV91" s="60" t="n"/>
      <c r="AW91" s="60" t="n"/>
      <c r="AX91" s="60" t="n"/>
      <c r="AY91" s="60" t="n"/>
      <c r="AZ91" s="60" t="n"/>
      <c r="BA91" s="60" t="n"/>
      <c r="BB91" s="60" t="n"/>
      <c r="BC91" s="60" t="n"/>
      <c r="BD91" s="60" t="n"/>
      <c r="BE91" s="60" t="n"/>
      <c r="BF91" s="60" t="n"/>
      <c r="BG91" s="60" t="n"/>
      <c r="BH91" s="60" t="n"/>
      <c r="BI91" s="60" t="n"/>
      <c r="BJ91" s="60" t="n"/>
      <c r="BK91" s="60" t="n"/>
      <c r="BL91" s="60" t="n"/>
      <c r="BM91" s="60" t="n"/>
      <c r="BN91" s="60" t="n"/>
      <c r="BO91" s="60" t="n"/>
      <c r="BP91" s="60" t="n"/>
      <c r="BQ91" s="60" t="n"/>
      <c r="BR91" s="60" t="n"/>
      <c r="BS91" s="60" t="n"/>
      <c r="BT91" s="60" t="n"/>
      <c r="BU91" s="60" t="n"/>
      <c r="BV91" s="60" t="n"/>
      <c r="BW91" s="60" t="n"/>
      <c r="BX91" s="60" t="n"/>
      <c r="BY91" s="60" t="n"/>
      <c r="BZ91" s="60" t="n"/>
      <c r="CA91" s="60" t="n"/>
      <c r="CB91" s="60" t="n"/>
      <c r="CC91" s="60" t="n"/>
      <c r="CD91" s="60" t="n"/>
      <c r="CE91" s="60" t="n"/>
      <c r="CF91" s="60" t="n"/>
      <c r="CG91" s="60" t="n"/>
      <c r="CH91" s="60" t="n"/>
      <c r="CI91" s="60" t="n"/>
      <c r="CJ91" s="60" t="n"/>
      <c r="CK91" s="60" t="n"/>
      <c r="CL91" s="60" t="n"/>
      <c r="CM91" s="60" t="n"/>
      <c r="CN91" s="60" t="n"/>
      <c r="CO91" s="60" t="n"/>
      <c r="CP91" s="60" t="n"/>
    </row>
    <row r="92">
      <c r="A92" s="35" t="n"/>
      <c r="B92" s="35" t="n"/>
      <c r="C92" s="35" t="n"/>
      <c r="D92" s="40" t="n"/>
      <c r="E92" s="35" t="n"/>
      <c r="F92" s="59">
        <f>IF(OR(D92="",E92=""),"",WORKDAY(D92,MAX(E92,1)-1))</f>
        <v/>
      </c>
      <c r="G92" s="36" t="n"/>
      <c r="H92" s="9">
        <f>IF(D92="","",IF(G92&gt;=1,"Done",IF(TODAY()&gt;F92,"Late",IF(TODAY()&gt;=D92,"In progress","Not started"))))</f>
        <v/>
      </c>
      <c r="I92" s="9">
        <f>IF(B92="","",IF(AND(A92&lt;&gt;"",COUNTIF(Jobs!$A$5:$A$44,A92)=0),"Unknown Job ID",IF(D92="","Missing start",IF(E92="","Missing duration",""))))</f>
        <v/>
      </c>
      <c r="J92" s="35" t="n"/>
      <c r="K92" s="60" t="n"/>
      <c r="L92" s="60" t="n"/>
      <c r="M92" s="60" t="n"/>
      <c r="N92" s="60" t="n"/>
      <c r="O92" s="60" t="n"/>
      <c r="P92" s="60" t="n"/>
      <c r="Q92" s="60" t="n"/>
      <c r="R92" s="60" t="n"/>
      <c r="S92" s="60" t="n"/>
      <c r="T92" s="60" t="n"/>
      <c r="U92" s="60" t="n"/>
      <c r="V92" s="60" t="n"/>
      <c r="W92" s="60" t="n"/>
      <c r="X92" s="60" t="n"/>
      <c r="Y92" s="60" t="n"/>
      <c r="Z92" s="60" t="n"/>
      <c r="AA92" s="60" t="n"/>
      <c r="AB92" s="60" t="n"/>
      <c r="AC92" s="60" t="n"/>
      <c r="AD92" s="60" t="n"/>
      <c r="AE92" s="60" t="n"/>
      <c r="AF92" s="60" t="n"/>
      <c r="AG92" s="60" t="n"/>
      <c r="AH92" s="60" t="n"/>
      <c r="AI92" s="60" t="n"/>
      <c r="AJ92" s="60" t="n"/>
      <c r="AK92" s="60" t="n"/>
      <c r="AL92" s="60" t="n"/>
      <c r="AM92" s="60" t="n"/>
      <c r="AN92" s="60" t="n"/>
      <c r="AO92" s="60" t="n"/>
      <c r="AP92" s="60" t="n"/>
      <c r="AQ92" s="60" t="n"/>
      <c r="AR92" s="60" t="n"/>
      <c r="AS92" s="60" t="n"/>
      <c r="AT92" s="60" t="n"/>
      <c r="AU92" s="60" t="n"/>
      <c r="AV92" s="60" t="n"/>
      <c r="AW92" s="60" t="n"/>
      <c r="AX92" s="60" t="n"/>
      <c r="AY92" s="60" t="n"/>
      <c r="AZ92" s="60" t="n"/>
      <c r="BA92" s="60" t="n"/>
      <c r="BB92" s="60" t="n"/>
      <c r="BC92" s="60" t="n"/>
      <c r="BD92" s="60" t="n"/>
      <c r="BE92" s="60" t="n"/>
      <c r="BF92" s="60" t="n"/>
      <c r="BG92" s="60" t="n"/>
      <c r="BH92" s="60" t="n"/>
      <c r="BI92" s="60" t="n"/>
      <c r="BJ92" s="60" t="n"/>
      <c r="BK92" s="60" t="n"/>
      <c r="BL92" s="60" t="n"/>
      <c r="BM92" s="60" t="n"/>
      <c r="BN92" s="60" t="n"/>
      <c r="BO92" s="60" t="n"/>
      <c r="BP92" s="60" t="n"/>
      <c r="BQ92" s="60" t="n"/>
      <c r="BR92" s="60" t="n"/>
      <c r="BS92" s="60" t="n"/>
      <c r="BT92" s="60" t="n"/>
      <c r="BU92" s="60" t="n"/>
      <c r="BV92" s="60" t="n"/>
      <c r="BW92" s="60" t="n"/>
      <c r="BX92" s="60" t="n"/>
      <c r="BY92" s="60" t="n"/>
      <c r="BZ92" s="60" t="n"/>
      <c r="CA92" s="60" t="n"/>
      <c r="CB92" s="60" t="n"/>
      <c r="CC92" s="60" t="n"/>
      <c r="CD92" s="60" t="n"/>
      <c r="CE92" s="60" t="n"/>
      <c r="CF92" s="60" t="n"/>
      <c r="CG92" s="60" t="n"/>
      <c r="CH92" s="60" t="n"/>
      <c r="CI92" s="60" t="n"/>
      <c r="CJ92" s="60" t="n"/>
      <c r="CK92" s="60" t="n"/>
      <c r="CL92" s="60" t="n"/>
      <c r="CM92" s="60" t="n"/>
      <c r="CN92" s="60" t="n"/>
      <c r="CO92" s="60" t="n"/>
      <c r="CP92" s="60" t="n"/>
    </row>
    <row r="93">
      <c r="A93" s="35" t="n"/>
      <c r="B93" s="35" t="n"/>
      <c r="C93" s="35" t="n"/>
      <c r="D93" s="40" t="n"/>
      <c r="E93" s="35" t="n"/>
      <c r="F93" s="59">
        <f>IF(OR(D93="",E93=""),"",WORKDAY(D93,MAX(E93,1)-1))</f>
        <v/>
      </c>
      <c r="G93" s="36" t="n"/>
      <c r="H93" s="9">
        <f>IF(D93="","",IF(G93&gt;=1,"Done",IF(TODAY()&gt;F93,"Late",IF(TODAY()&gt;=D93,"In progress","Not started"))))</f>
        <v/>
      </c>
      <c r="I93" s="9">
        <f>IF(B93="","",IF(AND(A93&lt;&gt;"",COUNTIF(Jobs!$A$5:$A$44,A93)=0),"Unknown Job ID",IF(D93="","Missing start",IF(E93="","Missing duration",""))))</f>
        <v/>
      </c>
      <c r="J93" s="35" t="n"/>
      <c r="K93" s="60" t="n"/>
      <c r="L93" s="60" t="n"/>
      <c r="M93" s="60" t="n"/>
      <c r="N93" s="60" t="n"/>
      <c r="O93" s="60" t="n"/>
      <c r="P93" s="60" t="n"/>
      <c r="Q93" s="60" t="n"/>
      <c r="R93" s="60" t="n"/>
      <c r="S93" s="60" t="n"/>
      <c r="T93" s="60" t="n"/>
      <c r="U93" s="60" t="n"/>
      <c r="V93" s="60" t="n"/>
      <c r="W93" s="60" t="n"/>
      <c r="X93" s="60" t="n"/>
      <c r="Y93" s="60" t="n"/>
      <c r="Z93" s="60" t="n"/>
      <c r="AA93" s="60" t="n"/>
      <c r="AB93" s="60" t="n"/>
      <c r="AC93" s="60" t="n"/>
      <c r="AD93" s="60" t="n"/>
      <c r="AE93" s="60" t="n"/>
      <c r="AF93" s="60" t="n"/>
      <c r="AG93" s="60" t="n"/>
      <c r="AH93" s="60" t="n"/>
      <c r="AI93" s="60" t="n"/>
      <c r="AJ93" s="60" t="n"/>
      <c r="AK93" s="60" t="n"/>
      <c r="AL93" s="60" t="n"/>
      <c r="AM93" s="60" t="n"/>
      <c r="AN93" s="60" t="n"/>
      <c r="AO93" s="60" t="n"/>
      <c r="AP93" s="60" t="n"/>
      <c r="AQ93" s="60" t="n"/>
      <c r="AR93" s="60" t="n"/>
      <c r="AS93" s="60" t="n"/>
      <c r="AT93" s="60" t="n"/>
      <c r="AU93" s="60" t="n"/>
      <c r="AV93" s="60" t="n"/>
      <c r="AW93" s="60" t="n"/>
      <c r="AX93" s="60" t="n"/>
      <c r="AY93" s="60" t="n"/>
      <c r="AZ93" s="60" t="n"/>
      <c r="BA93" s="60" t="n"/>
      <c r="BB93" s="60" t="n"/>
      <c r="BC93" s="60" t="n"/>
      <c r="BD93" s="60" t="n"/>
      <c r="BE93" s="60" t="n"/>
      <c r="BF93" s="60" t="n"/>
      <c r="BG93" s="60" t="n"/>
      <c r="BH93" s="60" t="n"/>
      <c r="BI93" s="60" t="n"/>
      <c r="BJ93" s="60" t="n"/>
      <c r="BK93" s="60" t="n"/>
      <c r="BL93" s="60" t="n"/>
      <c r="BM93" s="60" t="n"/>
      <c r="BN93" s="60" t="n"/>
      <c r="BO93" s="60" t="n"/>
      <c r="BP93" s="60" t="n"/>
      <c r="BQ93" s="60" t="n"/>
      <c r="BR93" s="60" t="n"/>
      <c r="BS93" s="60" t="n"/>
      <c r="BT93" s="60" t="n"/>
      <c r="BU93" s="60" t="n"/>
      <c r="BV93" s="60" t="n"/>
      <c r="BW93" s="60" t="n"/>
      <c r="BX93" s="60" t="n"/>
      <c r="BY93" s="60" t="n"/>
      <c r="BZ93" s="60" t="n"/>
      <c r="CA93" s="60" t="n"/>
      <c r="CB93" s="60" t="n"/>
      <c r="CC93" s="60" t="n"/>
      <c r="CD93" s="60" t="n"/>
      <c r="CE93" s="60" t="n"/>
      <c r="CF93" s="60" t="n"/>
      <c r="CG93" s="60" t="n"/>
      <c r="CH93" s="60" t="n"/>
      <c r="CI93" s="60" t="n"/>
      <c r="CJ93" s="60" t="n"/>
      <c r="CK93" s="60" t="n"/>
      <c r="CL93" s="60" t="n"/>
      <c r="CM93" s="60" t="n"/>
      <c r="CN93" s="60" t="n"/>
      <c r="CO93" s="60" t="n"/>
      <c r="CP93" s="60" t="n"/>
    </row>
    <row r="94">
      <c r="A94" s="35" t="n"/>
      <c r="B94" s="35" t="n"/>
      <c r="C94" s="35" t="n"/>
      <c r="D94" s="40" t="n"/>
      <c r="E94" s="35" t="n"/>
      <c r="F94" s="59">
        <f>IF(OR(D94="",E94=""),"",WORKDAY(D94,MAX(E94,1)-1))</f>
        <v/>
      </c>
      <c r="G94" s="36" t="n"/>
      <c r="H94" s="9">
        <f>IF(D94="","",IF(G94&gt;=1,"Done",IF(TODAY()&gt;F94,"Late",IF(TODAY()&gt;=D94,"In progress","Not started"))))</f>
        <v/>
      </c>
      <c r="I94" s="9">
        <f>IF(B94="","",IF(AND(A94&lt;&gt;"",COUNTIF(Jobs!$A$5:$A$44,A94)=0),"Unknown Job ID",IF(D94="","Missing start",IF(E94="","Missing duration",""))))</f>
        <v/>
      </c>
      <c r="J94" s="35" t="n"/>
      <c r="K94" s="60" t="n"/>
      <c r="L94" s="60" t="n"/>
      <c r="M94" s="60" t="n"/>
      <c r="N94" s="60" t="n"/>
      <c r="O94" s="60" t="n"/>
      <c r="P94" s="60" t="n"/>
      <c r="Q94" s="60" t="n"/>
      <c r="R94" s="60" t="n"/>
      <c r="S94" s="60" t="n"/>
      <c r="T94" s="60" t="n"/>
      <c r="U94" s="60" t="n"/>
      <c r="V94" s="60" t="n"/>
      <c r="W94" s="60" t="n"/>
      <c r="X94" s="60" t="n"/>
      <c r="Y94" s="60" t="n"/>
      <c r="Z94" s="60" t="n"/>
      <c r="AA94" s="60" t="n"/>
      <c r="AB94" s="60" t="n"/>
      <c r="AC94" s="60" t="n"/>
      <c r="AD94" s="60" t="n"/>
      <c r="AE94" s="60" t="n"/>
      <c r="AF94" s="60" t="n"/>
      <c r="AG94" s="60" t="n"/>
      <c r="AH94" s="60" t="n"/>
      <c r="AI94" s="60" t="n"/>
      <c r="AJ94" s="60" t="n"/>
      <c r="AK94" s="60" t="n"/>
      <c r="AL94" s="60" t="n"/>
      <c r="AM94" s="60" t="n"/>
      <c r="AN94" s="60" t="n"/>
      <c r="AO94" s="60" t="n"/>
      <c r="AP94" s="60" t="n"/>
      <c r="AQ94" s="60" t="n"/>
      <c r="AR94" s="60" t="n"/>
      <c r="AS94" s="60" t="n"/>
      <c r="AT94" s="60" t="n"/>
      <c r="AU94" s="60" t="n"/>
      <c r="AV94" s="60" t="n"/>
      <c r="AW94" s="60" t="n"/>
      <c r="AX94" s="60" t="n"/>
      <c r="AY94" s="60" t="n"/>
      <c r="AZ94" s="60" t="n"/>
      <c r="BA94" s="60" t="n"/>
      <c r="BB94" s="60" t="n"/>
      <c r="BC94" s="60" t="n"/>
      <c r="BD94" s="60" t="n"/>
      <c r="BE94" s="60" t="n"/>
      <c r="BF94" s="60" t="n"/>
      <c r="BG94" s="60" t="n"/>
      <c r="BH94" s="60" t="n"/>
      <c r="BI94" s="60" t="n"/>
      <c r="BJ94" s="60" t="n"/>
      <c r="BK94" s="60" t="n"/>
      <c r="BL94" s="60" t="n"/>
      <c r="BM94" s="60" t="n"/>
      <c r="BN94" s="60" t="n"/>
      <c r="BO94" s="60" t="n"/>
      <c r="BP94" s="60" t="n"/>
      <c r="BQ94" s="60" t="n"/>
      <c r="BR94" s="60" t="n"/>
      <c r="BS94" s="60" t="n"/>
      <c r="BT94" s="60" t="n"/>
      <c r="BU94" s="60" t="n"/>
      <c r="BV94" s="60" t="n"/>
      <c r="BW94" s="60" t="n"/>
      <c r="BX94" s="60" t="n"/>
      <c r="BY94" s="60" t="n"/>
      <c r="BZ94" s="60" t="n"/>
      <c r="CA94" s="60" t="n"/>
      <c r="CB94" s="60" t="n"/>
      <c r="CC94" s="60" t="n"/>
      <c r="CD94" s="60" t="n"/>
      <c r="CE94" s="60" t="n"/>
      <c r="CF94" s="60" t="n"/>
      <c r="CG94" s="60" t="n"/>
      <c r="CH94" s="60" t="n"/>
      <c r="CI94" s="60" t="n"/>
      <c r="CJ94" s="60" t="n"/>
      <c r="CK94" s="60" t="n"/>
      <c r="CL94" s="60" t="n"/>
      <c r="CM94" s="60" t="n"/>
      <c r="CN94" s="60" t="n"/>
      <c r="CO94" s="60" t="n"/>
      <c r="CP94" s="60" t="n"/>
    </row>
    <row r="95">
      <c r="A95" s="35" t="n"/>
      <c r="B95" s="35" t="n"/>
      <c r="C95" s="35" t="n"/>
      <c r="D95" s="40" t="n"/>
      <c r="E95" s="35" t="n"/>
      <c r="F95" s="59">
        <f>IF(OR(D95="",E95=""),"",WORKDAY(D95,MAX(E95,1)-1))</f>
        <v/>
      </c>
      <c r="G95" s="36" t="n"/>
      <c r="H95" s="9">
        <f>IF(D95="","",IF(G95&gt;=1,"Done",IF(TODAY()&gt;F95,"Late",IF(TODAY()&gt;=D95,"In progress","Not started"))))</f>
        <v/>
      </c>
      <c r="I95" s="9">
        <f>IF(B95="","",IF(AND(A95&lt;&gt;"",COUNTIF(Jobs!$A$5:$A$44,A95)=0),"Unknown Job ID",IF(D95="","Missing start",IF(E95="","Missing duration",""))))</f>
        <v/>
      </c>
      <c r="J95" s="35" t="n"/>
      <c r="K95" s="60" t="n"/>
      <c r="L95" s="60" t="n"/>
      <c r="M95" s="60" t="n"/>
      <c r="N95" s="60" t="n"/>
      <c r="O95" s="60" t="n"/>
      <c r="P95" s="60" t="n"/>
      <c r="Q95" s="60" t="n"/>
      <c r="R95" s="60" t="n"/>
      <c r="S95" s="60" t="n"/>
      <c r="T95" s="60" t="n"/>
      <c r="U95" s="60" t="n"/>
      <c r="V95" s="60" t="n"/>
      <c r="W95" s="60" t="n"/>
      <c r="X95" s="60" t="n"/>
      <c r="Y95" s="60" t="n"/>
      <c r="Z95" s="60" t="n"/>
      <c r="AA95" s="60" t="n"/>
      <c r="AB95" s="60" t="n"/>
      <c r="AC95" s="60" t="n"/>
      <c r="AD95" s="60" t="n"/>
      <c r="AE95" s="60" t="n"/>
      <c r="AF95" s="60" t="n"/>
      <c r="AG95" s="60" t="n"/>
      <c r="AH95" s="60" t="n"/>
      <c r="AI95" s="60" t="n"/>
      <c r="AJ95" s="60" t="n"/>
      <c r="AK95" s="60" t="n"/>
      <c r="AL95" s="60" t="n"/>
      <c r="AM95" s="60" t="n"/>
      <c r="AN95" s="60" t="n"/>
      <c r="AO95" s="60" t="n"/>
      <c r="AP95" s="60" t="n"/>
      <c r="AQ95" s="60" t="n"/>
      <c r="AR95" s="60" t="n"/>
      <c r="AS95" s="60" t="n"/>
      <c r="AT95" s="60" t="n"/>
      <c r="AU95" s="60" t="n"/>
      <c r="AV95" s="60" t="n"/>
      <c r="AW95" s="60" t="n"/>
      <c r="AX95" s="60" t="n"/>
      <c r="AY95" s="60" t="n"/>
      <c r="AZ95" s="60" t="n"/>
      <c r="BA95" s="60" t="n"/>
      <c r="BB95" s="60" t="n"/>
      <c r="BC95" s="60" t="n"/>
      <c r="BD95" s="60" t="n"/>
      <c r="BE95" s="60" t="n"/>
      <c r="BF95" s="60" t="n"/>
      <c r="BG95" s="60" t="n"/>
      <c r="BH95" s="60" t="n"/>
      <c r="BI95" s="60" t="n"/>
      <c r="BJ95" s="60" t="n"/>
      <c r="BK95" s="60" t="n"/>
      <c r="BL95" s="60" t="n"/>
      <c r="BM95" s="60" t="n"/>
      <c r="BN95" s="60" t="n"/>
      <c r="BO95" s="60" t="n"/>
      <c r="BP95" s="60" t="n"/>
      <c r="BQ95" s="60" t="n"/>
      <c r="BR95" s="60" t="n"/>
      <c r="BS95" s="60" t="n"/>
      <c r="BT95" s="60" t="n"/>
      <c r="BU95" s="60" t="n"/>
      <c r="BV95" s="60" t="n"/>
      <c r="BW95" s="60" t="n"/>
      <c r="BX95" s="60" t="n"/>
      <c r="BY95" s="60" t="n"/>
      <c r="BZ95" s="60" t="n"/>
      <c r="CA95" s="60" t="n"/>
      <c r="CB95" s="60" t="n"/>
      <c r="CC95" s="60" t="n"/>
      <c r="CD95" s="60" t="n"/>
      <c r="CE95" s="60" t="n"/>
      <c r="CF95" s="60" t="n"/>
      <c r="CG95" s="60" t="n"/>
      <c r="CH95" s="60" t="n"/>
      <c r="CI95" s="60" t="n"/>
      <c r="CJ95" s="60" t="n"/>
      <c r="CK95" s="60" t="n"/>
      <c r="CL95" s="60" t="n"/>
      <c r="CM95" s="60" t="n"/>
      <c r="CN95" s="60" t="n"/>
      <c r="CO95" s="60" t="n"/>
      <c r="CP95" s="60" t="n"/>
    </row>
    <row r="96">
      <c r="A96" s="35" t="n"/>
      <c r="B96" s="35" t="n"/>
      <c r="C96" s="35" t="n"/>
      <c r="D96" s="40" t="n"/>
      <c r="E96" s="35" t="n"/>
      <c r="F96" s="59">
        <f>IF(OR(D96="",E96=""),"",WORKDAY(D96,MAX(E96,1)-1))</f>
        <v/>
      </c>
      <c r="G96" s="36" t="n"/>
      <c r="H96" s="9">
        <f>IF(D96="","",IF(G96&gt;=1,"Done",IF(TODAY()&gt;F96,"Late",IF(TODAY()&gt;=D96,"In progress","Not started"))))</f>
        <v/>
      </c>
      <c r="I96" s="9">
        <f>IF(B96="","",IF(AND(A96&lt;&gt;"",COUNTIF(Jobs!$A$5:$A$44,A96)=0),"Unknown Job ID",IF(D96="","Missing start",IF(E96="","Missing duration",""))))</f>
        <v/>
      </c>
      <c r="J96" s="35" t="n"/>
      <c r="K96" s="60" t="n"/>
      <c r="L96" s="60" t="n"/>
      <c r="M96" s="60" t="n"/>
      <c r="N96" s="60" t="n"/>
      <c r="O96" s="60" t="n"/>
      <c r="P96" s="60" t="n"/>
      <c r="Q96" s="60" t="n"/>
      <c r="R96" s="60" t="n"/>
      <c r="S96" s="60" t="n"/>
      <c r="T96" s="60" t="n"/>
      <c r="U96" s="60" t="n"/>
      <c r="V96" s="60" t="n"/>
      <c r="W96" s="60" t="n"/>
      <c r="X96" s="60" t="n"/>
      <c r="Y96" s="60" t="n"/>
      <c r="Z96" s="60" t="n"/>
      <c r="AA96" s="60" t="n"/>
      <c r="AB96" s="60" t="n"/>
      <c r="AC96" s="60" t="n"/>
      <c r="AD96" s="60" t="n"/>
      <c r="AE96" s="60" t="n"/>
      <c r="AF96" s="60" t="n"/>
      <c r="AG96" s="60" t="n"/>
      <c r="AH96" s="60" t="n"/>
      <c r="AI96" s="60" t="n"/>
      <c r="AJ96" s="60" t="n"/>
      <c r="AK96" s="60" t="n"/>
      <c r="AL96" s="60" t="n"/>
      <c r="AM96" s="60" t="n"/>
      <c r="AN96" s="60" t="n"/>
      <c r="AO96" s="60" t="n"/>
      <c r="AP96" s="60" t="n"/>
      <c r="AQ96" s="60" t="n"/>
      <c r="AR96" s="60" t="n"/>
      <c r="AS96" s="60" t="n"/>
      <c r="AT96" s="60" t="n"/>
      <c r="AU96" s="60" t="n"/>
      <c r="AV96" s="60" t="n"/>
      <c r="AW96" s="60" t="n"/>
      <c r="AX96" s="60" t="n"/>
      <c r="AY96" s="60" t="n"/>
      <c r="AZ96" s="60" t="n"/>
      <c r="BA96" s="60" t="n"/>
      <c r="BB96" s="60" t="n"/>
      <c r="BC96" s="60" t="n"/>
      <c r="BD96" s="60" t="n"/>
      <c r="BE96" s="60" t="n"/>
      <c r="BF96" s="60" t="n"/>
      <c r="BG96" s="60" t="n"/>
      <c r="BH96" s="60" t="n"/>
      <c r="BI96" s="60" t="n"/>
      <c r="BJ96" s="60" t="n"/>
      <c r="BK96" s="60" t="n"/>
      <c r="BL96" s="60" t="n"/>
      <c r="BM96" s="60" t="n"/>
      <c r="BN96" s="60" t="n"/>
      <c r="BO96" s="60" t="n"/>
      <c r="BP96" s="60" t="n"/>
      <c r="BQ96" s="60" t="n"/>
      <c r="BR96" s="60" t="n"/>
      <c r="BS96" s="60" t="n"/>
      <c r="BT96" s="60" t="n"/>
      <c r="BU96" s="60" t="n"/>
      <c r="BV96" s="60" t="n"/>
      <c r="BW96" s="60" t="n"/>
      <c r="BX96" s="60" t="n"/>
      <c r="BY96" s="60" t="n"/>
      <c r="BZ96" s="60" t="n"/>
      <c r="CA96" s="60" t="n"/>
      <c r="CB96" s="60" t="n"/>
      <c r="CC96" s="60" t="n"/>
      <c r="CD96" s="60" t="n"/>
      <c r="CE96" s="60" t="n"/>
      <c r="CF96" s="60" t="n"/>
      <c r="CG96" s="60" t="n"/>
      <c r="CH96" s="60" t="n"/>
      <c r="CI96" s="60" t="n"/>
      <c r="CJ96" s="60" t="n"/>
      <c r="CK96" s="60" t="n"/>
      <c r="CL96" s="60" t="n"/>
      <c r="CM96" s="60" t="n"/>
      <c r="CN96" s="60" t="n"/>
      <c r="CO96" s="60" t="n"/>
      <c r="CP96" s="60" t="n"/>
    </row>
    <row r="97">
      <c r="A97" s="35" t="n"/>
      <c r="B97" s="35" t="n"/>
      <c r="C97" s="35" t="n"/>
      <c r="D97" s="40" t="n"/>
      <c r="E97" s="35" t="n"/>
      <c r="F97" s="59">
        <f>IF(OR(D97="",E97=""),"",WORKDAY(D97,MAX(E97,1)-1))</f>
        <v/>
      </c>
      <c r="G97" s="36" t="n"/>
      <c r="H97" s="9">
        <f>IF(D97="","",IF(G97&gt;=1,"Done",IF(TODAY()&gt;F97,"Late",IF(TODAY()&gt;=D97,"In progress","Not started"))))</f>
        <v/>
      </c>
      <c r="I97" s="9">
        <f>IF(B97="","",IF(AND(A97&lt;&gt;"",COUNTIF(Jobs!$A$5:$A$44,A97)=0),"Unknown Job ID",IF(D97="","Missing start",IF(E97="","Missing duration",""))))</f>
        <v/>
      </c>
      <c r="J97" s="35" t="n"/>
      <c r="K97" s="60" t="n"/>
      <c r="L97" s="60" t="n"/>
      <c r="M97" s="60" t="n"/>
      <c r="N97" s="60" t="n"/>
      <c r="O97" s="60" t="n"/>
      <c r="P97" s="60" t="n"/>
      <c r="Q97" s="60" t="n"/>
      <c r="R97" s="60" t="n"/>
      <c r="S97" s="60" t="n"/>
      <c r="T97" s="60" t="n"/>
      <c r="U97" s="60" t="n"/>
      <c r="V97" s="60" t="n"/>
      <c r="W97" s="60" t="n"/>
      <c r="X97" s="60" t="n"/>
      <c r="Y97" s="60" t="n"/>
      <c r="Z97" s="60" t="n"/>
      <c r="AA97" s="60" t="n"/>
      <c r="AB97" s="60" t="n"/>
      <c r="AC97" s="60" t="n"/>
      <c r="AD97" s="60" t="n"/>
      <c r="AE97" s="60" t="n"/>
      <c r="AF97" s="60" t="n"/>
      <c r="AG97" s="60" t="n"/>
      <c r="AH97" s="60" t="n"/>
      <c r="AI97" s="60" t="n"/>
      <c r="AJ97" s="60" t="n"/>
      <c r="AK97" s="60" t="n"/>
      <c r="AL97" s="60" t="n"/>
      <c r="AM97" s="60" t="n"/>
      <c r="AN97" s="60" t="n"/>
      <c r="AO97" s="60" t="n"/>
      <c r="AP97" s="60" t="n"/>
      <c r="AQ97" s="60" t="n"/>
      <c r="AR97" s="60" t="n"/>
      <c r="AS97" s="60" t="n"/>
      <c r="AT97" s="60" t="n"/>
      <c r="AU97" s="60" t="n"/>
      <c r="AV97" s="60" t="n"/>
      <c r="AW97" s="60" t="n"/>
      <c r="AX97" s="60" t="n"/>
      <c r="AY97" s="60" t="n"/>
      <c r="AZ97" s="60" t="n"/>
      <c r="BA97" s="60" t="n"/>
      <c r="BB97" s="60" t="n"/>
      <c r="BC97" s="60" t="n"/>
      <c r="BD97" s="60" t="n"/>
      <c r="BE97" s="60" t="n"/>
      <c r="BF97" s="60" t="n"/>
      <c r="BG97" s="60" t="n"/>
      <c r="BH97" s="60" t="n"/>
      <c r="BI97" s="60" t="n"/>
      <c r="BJ97" s="60" t="n"/>
      <c r="BK97" s="60" t="n"/>
      <c r="BL97" s="60" t="n"/>
      <c r="BM97" s="60" t="n"/>
      <c r="BN97" s="60" t="n"/>
      <c r="BO97" s="60" t="n"/>
      <c r="BP97" s="60" t="n"/>
      <c r="BQ97" s="60" t="n"/>
      <c r="BR97" s="60" t="n"/>
      <c r="BS97" s="60" t="n"/>
      <c r="BT97" s="60" t="n"/>
      <c r="BU97" s="60" t="n"/>
      <c r="BV97" s="60" t="n"/>
      <c r="BW97" s="60" t="n"/>
      <c r="BX97" s="60" t="n"/>
      <c r="BY97" s="60" t="n"/>
      <c r="BZ97" s="60" t="n"/>
      <c r="CA97" s="60" t="n"/>
      <c r="CB97" s="60" t="n"/>
      <c r="CC97" s="60" t="n"/>
      <c r="CD97" s="60" t="n"/>
      <c r="CE97" s="60" t="n"/>
      <c r="CF97" s="60" t="n"/>
      <c r="CG97" s="60" t="n"/>
      <c r="CH97" s="60" t="n"/>
      <c r="CI97" s="60" t="n"/>
      <c r="CJ97" s="60" t="n"/>
      <c r="CK97" s="60" t="n"/>
      <c r="CL97" s="60" t="n"/>
      <c r="CM97" s="60" t="n"/>
      <c r="CN97" s="60" t="n"/>
      <c r="CO97" s="60" t="n"/>
      <c r="CP97" s="60" t="n"/>
    </row>
    <row r="98">
      <c r="A98" s="35" t="n"/>
      <c r="B98" s="35" t="n"/>
      <c r="C98" s="35" t="n"/>
      <c r="D98" s="40" t="n"/>
      <c r="E98" s="35" t="n"/>
      <c r="F98" s="59">
        <f>IF(OR(D98="",E98=""),"",WORKDAY(D98,MAX(E98,1)-1))</f>
        <v/>
      </c>
      <c r="G98" s="36" t="n"/>
      <c r="H98" s="9">
        <f>IF(D98="","",IF(G98&gt;=1,"Done",IF(TODAY()&gt;F98,"Late",IF(TODAY()&gt;=D98,"In progress","Not started"))))</f>
        <v/>
      </c>
      <c r="I98" s="9">
        <f>IF(B98="","",IF(AND(A98&lt;&gt;"",COUNTIF(Jobs!$A$5:$A$44,A98)=0),"Unknown Job ID",IF(D98="","Missing start",IF(E98="","Missing duration",""))))</f>
        <v/>
      </c>
      <c r="J98" s="35" t="n"/>
      <c r="K98" s="60" t="n"/>
      <c r="L98" s="60" t="n"/>
      <c r="M98" s="60" t="n"/>
      <c r="N98" s="60" t="n"/>
      <c r="O98" s="60" t="n"/>
      <c r="P98" s="60" t="n"/>
      <c r="Q98" s="60" t="n"/>
      <c r="R98" s="60" t="n"/>
      <c r="S98" s="60" t="n"/>
      <c r="T98" s="60" t="n"/>
      <c r="U98" s="60" t="n"/>
      <c r="V98" s="60" t="n"/>
      <c r="W98" s="60" t="n"/>
      <c r="X98" s="60" t="n"/>
      <c r="Y98" s="60" t="n"/>
      <c r="Z98" s="60" t="n"/>
      <c r="AA98" s="60" t="n"/>
      <c r="AB98" s="60" t="n"/>
      <c r="AC98" s="60" t="n"/>
      <c r="AD98" s="60" t="n"/>
      <c r="AE98" s="60" t="n"/>
      <c r="AF98" s="60" t="n"/>
      <c r="AG98" s="60" t="n"/>
      <c r="AH98" s="60" t="n"/>
      <c r="AI98" s="60" t="n"/>
      <c r="AJ98" s="60" t="n"/>
      <c r="AK98" s="60" t="n"/>
      <c r="AL98" s="60" t="n"/>
      <c r="AM98" s="60" t="n"/>
      <c r="AN98" s="60" t="n"/>
      <c r="AO98" s="60" t="n"/>
      <c r="AP98" s="60" t="n"/>
      <c r="AQ98" s="60" t="n"/>
      <c r="AR98" s="60" t="n"/>
      <c r="AS98" s="60" t="n"/>
      <c r="AT98" s="60" t="n"/>
      <c r="AU98" s="60" t="n"/>
      <c r="AV98" s="60" t="n"/>
      <c r="AW98" s="60" t="n"/>
      <c r="AX98" s="60" t="n"/>
      <c r="AY98" s="60" t="n"/>
      <c r="AZ98" s="60" t="n"/>
      <c r="BA98" s="60" t="n"/>
      <c r="BB98" s="60" t="n"/>
      <c r="BC98" s="60" t="n"/>
      <c r="BD98" s="60" t="n"/>
      <c r="BE98" s="60" t="n"/>
      <c r="BF98" s="60" t="n"/>
      <c r="BG98" s="60" t="n"/>
      <c r="BH98" s="60" t="n"/>
      <c r="BI98" s="60" t="n"/>
      <c r="BJ98" s="60" t="n"/>
      <c r="BK98" s="60" t="n"/>
      <c r="BL98" s="60" t="n"/>
      <c r="BM98" s="60" t="n"/>
      <c r="BN98" s="60" t="n"/>
      <c r="BO98" s="60" t="n"/>
      <c r="BP98" s="60" t="n"/>
      <c r="BQ98" s="60" t="n"/>
      <c r="BR98" s="60" t="n"/>
      <c r="BS98" s="60" t="n"/>
      <c r="BT98" s="60" t="n"/>
      <c r="BU98" s="60" t="n"/>
      <c r="BV98" s="60" t="n"/>
      <c r="BW98" s="60" t="n"/>
      <c r="BX98" s="60" t="n"/>
      <c r="BY98" s="60" t="n"/>
      <c r="BZ98" s="60" t="n"/>
      <c r="CA98" s="60" t="n"/>
      <c r="CB98" s="60" t="n"/>
      <c r="CC98" s="60" t="n"/>
      <c r="CD98" s="60" t="n"/>
      <c r="CE98" s="60" t="n"/>
      <c r="CF98" s="60" t="n"/>
      <c r="CG98" s="60" t="n"/>
      <c r="CH98" s="60" t="n"/>
      <c r="CI98" s="60" t="n"/>
      <c r="CJ98" s="60" t="n"/>
      <c r="CK98" s="60" t="n"/>
      <c r="CL98" s="60" t="n"/>
      <c r="CM98" s="60" t="n"/>
      <c r="CN98" s="60" t="n"/>
      <c r="CO98" s="60" t="n"/>
      <c r="CP98" s="60" t="n"/>
    </row>
    <row r="99">
      <c r="A99" s="35" t="n"/>
      <c r="B99" s="35" t="n"/>
      <c r="C99" s="35" t="n"/>
      <c r="D99" s="40" t="n"/>
      <c r="E99" s="35" t="n"/>
      <c r="F99" s="59">
        <f>IF(OR(D99="",E99=""),"",WORKDAY(D99,MAX(E99,1)-1))</f>
        <v/>
      </c>
      <c r="G99" s="36" t="n"/>
      <c r="H99" s="9">
        <f>IF(D99="","",IF(G99&gt;=1,"Done",IF(TODAY()&gt;F99,"Late",IF(TODAY()&gt;=D99,"In progress","Not started"))))</f>
        <v/>
      </c>
      <c r="I99" s="9">
        <f>IF(B99="","",IF(AND(A99&lt;&gt;"",COUNTIF(Jobs!$A$5:$A$44,A99)=0),"Unknown Job ID",IF(D99="","Missing start",IF(E99="","Missing duration",""))))</f>
        <v/>
      </c>
      <c r="J99" s="35" t="n"/>
      <c r="K99" s="60" t="n"/>
      <c r="L99" s="60" t="n"/>
      <c r="M99" s="60" t="n"/>
      <c r="N99" s="60" t="n"/>
      <c r="O99" s="60" t="n"/>
      <c r="P99" s="60" t="n"/>
      <c r="Q99" s="60" t="n"/>
      <c r="R99" s="60" t="n"/>
      <c r="S99" s="60" t="n"/>
      <c r="T99" s="60" t="n"/>
      <c r="U99" s="60" t="n"/>
      <c r="V99" s="60" t="n"/>
      <c r="W99" s="60" t="n"/>
      <c r="X99" s="60" t="n"/>
      <c r="Y99" s="60" t="n"/>
      <c r="Z99" s="60" t="n"/>
      <c r="AA99" s="60" t="n"/>
      <c r="AB99" s="60" t="n"/>
      <c r="AC99" s="60" t="n"/>
      <c r="AD99" s="60" t="n"/>
      <c r="AE99" s="60" t="n"/>
      <c r="AF99" s="60" t="n"/>
      <c r="AG99" s="60" t="n"/>
      <c r="AH99" s="60" t="n"/>
      <c r="AI99" s="60" t="n"/>
      <c r="AJ99" s="60" t="n"/>
      <c r="AK99" s="60" t="n"/>
      <c r="AL99" s="60" t="n"/>
      <c r="AM99" s="60" t="n"/>
      <c r="AN99" s="60" t="n"/>
      <c r="AO99" s="60" t="n"/>
      <c r="AP99" s="60" t="n"/>
      <c r="AQ99" s="60" t="n"/>
      <c r="AR99" s="60" t="n"/>
      <c r="AS99" s="60" t="n"/>
      <c r="AT99" s="60" t="n"/>
      <c r="AU99" s="60" t="n"/>
      <c r="AV99" s="60" t="n"/>
      <c r="AW99" s="60" t="n"/>
      <c r="AX99" s="60" t="n"/>
      <c r="AY99" s="60" t="n"/>
      <c r="AZ99" s="60" t="n"/>
      <c r="BA99" s="60" t="n"/>
      <c r="BB99" s="60" t="n"/>
      <c r="BC99" s="60" t="n"/>
      <c r="BD99" s="60" t="n"/>
      <c r="BE99" s="60" t="n"/>
      <c r="BF99" s="60" t="n"/>
      <c r="BG99" s="60" t="n"/>
      <c r="BH99" s="60" t="n"/>
      <c r="BI99" s="60" t="n"/>
      <c r="BJ99" s="60" t="n"/>
      <c r="BK99" s="60" t="n"/>
      <c r="BL99" s="60" t="n"/>
      <c r="BM99" s="60" t="n"/>
      <c r="BN99" s="60" t="n"/>
      <c r="BO99" s="60" t="n"/>
      <c r="BP99" s="60" t="n"/>
      <c r="BQ99" s="60" t="n"/>
      <c r="BR99" s="60" t="n"/>
      <c r="BS99" s="60" t="n"/>
      <c r="BT99" s="60" t="n"/>
      <c r="BU99" s="60" t="n"/>
      <c r="BV99" s="60" t="n"/>
      <c r="BW99" s="60" t="n"/>
      <c r="BX99" s="60" t="n"/>
      <c r="BY99" s="60" t="n"/>
      <c r="BZ99" s="60" t="n"/>
      <c r="CA99" s="60" t="n"/>
      <c r="CB99" s="60" t="n"/>
      <c r="CC99" s="60" t="n"/>
      <c r="CD99" s="60" t="n"/>
      <c r="CE99" s="60" t="n"/>
      <c r="CF99" s="60" t="n"/>
      <c r="CG99" s="60" t="n"/>
      <c r="CH99" s="60" t="n"/>
      <c r="CI99" s="60" t="n"/>
      <c r="CJ99" s="60" t="n"/>
      <c r="CK99" s="60" t="n"/>
      <c r="CL99" s="60" t="n"/>
      <c r="CM99" s="60" t="n"/>
      <c r="CN99" s="60" t="n"/>
      <c r="CO99" s="60" t="n"/>
      <c r="CP99" s="60" t="n"/>
    </row>
    <row r="100">
      <c r="A100" s="35" t="n"/>
      <c r="B100" s="35" t="n"/>
      <c r="C100" s="35" t="n"/>
      <c r="D100" s="40" t="n"/>
      <c r="E100" s="35" t="n"/>
      <c r="F100" s="59">
        <f>IF(OR(D100="",E100=""),"",WORKDAY(D100,MAX(E100,1)-1))</f>
        <v/>
      </c>
      <c r="G100" s="36" t="n"/>
      <c r="H100" s="9">
        <f>IF(D100="","",IF(G100&gt;=1,"Done",IF(TODAY()&gt;F100,"Late",IF(TODAY()&gt;=D100,"In progress","Not started"))))</f>
        <v/>
      </c>
      <c r="I100" s="9">
        <f>IF(B100="","",IF(AND(A100&lt;&gt;"",COUNTIF(Jobs!$A$5:$A$44,A100)=0),"Unknown Job ID",IF(D100="","Missing start",IF(E100="","Missing duration",""))))</f>
        <v/>
      </c>
      <c r="J100" s="35" t="n"/>
      <c r="K100" s="60" t="n"/>
      <c r="L100" s="60" t="n"/>
      <c r="M100" s="60" t="n"/>
      <c r="N100" s="60" t="n"/>
      <c r="O100" s="60" t="n"/>
      <c r="P100" s="60" t="n"/>
      <c r="Q100" s="60" t="n"/>
      <c r="R100" s="60" t="n"/>
      <c r="S100" s="60" t="n"/>
      <c r="T100" s="60" t="n"/>
      <c r="U100" s="60" t="n"/>
      <c r="V100" s="60" t="n"/>
      <c r="W100" s="60" t="n"/>
      <c r="X100" s="60" t="n"/>
      <c r="Y100" s="60" t="n"/>
      <c r="Z100" s="60" t="n"/>
      <c r="AA100" s="60" t="n"/>
      <c r="AB100" s="60" t="n"/>
      <c r="AC100" s="60" t="n"/>
      <c r="AD100" s="60" t="n"/>
      <c r="AE100" s="60" t="n"/>
      <c r="AF100" s="60" t="n"/>
      <c r="AG100" s="60" t="n"/>
      <c r="AH100" s="60" t="n"/>
      <c r="AI100" s="60" t="n"/>
      <c r="AJ100" s="60" t="n"/>
      <c r="AK100" s="60" t="n"/>
      <c r="AL100" s="60" t="n"/>
      <c r="AM100" s="60" t="n"/>
      <c r="AN100" s="60" t="n"/>
      <c r="AO100" s="60" t="n"/>
      <c r="AP100" s="60" t="n"/>
      <c r="AQ100" s="60" t="n"/>
      <c r="AR100" s="60" t="n"/>
      <c r="AS100" s="60" t="n"/>
      <c r="AT100" s="60" t="n"/>
      <c r="AU100" s="60" t="n"/>
      <c r="AV100" s="60" t="n"/>
      <c r="AW100" s="60" t="n"/>
      <c r="AX100" s="60" t="n"/>
      <c r="AY100" s="60" t="n"/>
      <c r="AZ100" s="60" t="n"/>
      <c r="BA100" s="60" t="n"/>
      <c r="BB100" s="60" t="n"/>
      <c r="BC100" s="60" t="n"/>
      <c r="BD100" s="60" t="n"/>
      <c r="BE100" s="60" t="n"/>
      <c r="BF100" s="60" t="n"/>
      <c r="BG100" s="60" t="n"/>
      <c r="BH100" s="60" t="n"/>
      <c r="BI100" s="60" t="n"/>
      <c r="BJ100" s="60" t="n"/>
      <c r="BK100" s="60" t="n"/>
      <c r="BL100" s="60" t="n"/>
      <c r="BM100" s="60" t="n"/>
      <c r="BN100" s="60" t="n"/>
      <c r="BO100" s="60" t="n"/>
      <c r="BP100" s="60" t="n"/>
      <c r="BQ100" s="60" t="n"/>
      <c r="BR100" s="60" t="n"/>
      <c r="BS100" s="60" t="n"/>
      <c r="BT100" s="60" t="n"/>
      <c r="BU100" s="60" t="n"/>
      <c r="BV100" s="60" t="n"/>
      <c r="BW100" s="60" t="n"/>
      <c r="BX100" s="60" t="n"/>
      <c r="BY100" s="60" t="n"/>
      <c r="BZ100" s="60" t="n"/>
      <c r="CA100" s="60" t="n"/>
      <c r="CB100" s="60" t="n"/>
      <c r="CC100" s="60" t="n"/>
      <c r="CD100" s="60" t="n"/>
      <c r="CE100" s="60" t="n"/>
      <c r="CF100" s="60" t="n"/>
      <c r="CG100" s="60" t="n"/>
      <c r="CH100" s="60" t="n"/>
      <c r="CI100" s="60" t="n"/>
      <c r="CJ100" s="60" t="n"/>
      <c r="CK100" s="60" t="n"/>
      <c r="CL100" s="60" t="n"/>
      <c r="CM100" s="60" t="n"/>
      <c r="CN100" s="60" t="n"/>
      <c r="CO100" s="60" t="n"/>
      <c r="CP100" s="60" t="n"/>
    </row>
    <row r="101">
      <c r="A101" s="35" t="n"/>
      <c r="B101" s="35" t="n"/>
      <c r="C101" s="35" t="n"/>
      <c r="D101" s="40" t="n"/>
      <c r="E101" s="35" t="n"/>
      <c r="F101" s="59">
        <f>IF(OR(D101="",E101=""),"",WORKDAY(D101,MAX(E101,1)-1))</f>
        <v/>
      </c>
      <c r="G101" s="36" t="n"/>
      <c r="H101" s="9">
        <f>IF(D101="","",IF(G101&gt;=1,"Done",IF(TODAY()&gt;F101,"Late",IF(TODAY()&gt;=D101,"In progress","Not started"))))</f>
        <v/>
      </c>
      <c r="I101" s="9">
        <f>IF(B101="","",IF(AND(A101&lt;&gt;"",COUNTIF(Jobs!$A$5:$A$44,A101)=0),"Unknown Job ID",IF(D101="","Missing start",IF(E101="","Missing duration",""))))</f>
        <v/>
      </c>
      <c r="J101" s="35" t="n"/>
      <c r="K101" s="60" t="n"/>
      <c r="L101" s="60" t="n"/>
      <c r="M101" s="60" t="n"/>
      <c r="N101" s="60" t="n"/>
      <c r="O101" s="60" t="n"/>
      <c r="P101" s="60" t="n"/>
      <c r="Q101" s="60" t="n"/>
      <c r="R101" s="60" t="n"/>
      <c r="S101" s="60" t="n"/>
      <c r="T101" s="60" t="n"/>
      <c r="U101" s="60" t="n"/>
      <c r="V101" s="60" t="n"/>
      <c r="W101" s="60" t="n"/>
      <c r="X101" s="60" t="n"/>
      <c r="Y101" s="60" t="n"/>
      <c r="Z101" s="60" t="n"/>
      <c r="AA101" s="60" t="n"/>
      <c r="AB101" s="60" t="n"/>
      <c r="AC101" s="60" t="n"/>
      <c r="AD101" s="60" t="n"/>
      <c r="AE101" s="60" t="n"/>
      <c r="AF101" s="60" t="n"/>
      <c r="AG101" s="60" t="n"/>
      <c r="AH101" s="60" t="n"/>
      <c r="AI101" s="60" t="n"/>
      <c r="AJ101" s="60" t="n"/>
      <c r="AK101" s="60" t="n"/>
      <c r="AL101" s="60" t="n"/>
      <c r="AM101" s="60" t="n"/>
      <c r="AN101" s="60" t="n"/>
      <c r="AO101" s="60" t="n"/>
      <c r="AP101" s="60" t="n"/>
      <c r="AQ101" s="60" t="n"/>
      <c r="AR101" s="60" t="n"/>
      <c r="AS101" s="60" t="n"/>
      <c r="AT101" s="60" t="n"/>
      <c r="AU101" s="60" t="n"/>
      <c r="AV101" s="60" t="n"/>
      <c r="AW101" s="60" t="n"/>
      <c r="AX101" s="60" t="n"/>
      <c r="AY101" s="60" t="n"/>
      <c r="AZ101" s="60" t="n"/>
      <c r="BA101" s="60" t="n"/>
      <c r="BB101" s="60" t="n"/>
      <c r="BC101" s="60" t="n"/>
      <c r="BD101" s="60" t="n"/>
      <c r="BE101" s="60" t="n"/>
      <c r="BF101" s="60" t="n"/>
      <c r="BG101" s="60" t="n"/>
      <c r="BH101" s="60" t="n"/>
      <c r="BI101" s="60" t="n"/>
      <c r="BJ101" s="60" t="n"/>
      <c r="BK101" s="60" t="n"/>
      <c r="BL101" s="60" t="n"/>
      <c r="BM101" s="60" t="n"/>
      <c r="BN101" s="60" t="n"/>
      <c r="BO101" s="60" t="n"/>
      <c r="BP101" s="60" t="n"/>
      <c r="BQ101" s="60" t="n"/>
      <c r="BR101" s="60" t="n"/>
      <c r="BS101" s="60" t="n"/>
      <c r="BT101" s="60" t="n"/>
      <c r="BU101" s="60" t="n"/>
      <c r="BV101" s="60" t="n"/>
      <c r="BW101" s="60" t="n"/>
      <c r="BX101" s="60" t="n"/>
      <c r="BY101" s="60" t="n"/>
      <c r="BZ101" s="60" t="n"/>
      <c r="CA101" s="60" t="n"/>
      <c r="CB101" s="60" t="n"/>
      <c r="CC101" s="60" t="n"/>
      <c r="CD101" s="60" t="n"/>
      <c r="CE101" s="60" t="n"/>
      <c r="CF101" s="60" t="n"/>
      <c r="CG101" s="60" t="n"/>
      <c r="CH101" s="60" t="n"/>
      <c r="CI101" s="60" t="n"/>
      <c r="CJ101" s="60" t="n"/>
      <c r="CK101" s="60" t="n"/>
      <c r="CL101" s="60" t="n"/>
      <c r="CM101" s="60" t="n"/>
      <c r="CN101" s="60" t="n"/>
      <c r="CO101" s="60" t="n"/>
      <c r="CP101" s="60" t="n"/>
    </row>
    <row r="102">
      <c r="A102" s="35" t="n"/>
      <c r="B102" s="35" t="n"/>
      <c r="C102" s="35" t="n"/>
      <c r="D102" s="40" t="n"/>
      <c r="E102" s="35" t="n"/>
      <c r="F102" s="59">
        <f>IF(OR(D102="",E102=""),"",WORKDAY(D102,MAX(E102,1)-1))</f>
        <v/>
      </c>
      <c r="G102" s="36" t="n"/>
      <c r="H102" s="9">
        <f>IF(D102="","",IF(G102&gt;=1,"Done",IF(TODAY()&gt;F102,"Late",IF(TODAY()&gt;=D102,"In progress","Not started"))))</f>
        <v/>
      </c>
      <c r="I102" s="9">
        <f>IF(B102="","",IF(AND(A102&lt;&gt;"",COUNTIF(Jobs!$A$5:$A$44,A102)=0),"Unknown Job ID",IF(D102="","Missing start",IF(E102="","Missing duration",""))))</f>
        <v/>
      </c>
      <c r="J102" s="35" t="n"/>
      <c r="K102" s="60" t="n"/>
      <c r="L102" s="60" t="n"/>
      <c r="M102" s="60" t="n"/>
      <c r="N102" s="60" t="n"/>
      <c r="O102" s="60" t="n"/>
      <c r="P102" s="60" t="n"/>
      <c r="Q102" s="60" t="n"/>
      <c r="R102" s="60" t="n"/>
      <c r="S102" s="60" t="n"/>
      <c r="T102" s="60" t="n"/>
      <c r="U102" s="60" t="n"/>
      <c r="V102" s="60" t="n"/>
      <c r="W102" s="60" t="n"/>
      <c r="X102" s="60" t="n"/>
      <c r="Y102" s="60" t="n"/>
      <c r="Z102" s="60" t="n"/>
      <c r="AA102" s="60" t="n"/>
      <c r="AB102" s="60" t="n"/>
      <c r="AC102" s="60" t="n"/>
      <c r="AD102" s="60" t="n"/>
      <c r="AE102" s="60" t="n"/>
      <c r="AF102" s="60" t="n"/>
      <c r="AG102" s="60" t="n"/>
      <c r="AH102" s="60" t="n"/>
      <c r="AI102" s="60" t="n"/>
      <c r="AJ102" s="60" t="n"/>
      <c r="AK102" s="60" t="n"/>
      <c r="AL102" s="60" t="n"/>
      <c r="AM102" s="60" t="n"/>
      <c r="AN102" s="60" t="n"/>
      <c r="AO102" s="60" t="n"/>
      <c r="AP102" s="60" t="n"/>
      <c r="AQ102" s="60" t="n"/>
      <c r="AR102" s="60" t="n"/>
      <c r="AS102" s="60" t="n"/>
      <c r="AT102" s="60" t="n"/>
      <c r="AU102" s="60" t="n"/>
      <c r="AV102" s="60" t="n"/>
      <c r="AW102" s="60" t="n"/>
      <c r="AX102" s="60" t="n"/>
      <c r="AY102" s="60" t="n"/>
      <c r="AZ102" s="60" t="n"/>
      <c r="BA102" s="60" t="n"/>
      <c r="BB102" s="60" t="n"/>
      <c r="BC102" s="60" t="n"/>
      <c r="BD102" s="60" t="n"/>
      <c r="BE102" s="60" t="n"/>
      <c r="BF102" s="60" t="n"/>
      <c r="BG102" s="60" t="n"/>
      <c r="BH102" s="60" t="n"/>
      <c r="BI102" s="60" t="n"/>
      <c r="BJ102" s="60" t="n"/>
      <c r="BK102" s="60" t="n"/>
      <c r="BL102" s="60" t="n"/>
      <c r="BM102" s="60" t="n"/>
      <c r="BN102" s="60" t="n"/>
      <c r="BO102" s="60" t="n"/>
      <c r="BP102" s="60" t="n"/>
      <c r="BQ102" s="60" t="n"/>
      <c r="BR102" s="60" t="n"/>
      <c r="BS102" s="60" t="n"/>
      <c r="BT102" s="60" t="n"/>
      <c r="BU102" s="60" t="n"/>
      <c r="BV102" s="60" t="n"/>
      <c r="BW102" s="60" t="n"/>
      <c r="BX102" s="60" t="n"/>
      <c r="BY102" s="60" t="n"/>
      <c r="BZ102" s="60" t="n"/>
      <c r="CA102" s="60" t="n"/>
      <c r="CB102" s="60" t="n"/>
      <c r="CC102" s="60" t="n"/>
      <c r="CD102" s="60" t="n"/>
      <c r="CE102" s="60" t="n"/>
      <c r="CF102" s="60" t="n"/>
      <c r="CG102" s="60" t="n"/>
      <c r="CH102" s="60" t="n"/>
      <c r="CI102" s="60" t="n"/>
      <c r="CJ102" s="60" t="n"/>
      <c r="CK102" s="60" t="n"/>
      <c r="CL102" s="60" t="n"/>
      <c r="CM102" s="60" t="n"/>
      <c r="CN102" s="60" t="n"/>
      <c r="CO102" s="60" t="n"/>
      <c r="CP102" s="60" t="n"/>
    </row>
    <row r="103">
      <c r="A103" s="35" t="n"/>
      <c r="B103" s="35" t="n"/>
      <c r="C103" s="35" t="n"/>
      <c r="D103" s="40" t="n"/>
      <c r="E103" s="35" t="n"/>
      <c r="F103" s="59">
        <f>IF(OR(D103="",E103=""),"",WORKDAY(D103,MAX(E103,1)-1))</f>
        <v/>
      </c>
      <c r="G103" s="36" t="n"/>
      <c r="H103" s="9">
        <f>IF(D103="","",IF(G103&gt;=1,"Done",IF(TODAY()&gt;F103,"Late",IF(TODAY()&gt;=D103,"In progress","Not started"))))</f>
        <v/>
      </c>
      <c r="I103" s="9">
        <f>IF(B103="","",IF(AND(A103&lt;&gt;"",COUNTIF(Jobs!$A$5:$A$44,A103)=0),"Unknown Job ID",IF(D103="","Missing start",IF(E103="","Missing duration",""))))</f>
        <v/>
      </c>
      <c r="J103" s="35" t="n"/>
      <c r="K103" s="60" t="n"/>
      <c r="L103" s="60" t="n"/>
      <c r="M103" s="60" t="n"/>
      <c r="N103" s="60" t="n"/>
      <c r="O103" s="60" t="n"/>
      <c r="P103" s="60" t="n"/>
      <c r="Q103" s="60" t="n"/>
      <c r="R103" s="60" t="n"/>
      <c r="S103" s="60" t="n"/>
      <c r="T103" s="60" t="n"/>
      <c r="U103" s="60" t="n"/>
      <c r="V103" s="60" t="n"/>
      <c r="W103" s="60" t="n"/>
      <c r="X103" s="60" t="n"/>
      <c r="Y103" s="60" t="n"/>
      <c r="Z103" s="60" t="n"/>
      <c r="AA103" s="60" t="n"/>
      <c r="AB103" s="60" t="n"/>
      <c r="AC103" s="60" t="n"/>
      <c r="AD103" s="60" t="n"/>
      <c r="AE103" s="60" t="n"/>
      <c r="AF103" s="60" t="n"/>
      <c r="AG103" s="60" t="n"/>
      <c r="AH103" s="60" t="n"/>
      <c r="AI103" s="60" t="n"/>
      <c r="AJ103" s="60" t="n"/>
      <c r="AK103" s="60" t="n"/>
      <c r="AL103" s="60" t="n"/>
      <c r="AM103" s="60" t="n"/>
      <c r="AN103" s="60" t="n"/>
      <c r="AO103" s="60" t="n"/>
      <c r="AP103" s="60" t="n"/>
      <c r="AQ103" s="60" t="n"/>
      <c r="AR103" s="60" t="n"/>
      <c r="AS103" s="60" t="n"/>
      <c r="AT103" s="60" t="n"/>
      <c r="AU103" s="60" t="n"/>
      <c r="AV103" s="60" t="n"/>
      <c r="AW103" s="60" t="n"/>
      <c r="AX103" s="60" t="n"/>
      <c r="AY103" s="60" t="n"/>
      <c r="AZ103" s="60" t="n"/>
      <c r="BA103" s="60" t="n"/>
      <c r="BB103" s="60" t="n"/>
      <c r="BC103" s="60" t="n"/>
      <c r="BD103" s="60" t="n"/>
      <c r="BE103" s="60" t="n"/>
      <c r="BF103" s="60" t="n"/>
      <c r="BG103" s="60" t="n"/>
      <c r="BH103" s="60" t="n"/>
      <c r="BI103" s="60" t="n"/>
      <c r="BJ103" s="60" t="n"/>
      <c r="BK103" s="60" t="n"/>
      <c r="BL103" s="60" t="n"/>
      <c r="BM103" s="60" t="n"/>
      <c r="BN103" s="60" t="n"/>
      <c r="BO103" s="60" t="n"/>
      <c r="BP103" s="60" t="n"/>
      <c r="BQ103" s="60" t="n"/>
      <c r="BR103" s="60" t="n"/>
      <c r="BS103" s="60" t="n"/>
      <c r="BT103" s="60" t="n"/>
      <c r="BU103" s="60" t="n"/>
      <c r="BV103" s="60" t="n"/>
      <c r="BW103" s="60" t="n"/>
      <c r="BX103" s="60" t="n"/>
      <c r="BY103" s="60" t="n"/>
      <c r="BZ103" s="60" t="n"/>
      <c r="CA103" s="60" t="n"/>
      <c r="CB103" s="60" t="n"/>
      <c r="CC103" s="60" t="n"/>
      <c r="CD103" s="60" t="n"/>
      <c r="CE103" s="60" t="n"/>
      <c r="CF103" s="60" t="n"/>
      <c r="CG103" s="60" t="n"/>
      <c r="CH103" s="60" t="n"/>
      <c r="CI103" s="60" t="n"/>
      <c r="CJ103" s="60" t="n"/>
      <c r="CK103" s="60" t="n"/>
      <c r="CL103" s="60" t="n"/>
      <c r="CM103" s="60" t="n"/>
      <c r="CN103" s="60" t="n"/>
      <c r="CO103" s="60" t="n"/>
      <c r="CP103" s="60" t="n"/>
    </row>
    <row r="104">
      <c r="A104" s="35" t="n"/>
      <c r="B104" s="35" t="n"/>
      <c r="C104" s="35" t="n"/>
      <c r="D104" s="40" t="n"/>
      <c r="E104" s="35" t="n"/>
      <c r="F104" s="59">
        <f>IF(OR(D104="",E104=""),"",WORKDAY(D104,MAX(E104,1)-1))</f>
        <v/>
      </c>
      <c r="G104" s="36" t="n"/>
      <c r="H104" s="9">
        <f>IF(D104="","",IF(G104&gt;=1,"Done",IF(TODAY()&gt;F104,"Late",IF(TODAY()&gt;=D104,"In progress","Not started"))))</f>
        <v/>
      </c>
      <c r="I104" s="9">
        <f>IF(B104="","",IF(AND(A104&lt;&gt;"",COUNTIF(Jobs!$A$5:$A$44,A104)=0),"Unknown Job ID",IF(D104="","Missing start",IF(E104="","Missing duration",""))))</f>
        <v/>
      </c>
      <c r="J104" s="35" t="n"/>
      <c r="K104" s="60" t="n"/>
      <c r="L104" s="60" t="n"/>
      <c r="M104" s="60" t="n"/>
      <c r="N104" s="60" t="n"/>
      <c r="O104" s="60" t="n"/>
      <c r="P104" s="60" t="n"/>
      <c r="Q104" s="60" t="n"/>
      <c r="R104" s="60" t="n"/>
      <c r="S104" s="60" t="n"/>
      <c r="T104" s="60" t="n"/>
      <c r="U104" s="60" t="n"/>
      <c r="V104" s="60" t="n"/>
      <c r="W104" s="60" t="n"/>
      <c r="X104" s="60" t="n"/>
      <c r="Y104" s="60" t="n"/>
      <c r="Z104" s="60" t="n"/>
      <c r="AA104" s="60" t="n"/>
      <c r="AB104" s="60" t="n"/>
      <c r="AC104" s="60" t="n"/>
      <c r="AD104" s="60" t="n"/>
      <c r="AE104" s="60" t="n"/>
      <c r="AF104" s="60" t="n"/>
      <c r="AG104" s="60" t="n"/>
      <c r="AH104" s="60" t="n"/>
      <c r="AI104" s="60" t="n"/>
      <c r="AJ104" s="60" t="n"/>
      <c r="AK104" s="60" t="n"/>
      <c r="AL104" s="60" t="n"/>
      <c r="AM104" s="60" t="n"/>
      <c r="AN104" s="60" t="n"/>
      <c r="AO104" s="60" t="n"/>
      <c r="AP104" s="60" t="n"/>
      <c r="AQ104" s="60" t="n"/>
      <c r="AR104" s="60" t="n"/>
      <c r="AS104" s="60" t="n"/>
      <c r="AT104" s="60" t="n"/>
      <c r="AU104" s="60" t="n"/>
      <c r="AV104" s="60" t="n"/>
      <c r="AW104" s="60" t="n"/>
      <c r="AX104" s="60" t="n"/>
      <c r="AY104" s="60" t="n"/>
      <c r="AZ104" s="60" t="n"/>
      <c r="BA104" s="60" t="n"/>
      <c r="BB104" s="60" t="n"/>
      <c r="BC104" s="60" t="n"/>
      <c r="BD104" s="60" t="n"/>
      <c r="BE104" s="60" t="n"/>
      <c r="BF104" s="60" t="n"/>
      <c r="BG104" s="60" t="n"/>
      <c r="BH104" s="60" t="n"/>
      <c r="BI104" s="60" t="n"/>
      <c r="BJ104" s="60" t="n"/>
      <c r="BK104" s="60" t="n"/>
      <c r="BL104" s="60" t="n"/>
      <c r="BM104" s="60" t="n"/>
      <c r="BN104" s="60" t="n"/>
      <c r="BO104" s="60" t="n"/>
      <c r="BP104" s="60" t="n"/>
      <c r="BQ104" s="60" t="n"/>
      <c r="BR104" s="60" t="n"/>
      <c r="BS104" s="60" t="n"/>
      <c r="BT104" s="60" t="n"/>
      <c r="BU104" s="60" t="n"/>
      <c r="BV104" s="60" t="n"/>
      <c r="BW104" s="60" t="n"/>
      <c r="BX104" s="60" t="n"/>
      <c r="BY104" s="60" t="n"/>
      <c r="BZ104" s="60" t="n"/>
      <c r="CA104" s="60" t="n"/>
      <c r="CB104" s="60" t="n"/>
      <c r="CC104" s="60" t="n"/>
      <c r="CD104" s="60" t="n"/>
      <c r="CE104" s="60" t="n"/>
      <c r="CF104" s="60" t="n"/>
      <c r="CG104" s="60" t="n"/>
      <c r="CH104" s="60" t="n"/>
      <c r="CI104" s="60" t="n"/>
      <c r="CJ104" s="60" t="n"/>
      <c r="CK104" s="60" t="n"/>
      <c r="CL104" s="60" t="n"/>
      <c r="CM104" s="60" t="n"/>
      <c r="CN104" s="60" t="n"/>
      <c r="CO104" s="60" t="n"/>
      <c r="CP104" s="60" t="n"/>
    </row>
    <row r="105">
      <c r="A105" s="35" t="n"/>
      <c r="B105" s="35" t="n"/>
      <c r="C105" s="35" t="n"/>
      <c r="D105" s="40" t="n"/>
      <c r="E105" s="35" t="n"/>
      <c r="F105" s="59">
        <f>IF(OR(D105="",E105=""),"",WORKDAY(D105,MAX(E105,1)-1))</f>
        <v/>
      </c>
      <c r="G105" s="36" t="n"/>
      <c r="H105" s="9">
        <f>IF(D105="","",IF(G105&gt;=1,"Done",IF(TODAY()&gt;F105,"Late",IF(TODAY()&gt;=D105,"In progress","Not started"))))</f>
        <v/>
      </c>
      <c r="I105" s="9">
        <f>IF(B105="","",IF(AND(A105&lt;&gt;"",COUNTIF(Jobs!$A$5:$A$44,A105)=0),"Unknown Job ID",IF(D105="","Missing start",IF(E105="","Missing duration",""))))</f>
        <v/>
      </c>
      <c r="J105" s="35" t="n"/>
      <c r="K105" s="60" t="n"/>
      <c r="L105" s="60" t="n"/>
      <c r="M105" s="60" t="n"/>
      <c r="N105" s="60" t="n"/>
      <c r="O105" s="60" t="n"/>
      <c r="P105" s="60" t="n"/>
      <c r="Q105" s="60" t="n"/>
      <c r="R105" s="60" t="n"/>
      <c r="S105" s="60" t="n"/>
      <c r="T105" s="60" t="n"/>
      <c r="U105" s="60" t="n"/>
      <c r="V105" s="60" t="n"/>
      <c r="W105" s="60" t="n"/>
      <c r="X105" s="60" t="n"/>
      <c r="Y105" s="60" t="n"/>
      <c r="Z105" s="60" t="n"/>
      <c r="AA105" s="60" t="n"/>
      <c r="AB105" s="60" t="n"/>
      <c r="AC105" s="60" t="n"/>
      <c r="AD105" s="60" t="n"/>
      <c r="AE105" s="60" t="n"/>
      <c r="AF105" s="60" t="n"/>
      <c r="AG105" s="60" t="n"/>
      <c r="AH105" s="60" t="n"/>
      <c r="AI105" s="60" t="n"/>
      <c r="AJ105" s="60" t="n"/>
      <c r="AK105" s="60" t="n"/>
      <c r="AL105" s="60" t="n"/>
      <c r="AM105" s="60" t="n"/>
      <c r="AN105" s="60" t="n"/>
      <c r="AO105" s="60" t="n"/>
      <c r="AP105" s="60" t="n"/>
      <c r="AQ105" s="60" t="n"/>
      <c r="AR105" s="60" t="n"/>
      <c r="AS105" s="60" t="n"/>
      <c r="AT105" s="60" t="n"/>
      <c r="AU105" s="60" t="n"/>
      <c r="AV105" s="60" t="n"/>
      <c r="AW105" s="60" t="n"/>
      <c r="AX105" s="60" t="n"/>
      <c r="AY105" s="60" t="n"/>
      <c r="AZ105" s="60" t="n"/>
      <c r="BA105" s="60" t="n"/>
      <c r="BB105" s="60" t="n"/>
      <c r="BC105" s="60" t="n"/>
      <c r="BD105" s="60" t="n"/>
      <c r="BE105" s="60" t="n"/>
      <c r="BF105" s="60" t="n"/>
      <c r="BG105" s="60" t="n"/>
      <c r="BH105" s="60" t="n"/>
      <c r="BI105" s="60" t="n"/>
      <c r="BJ105" s="60" t="n"/>
      <c r="BK105" s="60" t="n"/>
      <c r="BL105" s="60" t="n"/>
      <c r="BM105" s="60" t="n"/>
      <c r="BN105" s="60" t="n"/>
      <c r="BO105" s="60" t="n"/>
      <c r="BP105" s="60" t="n"/>
      <c r="BQ105" s="60" t="n"/>
      <c r="BR105" s="60" t="n"/>
      <c r="BS105" s="60" t="n"/>
      <c r="BT105" s="60" t="n"/>
      <c r="BU105" s="60" t="n"/>
      <c r="BV105" s="60" t="n"/>
      <c r="BW105" s="60" t="n"/>
      <c r="BX105" s="60" t="n"/>
      <c r="BY105" s="60" t="n"/>
      <c r="BZ105" s="60" t="n"/>
      <c r="CA105" s="60" t="n"/>
      <c r="CB105" s="60" t="n"/>
      <c r="CC105" s="60" t="n"/>
      <c r="CD105" s="60" t="n"/>
      <c r="CE105" s="60" t="n"/>
      <c r="CF105" s="60" t="n"/>
      <c r="CG105" s="60" t="n"/>
      <c r="CH105" s="60" t="n"/>
      <c r="CI105" s="60" t="n"/>
      <c r="CJ105" s="60" t="n"/>
      <c r="CK105" s="60" t="n"/>
      <c r="CL105" s="60" t="n"/>
      <c r="CM105" s="60" t="n"/>
      <c r="CN105" s="60" t="n"/>
      <c r="CO105" s="60" t="n"/>
      <c r="CP105" s="60" t="n"/>
    </row>
    <row r="106">
      <c r="A106" s="35" t="n"/>
      <c r="B106" s="35" t="n"/>
      <c r="C106" s="35" t="n"/>
      <c r="D106" s="40" t="n"/>
      <c r="E106" s="35" t="n"/>
      <c r="F106" s="59">
        <f>IF(OR(D106="",E106=""),"",WORKDAY(D106,MAX(E106,1)-1))</f>
        <v/>
      </c>
      <c r="G106" s="36" t="n"/>
      <c r="H106" s="9">
        <f>IF(D106="","",IF(G106&gt;=1,"Done",IF(TODAY()&gt;F106,"Late",IF(TODAY()&gt;=D106,"In progress","Not started"))))</f>
        <v/>
      </c>
      <c r="I106" s="9">
        <f>IF(B106="","",IF(AND(A106&lt;&gt;"",COUNTIF(Jobs!$A$5:$A$44,A106)=0),"Unknown Job ID",IF(D106="","Missing start",IF(E106="","Missing duration",""))))</f>
        <v/>
      </c>
      <c r="J106" s="35" t="n"/>
      <c r="K106" s="60" t="n"/>
      <c r="L106" s="60" t="n"/>
      <c r="M106" s="60" t="n"/>
      <c r="N106" s="60" t="n"/>
      <c r="O106" s="60" t="n"/>
      <c r="P106" s="60" t="n"/>
      <c r="Q106" s="60" t="n"/>
      <c r="R106" s="60" t="n"/>
      <c r="S106" s="60" t="n"/>
      <c r="T106" s="60" t="n"/>
      <c r="U106" s="60" t="n"/>
      <c r="V106" s="60" t="n"/>
      <c r="W106" s="60" t="n"/>
      <c r="X106" s="60" t="n"/>
      <c r="Y106" s="60" t="n"/>
      <c r="Z106" s="60" t="n"/>
      <c r="AA106" s="60" t="n"/>
      <c r="AB106" s="60" t="n"/>
      <c r="AC106" s="60" t="n"/>
      <c r="AD106" s="60" t="n"/>
      <c r="AE106" s="60" t="n"/>
      <c r="AF106" s="60" t="n"/>
      <c r="AG106" s="60" t="n"/>
      <c r="AH106" s="60" t="n"/>
      <c r="AI106" s="60" t="n"/>
      <c r="AJ106" s="60" t="n"/>
      <c r="AK106" s="60" t="n"/>
      <c r="AL106" s="60" t="n"/>
      <c r="AM106" s="60" t="n"/>
      <c r="AN106" s="60" t="n"/>
      <c r="AO106" s="60" t="n"/>
      <c r="AP106" s="60" t="n"/>
      <c r="AQ106" s="60" t="n"/>
      <c r="AR106" s="60" t="n"/>
      <c r="AS106" s="60" t="n"/>
      <c r="AT106" s="60" t="n"/>
      <c r="AU106" s="60" t="n"/>
      <c r="AV106" s="60" t="n"/>
      <c r="AW106" s="60" t="n"/>
      <c r="AX106" s="60" t="n"/>
      <c r="AY106" s="60" t="n"/>
      <c r="AZ106" s="60" t="n"/>
      <c r="BA106" s="60" t="n"/>
      <c r="BB106" s="60" t="n"/>
      <c r="BC106" s="60" t="n"/>
      <c r="BD106" s="60" t="n"/>
      <c r="BE106" s="60" t="n"/>
      <c r="BF106" s="60" t="n"/>
      <c r="BG106" s="60" t="n"/>
      <c r="BH106" s="60" t="n"/>
      <c r="BI106" s="60" t="n"/>
      <c r="BJ106" s="60" t="n"/>
      <c r="BK106" s="60" t="n"/>
      <c r="BL106" s="60" t="n"/>
      <c r="BM106" s="60" t="n"/>
      <c r="BN106" s="60" t="n"/>
      <c r="BO106" s="60" t="n"/>
      <c r="BP106" s="60" t="n"/>
      <c r="BQ106" s="60" t="n"/>
      <c r="BR106" s="60" t="n"/>
      <c r="BS106" s="60" t="n"/>
      <c r="BT106" s="60" t="n"/>
      <c r="BU106" s="60" t="n"/>
      <c r="BV106" s="60" t="n"/>
      <c r="BW106" s="60" t="n"/>
      <c r="BX106" s="60" t="n"/>
      <c r="BY106" s="60" t="n"/>
      <c r="BZ106" s="60" t="n"/>
      <c r="CA106" s="60" t="n"/>
      <c r="CB106" s="60" t="n"/>
      <c r="CC106" s="60" t="n"/>
      <c r="CD106" s="60" t="n"/>
      <c r="CE106" s="60" t="n"/>
      <c r="CF106" s="60" t="n"/>
      <c r="CG106" s="60" t="n"/>
      <c r="CH106" s="60" t="n"/>
      <c r="CI106" s="60" t="n"/>
      <c r="CJ106" s="60" t="n"/>
      <c r="CK106" s="60" t="n"/>
      <c r="CL106" s="60" t="n"/>
      <c r="CM106" s="60" t="n"/>
      <c r="CN106" s="60" t="n"/>
      <c r="CO106" s="60" t="n"/>
      <c r="CP106" s="60" t="n"/>
    </row>
    <row r="107">
      <c r="A107" s="35" t="n"/>
      <c r="B107" s="35" t="n"/>
      <c r="C107" s="35" t="n"/>
      <c r="D107" s="40" t="n"/>
      <c r="E107" s="35" t="n"/>
      <c r="F107" s="59">
        <f>IF(OR(D107="",E107=""),"",WORKDAY(D107,MAX(E107,1)-1))</f>
        <v/>
      </c>
      <c r="G107" s="36" t="n"/>
      <c r="H107" s="9">
        <f>IF(D107="","",IF(G107&gt;=1,"Done",IF(TODAY()&gt;F107,"Late",IF(TODAY()&gt;=D107,"In progress","Not started"))))</f>
        <v/>
      </c>
      <c r="I107" s="9">
        <f>IF(B107="","",IF(AND(A107&lt;&gt;"",COUNTIF(Jobs!$A$5:$A$44,A107)=0),"Unknown Job ID",IF(D107="","Missing start",IF(E107="","Missing duration",""))))</f>
        <v/>
      </c>
      <c r="J107" s="35" t="n"/>
      <c r="K107" s="60" t="n"/>
      <c r="L107" s="60" t="n"/>
      <c r="M107" s="60" t="n"/>
      <c r="N107" s="60" t="n"/>
      <c r="O107" s="60" t="n"/>
      <c r="P107" s="60" t="n"/>
      <c r="Q107" s="60" t="n"/>
      <c r="R107" s="60" t="n"/>
      <c r="S107" s="60" t="n"/>
      <c r="T107" s="60" t="n"/>
      <c r="U107" s="60" t="n"/>
      <c r="V107" s="60" t="n"/>
      <c r="W107" s="60" t="n"/>
      <c r="X107" s="60" t="n"/>
      <c r="Y107" s="60" t="n"/>
      <c r="Z107" s="60" t="n"/>
      <c r="AA107" s="60" t="n"/>
      <c r="AB107" s="60" t="n"/>
      <c r="AC107" s="60" t="n"/>
      <c r="AD107" s="60" t="n"/>
      <c r="AE107" s="60" t="n"/>
      <c r="AF107" s="60" t="n"/>
      <c r="AG107" s="60" t="n"/>
      <c r="AH107" s="60" t="n"/>
      <c r="AI107" s="60" t="n"/>
      <c r="AJ107" s="60" t="n"/>
      <c r="AK107" s="60" t="n"/>
      <c r="AL107" s="60" t="n"/>
      <c r="AM107" s="60" t="n"/>
      <c r="AN107" s="60" t="n"/>
      <c r="AO107" s="60" t="n"/>
      <c r="AP107" s="60" t="n"/>
      <c r="AQ107" s="60" t="n"/>
      <c r="AR107" s="60" t="n"/>
      <c r="AS107" s="60" t="n"/>
      <c r="AT107" s="60" t="n"/>
      <c r="AU107" s="60" t="n"/>
      <c r="AV107" s="60" t="n"/>
      <c r="AW107" s="60" t="n"/>
      <c r="AX107" s="60" t="n"/>
      <c r="AY107" s="60" t="n"/>
      <c r="AZ107" s="60" t="n"/>
      <c r="BA107" s="60" t="n"/>
      <c r="BB107" s="60" t="n"/>
      <c r="BC107" s="60" t="n"/>
      <c r="BD107" s="60" t="n"/>
      <c r="BE107" s="60" t="n"/>
      <c r="BF107" s="60" t="n"/>
      <c r="BG107" s="60" t="n"/>
      <c r="BH107" s="60" t="n"/>
      <c r="BI107" s="60" t="n"/>
      <c r="BJ107" s="60" t="n"/>
      <c r="BK107" s="60" t="n"/>
      <c r="BL107" s="60" t="n"/>
      <c r="BM107" s="60" t="n"/>
      <c r="BN107" s="60" t="n"/>
      <c r="BO107" s="60" t="n"/>
      <c r="BP107" s="60" t="n"/>
      <c r="BQ107" s="60" t="n"/>
      <c r="BR107" s="60" t="n"/>
      <c r="BS107" s="60" t="n"/>
      <c r="BT107" s="60" t="n"/>
      <c r="BU107" s="60" t="n"/>
      <c r="BV107" s="60" t="n"/>
      <c r="BW107" s="60" t="n"/>
      <c r="BX107" s="60" t="n"/>
      <c r="BY107" s="60" t="n"/>
      <c r="BZ107" s="60" t="n"/>
      <c r="CA107" s="60" t="n"/>
      <c r="CB107" s="60" t="n"/>
      <c r="CC107" s="60" t="n"/>
      <c r="CD107" s="60" t="n"/>
      <c r="CE107" s="60" t="n"/>
      <c r="CF107" s="60" t="n"/>
      <c r="CG107" s="60" t="n"/>
      <c r="CH107" s="60" t="n"/>
      <c r="CI107" s="60" t="n"/>
      <c r="CJ107" s="60" t="n"/>
      <c r="CK107" s="60" t="n"/>
      <c r="CL107" s="60" t="n"/>
      <c r="CM107" s="60" t="n"/>
      <c r="CN107" s="60" t="n"/>
      <c r="CO107" s="60" t="n"/>
      <c r="CP107" s="60" t="n"/>
    </row>
    <row r="108">
      <c r="A108" s="35" t="n"/>
      <c r="B108" s="35" t="n"/>
      <c r="C108" s="35" t="n"/>
      <c r="D108" s="40" t="n"/>
      <c r="E108" s="35" t="n"/>
      <c r="F108" s="59">
        <f>IF(OR(D108="",E108=""),"",WORKDAY(D108,MAX(E108,1)-1))</f>
        <v/>
      </c>
      <c r="G108" s="36" t="n"/>
      <c r="H108" s="9">
        <f>IF(D108="","",IF(G108&gt;=1,"Done",IF(TODAY()&gt;F108,"Late",IF(TODAY()&gt;=D108,"In progress","Not started"))))</f>
        <v/>
      </c>
      <c r="I108" s="9">
        <f>IF(B108="","",IF(AND(A108&lt;&gt;"",COUNTIF(Jobs!$A$5:$A$44,A108)=0),"Unknown Job ID",IF(D108="","Missing start",IF(E108="","Missing duration",""))))</f>
        <v/>
      </c>
      <c r="J108" s="35" t="n"/>
      <c r="K108" s="60" t="n"/>
      <c r="L108" s="60" t="n"/>
      <c r="M108" s="60" t="n"/>
      <c r="N108" s="60" t="n"/>
      <c r="O108" s="60" t="n"/>
      <c r="P108" s="60" t="n"/>
      <c r="Q108" s="60" t="n"/>
      <c r="R108" s="60" t="n"/>
      <c r="S108" s="60" t="n"/>
      <c r="T108" s="60" t="n"/>
      <c r="U108" s="60" t="n"/>
      <c r="V108" s="60" t="n"/>
      <c r="W108" s="60" t="n"/>
      <c r="X108" s="60" t="n"/>
      <c r="Y108" s="60" t="n"/>
      <c r="Z108" s="60" t="n"/>
      <c r="AA108" s="60" t="n"/>
      <c r="AB108" s="60" t="n"/>
      <c r="AC108" s="60" t="n"/>
      <c r="AD108" s="60" t="n"/>
      <c r="AE108" s="60" t="n"/>
      <c r="AF108" s="60" t="n"/>
      <c r="AG108" s="60" t="n"/>
      <c r="AH108" s="60" t="n"/>
      <c r="AI108" s="60" t="n"/>
      <c r="AJ108" s="60" t="n"/>
      <c r="AK108" s="60" t="n"/>
      <c r="AL108" s="60" t="n"/>
      <c r="AM108" s="60" t="n"/>
      <c r="AN108" s="60" t="n"/>
      <c r="AO108" s="60" t="n"/>
      <c r="AP108" s="60" t="n"/>
      <c r="AQ108" s="60" t="n"/>
      <c r="AR108" s="60" t="n"/>
      <c r="AS108" s="60" t="n"/>
      <c r="AT108" s="60" t="n"/>
      <c r="AU108" s="60" t="n"/>
      <c r="AV108" s="60" t="n"/>
      <c r="AW108" s="60" t="n"/>
      <c r="AX108" s="60" t="n"/>
      <c r="AY108" s="60" t="n"/>
      <c r="AZ108" s="60" t="n"/>
      <c r="BA108" s="60" t="n"/>
      <c r="BB108" s="60" t="n"/>
      <c r="BC108" s="60" t="n"/>
      <c r="BD108" s="60" t="n"/>
      <c r="BE108" s="60" t="n"/>
      <c r="BF108" s="60" t="n"/>
      <c r="BG108" s="60" t="n"/>
      <c r="BH108" s="60" t="n"/>
      <c r="BI108" s="60" t="n"/>
      <c r="BJ108" s="60" t="n"/>
      <c r="BK108" s="60" t="n"/>
      <c r="BL108" s="60" t="n"/>
      <c r="BM108" s="60" t="n"/>
      <c r="BN108" s="60" t="n"/>
      <c r="BO108" s="60" t="n"/>
      <c r="BP108" s="60" t="n"/>
      <c r="BQ108" s="60" t="n"/>
      <c r="BR108" s="60" t="n"/>
      <c r="BS108" s="60" t="n"/>
      <c r="BT108" s="60" t="n"/>
      <c r="BU108" s="60" t="n"/>
      <c r="BV108" s="60" t="n"/>
      <c r="BW108" s="60" t="n"/>
      <c r="BX108" s="60" t="n"/>
      <c r="BY108" s="60" t="n"/>
      <c r="BZ108" s="60" t="n"/>
      <c r="CA108" s="60" t="n"/>
      <c r="CB108" s="60" t="n"/>
      <c r="CC108" s="60" t="n"/>
      <c r="CD108" s="60" t="n"/>
      <c r="CE108" s="60" t="n"/>
      <c r="CF108" s="60" t="n"/>
      <c r="CG108" s="60" t="n"/>
      <c r="CH108" s="60" t="n"/>
      <c r="CI108" s="60" t="n"/>
      <c r="CJ108" s="60" t="n"/>
      <c r="CK108" s="60" t="n"/>
      <c r="CL108" s="60" t="n"/>
      <c r="CM108" s="60" t="n"/>
      <c r="CN108" s="60" t="n"/>
      <c r="CO108" s="60" t="n"/>
      <c r="CP108" s="60" t="n"/>
    </row>
    <row r="109">
      <c r="A109" s="35" t="n"/>
      <c r="B109" s="35" t="n"/>
      <c r="C109" s="35" t="n"/>
      <c r="D109" s="40" t="n"/>
      <c r="E109" s="35" t="n"/>
      <c r="F109" s="59">
        <f>IF(OR(D109="",E109=""),"",WORKDAY(D109,MAX(E109,1)-1))</f>
        <v/>
      </c>
      <c r="G109" s="36" t="n"/>
      <c r="H109" s="9">
        <f>IF(D109="","",IF(G109&gt;=1,"Done",IF(TODAY()&gt;F109,"Late",IF(TODAY()&gt;=D109,"In progress","Not started"))))</f>
        <v/>
      </c>
      <c r="I109" s="9">
        <f>IF(B109="","",IF(AND(A109&lt;&gt;"",COUNTIF(Jobs!$A$5:$A$44,A109)=0),"Unknown Job ID",IF(D109="","Missing start",IF(E109="","Missing duration",""))))</f>
        <v/>
      </c>
      <c r="J109" s="35" t="n"/>
      <c r="K109" s="60" t="n"/>
      <c r="L109" s="60" t="n"/>
      <c r="M109" s="60" t="n"/>
      <c r="N109" s="60" t="n"/>
      <c r="O109" s="60" t="n"/>
      <c r="P109" s="60" t="n"/>
      <c r="Q109" s="60" t="n"/>
      <c r="R109" s="60" t="n"/>
      <c r="S109" s="60" t="n"/>
      <c r="T109" s="60" t="n"/>
      <c r="U109" s="60" t="n"/>
      <c r="V109" s="60" t="n"/>
      <c r="W109" s="60" t="n"/>
      <c r="X109" s="60" t="n"/>
      <c r="Y109" s="60" t="n"/>
      <c r="Z109" s="60" t="n"/>
      <c r="AA109" s="60" t="n"/>
      <c r="AB109" s="60" t="n"/>
      <c r="AC109" s="60" t="n"/>
      <c r="AD109" s="60" t="n"/>
      <c r="AE109" s="60" t="n"/>
      <c r="AF109" s="60" t="n"/>
      <c r="AG109" s="60" t="n"/>
      <c r="AH109" s="60" t="n"/>
      <c r="AI109" s="60" t="n"/>
      <c r="AJ109" s="60" t="n"/>
      <c r="AK109" s="60" t="n"/>
      <c r="AL109" s="60" t="n"/>
      <c r="AM109" s="60" t="n"/>
      <c r="AN109" s="60" t="n"/>
      <c r="AO109" s="60" t="n"/>
      <c r="AP109" s="60" t="n"/>
      <c r="AQ109" s="60" t="n"/>
      <c r="AR109" s="60" t="n"/>
      <c r="AS109" s="60" t="n"/>
      <c r="AT109" s="60" t="n"/>
      <c r="AU109" s="60" t="n"/>
      <c r="AV109" s="60" t="n"/>
      <c r="AW109" s="60" t="n"/>
      <c r="AX109" s="60" t="n"/>
      <c r="AY109" s="60" t="n"/>
      <c r="AZ109" s="60" t="n"/>
      <c r="BA109" s="60" t="n"/>
      <c r="BB109" s="60" t="n"/>
      <c r="BC109" s="60" t="n"/>
      <c r="BD109" s="60" t="n"/>
      <c r="BE109" s="60" t="n"/>
      <c r="BF109" s="60" t="n"/>
      <c r="BG109" s="60" t="n"/>
      <c r="BH109" s="60" t="n"/>
      <c r="BI109" s="60" t="n"/>
      <c r="BJ109" s="60" t="n"/>
      <c r="BK109" s="60" t="n"/>
      <c r="BL109" s="60" t="n"/>
      <c r="BM109" s="60" t="n"/>
      <c r="BN109" s="60" t="n"/>
      <c r="BO109" s="60" t="n"/>
      <c r="BP109" s="60" t="n"/>
      <c r="BQ109" s="60" t="n"/>
      <c r="BR109" s="60" t="n"/>
      <c r="BS109" s="60" t="n"/>
      <c r="BT109" s="60" t="n"/>
      <c r="BU109" s="60" t="n"/>
      <c r="BV109" s="60" t="n"/>
      <c r="BW109" s="60" t="n"/>
      <c r="BX109" s="60" t="n"/>
      <c r="BY109" s="60" t="n"/>
      <c r="BZ109" s="60" t="n"/>
      <c r="CA109" s="60" t="n"/>
      <c r="CB109" s="60" t="n"/>
      <c r="CC109" s="60" t="n"/>
      <c r="CD109" s="60" t="n"/>
      <c r="CE109" s="60" t="n"/>
      <c r="CF109" s="60" t="n"/>
      <c r="CG109" s="60" t="n"/>
      <c r="CH109" s="60" t="n"/>
      <c r="CI109" s="60" t="n"/>
      <c r="CJ109" s="60" t="n"/>
      <c r="CK109" s="60" t="n"/>
      <c r="CL109" s="60" t="n"/>
      <c r="CM109" s="60" t="n"/>
      <c r="CN109" s="60" t="n"/>
      <c r="CO109" s="60" t="n"/>
      <c r="CP109" s="60" t="n"/>
    </row>
    <row r="110">
      <c r="A110" s="35" t="n"/>
      <c r="B110" s="35" t="n"/>
      <c r="C110" s="35" t="n"/>
      <c r="D110" s="40" t="n"/>
      <c r="E110" s="35" t="n"/>
      <c r="F110" s="59">
        <f>IF(OR(D110="",E110=""),"",WORKDAY(D110,MAX(E110,1)-1))</f>
        <v/>
      </c>
      <c r="G110" s="36" t="n"/>
      <c r="H110" s="9">
        <f>IF(D110="","",IF(G110&gt;=1,"Done",IF(TODAY()&gt;F110,"Late",IF(TODAY()&gt;=D110,"In progress","Not started"))))</f>
        <v/>
      </c>
      <c r="I110" s="9">
        <f>IF(B110="","",IF(AND(A110&lt;&gt;"",COUNTIF(Jobs!$A$5:$A$44,A110)=0),"Unknown Job ID",IF(D110="","Missing start",IF(E110="","Missing duration",""))))</f>
        <v/>
      </c>
      <c r="J110" s="35" t="n"/>
      <c r="K110" s="60" t="n"/>
      <c r="L110" s="60" t="n"/>
      <c r="M110" s="60" t="n"/>
      <c r="N110" s="60" t="n"/>
      <c r="O110" s="60" t="n"/>
      <c r="P110" s="60" t="n"/>
      <c r="Q110" s="60" t="n"/>
      <c r="R110" s="60" t="n"/>
      <c r="S110" s="60" t="n"/>
      <c r="T110" s="60" t="n"/>
      <c r="U110" s="60" t="n"/>
      <c r="V110" s="60" t="n"/>
      <c r="W110" s="60" t="n"/>
      <c r="X110" s="60" t="n"/>
      <c r="Y110" s="60" t="n"/>
      <c r="Z110" s="60" t="n"/>
      <c r="AA110" s="60" t="n"/>
      <c r="AB110" s="60" t="n"/>
      <c r="AC110" s="60" t="n"/>
      <c r="AD110" s="60" t="n"/>
      <c r="AE110" s="60" t="n"/>
      <c r="AF110" s="60" t="n"/>
      <c r="AG110" s="60" t="n"/>
      <c r="AH110" s="60" t="n"/>
      <c r="AI110" s="60" t="n"/>
      <c r="AJ110" s="60" t="n"/>
      <c r="AK110" s="60" t="n"/>
      <c r="AL110" s="60" t="n"/>
      <c r="AM110" s="60" t="n"/>
      <c r="AN110" s="60" t="n"/>
      <c r="AO110" s="60" t="n"/>
      <c r="AP110" s="60" t="n"/>
      <c r="AQ110" s="60" t="n"/>
      <c r="AR110" s="60" t="n"/>
      <c r="AS110" s="60" t="n"/>
      <c r="AT110" s="60" t="n"/>
      <c r="AU110" s="60" t="n"/>
      <c r="AV110" s="60" t="n"/>
      <c r="AW110" s="60" t="n"/>
      <c r="AX110" s="60" t="n"/>
      <c r="AY110" s="60" t="n"/>
      <c r="AZ110" s="60" t="n"/>
      <c r="BA110" s="60" t="n"/>
      <c r="BB110" s="60" t="n"/>
      <c r="BC110" s="60" t="n"/>
      <c r="BD110" s="60" t="n"/>
      <c r="BE110" s="60" t="n"/>
      <c r="BF110" s="60" t="n"/>
      <c r="BG110" s="60" t="n"/>
      <c r="BH110" s="60" t="n"/>
      <c r="BI110" s="60" t="n"/>
      <c r="BJ110" s="60" t="n"/>
      <c r="BK110" s="60" t="n"/>
      <c r="BL110" s="60" t="n"/>
      <c r="BM110" s="60" t="n"/>
      <c r="BN110" s="60" t="n"/>
      <c r="BO110" s="60" t="n"/>
      <c r="BP110" s="60" t="n"/>
      <c r="BQ110" s="60" t="n"/>
      <c r="BR110" s="60" t="n"/>
      <c r="BS110" s="60" t="n"/>
      <c r="BT110" s="60" t="n"/>
      <c r="BU110" s="60" t="n"/>
      <c r="BV110" s="60" t="n"/>
      <c r="BW110" s="60" t="n"/>
      <c r="BX110" s="60" t="n"/>
      <c r="BY110" s="60" t="n"/>
      <c r="BZ110" s="60" t="n"/>
      <c r="CA110" s="60" t="n"/>
      <c r="CB110" s="60" t="n"/>
      <c r="CC110" s="60" t="n"/>
      <c r="CD110" s="60" t="n"/>
      <c r="CE110" s="60" t="n"/>
      <c r="CF110" s="60" t="n"/>
      <c r="CG110" s="60" t="n"/>
      <c r="CH110" s="60" t="n"/>
      <c r="CI110" s="60" t="n"/>
      <c r="CJ110" s="60" t="n"/>
      <c r="CK110" s="60" t="n"/>
      <c r="CL110" s="60" t="n"/>
      <c r="CM110" s="60" t="n"/>
      <c r="CN110" s="60" t="n"/>
      <c r="CO110" s="60" t="n"/>
      <c r="CP110" s="60" t="n"/>
    </row>
    <row r="111">
      <c r="A111" s="35" t="n"/>
      <c r="B111" s="35" t="n"/>
      <c r="C111" s="35" t="n"/>
      <c r="D111" s="40" t="n"/>
      <c r="E111" s="35" t="n"/>
      <c r="F111" s="59">
        <f>IF(OR(D111="",E111=""),"",WORKDAY(D111,MAX(E111,1)-1))</f>
        <v/>
      </c>
      <c r="G111" s="36" t="n"/>
      <c r="H111" s="9">
        <f>IF(D111="","",IF(G111&gt;=1,"Done",IF(TODAY()&gt;F111,"Late",IF(TODAY()&gt;=D111,"In progress","Not started"))))</f>
        <v/>
      </c>
      <c r="I111" s="9">
        <f>IF(B111="","",IF(AND(A111&lt;&gt;"",COUNTIF(Jobs!$A$5:$A$44,A111)=0),"Unknown Job ID",IF(D111="","Missing start",IF(E111="","Missing duration",""))))</f>
        <v/>
      </c>
      <c r="J111" s="35" t="n"/>
      <c r="K111" s="60" t="n"/>
      <c r="L111" s="60" t="n"/>
      <c r="M111" s="60" t="n"/>
      <c r="N111" s="60" t="n"/>
      <c r="O111" s="60" t="n"/>
      <c r="P111" s="60" t="n"/>
      <c r="Q111" s="60" t="n"/>
      <c r="R111" s="60" t="n"/>
      <c r="S111" s="60" t="n"/>
      <c r="T111" s="60" t="n"/>
      <c r="U111" s="60" t="n"/>
      <c r="V111" s="60" t="n"/>
      <c r="W111" s="60" t="n"/>
      <c r="X111" s="60" t="n"/>
      <c r="Y111" s="60" t="n"/>
      <c r="Z111" s="60" t="n"/>
      <c r="AA111" s="60" t="n"/>
      <c r="AB111" s="60" t="n"/>
      <c r="AC111" s="60" t="n"/>
      <c r="AD111" s="60" t="n"/>
      <c r="AE111" s="60" t="n"/>
      <c r="AF111" s="60" t="n"/>
      <c r="AG111" s="60" t="n"/>
      <c r="AH111" s="60" t="n"/>
      <c r="AI111" s="60" t="n"/>
      <c r="AJ111" s="60" t="n"/>
      <c r="AK111" s="60" t="n"/>
      <c r="AL111" s="60" t="n"/>
      <c r="AM111" s="60" t="n"/>
      <c r="AN111" s="60" t="n"/>
      <c r="AO111" s="60" t="n"/>
      <c r="AP111" s="60" t="n"/>
      <c r="AQ111" s="60" t="n"/>
      <c r="AR111" s="60" t="n"/>
      <c r="AS111" s="60" t="n"/>
      <c r="AT111" s="60" t="n"/>
      <c r="AU111" s="60" t="n"/>
      <c r="AV111" s="60" t="n"/>
      <c r="AW111" s="60" t="n"/>
      <c r="AX111" s="60" t="n"/>
      <c r="AY111" s="60" t="n"/>
      <c r="AZ111" s="60" t="n"/>
      <c r="BA111" s="60" t="n"/>
      <c r="BB111" s="60" t="n"/>
      <c r="BC111" s="60" t="n"/>
      <c r="BD111" s="60" t="n"/>
      <c r="BE111" s="60" t="n"/>
      <c r="BF111" s="60" t="n"/>
      <c r="BG111" s="60" t="n"/>
      <c r="BH111" s="60" t="n"/>
      <c r="BI111" s="60" t="n"/>
      <c r="BJ111" s="60" t="n"/>
      <c r="BK111" s="60" t="n"/>
      <c r="BL111" s="60" t="n"/>
      <c r="BM111" s="60" t="n"/>
      <c r="BN111" s="60" t="n"/>
      <c r="BO111" s="60" t="n"/>
      <c r="BP111" s="60" t="n"/>
      <c r="BQ111" s="60" t="n"/>
      <c r="BR111" s="60" t="n"/>
      <c r="BS111" s="60" t="n"/>
      <c r="BT111" s="60" t="n"/>
      <c r="BU111" s="60" t="n"/>
      <c r="BV111" s="60" t="n"/>
      <c r="BW111" s="60" t="n"/>
      <c r="BX111" s="60" t="n"/>
      <c r="BY111" s="60" t="n"/>
      <c r="BZ111" s="60" t="n"/>
      <c r="CA111" s="60" t="n"/>
      <c r="CB111" s="60" t="n"/>
      <c r="CC111" s="60" t="n"/>
      <c r="CD111" s="60" t="n"/>
      <c r="CE111" s="60" t="n"/>
      <c r="CF111" s="60" t="n"/>
      <c r="CG111" s="60" t="n"/>
      <c r="CH111" s="60" t="n"/>
      <c r="CI111" s="60" t="n"/>
      <c r="CJ111" s="60" t="n"/>
      <c r="CK111" s="60" t="n"/>
      <c r="CL111" s="60" t="n"/>
      <c r="CM111" s="60" t="n"/>
      <c r="CN111" s="60" t="n"/>
      <c r="CO111" s="60" t="n"/>
      <c r="CP111" s="60" t="n"/>
    </row>
    <row r="112">
      <c r="A112" s="35" t="n"/>
      <c r="B112" s="35" t="n"/>
      <c r="C112" s="35" t="n"/>
      <c r="D112" s="40" t="n"/>
      <c r="E112" s="35" t="n"/>
      <c r="F112" s="59">
        <f>IF(OR(D112="",E112=""),"",WORKDAY(D112,MAX(E112,1)-1))</f>
        <v/>
      </c>
      <c r="G112" s="36" t="n"/>
      <c r="H112" s="9">
        <f>IF(D112="","",IF(G112&gt;=1,"Done",IF(TODAY()&gt;F112,"Late",IF(TODAY()&gt;=D112,"In progress","Not started"))))</f>
        <v/>
      </c>
      <c r="I112" s="9">
        <f>IF(B112="","",IF(AND(A112&lt;&gt;"",COUNTIF(Jobs!$A$5:$A$44,A112)=0),"Unknown Job ID",IF(D112="","Missing start",IF(E112="","Missing duration",""))))</f>
        <v/>
      </c>
      <c r="J112" s="35" t="n"/>
      <c r="K112" s="60" t="n"/>
      <c r="L112" s="60" t="n"/>
      <c r="M112" s="60" t="n"/>
      <c r="N112" s="60" t="n"/>
      <c r="O112" s="60" t="n"/>
      <c r="P112" s="60" t="n"/>
      <c r="Q112" s="60" t="n"/>
      <c r="R112" s="60" t="n"/>
      <c r="S112" s="60" t="n"/>
      <c r="T112" s="60" t="n"/>
      <c r="U112" s="60" t="n"/>
      <c r="V112" s="60" t="n"/>
      <c r="W112" s="60" t="n"/>
      <c r="X112" s="60" t="n"/>
      <c r="Y112" s="60" t="n"/>
      <c r="Z112" s="60" t="n"/>
      <c r="AA112" s="60" t="n"/>
      <c r="AB112" s="60" t="n"/>
      <c r="AC112" s="60" t="n"/>
      <c r="AD112" s="60" t="n"/>
      <c r="AE112" s="60" t="n"/>
      <c r="AF112" s="60" t="n"/>
      <c r="AG112" s="60" t="n"/>
      <c r="AH112" s="60" t="n"/>
      <c r="AI112" s="60" t="n"/>
      <c r="AJ112" s="60" t="n"/>
      <c r="AK112" s="60" t="n"/>
      <c r="AL112" s="60" t="n"/>
      <c r="AM112" s="60" t="n"/>
      <c r="AN112" s="60" t="n"/>
      <c r="AO112" s="60" t="n"/>
      <c r="AP112" s="60" t="n"/>
      <c r="AQ112" s="60" t="n"/>
      <c r="AR112" s="60" t="n"/>
      <c r="AS112" s="60" t="n"/>
      <c r="AT112" s="60" t="n"/>
      <c r="AU112" s="60" t="n"/>
      <c r="AV112" s="60" t="n"/>
      <c r="AW112" s="60" t="n"/>
      <c r="AX112" s="60" t="n"/>
      <c r="AY112" s="60" t="n"/>
      <c r="AZ112" s="60" t="n"/>
      <c r="BA112" s="60" t="n"/>
      <c r="BB112" s="60" t="n"/>
      <c r="BC112" s="60" t="n"/>
      <c r="BD112" s="60" t="n"/>
      <c r="BE112" s="60" t="n"/>
      <c r="BF112" s="60" t="n"/>
      <c r="BG112" s="60" t="n"/>
      <c r="BH112" s="60" t="n"/>
      <c r="BI112" s="60" t="n"/>
      <c r="BJ112" s="60" t="n"/>
      <c r="BK112" s="60" t="n"/>
      <c r="BL112" s="60" t="n"/>
      <c r="BM112" s="60" t="n"/>
      <c r="BN112" s="60" t="n"/>
      <c r="BO112" s="60" t="n"/>
      <c r="BP112" s="60" t="n"/>
      <c r="BQ112" s="60" t="n"/>
      <c r="BR112" s="60" t="n"/>
      <c r="BS112" s="60" t="n"/>
      <c r="BT112" s="60" t="n"/>
      <c r="BU112" s="60" t="n"/>
      <c r="BV112" s="60" t="n"/>
      <c r="BW112" s="60" t="n"/>
      <c r="BX112" s="60" t="n"/>
      <c r="BY112" s="60" t="n"/>
      <c r="BZ112" s="60" t="n"/>
      <c r="CA112" s="60" t="n"/>
      <c r="CB112" s="60" t="n"/>
      <c r="CC112" s="60" t="n"/>
      <c r="CD112" s="60" t="n"/>
      <c r="CE112" s="60" t="n"/>
      <c r="CF112" s="60" t="n"/>
      <c r="CG112" s="60" t="n"/>
      <c r="CH112" s="60" t="n"/>
      <c r="CI112" s="60" t="n"/>
      <c r="CJ112" s="60" t="n"/>
      <c r="CK112" s="60" t="n"/>
      <c r="CL112" s="60" t="n"/>
      <c r="CM112" s="60" t="n"/>
      <c r="CN112" s="60" t="n"/>
      <c r="CO112" s="60" t="n"/>
      <c r="CP112" s="60" t="n"/>
    </row>
    <row r="113">
      <c r="A113" s="35" t="n"/>
      <c r="B113" s="35" t="n"/>
      <c r="C113" s="35" t="n"/>
      <c r="D113" s="40" t="n"/>
      <c r="E113" s="35" t="n"/>
      <c r="F113" s="59">
        <f>IF(OR(D113="",E113=""),"",WORKDAY(D113,MAX(E113,1)-1))</f>
        <v/>
      </c>
      <c r="G113" s="36" t="n"/>
      <c r="H113" s="9">
        <f>IF(D113="","",IF(G113&gt;=1,"Done",IF(TODAY()&gt;F113,"Late",IF(TODAY()&gt;=D113,"In progress","Not started"))))</f>
        <v/>
      </c>
      <c r="I113" s="9">
        <f>IF(B113="","",IF(AND(A113&lt;&gt;"",COUNTIF(Jobs!$A$5:$A$44,A113)=0),"Unknown Job ID",IF(D113="","Missing start",IF(E113="","Missing duration",""))))</f>
        <v/>
      </c>
      <c r="J113" s="35" t="n"/>
      <c r="K113" s="60" t="n"/>
      <c r="L113" s="60" t="n"/>
      <c r="M113" s="60" t="n"/>
      <c r="N113" s="60" t="n"/>
      <c r="O113" s="60" t="n"/>
      <c r="P113" s="60" t="n"/>
      <c r="Q113" s="60" t="n"/>
      <c r="R113" s="60" t="n"/>
      <c r="S113" s="60" t="n"/>
      <c r="T113" s="60" t="n"/>
      <c r="U113" s="60" t="n"/>
      <c r="V113" s="60" t="n"/>
      <c r="W113" s="60" t="n"/>
      <c r="X113" s="60" t="n"/>
      <c r="Y113" s="60" t="n"/>
      <c r="Z113" s="60" t="n"/>
      <c r="AA113" s="60" t="n"/>
      <c r="AB113" s="60" t="n"/>
      <c r="AC113" s="60" t="n"/>
      <c r="AD113" s="60" t="n"/>
      <c r="AE113" s="60" t="n"/>
      <c r="AF113" s="60" t="n"/>
      <c r="AG113" s="60" t="n"/>
      <c r="AH113" s="60" t="n"/>
      <c r="AI113" s="60" t="n"/>
      <c r="AJ113" s="60" t="n"/>
      <c r="AK113" s="60" t="n"/>
      <c r="AL113" s="60" t="n"/>
      <c r="AM113" s="60" t="n"/>
      <c r="AN113" s="60" t="n"/>
      <c r="AO113" s="60" t="n"/>
      <c r="AP113" s="60" t="n"/>
      <c r="AQ113" s="60" t="n"/>
      <c r="AR113" s="60" t="n"/>
      <c r="AS113" s="60" t="n"/>
      <c r="AT113" s="60" t="n"/>
      <c r="AU113" s="60" t="n"/>
      <c r="AV113" s="60" t="n"/>
      <c r="AW113" s="60" t="n"/>
      <c r="AX113" s="60" t="n"/>
      <c r="AY113" s="60" t="n"/>
      <c r="AZ113" s="60" t="n"/>
      <c r="BA113" s="60" t="n"/>
      <c r="BB113" s="60" t="n"/>
      <c r="BC113" s="60" t="n"/>
      <c r="BD113" s="60" t="n"/>
      <c r="BE113" s="60" t="n"/>
      <c r="BF113" s="60" t="n"/>
      <c r="BG113" s="60" t="n"/>
      <c r="BH113" s="60" t="n"/>
      <c r="BI113" s="60" t="n"/>
      <c r="BJ113" s="60" t="n"/>
      <c r="BK113" s="60" t="n"/>
      <c r="BL113" s="60" t="n"/>
      <c r="BM113" s="60" t="n"/>
      <c r="BN113" s="60" t="n"/>
      <c r="BO113" s="60" t="n"/>
      <c r="BP113" s="60" t="n"/>
      <c r="BQ113" s="60" t="n"/>
      <c r="BR113" s="60" t="n"/>
      <c r="BS113" s="60" t="n"/>
      <c r="BT113" s="60" t="n"/>
      <c r="BU113" s="60" t="n"/>
      <c r="BV113" s="60" t="n"/>
      <c r="BW113" s="60" t="n"/>
      <c r="BX113" s="60" t="n"/>
      <c r="BY113" s="60" t="n"/>
      <c r="BZ113" s="60" t="n"/>
      <c r="CA113" s="60" t="n"/>
      <c r="CB113" s="60" t="n"/>
      <c r="CC113" s="60" t="n"/>
      <c r="CD113" s="60" t="n"/>
      <c r="CE113" s="60" t="n"/>
      <c r="CF113" s="60" t="n"/>
      <c r="CG113" s="60" t="n"/>
      <c r="CH113" s="60" t="n"/>
      <c r="CI113" s="60" t="n"/>
      <c r="CJ113" s="60" t="n"/>
      <c r="CK113" s="60" t="n"/>
      <c r="CL113" s="60" t="n"/>
      <c r="CM113" s="60" t="n"/>
      <c r="CN113" s="60" t="n"/>
      <c r="CO113" s="60" t="n"/>
      <c r="CP113" s="60" t="n"/>
    </row>
    <row r="114">
      <c r="A114" s="35" t="n"/>
      <c r="B114" s="35" t="n"/>
      <c r="C114" s="35" t="n"/>
      <c r="D114" s="40" t="n"/>
      <c r="E114" s="35" t="n"/>
      <c r="F114" s="59">
        <f>IF(OR(D114="",E114=""),"",WORKDAY(D114,MAX(E114,1)-1))</f>
        <v/>
      </c>
      <c r="G114" s="36" t="n"/>
      <c r="H114" s="9">
        <f>IF(D114="","",IF(G114&gt;=1,"Done",IF(TODAY()&gt;F114,"Late",IF(TODAY()&gt;=D114,"In progress","Not started"))))</f>
        <v/>
      </c>
      <c r="I114" s="9">
        <f>IF(B114="","",IF(AND(A114&lt;&gt;"",COUNTIF(Jobs!$A$5:$A$44,A114)=0),"Unknown Job ID",IF(D114="","Missing start",IF(E114="","Missing duration",""))))</f>
        <v/>
      </c>
      <c r="J114" s="35" t="n"/>
      <c r="K114" s="60" t="n"/>
      <c r="L114" s="60" t="n"/>
      <c r="M114" s="60" t="n"/>
      <c r="N114" s="60" t="n"/>
      <c r="O114" s="60" t="n"/>
      <c r="P114" s="60" t="n"/>
      <c r="Q114" s="60" t="n"/>
      <c r="R114" s="60" t="n"/>
      <c r="S114" s="60" t="n"/>
      <c r="T114" s="60" t="n"/>
      <c r="U114" s="60" t="n"/>
      <c r="V114" s="60" t="n"/>
      <c r="W114" s="60" t="n"/>
      <c r="X114" s="60" t="n"/>
      <c r="Y114" s="60" t="n"/>
      <c r="Z114" s="60" t="n"/>
      <c r="AA114" s="60" t="n"/>
      <c r="AB114" s="60" t="n"/>
      <c r="AC114" s="60" t="n"/>
      <c r="AD114" s="60" t="n"/>
      <c r="AE114" s="60" t="n"/>
      <c r="AF114" s="60" t="n"/>
      <c r="AG114" s="60" t="n"/>
      <c r="AH114" s="60" t="n"/>
      <c r="AI114" s="60" t="n"/>
      <c r="AJ114" s="60" t="n"/>
      <c r="AK114" s="60" t="n"/>
      <c r="AL114" s="60" t="n"/>
      <c r="AM114" s="60" t="n"/>
      <c r="AN114" s="60" t="n"/>
      <c r="AO114" s="60" t="n"/>
      <c r="AP114" s="60" t="n"/>
      <c r="AQ114" s="60" t="n"/>
      <c r="AR114" s="60" t="n"/>
      <c r="AS114" s="60" t="n"/>
      <c r="AT114" s="60" t="n"/>
      <c r="AU114" s="60" t="n"/>
      <c r="AV114" s="60" t="n"/>
      <c r="AW114" s="60" t="n"/>
      <c r="AX114" s="60" t="n"/>
      <c r="AY114" s="60" t="n"/>
      <c r="AZ114" s="60" t="n"/>
      <c r="BA114" s="60" t="n"/>
      <c r="BB114" s="60" t="n"/>
      <c r="BC114" s="60" t="n"/>
      <c r="BD114" s="60" t="n"/>
      <c r="BE114" s="60" t="n"/>
      <c r="BF114" s="60" t="n"/>
      <c r="BG114" s="60" t="n"/>
      <c r="BH114" s="60" t="n"/>
      <c r="BI114" s="60" t="n"/>
      <c r="BJ114" s="60" t="n"/>
      <c r="BK114" s="60" t="n"/>
      <c r="BL114" s="60" t="n"/>
      <c r="BM114" s="60" t="n"/>
      <c r="BN114" s="60" t="n"/>
      <c r="BO114" s="60" t="n"/>
      <c r="BP114" s="60" t="n"/>
      <c r="BQ114" s="60" t="n"/>
      <c r="BR114" s="60" t="n"/>
      <c r="BS114" s="60" t="n"/>
      <c r="BT114" s="60" t="n"/>
      <c r="BU114" s="60" t="n"/>
      <c r="BV114" s="60" t="n"/>
      <c r="BW114" s="60" t="n"/>
      <c r="BX114" s="60" t="n"/>
      <c r="BY114" s="60" t="n"/>
      <c r="BZ114" s="60" t="n"/>
      <c r="CA114" s="60" t="n"/>
      <c r="CB114" s="60" t="n"/>
      <c r="CC114" s="60" t="n"/>
      <c r="CD114" s="60" t="n"/>
      <c r="CE114" s="60" t="n"/>
      <c r="CF114" s="60" t="n"/>
      <c r="CG114" s="60" t="n"/>
      <c r="CH114" s="60" t="n"/>
      <c r="CI114" s="60" t="n"/>
      <c r="CJ114" s="60" t="n"/>
      <c r="CK114" s="60" t="n"/>
      <c r="CL114" s="60" t="n"/>
      <c r="CM114" s="60" t="n"/>
      <c r="CN114" s="60" t="n"/>
      <c r="CO114" s="60" t="n"/>
      <c r="CP114" s="60" t="n"/>
    </row>
    <row r="115">
      <c r="A115" s="35" t="n"/>
      <c r="B115" s="35" t="n"/>
      <c r="C115" s="35" t="n"/>
      <c r="D115" s="40" t="n"/>
      <c r="E115" s="35" t="n"/>
      <c r="F115" s="59">
        <f>IF(OR(D115="",E115=""),"",WORKDAY(D115,MAX(E115,1)-1))</f>
        <v/>
      </c>
      <c r="G115" s="36" t="n"/>
      <c r="H115" s="9">
        <f>IF(D115="","",IF(G115&gt;=1,"Done",IF(TODAY()&gt;F115,"Late",IF(TODAY()&gt;=D115,"In progress","Not started"))))</f>
        <v/>
      </c>
      <c r="I115" s="9">
        <f>IF(B115="","",IF(AND(A115&lt;&gt;"",COUNTIF(Jobs!$A$5:$A$44,A115)=0),"Unknown Job ID",IF(D115="","Missing start",IF(E115="","Missing duration",""))))</f>
        <v/>
      </c>
      <c r="J115" s="35" t="n"/>
      <c r="K115" s="60" t="n"/>
      <c r="L115" s="60" t="n"/>
      <c r="M115" s="60" t="n"/>
      <c r="N115" s="60" t="n"/>
      <c r="O115" s="60" t="n"/>
      <c r="P115" s="60" t="n"/>
      <c r="Q115" s="60" t="n"/>
      <c r="R115" s="60" t="n"/>
      <c r="S115" s="60" t="n"/>
      <c r="T115" s="60" t="n"/>
      <c r="U115" s="60" t="n"/>
      <c r="V115" s="60" t="n"/>
      <c r="W115" s="60" t="n"/>
      <c r="X115" s="60" t="n"/>
      <c r="Y115" s="60" t="n"/>
      <c r="Z115" s="60" t="n"/>
      <c r="AA115" s="60" t="n"/>
      <c r="AB115" s="60" t="n"/>
      <c r="AC115" s="60" t="n"/>
      <c r="AD115" s="60" t="n"/>
      <c r="AE115" s="60" t="n"/>
      <c r="AF115" s="60" t="n"/>
      <c r="AG115" s="60" t="n"/>
      <c r="AH115" s="60" t="n"/>
      <c r="AI115" s="60" t="n"/>
      <c r="AJ115" s="60" t="n"/>
      <c r="AK115" s="60" t="n"/>
      <c r="AL115" s="60" t="n"/>
      <c r="AM115" s="60" t="n"/>
      <c r="AN115" s="60" t="n"/>
      <c r="AO115" s="60" t="n"/>
      <c r="AP115" s="60" t="n"/>
      <c r="AQ115" s="60" t="n"/>
      <c r="AR115" s="60" t="n"/>
      <c r="AS115" s="60" t="n"/>
      <c r="AT115" s="60" t="n"/>
      <c r="AU115" s="60" t="n"/>
      <c r="AV115" s="60" t="n"/>
      <c r="AW115" s="60" t="n"/>
      <c r="AX115" s="60" t="n"/>
      <c r="AY115" s="60" t="n"/>
      <c r="AZ115" s="60" t="n"/>
      <c r="BA115" s="60" t="n"/>
      <c r="BB115" s="60" t="n"/>
      <c r="BC115" s="60" t="n"/>
      <c r="BD115" s="60" t="n"/>
      <c r="BE115" s="60" t="n"/>
      <c r="BF115" s="60" t="n"/>
      <c r="BG115" s="60" t="n"/>
      <c r="BH115" s="60" t="n"/>
      <c r="BI115" s="60" t="n"/>
      <c r="BJ115" s="60" t="n"/>
      <c r="BK115" s="60" t="n"/>
      <c r="BL115" s="60" t="n"/>
      <c r="BM115" s="60" t="n"/>
      <c r="BN115" s="60" t="n"/>
      <c r="BO115" s="60" t="n"/>
      <c r="BP115" s="60" t="n"/>
      <c r="BQ115" s="60" t="n"/>
      <c r="BR115" s="60" t="n"/>
      <c r="BS115" s="60" t="n"/>
      <c r="BT115" s="60" t="n"/>
      <c r="BU115" s="60" t="n"/>
      <c r="BV115" s="60" t="n"/>
      <c r="BW115" s="60" t="n"/>
      <c r="BX115" s="60" t="n"/>
      <c r="BY115" s="60" t="n"/>
      <c r="BZ115" s="60" t="n"/>
      <c r="CA115" s="60" t="n"/>
      <c r="CB115" s="60" t="n"/>
      <c r="CC115" s="60" t="n"/>
      <c r="CD115" s="60" t="n"/>
      <c r="CE115" s="60" t="n"/>
      <c r="CF115" s="60" t="n"/>
      <c r="CG115" s="60" t="n"/>
      <c r="CH115" s="60" t="n"/>
      <c r="CI115" s="60" t="n"/>
      <c r="CJ115" s="60" t="n"/>
      <c r="CK115" s="60" t="n"/>
      <c r="CL115" s="60" t="n"/>
      <c r="CM115" s="60" t="n"/>
      <c r="CN115" s="60" t="n"/>
      <c r="CO115" s="60" t="n"/>
      <c r="CP115" s="60" t="n"/>
    </row>
    <row r="116">
      <c r="A116" s="35" t="n"/>
      <c r="B116" s="35" t="n"/>
      <c r="C116" s="35" t="n"/>
      <c r="D116" s="40" t="n"/>
      <c r="E116" s="35" t="n"/>
      <c r="F116" s="59">
        <f>IF(OR(D116="",E116=""),"",WORKDAY(D116,MAX(E116,1)-1))</f>
        <v/>
      </c>
      <c r="G116" s="36" t="n"/>
      <c r="H116" s="9">
        <f>IF(D116="","",IF(G116&gt;=1,"Done",IF(TODAY()&gt;F116,"Late",IF(TODAY()&gt;=D116,"In progress","Not started"))))</f>
        <v/>
      </c>
      <c r="I116" s="9">
        <f>IF(B116="","",IF(AND(A116&lt;&gt;"",COUNTIF(Jobs!$A$5:$A$44,A116)=0),"Unknown Job ID",IF(D116="","Missing start",IF(E116="","Missing duration",""))))</f>
        <v/>
      </c>
      <c r="J116" s="35" t="n"/>
      <c r="K116" s="60" t="n"/>
      <c r="L116" s="60" t="n"/>
      <c r="M116" s="60" t="n"/>
      <c r="N116" s="60" t="n"/>
      <c r="O116" s="60" t="n"/>
      <c r="P116" s="60" t="n"/>
      <c r="Q116" s="60" t="n"/>
      <c r="R116" s="60" t="n"/>
      <c r="S116" s="60" t="n"/>
      <c r="T116" s="60" t="n"/>
      <c r="U116" s="60" t="n"/>
      <c r="V116" s="60" t="n"/>
      <c r="W116" s="60" t="n"/>
      <c r="X116" s="60" t="n"/>
      <c r="Y116" s="60" t="n"/>
      <c r="Z116" s="60" t="n"/>
      <c r="AA116" s="60" t="n"/>
      <c r="AB116" s="60" t="n"/>
      <c r="AC116" s="60" t="n"/>
      <c r="AD116" s="60" t="n"/>
      <c r="AE116" s="60" t="n"/>
      <c r="AF116" s="60" t="n"/>
      <c r="AG116" s="60" t="n"/>
      <c r="AH116" s="60" t="n"/>
      <c r="AI116" s="60" t="n"/>
      <c r="AJ116" s="60" t="n"/>
      <c r="AK116" s="60" t="n"/>
      <c r="AL116" s="60" t="n"/>
      <c r="AM116" s="60" t="n"/>
      <c r="AN116" s="60" t="n"/>
      <c r="AO116" s="60" t="n"/>
      <c r="AP116" s="60" t="n"/>
      <c r="AQ116" s="60" t="n"/>
      <c r="AR116" s="60" t="n"/>
      <c r="AS116" s="60" t="n"/>
      <c r="AT116" s="60" t="n"/>
      <c r="AU116" s="60" t="n"/>
      <c r="AV116" s="60" t="n"/>
      <c r="AW116" s="60" t="n"/>
      <c r="AX116" s="60" t="n"/>
      <c r="AY116" s="60" t="n"/>
      <c r="AZ116" s="60" t="n"/>
      <c r="BA116" s="60" t="n"/>
      <c r="BB116" s="60" t="n"/>
      <c r="BC116" s="60" t="n"/>
      <c r="BD116" s="60" t="n"/>
      <c r="BE116" s="60" t="n"/>
      <c r="BF116" s="60" t="n"/>
      <c r="BG116" s="60" t="n"/>
      <c r="BH116" s="60" t="n"/>
      <c r="BI116" s="60" t="n"/>
      <c r="BJ116" s="60" t="n"/>
      <c r="BK116" s="60" t="n"/>
      <c r="BL116" s="60" t="n"/>
      <c r="BM116" s="60" t="n"/>
      <c r="BN116" s="60" t="n"/>
      <c r="BO116" s="60" t="n"/>
      <c r="BP116" s="60" t="n"/>
      <c r="BQ116" s="60" t="n"/>
      <c r="BR116" s="60" t="n"/>
      <c r="BS116" s="60" t="n"/>
      <c r="BT116" s="60" t="n"/>
      <c r="BU116" s="60" t="n"/>
      <c r="BV116" s="60" t="n"/>
      <c r="BW116" s="60" t="n"/>
      <c r="BX116" s="60" t="n"/>
      <c r="BY116" s="60" t="n"/>
      <c r="BZ116" s="60" t="n"/>
      <c r="CA116" s="60" t="n"/>
      <c r="CB116" s="60" t="n"/>
      <c r="CC116" s="60" t="n"/>
      <c r="CD116" s="60" t="n"/>
      <c r="CE116" s="60" t="n"/>
      <c r="CF116" s="60" t="n"/>
      <c r="CG116" s="60" t="n"/>
      <c r="CH116" s="60" t="n"/>
      <c r="CI116" s="60" t="n"/>
      <c r="CJ116" s="60" t="n"/>
      <c r="CK116" s="60" t="n"/>
      <c r="CL116" s="60" t="n"/>
      <c r="CM116" s="60" t="n"/>
      <c r="CN116" s="60" t="n"/>
      <c r="CO116" s="60" t="n"/>
      <c r="CP116" s="60" t="n"/>
    </row>
    <row r="117">
      <c r="A117" s="35" t="n"/>
      <c r="B117" s="35" t="n"/>
      <c r="C117" s="35" t="n"/>
      <c r="D117" s="40" t="n"/>
      <c r="E117" s="35" t="n"/>
      <c r="F117" s="59">
        <f>IF(OR(D117="",E117=""),"",WORKDAY(D117,MAX(E117,1)-1))</f>
        <v/>
      </c>
      <c r="G117" s="36" t="n"/>
      <c r="H117" s="9">
        <f>IF(D117="","",IF(G117&gt;=1,"Done",IF(TODAY()&gt;F117,"Late",IF(TODAY()&gt;=D117,"In progress","Not started"))))</f>
        <v/>
      </c>
      <c r="I117" s="9">
        <f>IF(B117="","",IF(AND(A117&lt;&gt;"",COUNTIF(Jobs!$A$5:$A$44,A117)=0),"Unknown Job ID",IF(D117="","Missing start",IF(E117="","Missing duration",""))))</f>
        <v/>
      </c>
      <c r="J117" s="35" t="n"/>
      <c r="K117" s="60" t="n"/>
      <c r="L117" s="60" t="n"/>
      <c r="M117" s="60" t="n"/>
      <c r="N117" s="60" t="n"/>
      <c r="O117" s="60" t="n"/>
      <c r="P117" s="60" t="n"/>
      <c r="Q117" s="60" t="n"/>
      <c r="R117" s="60" t="n"/>
      <c r="S117" s="60" t="n"/>
      <c r="T117" s="60" t="n"/>
      <c r="U117" s="60" t="n"/>
      <c r="V117" s="60" t="n"/>
      <c r="W117" s="60" t="n"/>
      <c r="X117" s="60" t="n"/>
      <c r="Y117" s="60" t="n"/>
      <c r="Z117" s="60" t="n"/>
      <c r="AA117" s="60" t="n"/>
      <c r="AB117" s="60" t="n"/>
      <c r="AC117" s="60" t="n"/>
      <c r="AD117" s="60" t="n"/>
      <c r="AE117" s="60" t="n"/>
      <c r="AF117" s="60" t="n"/>
      <c r="AG117" s="60" t="n"/>
      <c r="AH117" s="60" t="n"/>
      <c r="AI117" s="60" t="n"/>
      <c r="AJ117" s="60" t="n"/>
      <c r="AK117" s="60" t="n"/>
      <c r="AL117" s="60" t="n"/>
      <c r="AM117" s="60" t="n"/>
      <c r="AN117" s="60" t="n"/>
      <c r="AO117" s="60" t="n"/>
      <c r="AP117" s="60" t="n"/>
      <c r="AQ117" s="60" t="n"/>
      <c r="AR117" s="60" t="n"/>
      <c r="AS117" s="60" t="n"/>
      <c r="AT117" s="60" t="n"/>
      <c r="AU117" s="60" t="n"/>
      <c r="AV117" s="60" t="n"/>
      <c r="AW117" s="60" t="n"/>
      <c r="AX117" s="60" t="n"/>
      <c r="AY117" s="60" t="n"/>
      <c r="AZ117" s="60" t="n"/>
      <c r="BA117" s="60" t="n"/>
      <c r="BB117" s="60" t="n"/>
      <c r="BC117" s="60" t="n"/>
      <c r="BD117" s="60" t="n"/>
      <c r="BE117" s="60" t="n"/>
      <c r="BF117" s="60" t="n"/>
      <c r="BG117" s="60" t="n"/>
      <c r="BH117" s="60" t="n"/>
      <c r="BI117" s="60" t="n"/>
      <c r="BJ117" s="60" t="n"/>
      <c r="BK117" s="60" t="n"/>
      <c r="BL117" s="60" t="n"/>
      <c r="BM117" s="60" t="n"/>
      <c r="BN117" s="60" t="n"/>
      <c r="BO117" s="60" t="n"/>
      <c r="BP117" s="60" t="n"/>
      <c r="BQ117" s="60" t="n"/>
      <c r="BR117" s="60" t="n"/>
      <c r="BS117" s="60" t="n"/>
      <c r="BT117" s="60" t="n"/>
      <c r="BU117" s="60" t="n"/>
      <c r="BV117" s="60" t="n"/>
      <c r="BW117" s="60" t="n"/>
      <c r="BX117" s="60" t="n"/>
      <c r="BY117" s="60" t="n"/>
      <c r="BZ117" s="60" t="n"/>
      <c r="CA117" s="60" t="n"/>
      <c r="CB117" s="60" t="n"/>
      <c r="CC117" s="60" t="n"/>
      <c r="CD117" s="60" t="n"/>
      <c r="CE117" s="60" t="n"/>
      <c r="CF117" s="60" t="n"/>
      <c r="CG117" s="60" t="n"/>
      <c r="CH117" s="60" t="n"/>
      <c r="CI117" s="60" t="n"/>
      <c r="CJ117" s="60" t="n"/>
      <c r="CK117" s="60" t="n"/>
      <c r="CL117" s="60" t="n"/>
      <c r="CM117" s="60" t="n"/>
      <c r="CN117" s="60" t="n"/>
      <c r="CO117" s="60" t="n"/>
      <c r="CP117" s="60" t="n"/>
    </row>
    <row r="118">
      <c r="A118" s="35" t="n"/>
      <c r="B118" s="35" t="n"/>
      <c r="C118" s="35" t="n"/>
      <c r="D118" s="40" t="n"/>
      <c r="E118" s="35" t="n"/>
      <c r="F118" s="59">
        <f>IF(OR(D118="",E118=""),"",WORKDAY(D118,MAX(E118,1)-1))</f>
        <v/>
      </c>
      <c r="G118" s="36" t="n"/>
      <c r="H118" s="9">
        <f>IF(D118="","",IF(G118&gt;=1,"Done",IF(TODAY()&gt;F118,"Late",IF(TODAY()&gt;=D118,"In progress","Not started"))))</f>
        <v/>
      </c>
      <c r="I118" s="9">
        <f>IF(B118="","",IF(AND(A118&lt;&gt;"",COUNTIF(Jobs!$A$5:$A$44,A118)=0),"Unknown Job ID",IF(D118="","Missing start",IF(E118="","Missing duration",""))))</f>
        <v/>
      </c>
      <c r="J118" s="35" t="n"/>
      <c r="K118" s="60" t="n"/>
      <c r="L118" s="60" t="n"/>
      <c r="M118" s="60" t="n"/>
      <c r="N118" s="60" t="n"/>
      <c r="O118" s="60" t="n"/>
      <c r="P118" s="60" t="n"/>
      <c r="Q118" s="60" t="n"/>
      <c r="R118" s="60" t="n"/>
      <c r="S118" s="60" t="n"/>
      <c r="T118" s="60" t="n"/>
      <c r="U118" s="60" t="n"/>
      <c r="V118" s="60" t="n"/>
      <c r="W118" s="60" t="n"/>
      <c r="X118" s="60" t="n"/>
      <c r="Y118" s="60" t="n"/>
      <c r="Z118" s="60" t="n"/>
      <c r="AA118" s="60" t="n"/>
      <c r="AB118" s="60" t="n"/>
      <c r="AC118" s="60" t="n"/>
      <c r="AD118" s="60" t="n"/>
      <c r="AE118" s="60" t="n"/>
      <c r="AF118" s="60" t="n"/>
      <c r="AG118" s="60" t="n"/>
      <c r="AH118" s="60" t="n"/>
      <c r="AI118" s="60" t="n"/>
      <c r="AJ118" s="60" t="n"/>
      <c r="AK118" s="60" t="n"/>
      <c r="AL118" s="60" t="n"/>
      <c r="AM118" s="60" t="n"/>
      <c r="AN118" s="60" t="n"/>
      <c r="AO118" s="60" t="n"/>
      <c r="AP118" s="60" t="n"/>
      <c r="AQ118" s="60" t="n"/>
      <c r="AR118" s="60" t="n"/>
      <c r="AS118" s="60" t="n"/>
      <c r="AT118" s="60" t="n"/>
      <c r="AU118" s="60" t="n"/>
      <c r="AV118" s="60" t="n"/>
      <c r="AW118" s="60" t="n"/>
      <c r="AX118" s="60" t="n"/>
      <c r="AY118" s="60" t="n"/>
      <c r="AZ118" s="60" t="n"/>
      <c r="BA118" s="60" t="n"/>
      <c r="BB118" s="60" t="n"/>
      <c r="BC118" s="60" t="n"/>
      <c r="BD118" s="60" t="n"/>
      <c r="BE118" s="60" t="n"/>
      <c r="BF118" s="60" t="n"/>
      <c r="BG118" s="60" t="n"/>
      <c r="BH118" s="60" t="n"/>
      <c r="BI118" s="60" t="n"/>
      <c r="BJ118" s="60" t="n"/>
      <c r="BK118" s="60" t="n"/>
      <c r="BL118" s="60" t="n"/>
      <c r="BM118" s="60" t="n"/>
      <c r="BN118" s="60" t="n"/>
      <c r="BO118" s="60" t="n"/>
      <c r="BP118" s="60" t="n"/>
      <c r="BQ118" s="60" t="n"/>
      <c r="BR118" s="60" t="n"/>
      <c r="BS118" s="60" t="n"/>
      <c r="BT118" s="60" t="n"/>
      <c r="BU118" s="60" t="n"/>
      <c r="BV118" s="60" t="n"/>
      <c r="BW118" s="60" t="n"/>
      <c r="BX118" s="60" t="n"/>
      <c r="BY118" s="60" t="n"/>
      <c r="BZ118" s="60" t="n"/>
      <c r="CA118" s="60" t="n"/>
      <c r="CB118" s="60" t="n"/>
      <c r="CC118" s="60" t="n"/>
      <c r="CD118" s="60" t="n"/>
      <c r="CE118" s="60" t="n"/>
      <c r="CF118" s="60" t="n"/>
      <c r="CG118" s="60" t="n"/>
      <c r="CH118" s="60" t="n"/>
      <c r="CI118" s="60" t="n"/>
      <c r="CJ118" s="60" t="n"/>
      <c r="CK118" s="60" t="n"/>
      <c r="CL118" s="60" t="n"/>
      <c r="CM118" s="60" t="n"/>
      <c r="CN118" s="60" t="n"/>
      <c r="CO118" s="60" t="n"/>
      <c r="CP118" s="60" t="n"/>
    </row>
    <row r="119">
      <c r="A119" s="35" t="n"/>
      <c r="B119" s="35" t="n"/>
      <c r="C119" s="35" t="n"/>
      <c r="D119" s="40" t="n"/>
      <c r="E119" s="35" t="n"/>
      <c r="F119" s="59">
        <f>IF(OR(D119="",E119=""),"",WORKDAY(D119,MAX(E119,1)-1))</f>
        <v/>
      </c>
      <c r="G119" s="36" t="n"/>
      <c r="H119" s="9">
        <f>IF(D119="","",IF(G119&gt;=1,"Done",IF(TODAY()&gt;F119,"Late",IF(TODAY()&gt;=D119,"In progress","Not started"))))</f>
        <v/>
      </c>
      <c r="I119" s="9">
        <f>IF(B119="","",IF(AND(A119&lt;&gt;"",COUNTIF(Jobs!$A$5:$A$44,A119)=0),"Unknown Job ID",IF(D119="","Missing start",IF(E119="","Missing duration",""))))</f>
        <v/>
      </c>
      <c r="J119" s="35" t="n"/>
      <c r="K119" s="60" t="n"/>
      <c r="L119" s="60" t="n"/>
      <c r="M119" s="60" t="n"/>
      <c r="N119" s="60" t="n"/>
      <c r="O119" s="60" t="n"/>
      <c r="P119" s="60" t="n"/>
      <c r="Q119" s="60" t="n"/>
      <c r="R119" s="60" t="n"/>
      <c r="S119" s="60" t="n"/>
      <c r="T119" s="60" t="n"/>
      <c r="U119" s="60" t="n"/>
      <c r="V119" s="60" t="n"/>
      <c r="W119" s="60" t="n"/>
      <c r="X119" s="60" t="n"/>
      <c r="Y119" s="60" t="n"/>
      <c r="Z119" s="60" t="n"/>
      <c r="AA119" s="60" t="n"/>
      <c r="AB119" s="60" t="n"/>
      <c r="AC119" s="60" t="n"/>
      <c r="AD119" s="60" t="n"/>
      <c r="AE119" s="60" t="n"/>
      <c r="AF119" s="60" t="n"/>
      <c r="AG119" s="60" t="n"/>
      <c r="AH119" s="60" t="n"/>
      <c r="AI119" s="60" t="n"/>
      <c r="AJ119" s="60" t="n"/>
      <c r="AK119" s="60" t="n"/>
      <c r="AL119" s="60" t="n"/>
      <c r="AM119" s="60" t="n"/>
      <c r="AN119" s="60" t="n"/>
      <c r="AO119" s="60" t="n"/>
      <c r="AP119" s="60" t="n"/>
      <c r="AQ119" s="60" t="n"/>
      <c r="AR119" s="60" t="n"/>
      <c r="AS119" s="60" t="n"/>
      <c r="AT119" s="60" t="n"/>
      <c r="AU119" s="60" t="n"/>
      <c r="AV119" s="60" t="n"/>
      <c r="AW119" s="60" t="n"/>
      <c r="AX119" s="60" t="n"/>
      <c r="AY119" s="60" t="n"/>
      <c r="AZ119" s="60" t="n"/>
      <c r="BA119" s="60" t="n"/>
      <c r="BB119" s="60" t="n"/>
      <c r="BC119" s="60" t="n"/>
      <c r="BD119" s="60" t="n"/>
      <c r="BE119" s="60" t="n"/>
      <c r="BF119" s="60" t="n"/>
      <c r="BG119" s="60" t="n"/>
      <c r="BH119" s="60" t="n"/>
      <c r="BI119" s="60" t="n"/>
      <c r="BJ119" s="60" t="n"/>
      <c r="BK119" s="60" t="n"/>
      <c r="BL119" s="60" t="n"/>
      <c r="BM119" s="60" t="n"/>
      <c r="BN119" s="60" t="n"/>
      <c r="BO119" s="60" t="n"/>
      <c r="BP119" s="60" t="n"/>
      <c r="BQ119" s="60" t="n"/>
      <c r="BR119" s="60" t="n"/>
      <c r="BS119" s="60" t="n"/>
      <c r="BT119" s="60" t="n"/>
      <c r="BU119" s="60" t="n"/>
      <c r="BV119" s="60" t="n"/>
      <c r="BW119" s="60" t="n"/>
      <c r="BX119" s="60" t="n"/>
      <c r="BY119" s="60" t="n"/>
      <c r="BZ119" s="60" t="n"/>
      <c r="CA119" s="60" t="n"/>
      <c r="CB119" s="60" t="n"/>
      <c r="CC119" s="60" t="n"/>
      <c r="CD119" s="60" t="n"/>
      <c r="CE119" s="60" t="n"/>
      <c r="CF119" s="60" t="n"/>
      <c r="CG119" s="60" t="n"/>
      <c r="CH119" s="60" t="n"/>
      <c r="CI119" s="60" t="n"/>
      <c r="CJ119" s="60" t="n"/>
      <c r="CK119" s="60" t="n"/>
      <c r="CL119" s="60" t="n"/>
      <c r="CM119" s="60" t="n"/>
      <c r="CN119" s="60" t="n"/>
      <c r="CO119" s="60" t="n"/>
      <c r="CP119" s="60" t="n"/>
    </row>
    <row r="120">
      <c r="A120" s="35" t="n"/>
      <c r="B120" s="35" t="n"/>
      <c r="C120" s="35" t="n"/>
      <c r="D120" s="40" t="n"/>
      <c r="E120" s="35" t="n"/>
      <c r="F120" s="59">
        <f>IF(OR(D120="",E120=""),"",WORKDAY(D120,MAX(E120,1)-1))</f>
        <v/>
      </c>
      <c r="G120" s="36" t="n"/>
      <c r="H120" s="9">
        <f>IF(D120="","",IF(G120&gt;=1,"Done",IF(TODAY()&gt;F120,"Late",IF(TODAY()&gt;=D120,"In progress","Not started"))))</f>
        <v/>
      </c>
      <c r="I120" s="9">
        <f>IF(B120="","",IF(AND(A120&lt;&gt;"",COUNTIF(Jobs!$A$5:$A$44,A120)=0),"Unknown Job ID",IF(D120="","Missing start",IF(E120="","Missing duration",""))))</f>
        <v/>
      </c>
      <c r="J120" s="35" t="n"/>
      <c r="K120" s="60" t="n"/>
      <c r="L120" s="60" t="n"/>
      <c r="M120" s="60" t="n"/>
      <c r="N120" s="60" t="n"/>
      <c r="O120" s="60" t="n"/>
      <c r="P120" s="60" t="n"/>
      <c r="Q120" s="60" t="n"/>
      <c r="R120" s="60" t="n"/>
      <c r="S120" s="60" t="n"/>
      <c r="T120" s="60" t="n"/>
      <c r="U120" s="60" t="n"/>
      <c r="V120" s="60" t="n"/>
      <c r="W120" s="60" t="n"/>
      <c r="X120" s="60" t="n"/>
      <c r="Y120" s="60" t="n"/>
      <c r="Z120" s="60" t="n"/>
      <c r="AA120" s="60" t="n"/>
      <c r="AB120" s="60" t="n"/>
      <c r="AC120" s="60" t="n"/>
      <c r="AD120" s="60" t="n"/>
      <c r="AE120" s="60" t="n"/>
      <c r="AF120" s="60" t="n"/>
      <c r="AG120" s="60" t="n"/>
      <c r="AH120" s="60" t="n"/>
      <c r="AI120" s="60" t="n"/>
      <c r="AJ120" s="60" t="n"/>
      <c r="AK120" s="60" t="n"/>
      <c r="AL120" s="60" t="n"/>
      <c r="AM120" s="60" t="n"/>
      <c r="AN120" s="60" t="n"/>
      <c r="AO120" s="60" t="n"/>
      <c r="AP120" s="60" t="n"/>
      <c r="AQ120" s="60" t="n"/>
      <c r="AR120" s="60" t="n"/>
      <c r="AS120" s="60" t="n"/>
      <c r="AT120" s="60" t="n"/>
      <c r="AU120" s="60" t="n"/>
      <c r="AV120" s="60" t="n"/>
      <c r="AW120" s="60" t="n"/>
      <c r="AX120" s="60" t="n"/>
      <c r="AY120" s="60" t="n"/>
      <c r="AZ120" s="60" t="n"/>
      <c r="BA120" s="60" t="n"/>
      <c r="BB120" s="60" t="n"/>
      <c r="BC120" s="60" t="n"/>
      <c r="BD120" s="60" t="n"/>
      <c r="BE120" s="60" t="n"/>
      <c r="BF120" s="60" t="n"/>
      <c r="BG120" s="60" t="n"/>
      <c r="BH120" s="60" t="n"/>
      <c r="BI120" s="60" t="n"/>
      <c r="BJ120" s="60" t="n"/>
      <c r="BK120" s="60" t="n"/>
      <c r="BL120" s="60" t="n"/>
      <c r="BM120" s="60" t="n"/>
      <c r="BN120" s="60" t="n"/>
      <c r="BO120" s="60" t="n"/>
      <c r="BP120" s="60" t="n"/>
      <c r="BQ120" s="60" t="n"/>
      <c r="BR120" s="60" t="n"/>
      <c r="BS120" s="60" t="n"/>
      <c r="BT120" s="60" t="n"/>
      <c r="BU120" s="60" t="n"/>
      <c r="BV120" s="60" t="n"/>
      <c r="BW120" s="60" t="n"/>
      <c r="BX120" s="60" t="n"/>
      <c r="BY120" s="60" t="n"/>
      <c r="BZ120" s="60" t="n"/>
      <c r="CA120" s="60" t="n"/>
      <c r="CB120" s="60" t="n"/>
      <c r="CC120" s="60" t="n"/>
      <c r="CD120" s="60" t="n"/>
      <c r="CE120" s="60" t="n"/>
      <c r="CF120" s="60" t="n"/>
      <c r="CG120" s="60" t="n"/>
      <c r="CH120" s="60" t="n"/>
      <c r="CI120" s="60" t="n"/>
      <c r="CJ120" s="60" t="n"/>
      <c r="CK120" s="60" t="n"/>
      <c r="CL120" s="60" t="n"/>
      <c r="CM120" s="60" t="n"/>
      <c r="CN120" s="60" t="n"/>
      <c r="CO120" s="60" t="n"/>
      <c r="CP120" s="60" t="n"/>
    </row>
    <row r="121">
      <c r="A121" s="35" t="n"/>
      <c r="B121" s="35" t="n"/>
      <c r="C121" s="35" t="n"/>
      <c r="D121" s="40" t="n"/>
      <c r="E121" s="35" t="n"/>
      <c r="F121" s="59">
        <f>IF(OR(D121="",E121=""),"",WORKDAY(D121,MAX(E121,1)-1))</f>
        <v/>
      </c>
      <c r="G121" s="36" t="n"/>
      <c r="H121" s="9">
        <f>IF(D121="","",IF(G121&gt;=1,"Done",IF(TODAY()&gt;F121,"Late",IF(TODAY()&gt;=D121,"In progress","Not started"))))</f>
        <v/>
      </c>
      <c r="I121" s="9">
        <f>IF(B121="","",IF(AND(A121&lt;&gt;"",COUNTIF(Jobs!$A$5:$A$44,A121)=0),"Unknown Job ID",IF(D121="","Missing start",IF(E121="","Missing duration",""))))</f>
        <v/>
      </c>
      <c r="J121" s="35" t="n"/>
      <c r="K121" s="60" t="n"/>
      <c r="L121" s="60" t="n"/>
      <c r="M121" s="60" t="n"/>
      <c r="N121" s="60" t="n"/>
      <c r="O121" s="60" t="n"/>
      <c r="P121" s="60" t="n"/>
      <c r="Q121" s="60" t="n"/>
      <c r="R121" s="60" t="n"/>
      <c r="S121" s="60" t="n"/>
      <c r="T121" s="60" t="n"/>
      <c r="U121" s="60" t="n"/>
      <c r="V121" s="60" t="n"/>
      <c r="W121" s="60" t="n"/>
      <c r="X121" s="60" t="n"/>
      <c r="Y121" s="60" t="n"/>
      <c r="Z121" s="60" t="n"/>
      <c r="AA121" s="60" t="n"/>
      <c r="AB121" s="60" t="n"/>
      <c r="AC121" s="60" t="n"/>
      <c r="AD121" s="60" t="n"/>
      <c r="AE121" s="60" t="n"/>
      <c r="AF121" s="60" t="n"/>
      <c r="AG121" s="60" t="n"/>
      <c r="AH121" s="60" t="n"/>
      <c r="AI121" s="60" t="n"/>
      <c r="AJ121" s="60" t="n"/>
      <c r="AK121" s="60" t="n"/>
      <c r="AL121" s="60" t="n"/>
      <c r="AM121" s="60" t="n"/>
      <c r="AN121" s="60" t="n"/>
      <c r="AO121" s="60" t="n"/>
      <c r="AP121" s="60" t="n"/>
      <c r="AQ121" s="60" t="n"/>
      <c r="AR121" s="60" t="n"/>
      <c r="AS121" s="60" t="n"/>
      <c r="AT121" s="60" t="n"/>
      <c r="AU121" s="60" t="n"/>
      <c r="AV121" s="60" t="n"/>
      <c r="AW121" s="60" t="n"/>
      <c r="AX121" s="60" t="n"/>
      <c r="AY121" s="60" t="n"/>
      <c r="AZ121" s="60" t="n"/>
      <c r="BA121" s="60" t="n"/>
      <c r="BB121" s="60" t="n"/>
      <c r="BC121" s="60" t="n"/>
      <c r="BD121" s="60" t="n"/>
      <c r="BE121" s="60" t="n"/>
      <c r="BF121" s="60" t="n"/>
      <c r="BG121" s="60" t="n"/>
      <c r="BH121" s="60" t="n"/>
      <c r="BI121" s="60" t="n"/>
      <c r="BJ121" s="60" t="n"/>
      <c r="BK121" s="60" t="n"/>
      <c r="BL121" s="60" t="n"/>
      <c r="BM121" s="60" t="n"/>
      <c r="BN121" s="60" t="n"/>
      <c r="BO121" s="60" t="n"/>
      <c r="BP121" s="60" t="n"/>
      <c r="BQ121" s="60" t="n"/>
      <c r="BR121" s="60" t="n"/>
      <c r="BS121" s="60" t="n"/>
      <c r="BT121" s="60" t="n"/>
      <c r="BU121" s="60" t="n"/>
      <c r="BV121" s="60" t="n"/>
      <c r="BW121" s="60" t="n"/>
      <c r="BX121" s="60" t="n"/>
      <c r="BY121" s="60" t="n"/>
      <c r="BZ121" s="60" t="n"/>
      <c r="CA121" s="60" t="n"/>
      <c r="CB121" s="60" t="n"/>
      <c r="CC121" s="60" t="n"/>
      <c r="CD121" s="60" t="n"/>
      <c r="CE121" s="60" t="n"/>
      <c r="CF121" s="60" t="n"/>
      <c r="CG121" s="60" t="n"/>
      <c r="CH121" s="60" t="n"/>
      <c r="CI121" s="60" t="n"/>
      <c r="CJ121" s="60" t="n"/>
      <c r="CK121" s="60" t="n"/>
      <c r="CL121" s="60" t="n"/>
      <c r="CM121" s="60" t="n"/>
      <c r="CN121" s="60" t="n"/>
      <c r="CO121" s="60" t="n"/>
      <c r="CP121" s="60" t="n"/>
    </row>
    <row r="122">
      <c r="A122" s="35" t="n"/>
      <c r="B122" s="35" t="n"/>
      <c r="C122" s="35" t="n"/>
      <c r="D122" s="40" t="n"/>
      <c r="E122" s="35" t="n"/>
      <c r="F122" s="59">
        <f>IF(OR(D122="",E122=""),"",WORKDAY(D122,MAX(E122,1)-1))</f>
        <v/>
      </c>
      <c r="G122" s="36" t="n"/>
      <c r="H122" s="9">
        <f>IF(D122="","",IF(G122&gt;=1,"Done",IF(TODAY()&gt;F122,"Late",IF(TODAY()&gt;=D122,"In progress","Not started"))))</f>
        <v/>
      </c>
      <c r="I122" s="9">
        <f>IF(B122="","",IF(AND(A122&lt;&gt;"",COUNTIF(Jobs!$A$5:$A$44,A122)=0),"Unknown Job ID",IF(D122="","Missing start",IF(E122="","Missing duration",""))))</f>
        <v/>
      </c>
      <c r="J122" s="35" t="n"/>
      <c r="K122" s="60" t="n"/>
      <c r="L122" s="60" t="n"/>
      <c r="M122" s="60" t="n"/>
      <c r="N122" s="60" t="n"/>
      <c r="O122" s="60" t="n"/>
      <c r="P122" s="60" t="n"/>
      <c r="Q122" s="60" t="n"/>
      <c r="R122" s="60" t="n"/>
      <c r="S122" s="60" t="n"/>
      <c r="T122" s="60" t="n"/>
      <c r="U122" s="60" t="n"/>
      <c r="V122" s="60" t="n"/>
      <c r="W122" s="60" t="n"/>
      <c r="X122" s="60" t="n"/>
      <c r="Y122" s="60" t="n"/>
      <c r="Z122" s="60" t="n"/>
      <c r="AA122" s="60" t="n"/>
      <c r="AB122" s="60" t="n"/>
      <c r="AC122" s="60" t="n"/>
      <c r="AD122" s="60" t="n"/>
      <c r="AE122" s="60" t="n"/>
      <c r="AF122" s="60" t="n"/>
      <c r="AG122" s="60" t="n"/>
      <c r="AH122" s="60" t="n"/>
      <c r="AI122" s="60" t="n"/>
      <c r="AJ122" s="60" t="n"/>
      <c r="AK122" s="60" t="n"/>
      <c r="AL122" s="60" t="n"/>
      <c r="AM122" s="60" t="n"/>
      <c r="AN122" s="60" t="n"/>
      <c r="AO122" s="60" t="n"/>
      <c r="AP122" s="60" t="n"/>
      <c r="AQ122" s="60" t="n"/>
      <c r="AR122" s="60" t="n"/>
      <c r="AS122" s="60" t="n"/>
      <c r="AT122" s="60" t="n"/>
      <c r="AU122" s="60" t="n"/>
      <c r="AV122" s="60" t="n"/>
      <c r="AW122" s="60" t="n"/>
      <c r="AX122" s="60" t="n"/>
      <c r="AY122" s="60" t="n"/>
      <c r="AZ122" s="60" t="n"/>
      <c r="BA122" s="60" t="n"/>
      <c r="BB122" s="60" t="n"/>
      <c r="BC122" s="60" t="n"/>
      <c r="BD122" s="60" t="n"/>
      <c r="BE122" s="60" t="n"/>
      <c r="BF122" s="60" t="n"/>
      <c r="BG122" s="60" t="n"/>
      <c r="BH122" s="60" t="n"/>
      <c r="BI122" s="60" t="n"/>
      <c r="BJ122" s="60" t="n"/>
      <c r="BK122" s="60" t="n"/>
      <c r="BL122" s="60" t="n"/>
      <c r="BM122" s="60" t="n"/>
      <c r="BN122" s="60" t="n"/>
      <c r="BO122" s="60" t="n"/>
      <c r="BP122" s="60" t="n"/>
      <c r="BQ122" s="60" t="n"/>
      <c r="BR122" s="60" t="n"/>
      <c r="BS122" s="60" t="n"/>
      <c r="BT122" s="60" t="n"/>
      <c r="BU122" s="60" t="n"/>
      <c r="BV122" s="60" t="n"/>
      <c r="BW122" s="60" t="n"/>
      <c r="BX122" s="60" t="n"/>
      <c r="BY122" s="60" t="n"/>
      <c r="BZ122" s="60" t="n"/>
      <c r="CA122" s="60" t="n"/>
      <c r="CB122" s="60" t="n"/>
      <c r="CC122" s="60" t="n"/>
      <c r="CD122" s="60" t="n"/>
      <c r="CE122" s="60" t="n"/>
      <c r="CF122" s="60" t="n"/>
      <c r="CG122" s="60" t="n"/>
      <c r="CH122" s="60" t="n"/>
      <c r="CI122" s="60" t="n"/>
      <c r="CJ122" s="60" t="n"/>
      <c r="CK122" s="60" t="n"/>
      <c r="CL122" s="60" t="n"/>
      <c r="CM122" s="60" t="n"/>
      <c r="CN122" s="60" t="n"/>
      <c r="CO122" s="60" t="n"/>
      <c r="CP122" s="60" t="n"/>
    </row>
    <row r="123">
      <c r="A123" s="35" t="n"/>
      <c r="B123" s="35" t="n"/>
      <c r="C123" s="35" t="n"/>
      <c r="D123" s="40" t="n"/>
      <c r="E123" s="35" t="n"/>
      <c r="F123" s="59">
        <f>IF(OR(D123="",E123=""),"",WORKDAY(D123,MAX(E123,1)-1))</f>
        <v/>
      </c>
      <c r="G123" s="36" t="n"/>
      <c r="H123" s="9">
        <f>IF(D123="","",IF(G123&gt;=1,"Done",IF(TODAY()&gt;F123,"Late",IF(TODAY()&gt;=D123,"In progress","Not started"))))</f>
        <v/>
      </c>
      <c r="I123" s="9">
        <f>IF(B123="","",IF(AND(A123&lt;&gt;"",COUNTIF(Jobs!$A$5:$A$44,A123)=0),"Unknown Job ID",IF(D123="","Missing start",IF(E123="","Missing duration",""))))</f>
        <v/>
      </c>
      <c r="J123" s="35" t="n"/>
      <c r="K123" s="60" t="n"/>
      <c r="L123" s="60" t="n"/>
      <c r="M123" s="60" t="n"/>
      <c r="N123" s="60" t="n"/>
      <c r="O123" s="60" t="n"/>
      <c r="P123" s="60" t="n"/>
      <c r="Q123" s="60" t="n"/>
      <c r="R123" s="60" t="n"/>
      <c r="S123" s="60" t="n"/>
      <c r="T123" s="60" t="n"/>
      <c r="U123" s="60" t="n"/>
      <c r="V123" s="60" t="n"/>
      <c r="W123" s="60" t="n"/>
      <c r="X123" s="60" t="n"/>
      <c r="Y123" s="60" t="n"/>
      <c r="Z123" s="60" t="n"/>
      <c r="AA123" s="60" t="n"/>
      <c r="AB123" s="60" t="n"/>
      <c r="AC123" s="60" t="n"/>
      <c r="AD123" s="60" t="n"/>
      <c r="AE123" s="60" t="n"/>
      <c r="AF123" s="60" t="n"/>
      <c r="AG123" s="60" t="n"/>
      <c r="AH123" s="60" t="n"/>
      <c r="AI123" s="60" t="n"/>
      <c r="AJ123" s="60" t="n"/>
      <c r="AK123" s="60" t="n"/>
      <c r="AL123" s="60" t="n"/>
      <c r="AM123" s="60" t="n"/>
      <c r="AN123" s="60" t="n"/>
      <c r="AO123" s="60" t="n"/>
      <c r="AP123" s="60" t="n"/>
      <c r="AQ123" s="60" t="n"/>
      <c r="AR123" s="60" t="n"/>
      <c r="AS123" s="60" t="n"/>
      <c r="AT123" s="60" t="n"/>
      <c r="AU123" s="60" t="n"/>
      <c r="AV123" s="60" t="n"/>
      <c r="AW123" s="60" t="n"/>
      <c r="AX123" s="60" t="n"/>
      <c r="AY123" s="60" t="n"/>
      <c r="AZ123" s="60" t="n"/>
      <c r="BA123" s="60" t="n"/>
      <c r="BB123" s="60" t="n"/>
      <c r="BC123" s="60" t="n"/>
      <c r="BD123" s="60" t="n"/>
      <c r="BE123" s="60" t="n"/>
      <c r="BF123" s="60" t="n"/>
      <c r="BG123" s="60" t="n"/>
      <c r="BH123" s="60" t="n"/>
      <c r="BI123" s="60" t="n"/>
      <c r="BJ123" s="60" t="n"/>
      <c r="BK123" s="60" t="n"/>
      <c r="BL123" s="60" t="n"/>
      <c r="BM123" s="60" t="n"/>
      <c r="BN123" s="60" t="n"/>
      <c r="BO123" s="60" t="n"/>
      <c r="BP123" s="60" t="n"/>
      <c r="BQ123" s="60" t="n"/>
      <c r="BR123" s="60" t="n"/>
      <c r="BS123" s="60" t="n"/>
      <c r="BT123" s="60" t="n"/>
      <c r="BU123" s="60" t="n"/>
      <c r="BV123" s="60" t="n"/>
      <c r="BW123" s="60" t="n"/>
      <c r="BX123" s="60" t="n"/>
      <c r="BY123" s="60" t="n"/>
      <c r="BZ123" s="60" t="n"/>
      <c r="CA123" s="60" t="n"/>
      <c r="CB123" s="60" t="n"/>
      <c r="CC123" s="60" t="n"/>
      <c r="CD123" s="60" t="n"/>
      <c r="CE123" s="60" t="n"/>
      <c r="CF123" s="60" t="n"/>
      <c r="CG123" s="60" t="n"/>
      <c r="CH123" s="60" t="n"/>
      <c r="CI123" s="60" t="n"/>
      <c r="CJ123" s="60" t="n"/>
      <c r="CK123" s="60" t="n"/>
      <c r="CL123" s="60" t="n"/>
      <c r="CM123" s="60" t="n"/>
      <c r="CN123" s="60" t="n"/>
      <c r="CO123" s="60" t="n"/>
      <c r="CP123" s="60" t="n"/>
    </row>
    <row r="124">
      <c r="A124" s="35" t="n"/>
      <c r="B124" s="35" t="n"/>
      <c r="C124" s="35" t="n"/>
      <c r="D124" s="40" t="n"/>
      <c r="E124" s="35" t="n"/>
      <c r="F124" s="59">
        <f>IF(OR(D124="",E124=""),"",WORKDAY(D124,MAX(E124,1)-1))</f>
        <v/>
      </c>
      <c r="G124" s="36" t="n"/>
      <c r="H124" s="9">
        <f>IF(D124="","",IF(G124&gt;=1,"Done",IF(TODAY()&gt;F124,"Late",IF(TODAY()&gt;=D124,"In progress","Not started"))))</f>
        <v/>
      </c>
      <c r="I124" s="9">
        <f>IF(B124="","",IF(AND(A124&lt;&gt;"",COUNTIF(Jobs!$A$5:$A$44,A124)=0),"Unknown Job ID",IF(D124="","Missing start",IF(E124="","Missing duration",""))))</f>
        <v/>
      </c>
      <c r="J124" s="35" t="n"/>
      <c r="K124" s="60" t="n"/>
      <c r="L124" s="60" t="n"/>
      <c r="M124" s="60" t="n"/>
      <c r="N124" s="60" t="n"/>
      <c r="O124" s="60" t="n"/>
      <c r="P124" s="60" t="n"/>
      <c r="Q124" s="60" t="n"/>
      <c r="R124" s="60" t="n"/>
      <c r="S124" s="60" t="n"/>
      <c r="T124" s="60" t="n"/>
      <c r="U124" s="60" t="n"/>
      <c r="V124" s="60" t="n"/>
      <c r="W124" s="60" t="n"/>
      <c r="X124" s="60" t="n"/>
      <c r="Y124" s="60" t="n"/>
      <c r="Z124" s="60" t="n"/>
      <c r="AA124" s="60" t="n"/>
      <c r="AB124" s="60" t="n"/>
      <c r="AC124" s="60" t="n"/>
      <c r="AD124" s="60" t="n"/>
      <c r="AE124" s="60" t="n"/>
      <c r="AF124" s="60" t="n"/>
      <c r="AG124" s="60" t="n"/>
      <c r="AH124" s="60" t="n"/>
      <c r="AI124" s="60" t="n"/>
      <c r="AJ124" s="60" t="n"/>
      <c r="AK124" s="60" t="n"/>
      <c r="AL124" s="60" t="n"/>
      <c r="AM124" s="60" t="n"/>
      <c r="AN124" s="60" t="n"/>
      <c r="AO124" s="60" t="n"/>
      <c r="AP124" s="60" t="n"/>
      <c r="AQ124" s="60" t="n"/>
      <c r="AR124" s="60" t="n"/>
      <c r="AS124" s="60" t="n"/>
      <c r="AT124" s="60" t="n"/>
      <c r="AU124" s="60" t="n"/>
      <c r="AV124" s="60" t="n"/>
      <c r="AW124" s="60" t="n"/>
      <c r="AX124" s="60" t="n"/>
      <c r="AY124" s="60" t="n"/>
      <c r="AZ124" s="60" t="n"/>
      <c r="BA124" s="60" t="n"/>
      <c r="BB124" s="60" t="n"/>
      <c r="BC124" s="60" t="n"/>
      <c r="BD124" s="60" t="n"/>
      <c r="BE124" s="60" t="n"/>
      <c r="BF124" s="60" t="n"/>
      <c r="BG124" s="60" t="n"/>
      <c r="BH124" s="60" t="n"/>
      <c r="BI124" s="60" t="n"/>
      <c r="BJ124" s="60" t="n"/>
      <c r="BK124" s="60" t="n"/>
      <c r="BL124" s="60" t="n"/>
      <c r="BM124" s="60" t="n"/>
      <c r="BN124" s="60" t="n"/>
      <c r="BO124" s="60" t="n"/>
      <c r="BP124" s="60" t="n"/>
      <c r="BQ124" s="60" t="n"/>
      <c r="BR124" s="60" t="n"/>
      <c r="BS124" s="60" t="n"/>
      <c r="BT124" s="60" t="n"/>
      <c r="BU124" s="60" t="n"/>
      <c r="BV124" s="60" t="n"/>
      <c r="BW124" s="60" t="n"/>
      <c r="BX124" s="60" t="n"/>
      <c r="BY124" s="60" t="n"/>
      <c r="BZ124" s="60" t="n"/>
      <c r="CA124" s="60" t="n"/>
      <c r="CB124" s="60" t="n"/>
      <c r="CC124" s="60" t="n"/>
      <c r="CD124" s="60" t="n"/>
      <c r="CE124" s="60" t="n"/>
      <c r="CF124" s="60" t="n"/>
      <c r="CG124" s="60" t="n"/>
      <c r="CH124" s="60" t="n"/>
      <c r="CI124" s="60" t="n"/>
      <c r="CJ124" s="60" t="n"/>
      <c r="CK124" s="60" t="n"/>
      <c r="CL124" s="60" t="n"/>
      <c r="CM124" s="60" t="n"/>
      <c r="CN124" s="60" t="n"/>
      <c r="CO124" s="60" t="n"/>
      <c r="CP124" s="60" t="n"/>
    </row>
    <row r="125">
      <c r="A125" s="35" t="n"/>
      <c r="B125" s="35" t="n"/>
      <c r="C125" s="35" t="n"/>
      <c r="D125" s="40" t="n"/>
      <c r="E125" s="35" t="n"/>
      <c r="F125" s="59">
        <f>IF(OR(D125="",E125=""),"",WORKDAY(D125,MAX(E125,1)-1))</f>
        <v/>
      </c>
      <c r="G125" s="36" t="n"/>
      <c r="H125" s="9">
        <f>IF(D125="","",IF(G125&gt;=1,"Done",IF(TODAY()&gt;F125,"Late",IF(TODAY()&gt;=D125,"In progress","Not started"))))</f>
        <v/>
      </c>
      <c r="I125" s="9">
        <f>IF(B125="","",IF(AND(A125&lt;&gt;"",COUNTIF(Jobs!$A$5:$A$44,A125)=0),"Unknown Job ID",IF(D125="","Missing start",IF(E125="","Missing duration",""))))</f>
        <v/>
      </c>
      <c r="J125" s="35" t="n"/>
      <c r="K125" s="60" t="n"/>
      <c r="L125" s="60" t="n"/>
      <c r="M125" s="60" t="n"/>
      <c r="N125" s="60" t="n"/>
      <c r="O125" s="60" t="n"/>
      <c r="P125" s="60" t="n"/>
      <c r="Q125" s="60" t="n"/>
      <c r="R125" s="60" t="n"/>
      <c r="S125" s="60" t="n"/>
      <c r="T125" s="60" t="n"/>
      <c r="U125" s="60" t="n"/>
      <c r="V125" s="60" t="n"/>
      <c r="W125" s="60" t="n"/>
      <c r="X125" s="60" t="n"/>
      <c r="Y125" s="60" t="n"/>
      <c r="Z125" s="60" t="n"/>
      <c r="AA125" s="60" t="n"/>
      <c r="AB125" s="60" t="n"/>
      <c r="AC125" s="60" t="n"/>
      <c r="AD125" s="60" t="n"/>
      <c r="AE125" s="60" t="n"/>
      <c r="AF125" s="60" t="n"/>
      <c r="AG125" s="60" t="n"/>
      <c r="AH125" s="60" t="n"/>
      <c r="AI125" s="60" t="n"/>
      <c r="AJ125" s="60" t="n"/>
      <c r="AK125" s="60" t="n"/>
      <c r="AL125" s="60" t="n"/>
      <c r="AM125" s="60" t="n"/>
      <c r="AN125" s="60" t="n"/>
      <c r="AO125" s="60" t="n"/>
      <c r="AP125" s="60" t="n"/>
      <c r="AQ125" s="60" t="n"/>
      <c r="AR125" s="60" t="n"/>
      <c r="AS125" s="60" t="n"/>
      <c r="AT125" s="60" t="n"/>
      <c r="AU125" s="60" t="n"/>
      <c r="AV125" s="60" t="n"/>
      <c r="AW125" s="60" t="n"/>
      <c r="AX125" s="60" t="n"/>
      <c r="AY125" s="60" t="n"/>
      <c r="AZ125" s="60" t="n"/>
      <c r="BA125" s="60" t="n"/>
      <c r="BB125" s="60" t="n"/>
      <c r="BC125" s="60" t="n"/>
      <c r="BD125" s="60" t="n"/>
      <c r="BE125" s="60" t="n"/>
      <c r="BF125" s="60" t="n"/>
      <c r="BG125" s="60" t="n"/>
      <c r="BH125" s="60" t="n"/>
      <c r="BI125" s="60" t="n"/>
      <c r="BJ125" s="60" t="n"/>
      <c r="BK125" s="60" t="n"/>
      <c r="BL125" s="60" t="n"/>
      <c r="BM125" s="60" t="n"/>
      <c r="BN125" s="60" t="n"/>
      <c r="BO125" s="60" t="n"/>
      <c r="BP125" s="60" t="n"/>
      <c r="BQ125" s="60" t="n"/>
      <c r="BR125" s="60" t="n"/>
      <c r="BS125" s="60" t="n"/>
      <c r="BT125" s="60" t="n"/>
      <c r="BU125" s="60" t="n"/>
      <c r="BV125" s="60" t="n"/>
      <c r="BW125" s="60" t="n"/>
      <c r="BX125" s="60" t="n"/>
      <c r="BY125" s="60" t="n"/>
      <c r="BZ125" s="60" t="n"/>
      <c r="CA125" s="60" t="n"/>
      <c r="CB125" s="60" t="n"/>
      <c r="CC125" s="60" t="n"/>
      <c r="CD125" s="60" t="n"/>
      <c r="CE125" s="60" t="n"/>
      <c r="CF125" s="60" t="n"/>
      <c r="CG125" s="60" t="n"/>
      <c r="CH125" s="60" t="n"/>
      <c r="CI125" s="60" t="n"/>
      <c r="CJ125" s="60" t="n"/>
      <c r="CK125" s="60" t="n"/>
      <c r="CL125" s="60" t="n"/>
      <c r="CM125" s="60" t="n"/>
      <c r="CN125" s="60" t="n"/>
      <c r="CO125" s="60" t="n"/>
      <c r="CP125" s="60" t="n"/>
    </row>
    <row r="126">
      <c r="A126" s="35" t="n"/>
      <c r="B126" s="35" t="n"/>
      <c r="C126" s="35" t="n"/>
      <c r="D126" s="40" t="n"/>
      <c r="E126" s="35" t="n"/>
      <c r="F126" s="59">
        <f>IF(OR(D126="",E126=""),"",WORKDAY(D126,MAX(E126,1)-1))</f>
        <v/>
      </c>
      <c r="G126" s="36" t="n"/>
      <c r="H126" s="9">
        <f>IF(D126="","",IF(G126&gt;=1,"Done",IF(TODAY()&gt;F126,"Late",IF(TODAY()&gt;=D126,"In progress","Not started"))))</f>
        <v/>
      </c>
      <c r="I126" s="9">
        <f>IF(B126="","",IF(AND(A126&lt;&gt;"",COUNTIF(Jobs!$A$5:$A$44,A126)=0),"Unknown Job ID",IF(D126="","Missing start",IF(E126="","Missing duration",""))))</f>
        <v/>
      </c>
      <c r="J126" s="35" t="n"/>
      <c r="K126" s="60" t="n"/>
      <c r="L126" s="60" t="n"/>
      <c r="M126" s="60" t="n"/>
      <c r="N126" s="60" t="n"/>
      <c r="O126" s="60" t="n"/>
      <c r="P126" s="60" t="n"/>
      <c r="Q126" s="60" t="n"/>
      <c r="R126" s="60" t="n"/>
      <c r="S126" s="60" t="n"/>
      <c r="T126" s="60" t="n"/>
      <c r="U126" s="60" t="n"/>
      <c r="V126" s="60" t="n"/>
      <c r="W126" s="60" t="n"/>
      <c r="X126" s="60" t="n"/>
      <c r="Y126" s="60" t="n"/>
      <c r="Z126" s="60" t="n"/>
      <c r="AA126" s="60" t="n"/>
      <c r="AB126" s="60" t="n"/>
      <c r="AC126" s="60" t="n"/>
      <c r="AD126" s="60" t="n"/>
      <c r="AE126" s="60" t="n"/>
      <c r="AF126" s="60" t="n"/>
      <c r="AG126" s="60" t="n"/>
      <c r="AH126" s="60" t="n"/>
      <c r="AI126" s="60" t="n"/>
      <c r="AJ126" s="60" t="n"/>
      <c r="AK126" s="60" t="n"/>
      <c r="AL126" s="60" t="n"/>
      <c r="AM126" s="60" t="n"/>
      <c r="AN126" s="60" t="n"/>
      <c r="AO126" s="60" t="n"/>
      <c r="AP126" s="60" t="n"/>
      <c r="AQ126" s="60" t="n"/>
      <c r="AR126" s="60" t="n"/>
      <c r="AS126" s="60" t="n"/>
      <c r="AT126" s="60" t="n"/>
      <c r="AU126" s="60" t="n"/>
      <c r="AV126" s="60" t="n"/>
      <c r="AW126" s="60" t="n"/>
      <c r="AX126" s="60" t="n"/>
      <c r="AY126" s="60" t="n"/>
      <c r="AZ126" s="60" t="n"/>
      <c r="BA126" s="60" t="n"/>
      <c r="BB126" s="60" t="n"/>
      <c r="BC126" s="60" t="n"/>
      <c r="BD126" s="60" t="n"/>
      <c r="BE126" s="60" t="n"/>
      <c r="BF126" s="60" t="n"/>
      <c r="BG126" s="60" t="n"/>
      <c r="BH126" s="60" t="n"/>
      <c r="BI126" s="60" t="n"/>
      <c r="BJ126" s="60" t="n"/>
      <c r="BK126" s="60" t="n"/>
      <c r="BL126" s="60" t="n"/>
      <c r="BM126" s="60" t="n"/>
      <c r="BN126" s="60" t="n"/>
      <c r="BO126" s="60" t="n"/>
      <c r="BP126" s="60" t="n"/>
      <c r="BQ126" s="60" t="n"/>
      <c r="BR126" s="60" t="n"/>
      <c r="BS126" s="60" t="n"/>
      <c r="BT126" s="60" t="n"/>
      <c r="BU126" s="60" t="n"/>
      <c r="BV126" s="60" t="n"/>
      <c r="BW126" s="60" t="n"/>
      <c r="BX126" s="60" t="n"/>
      <c r="BY126" s="60" t="n"/>
      <c r="BZ126" s="60" t="n"/>
      <c r="CA126" s="60" t="n"/>
      <c r="CB126" s="60" t="n"/>
      <c r="CC126" s="60" t="n"/>
      <c r="CD126" s="60" t="n"/>
      <c r="CE126" s="60" t="n"/>
      <c r="CF126" s="60" t="n"/>
      <c r="CG126" s="60" t="n"/>
      <c r="CH126" s="60" t="n"/>
      <c r="CI126" s="60" t="n"/>
      <c r="CJ126" s="60" t="n"/>
      <c r="CK126" s="60" t="n"/>
      <c r="CL126" s="60" t="n"/>
      <c r="CM126" s="60" t="n"/>
      <c r="CN126" s="60" t="n"/>
      <c r="CO126" s="60" t="n"/>
      <c r="CP126" s="60" t="n"/>
    </row>
    <row r="127">
      <c r="A127" s="35" t="n"/>
      <c r="B127" s="35" t="n"/>
      <c r="C127" s="35" t="n"/>
      <c r="D127" s="40" t="n"/>
      <c r="E127" s="35" t="n"/>
      <c r="F127" s="59">
        <f>IF(OR(D127="",E127=""),"",WORKDAY(D127,MAX(E127,1)-1))</f>
        <v/>
      </c>
      <c r="G127" s="36" t="n"/>
      <c r="H127" s="9">
        <f>IF(D127="","",IF(G127&gt;=1,"Done",IF(TODAY()&gt;F127,"Late",IF(TODAY()&gt;=D127,"In progress","Not started"))))</f>
        <v/>
      </c>
      <c r="I127" s="9">
        <f>IF(B127="","",IF(AND(A127&lt;&gt;"",COUNTIF(Jobs!$A$5:$A$44,A127)=0),"Unknown Job ID",IF(D127="","Missing start",IF(E127="","Missing duration",""))))</f>
        <v/>
      </c>
      <c r="J127" s="35" t="n"/>
      <c r="K127" s="60" t="n"/>
      <c r="L127" s="60" t="n"/>
      <c r="M127" s="60" t="n"/>
      <c r="N127" s="60" t="n"/>
      <c r="O127" s="60" t="n"/>
      <c r="P127" s="60" t="n"/>
      <c r="Q127" s="60" t="n"/>
      <c r="R127" s="60" t="n"/>
      <c r="S127" s="60" t="n"/>
      <c r="T127" s="60" t="n"/>
      <c r="U127" s="60" t="n"/>
      <c r="V127" s="60" t="n"/>
      <c r="W127" s="60" t="n"/>
      <c r="X127" s="60" t="n"/>
      <c r="Y127" s="60" t="n"/>
      <c r="Z127" s="60" t="n"/>
      <c r="AA127" s="60" t="n"/>
      <c r="AB127" s="60" t="n"/>
      <c r="AC127" s="60" t="n"/>
      <c r="AD127" s="60" t="n"/>
      <c r="AE127" s="60" t="n"/>
      <c r="AF127" s="60" t="n"/>
      <c r="AG127" s="60" t="n"/>
      <c r="AH127" s="60" t="n"/>
      <c r="AI127" s="60" t="n"/>
      <c r="AJ127" s="60" t="n"/>
      <c r="AK127" s="60" t="n"/>
      <c r="AL127" s="60" t="n"/>
      <c r="AM127" s="60" t="n"/>
      <c r="AN127" s="60" t="n"/>
      <c r="AO127" s="60" t="n"/>
      <c r="AP127" s="60" t="n"/>
      <c r="AQ127" s="60" t="n"/>
      <c r="AR127" s="60" t="n"/>
      <c r="AS127" s="60" t="n"/>
      <c r="AT127" s="60" t="n"/>
      <c r="AU127" s="60" t="n"/>
      <c r="AV127" s="60" t="n"/>
      <c r="AW127" s="60" t="n"/>
      <c r="AX127" s="60" t="n"/>
      <c r="AY127" s="60" t="n"/>
      <c r="AZ127" s="60" t="n"/>
      <c r="BA127" s="60" t="n"/>
      <c r="BB127" s="60" t="n"/>
      <c r="BC127" s="60" t="n"/>
      <c r="BD127" s="60" t="n"/>
      <c r="BE127" s="60" t="n"/>
      <c r="BF127" s="60" t="n"/>
      <c r="BG127" s="60" t="n"/>
      <c r="BH127" s="60" t="n"/>
      <c r="BI127" s="60" t="n"/>
      <c r="BJ127" s="60" t="n"/>
      <c r="BK127" s="60" t="n"/>
      <c r="BL127" s="60" t="n"/>
      <c r="BM127" s="60" t="n"/>
      <c r="BN127" s="60" t="n"/>
      <c r="BO127" s="60" t="n"/>
      <c r="BP127" s="60" t="n"/>
      <c r="BQ127" s="60" t="n"/>
      <c r="BR127" s="60" t="n"/>
      <c r="BS127" s="60" t="n"/>
      <c r="BT127" s="60" t="n"/>
      <c r="BU127" s="60" t="n"/>
      <c r="BV127" s="60" t="n"/>
      <c r="BW127" s="60" t="n"/>
      <c r="BX127" s="60" t="n"/>
      <c r="BY127" s="60" t="n"/>
      <c r="BZ127" s="60" t="n"/>
      <c r="CA127" s="60" t="n"/>
      <c r="CB127" s="60" t="n"/>
      <c r="CC127" s="60" t="n"/>
      <c r="CD127" s="60" t="n"/>
      <c r="CE127" s="60" t="n"/>
      <c r="CF127" s="60" t="n"/>
      <c r="CG127" s="60" t="n"/>
      <c r="CH127" s="60" t="n"/>
      <c r="CI127" s="60" t="n"/>
      <c r="CJ127" s="60" t="n"/>
      <c r="CK127" s="60" t="n"/>
      <c r="CL127" s="60" t="n"/>
      <c r="CM127" s="60" t="n"/>
      <c r="CN127" s="60" t="n"/>
      <c r="CO127" s="60" t="n"/>
      <c r="CP127" s="60" t="n"/>
    </row>
    <row r="128">
      <c r="A128" s="35" t="n"/>
      <c r="B128" s="35" t="n"/>
      <c r="C128" s="35" t="n"/>
      <c r="D128" s="40" t="n"/>
      <c r="E128" s="35" t="n"/>
      <c r="F128" s="59">
        <f>IF(OR(D128="",E128=""),"",WORKDAY(D128,MAX(E128,1)-1))</f>
        <v/>
      </c>
      <c r="G128" s="36" t="n"/>
      <c r="H128" s="9">
        <f>IF(D128="","",IF(G128&gt;=1,"Done",IF(TODAY()&gt;F128,"Late",IF(TODAY()&gt;=D128,"In progress","Not started"))))</f>
        <v/>
      </c>
      <c r="I128" s="9">
        <f>IF(B128="","",IF(AND(A128&lt;&gt;"",COUNTIF(Jobs!$A$5:$A$44,A128)=0),"Unknown Job ID",IF(D128="","Missing start",IF(E128="","Missing duration",""))))</f>
        <v/>
      </c>
      <c r="J128" s="35" t="n"/>
      <c r="K128" s="60" t="n"/>
      <c r="L128" s="60" t="n"/>
      <c r="M128" s="60" t="n"/>
      <c r="N128" s="60" t="n"/>
      <c r="O128" s="60" t="n"/>
      <c r="P128" s="60" t="n"/>
      <c r="Q128" s="60" t="n"/>
      <c r="R128" s="60" t="n"/>
      <c r="S128" s="60" t="n"/>
      <c r="T128" s="60" t="n"/>
      <c r="U128" s="60" t="n"/>
      <c r="V128" s="60" t="n"/>
      <c r="W128" s="60" t="n"/>
      <c r="X128" s="60" t="n"/>
      <c r="Y128" s="60" t="n"/>
      <c r="Z128" s="60" t="n"/>
      <c r="AA128" s="60" t="n"/>
      <c r="AB128" s="60" t="n"/>
      <c r="AC128" s="60" t="n"/>
      <c r="AD128" s="60" t="n"/>
      <c r="AE128" s="60" t="n"/>
      <c r="AF128" s="60" t="n"/>
      <c r="AG128" s="60" t="n"/>
      <c r="AH128" s="60" t="n"/>
      <c r="AI128" s="60" t="n"/>
      <c r="AJ128" s="60" t="n"/>
      <c r="AK128" s="60" t="n"/>
      <c r="AL128" s="60" t="n"/>
      <c r="AM128" s="60" t="n"/>
      <c r="AN128" s="60" t="n"/>
      <c r="AO128" s="60" t="n"/>
      <c r="AP128" s="60" t="n"/>
      <c r="AQ128" s="60" t="n"/>
      <c r="AR128" s="60" t="n"/>
      <c r="AS128" s="60" t="n"/>
      <c r="AT128" s="60" t="n"/>
      <c r="AU128" s="60" t="n"/>
      <c r="AV128" s="60" t="n"/>
      <c r="AW128" s="60" t="n"/>
      <c r="AX128" s="60" t="n"/>
      <c r="AY128" s="60" t="n"/>
      <c r="AZ128" s="60" t="n"/>
      <c r="BA128" s="60" t="n"/>
      <c r="BB128" s="60" t="n"/>
      <c r="BC128" s="60" t="n"/>
      <c r="BD128" s="60" t="n"/>
      <c r="BE128" s="60" t="n"/>
      <c r="BF128" s="60" t="n"/>
      <c r="BG128" s="60" t="n"/>
      <c r="BH128" s="60" t="n"/>
      <c r="BI128" s="60" t="n"/>
      <c r="BJ128" s="60" t="n"/>
      <c r="BK128" s="60" t="n"/>
      <c r="BL128" s="60" t="n"/>
      <c r="BM128" s="60" t="n"/>
      <c r="BN128" s="60" t="n"/>
      <c r="BO128" s="60" t="n"/>
      <c r="BP128" s="60" t="n"/>
      <c r="BQ128" s="60" t="n"/>
      <c r="BR128" s="60" t="n"/>
      <c r="BS128" s="60" t="n"/>
      <c r="BT128" s="60" t="n"/>
      <c r="BU128" s="60" t="n"/>
      <c r="BV128" s="60" t="n"/>
      <c r="BW128" s="60" t="n"/>
      <c r="BX128" s="60" t="n"/>
      <c r="BY128" s="60" t="n"/>
      <c r="BZ128" s="60" t="n"/>
      <c r="CA128" s="60" t="n"/>
      <c r="CB128" s="60" t="n"/>
      <c r="CC128" s="60" t="n"/>
      <c r="CD128" s="60" t="n"/>
      <c r="CE128" s="60" t="n"/>
      <c r="CF128" s="60" t="n"/>
      <c r="CG128" s="60" t="n"/>
      <c r="CH128" s="60" t="n"/>
      <c r="CI128" s="60" t="n"/>
      <c r="CJ128" s="60" t="n"/>
      <c r="CK128" s="60" t="n"/>
      <c r="CL128" s="60" t="n"/>
      <c r="CM128" s="60" t="n"/>
      <c r="CN128" s="60" t="n"/>
      <c r="CO128" s="60" t="n"/>
      <c r="CP128" s="60" t="n"/>
    </row>
    <row r="129">
      <c r="A129" s="35" t="n"/>
      <c r="B129" s="35" t="n"/>
      <c r="C129" s="35" t="n"/>
      <c r="D129" s="40" t="n"/>
      <c r="E129" s="35" t="n"/>
      <c r="F129" s="59">
        <f>IF(OR(D129="",E129=""),"",WORKDAY(D129,MAX(E129,1)-1))</f>
        <v/>
      </c>
      <c r="G129" s="36" t="n"/>
      <c r="H129" s="9">
        <f>IF(D129="","",IF(G129&gt;=1,"Done",IF(TODAY()&gt;F129,"Late",IF(TODAY()&gt;=D129,"In progress","Not started"))))</f>
        <v/>
      </c>
      <c r="I129" s="9">
        <f>IF(B129="","",IF(AND(A129&lt;&gt;"",COUNTIF(Jobs!$A$5:$A$44,A129)=0),"Unknown Job ID",IF(D129="","Missing start",IF(E129="","Missing duration",""))))</f>
        <v/>
      </c>
      <c r="J129" s="35" t="n"/>
      <c r="K129" s="60" t="n"/>
      <c r="L129" s="60" t="n"/>
      <c r="M129" s="60" t="n"/>
      <c r="N129" s="60" t="n"/>
      <c r="O129" s="60" t="n"/>
      <c r="P129" s="60" t="n"/>
      <c r="Q129" s="60" t="n"/>
      <c r="R129" s="60" t="n"/>
      <c r="S129" s="60" t="n"/>
      <c r="T129" s="60" t="n"/>
      <c r="U129" s="60" t="n"/>
      <c r="V129" s="60" t="n"/>
      <c r="W129" s="60" t="n"/>
      <c r="X129" s="60" t="n"/>
      <c r="Y129" s="60" t="n"/>
      <c r="Z129" s="60" t="n"/>
      <c r="AA129" s="60" t="n"/>
      <c r="AB129" s="60" t="n"/>
      <c r="AC129" s="60" t="n"/>
      <c r="AD129" s="60" t="n"/>
      <c r="AE129" s="60" t="n"/>
      <c r="AF129" s="60" t="n"/>
      <c r="AG129" s="60" t="n"/>
      <c r="AH129" s="60" t="n"/>
      <c r="AI129" s="60" t="n"/>
      <c r="AJ129" s="60" t="n"/>
      <c r="AK129" s="60" t="n"/>
      <c r="AL129" s="60" t="n"/>
      <c r="AM129" s="60" t="n"/>
      <c r="AN129" s="60" t="n"/>
      <c r="AO129" s="60" t="n"/>
      <c r="AP129" s="60" t="n"/>
      <c r="AQ129" s="60" t="n"/>
      <c r="AR129" s="60" t="n"/>
      <c r="AS129" s="60" t="n"/>
      <c r="AT129" s="60" t="n"/>
      <c r="AU129" s="60" t="n"/>
      <c r="AV129" s="60" t="n"/>
      <c r="AW129" s="60" t="n"/>
      <c r="AX129" s="60" t="n"/>
      <c r="AY129" s="60" t="n"/>
      <c r="AZ129" s="60" t="n"/>
      <c r="BA129" s="60" t="n"/>
      <c r="BB129" s="60" t="n"/>
      <c r="BC129" s="60" t="n"/>
      <c r="BD129" s="60" t="n"/>
      <c r="BE129" s="60" t="n"/>
      <c r="BF129" s="60" t="n"/>
      <c r="BG129" s="60" t="n"/>
      <c r="BH129" s="60" t="n"/>
      <c r="BI129" s="60" t="n"/>
      <c r="BJ129" s="60" t="n"/>
      <c r="BK129" s="60" t="n"/>
      <c r="BL129" s="60" t="n"/>
      <c r="BM129" s="60" t="n"/>
      <c r="BN129" s="60" t="n"/>
      <c r="BO129" s="60" t="n"/>
      <c r="BP129" s="60" t="n"/>
      <c r="BQ129" s="60" t="n"/>
      <c r="BR129" s="60" t="n"/>
      <c r="BS129" s="60" t="n"/>
      <c r="BT129" s="60" t="n"/>
      <c r="BU129" s="60" t="n"/>
      <c r="BV129" s="60" t="n"/>
      <c r="BW129" s="60" t="n"/>
      <c r="BX129" s="60" t="n"/>
      <c r="BY129" s="60" t="n"/>
      <c r="BZ129" s="60" t="n"/>
      <c r="CA129" s="60" t="n"/>
      <c r="CB129" s="60" t="n"/>
      <c r="CC129" s="60" t="n"/>
      <c r="CD129" s="60" t="n"/>
      <c r="CE129" s="60" t="n"/>
      <c r="CF129" s="60" t="n"/>
      <c r="CG129" s="60" t="n"/>
      <c r="CH129" s="60" t="n"/>
      <c r="CI129" s="60" t="n"/>
      <c r="CJ129" s="60" t="n"/>
      <c r="CK129" s="60" t="n"/>
      <c r="CL129" s="60" t="n"/>
      <c r="CM129" s="60" t="n"/>
      <c r="CN129" s="60" t="n"/>
      <c r="CO129" s="60" t="n"/>
      <c r="CP129" s="60" t="n"/>
    </row>
    <row r="130">
      <c r="A130" s="35" t="n"/>
      <c r="B130" s="35" t="n"/>
      <c r="C130" s="35" t="n"/>
      <c r="D130" s="40" t="n"/>
      <c r="E130" s="35" t="n"/>
      <c r="F130" s="59">
        <f>IF(OR(D130="",E130=""),"",WORKDAY(D130,MAX(E130,1)-1))</f>
        <v/>
      </c>
      <c r="G130" s="36" t="n"/>
      <c r="H130" s="9">
        <f>IF(D130="","",IF(G130&gt;=1,"Done",IF(TODAY()&gt;F130,"Late",IF(TODAY()&gt;=D130,"In progress","Not started"))))</f>
        <v/>
      </c>
      <c r="I130" s="9">
        <f>IF(B130="","",IF(AND(A130&lt;&gt;"",COUNTIF(Jobs!$A$5:$A$44,A130)=0),"Unknown Job ID",IF(D130="","Missing start",IF(E130="","Missing duration",""))))</f>
        <v/>
      </c>
      <c r="J130" s="35" t="n"/>
      <c r="K130" s="60" t="n"/>
      <c r="L130" s="60" t="n"/>
      <c r="M130" s="60" t="n"/>
      <c r="N130" s="60" t="n"/>
      <c r="O130" s="60" t="n"/>
      <c r="P130" s="60" t="n"/>
      <c r="Q130" s="60" t="n"/>
      <c r="R130" s="60" t="n"/>
      <c r="S130" s="60" t="n"/>
      <c r="T130" s="60" t="n"/>
      <c r="U130" s="60" t="n"/>
      <c r="V130" s="60" t="n"/>
      <c r="W130" s="60" t="n"/>
      <c r="X130" s="60" t="n"/>
      <c r="Y130" s="60" t="n"/>
      <c r="Z130" s="60" t="n"/>
      <c r="AA130" s="60" t="n"/>
      <c r="AB130" s="60" t="n"/>
      <c r="AC130" s="60" t="n"/>
      <c r="AD130" s="60" t="n"/>
      <c r="AE130" s="60" t="n"/>
      <c r="AF130" s="60" t="n"/>
      <c r="AG130" s="60" t="n"/>
      <c r="AH130" s="60" t="n"/>
      <c r="AI130" s="60" t="n"/>
      <c r="AJ130" s="60" t="n"/>
      <c r="AK130" s="60" t="n"/>
      <c r="AL130" s="60" t="n"/>
      <c r="AM130" s="60" t="n"/>
      <c r="AN130" s="60" t="n"/>
      <c r="AO130" s="60" t="n"/>
      <c r="AP130" s="60" t="n"/>
      <c r="AQ130" s="60" t="n"/>
      <c r="AR130" s="60" t="n"/>
      <c r="AS130" s="60" t="n"/>
      <c r="AT130" s="60" t="n"/>
      <c r="AU130" s="60" t="n"/>
      <c r="AV130" s="60" t="n"/>
      <c r="AW130" s="60" t="n"/>
      <c r="AX130" s="60" t="n"/>
      <c r="AY130" s="60" t="n"/>
      <c r="AZ130" s="60" t="n"/>
      <c r="BA130" s="60" t="n"/>
      <c r="BB130" s="60" t="n"/>
      <c r="BC130" s="60" t="n"/>
      <c r="BD130" s="60" t="n"/>
      <c r="BE130" s="60" t="n"/>
      <c r="BF130" s="60" t="n"/>
      <c r="BG130" s="60" t="n"/>
      <c r="BH130" s="60" t="n"/>
      <c r="BI130" s="60" t="n"/>
      <c r="BJ130" s="60" t="n"/>
      <c r="BK130" s="60" t="n"/>
      <c r="BL130" s="60" t="n"/>
      <c r="BM130" s="60" t="n"/>
      <c r="BN130" s="60" t="n"/>
      <c r="BO130" s="60" t="n"/>
      <c r="BP130" s="60" t="n"/>
      <c r="BQ130" s="60" t="n"/>
      <c r="BR130" s="60" t="n"/>
      <c r="BS130" s="60" t="n"/>
      <c r="BT130" s="60" t="n"/>
      <c r="BU130" s="60" t="n"/>
      <c r="BV130" s="60" t="n"/>
      <c r="BW130" s="60" t="n"/>
      <c r="BX130" s="60" t="n"/>
      <c r="BY130" s="60" t="n"/>
      <c r="BZ130" s="60" t="n"/>
      <c r="CA130" s="60" t="n"/>
      <c r="CB130" s="60" t="n"/>
      <c r="CC130" s="60" t="n"/>
      <c r="CD130" s="60" t="n"/>
      <c r="CE130" s="60" t="n"/>
      <c r="CF130" s="60" t="n"/>
      <c r="CG130" s="60" t="n"/>
      <c r="CH130" s="60" t="n"/>
      <c r="CI130" s="60" t="n"/>
      <c r="CJ130" s="60" t="n"/>
      <c r="CK130" s="60" t="n"/>
      <c r="CL130" s="60" t="n"/>
      <c r="CM130" s="60" t="n"/>
      <c r="CN130" s="60" t="n"/>
      <c r="CO130" s="60" t="n"/>
      <c r="CP130" s="60" t="n"/>
    </row>
    <row r="131">
      <c r="A131" s="35" t="n"/>
      <c r="B131" s="35" t="n"/>
      <c r="C131" s="35" t="n"/>
      <c r="D131" s="40" t="n"/>
      <c r="E131" s="35" t="n"/>
      <c r="F131" s="59">
        <f>IF(OR(D131="",E131=""),"",WORKDAY(D131,MAX(E131,1)-1))</f>
        <v/>
      </c>
      <c r="G131" s="36" t="n"/>
      <c r="H131" s="9">
        <f>IF(D131="","",IF(G131&gt;=1,"Done",IF(TODAY()&gt;F131,"Late",IF(TODAY()&gt;=D131,"In progress","Not started"))))</f>
        <v/>
      </c>
      <c r="I131" s="9">
        <f>IF(B131="","",IF(AND(A131&lt;&gt;"",COUNTIF(Jobs!$A$5:$A$44,A131)=0),"Unknown Job ID",IF(D131="","Missing start",IF(E131="","Missing duration",""))))</f>
        <v/>
      </c>
      <c r="J131" s="35" t="n"/>
      <c r="K131" s="60" t="n"/>
      <c r="L131" s="60" t="n"/>
      <c r="M131" s="60" t="n"/>
      <c r="N131" s="60" t="n"/>
      <c r="O131" s="60" t="n"/>
      <c r="P131" s="60" t="n"/>
      <c r="Q131" s="60" t="n"/>
      <c r="R131" s="60" t="n"/>
      <c r="S131" s="60" t="n"/>
      <c r="T131" s="60" t="n"/>
      <c r="U131" s="60" t="n"/>
      <c r="V131" s="60" t="n"/>
      <c r="W131" s="60" t="n"/>
      <c r="X131" s="60" t="n"/>
      <c r="Y131" s="60" t="n"/>
      <c r="Z131" s="60" t="n"/>
      <c r="AA131" s="60" t="n"/>
      <c r="AB131" s="60" t="n"/>
      <c r="AC131" s="60" t="n"/>
      <c r="AD131" s="60" t="n"/>
      <c r="AE131" s="60" t="n"/>
      <c r="AF131" s="60" t="n"/>
      <c r="AG131" s="60" t="n"/>
      <c r="AH131" s="60" t="n"/>
      <c r="AI131" s="60" t="n"/>
      <c r="AJ131" s="60" t="n"/>
      <c r="AK131" s="60" t="n"/>
      <c r="AL131" s="60" t="n"/>
      <c r="AM131" s="60" t="n"/>
      <c r="AN131" s="60" t="n"/>
      <c r="AO131" s="60" t="n"/>
      <c r="AP131" s="60" t="n"/>
      <c r="AQ131" s="60" t="n"/>
      <c r="AR131" s="60" t="n"/>
      <c r="AS131" s="60" t="n"/>
      <c r="AT131" s="60" t="n"/>
      <c r="AU131" s="60" t="n"/>
      <c r="AV131" s="60" t="n"/>
      <c r="AW131" s="60" t="n"/>
      <c r="AX131" s="60" t="n"/>
      <c r="AY131" s="60" t="n"/>
      <c r="AZ131" s="60" t="n"/>
      <c r="BA131" s="60" t="n"/>
      <c r="BB131" s="60" t="n"/>
      <c r="BC131" s="60" t="n"/>
      <c r="BD131" s="60" t="n"/>
      <c r="BE131" s="60" t="n"/>
      <c r="BF131" s="60" t="n"/>
      <c r="BG131" s="60" t="n"/>
      <c r="BH131" s="60" t="n"/>
      <c r="BI131" s="60" t="n"/>
      <c r="BJ131" s="60" t="n"/>
      <c r="BK131" s="60" t="n"/>
      <c r="BL131" s="60" t="n"/>
      <c r="BM131" s="60" t="n"/>
      <c r="BN131" s="60" t="n"/>
      <c r="BO131" s="60" t="n"/>
      <c r="BP131" s="60" t="n"/>
      <c r="BQ131" s="60" t="n"/>
      <c r="BR131" s="60" t="n"/>
      <c r="BS131" s="60" t="n"/>
      <c r="BT131" s="60" t="n"/>
      <c r="BU131" s="60" t="n"/>
      <c r="BV131" s="60" t="n"/>
      <c r="BW131" s="60" t="n"/>
      <c r="BX131" s="60" t="n"/>
      <c r="BY131" s="60" t="n"/>
      <c r="BZ131" s="60" t="n"/>
      <c r="CA131" s="60" t="n"/>
      <c r="CB131" s="60" t="n"/>
      <c r="CC131" s="60" t="n"/>
      <c r="CD131" s="60" t="n"/>
      <c r="CE131" s="60" t="n"/>
      <c r="CF131" s="60" t="n"/>
      <c r="CG131" s="60" t="n"/>
      <c r="CH131" s="60" t="n"/>
      <c r="CI131" s="60" t="n"/>
      <c r="CJ131" s="60" t="n"/>
      <c r="CK131" s="60" t="n"/>
      <c r="CL131" s="60" t="n"/>
      <c r="CM131" s="60" t="n"/>
      <c r="CN131" s="60" t="n"/>
      <c r="CO131" s="60" t="n"/>
      <c r="CP131" s="60" t="n"/>
    </row>
    <row r="132">
      <c r="A132" s="35" t="n"/>
      <c r="B132" s="35" t="n"/>
      <c r="C132" s="35" t="n"/>
      <c r="D132" s="40" t="n"/>
      <c r="E132" s="35" t="n"/>
      <c r="F132" s="59">
        <f>IF(OR(D132="",E132=""),"",WORKDAY(D132,MAX(E132,1)-1))</f>
        <v/>
      </c>
      <c r="G132" s="36" t="n"/>
      <c r="H132" s="9">
        <f>IF(D132="","",IF(G132&gt;=1,"Done",IF(TODAY()&gt;F132,"Late",IF(TODAY()&gt;=D132,"In progress","Not started"))))</f>
        <v/>
      </c>
      <c r="I132" s="9">
        <f>IF(B132="","",IF(AND(A132&lt;&gt;"",COUNTIF(Jobs!$A$5:$A$44,A132)=0),"Unknown Job ID",IF(D132="","Missing start",IF(E132="","Missing duration",""))))</f>
        <v/>
      </c>
      <c r="J132" s="35" t="n"/>
      <c r="K132" s="60" t="n"/>
      <c r="L132" s="60" t="n"/>
      <c r="M132" s="60" t="n"/>
      <c r="N132" s="60" t="n"/>
      <c r="O132" s="60" t="n"/>
      <c r="P132" s="60" t="n"/>
      <c r="Q132" s="60" t="n"/>
      <c r="R132" s="60" t="n"/>
      <c r="S132" s="60" t="n"/>
      <c r="T132" s="60" t="n"/>
      <c r="U132" s="60" t="n"/>
      <c r="V132" s="60" t="n"/>
      <c r="W132" s="60" t="n"/>
      <c r="X132" s="60" t="n"/>
      <c r="Y132" s="60" t="n"/>
      <c r="Z132" s="60" t="n"/>
      <c r="AA132" s="60" t="n"/>
      <c r="AB132" s="60" t="n"/>
      <c r="AC132" s="60" t="n"/>
      <c r="AD132" s="60" t="n"/>
      <c r="AE132" s="60" t="n"/>
      <c r="AF132" s="60" t="n"/>
      <c r="AG132" s="60" t="n"/>
      <c r="AH132" s="60" t="n"/>
      <c r="AI132" s="60" t="n"/>
      <c r="AJ132" s="60" t="n"/>
      <c r="AK132" s="60" t="n"/>
      <c r="AL132" s="60" t="n"/>
      <c r="AM132" s="60" t="n"/>
      <c r="AN132" s="60" t="n"/>
      <c r="AO132" s="60" t="n"/>
      <c r="AP132" s="60" t="n"/>
      <c r="AQ132" s="60" t="n"/>
      <c r="AR132" s="60" t="n"/>
      <c r="AS132" s="60" t="n"/>
      <c r="AT132" s="60" t="n"/>
      <c r="AU132" s="60" t="n"/>
      <c r="AV132" s="60" t="n"/>
      <c r="AW132" s="60" t="n"/>
      <c r="AX132" s="60" t="n"/>
      <c r="AY132" s="60" t="n"/>
      <c r="AZ132" s="60" t="n"/>
      <c r="BA132" s="60" t="n"/>
      <c r="BB132" s="60" t="n"/>
      <c r="BC132" s="60" t="n"/>
      <c r="BD132" s="60" t="n"/>
      <c r="BE132" s="60" t="n"/>
      <c r="BF132" s="60" t="n"/>
      <c r="BG132" s="60" t="n"/>
      <c r="BH132" s="60" t="n"/>
      <c r="BI132" s="60" t="n"/>
      <c r="BJ132" s="60" t="n"/>
      <c r="BK132" s="60" t="n"/>
      <c r="BL132" s="60" t="n"/>
      <c r="BM132" s="60" t="n"/>
      <c r="BN132" s="60" t="n"/>
      <c r="BO132" s="60" t="n"/>
      <c r="BP132" s="60" t="n"/>
      <c r="BQ132" s="60" t="n"/>
      <c r="BR132" s="60" t="n"/>
      <c r="BS132" s="60" t="n"/>
      <c r="BT132" s="60" t="n"/>
      <c r="BU132" s="60" t="n"/>
      <c r="BV132" s="60" t="n"/>
      <c r="BW132" s="60" t="n"/>
      <c r="BX132" s="60" t="n"/>
      <c r="BY132" s="60" t="n"/>
      <c r="BZ132" s="60" t="n"/>
      <c r="CA132" s="60" t="n"/>
      <c r="CB132" s="60" t="n"/>
      <c r="CC132" s="60" t="n"/>
      <c r="CD132" s="60" t="n"/>
      <c r="CE132" s="60" t="n"/>
      <c r="CF132" s="60" t="n"/>
      <c r="CG132" s="60" t="n"/>
      <c r="CH132" s="60" t="n"/>
      <c r="CI132" s="60" t="n"/>
      <c r="CJ132" s="60" t="n"/>
      <c r="CK132" s="60" t="n"/>
      <c r="CL132" s="60" t="n"/>
      <c r="CM132" s="60" t="n"/>
      <c r="CN132" s="60" t="n"/>
      <c r="CO132" s="60" t="n"/>
      <c r="CP132" s="60" t="n"/>
    </row>
    <row r="133">
      <c r="A133" s="35" t="n"/>
      <c r="B133" s="35" t="n"/>
      <c r="C133" s="35" t="n"/>
      <c r="D133" s="40" t="n"/>
      <c r="E133" s="35" t="n"/>
      <c r="F133" s="59">
        <f>IF(OR(D133="",E133=""),"",WORKDAY(D133,MAX(E133,1)-1))</f>
        <v/>
      </c>
      <c r="G133" s="36" t="n"/>
      <c r="H133" s="9">
        <f>IF(D133="","",IF(G133&gt;=1,"Done",IF(TODAY()&gt;F133,"Late",IF(TODAY()&gt;=D133,"In progress","Not started"))))</f>
        <v/>
      </c>
      <c r="I133" s="9">
        <f>IF(B133="","",IF(AND(A133&lt;&gt;"",COUNTIF(Jobs!$A$5:$A$44,A133)=0),"Unknown Job ID",IF(D133="","Missing start",IF(E133="","Missing duration",""))))</f>
        <v/>
      </c>
      <c r="J133" s="35" t="n"/>
      <c r="K133" s="60" t="n"/>
      <c r="L133" s="60" t="n"/>
      <c r="M133" s="60" t="n"/>
      <c r="N133" s="60" t="n"/>
      <c r="O133" s="60" t="n"/>
      <c r="P133" s="60" t="n"/>
      <c r="Q133" s="60" t="n"/>
      <c r="R133" s="60" t="n"/>
      <c r="S133" s="60" t="n"/>
      <c r="T133" s="60" t="n"/>
      <c r="U133" s="60" t="n"/>
      <c r="V133" s="60" t="n"/>
      <c r="W133" s="60" t="n"/>
      <c r="X133" s="60" t="n"/>
      <c r="Y133" s="60" t="n"/>
      <c r="Z133" s="60" t="n"/>
      <c r="AA133" s="60" t="n"/>
      <c r="AB133" s="60" t="n"/>
      <c r="AC133" s="60" t="n"/>
      <c r="AD133" s="60" t="n"/>
      <c r="AE133" s="60" t="n"/>
      <c r="AF133" s="60" t="n"/>
      <c r="AG133" s="60" t="n"/>
      <c r="AH133" s="60" t="n"/>
      <c r="AI133" s="60" t="n"/>
      <c r="AJ133" s="60" t="n"/>
      <c r="AK133" s="60" t="n"/>
      <c r="AL133" s="60" t="n"/>
      <c r="AM133" s="60" t="n"/>
      <c r="AN133" s="60" t="n"/>
      <c r="AO133" s="60" t="n"/>
      <c r="AP133" s="60" t="n"/>
      <c r="AQ133" s="60" t="n"/>
      <c r="AR133" s="60" t="n"/>
      <c r="AS133" s="60" t="n"/>
      <c r="AT133" s="60" t="n"/>
      <c r="AU133" s="60" t="n"/>
      <c r="AV133" s="60" t="n"/>
      <c r="AW133" s="60" t="n"/>
      <c r="AX133" s="60" t="n"/>
      <c r="AY133" s="60" t="n"/>
      <c r="AZ133" s="60" t="n"/>
      <c r="BA133" s="60" t="n"/>
      <c r="BB133" s="60" t="n"/>
      <c r="BC133" s="60" t="n"/>
      <c r="BD133" s="60" t="n"/>
      <c r="BE133" s="60" t="n"/>
      <c r="BF133" s="60" t="n"/>
      <c r="BG133" s="60" t="n"/>
      <c r="BH133" s="60" t="n"/>
      <c r="BI133" s="60" t="n"/>
      <c r="BJ133" s="60" t="n"/>
      <c r="BK133" s="60" t="n"/>
      <c r="BL133" s="60" t="n"/>
      <c r="BM133" s="60" t="n"/>
      <c r="BN133" s="60" t="n"/>
      <c r="BO133" s="60" t="n"/>
      <c r="BP133" s="60" t="n"/>
      <c r="BQ133" s="60" t="n"/>
      <c r="BR133" s="60" t="n"/>
      <c r="BS133" s="60" t="n"/>
      <c r="BT133" s="60" t="n"/>
      <c r="BU133" s="60" t="n"/>
      <c r="BV133" s="60" t="n"/>
      <c r="BW133" s="60" t="n"/>
      <c r="BX133" s="60" t="n"/>
      <c r="BY133" s="60" t="n"/>
      <c r="BZ133" s="60" t="n"/>
      <c r="CA133" s="60" t="n"/>
      <c r="CB133" s="60" t="n"/>
      <c r="CC133" s="60" t="n"/>
      <c r="CD133" s="60" t="n"/>
      <c r="CE133" s="60" t="n"/>
      <c r="CF133" s="60" t="n"/>
      <c r="CG133" s="60" t="n"/>
      <c r="CH133" s="60" t="n"/>
      <c r="CI133" s="60" t="n"/>
      <c r="CJ133" s="60" t="n"/>
      <c r="CK133" s="60" t="n"/>
      <c r="CL133" s="60" t="n"/>
      <c r="CM133" s="60" t="n"/>
      <c r="CN133" s="60" t="n"/>
      <c r="CO133" s="60" t="n"/>
      <c r="CP133" s="60" t="n"/>
    </row>
    <row r="134">
      <c r="A134" s="35" t="n"/>
      <c r="B134" s="35" t="n"/>
      <c r="C134" s="35" t="n"/>
      <c r="D134" s="40" t="n"/>
      <c r="E134" s="35" t="n"/>
      <c r="F134" s="59">
        <f>IF(OR(D134="",E134=""),"",WORKDAY(D134,MAX(E134,1)-1))</f>
        <v/>
      </c>
      <c r="G134" s="36" t="n"/>
      <c r="H134" s="9">
        <f>IF(D134="","",IF(G134&gt;=1,"Done",IF(TODAY()&gt;F134,"Late",IF(TODAY()&gt;=D134,"In progress","Not started"))))</f>
        <v/>
      </c>
      <c r="I134" s="9">
        <f>IF(B134="","",IF(AND(A134&lt;&gt;"",COUNTIF(Jobs!$A$5:$A$44,A134)=0),"Unknown Job ID",IF(D134="","Missing start",IF(E134="","Missing duration",""))))</f>
        <v/>
      </c>
      <c r="J134" s="35" t="n"/>
      <c r="K134" s="60" t="n"/>
      <c r="L134" s="60" t="n"/>
      <c r="M134" s="60" t="n"/>
      <c r="N134" s="60" t="n"/>
      <c r="O134" s="60" t="n"/>
      <c r="P134" s="60" t="n"/>
      <c r="Q134" s="60" t="n"/>
      <c r="R134" s="60" t="n"/>
      <c r="S134" s="60" t="n"/>
      <c r="T134" s="60" t="n"/>
      <c r="U134" s="60" t="n"/>
      <c r="V134" s="60" t="n"/>
      <c r="W134" s="60" t="n"/>
      <c r="X134" s="60" t="n"/>
      <c r="Y134" s="60" t="n"/>
      <c r="Z134" s="60" t="n"/>
      <c r="AA134" s="60" t="n"/>
      <c r="AB134" s="60" t="n"/>
      <c r="AC134" s="60" t="n"/>
      <c r="AD134" s="60" t="n"/>
      <c r="AE134" s="60" t="n"/>
      <c r="AF134" s="60" t="n"/>
      <c r="AG134" s="60" t="n"/>
      <c r="AH134" s="60" t="n"/>
      <c r="AI134" s="60" t="n"/>
      <c r="AJ134" s="60" t="n"/>
      <c r="AK134" s="60" t="n"/>
      <c r="AL134" s="60" t="n"/>
      <c r="AM134" s="60" t="n"/>
      <c r="AN134" s="60" t="n"/>
      <c r="AO134" s="60" t="n"/>
      <c r="AP134" s="60" t="n"/>
      <c r="AQ134" s="60" t="n"/>
      <c r="AR134" s="60" t="n"/>
      <c r="AS134" s="60" t="n"/>
      <c r="AT134" s="60" t="n"/>
      <c r="AU134" s="60" t="n"/>
      <c r="AV134" s="60" t="n"/>
      <c r="AW134" s="60" t="n"/>
      <c r="AX134" s="60" t="n"/>
      <c r="AY134" s="60" t="n"/>
      <c r="AZ134" s="60" t="n"/>
      <c r="BA134" s="60" t="n"/>
      <c r="BB134" s="60" t="n"/>
      <c r="BC134" s="60" t="n"/>
      <c r="BD134" s="60" t="n"/>
      <c r="BE134" s="60" t="n"/>
      <c r="BF134" s="60" t="n"/>
      <c r="BG134" s="60" t="n"/>
      <c r="BH134" s="60" t="n"/>
      <c r="BI134" s="60" t="n"/>
      <c r="BJ134" s="60" t="n"/>
      <c r="BK134" s="60" t="n"/>
      <c r="BL134" s="60" t="n"/>
      <c r="BM134" s="60" t="n"/>
      <c r="BN134" s="60" t="n"/>
      <c r="BO134" s="60" t="n"/>
      <c r="BP134" s="60" t="n"/>
      <c r="BQ134" s="60" t="n"/>
      <c r="BR134" s="60" t="n"/>
      <c r="BS134" s="60" t="n"/>
      <c r="BT134" s="60" t="n"/>
      <c r="BU134" s="60" t="n"/>
      <c r="BV134" s="60" t="n"/>
      <c r="BW134" s="60" t="n"/>
      <c r="BX134" s="60" t="n"/>
      <c r="BY134" s="60" t="n"/>
      <c r="BZ134" s="60" t="n"/>
      <c r="CA134" s="60" t="n"/>
      <c r="CB134" s="60" t="n"/>
      <c r="CC134" s="60" t="n"/>
      <c r="CD134" s="60" t="n"/>
      <c r="CE134" s="60" t="n"/>
      <c r="CF134" s="60" t="n"/>
      <c r="CG134" s="60" t="n"/>
      <c r="CH134" s="60" t="n"/>
      <c r="CI134" s="60" t="n"/>
      <c r="CJ134" s="60" t="n"/>
      <c r="CK134" s="60" t="n"/>
      <c r="CL134" s="60" t="n"/>
      <c r="CM134" s="60" t="n"/>
      <c r="CN134" s="60" t="n"/>
      <c r="CO134" s="60" t="n"/>
      <c r="CP134" s="60" t="n"/>
    </row>
    <row r="135">
      <c r="A135" s="35" t="n"/>
      <c r="B135" s="35" t="n"/>
      <c r="C135" s="35" t="n"/>
      <c r="D135" s="40" t="n"/>
      <c r="E135" s="35" t="n"/>
      <c r="F135" s="59">
        <f>IF(OR(D135="",E135=""),"",WORKDAY(D135,MAX(E135,1)-1))</f>
        <v/>
      </c>
      <c r="G135" s="36" t="n"/>
      <c r="H135" s="9">
        <f>IF(D135="","",IF(G135&gt;=1,"Done",IF(TODAY()&gt;F135,"Late",IF(TODAY()&gt;=D135,"In progress","Not started"))))</f>
        <v/>
      </c>
      <c r="I135" s="9">
        <f>IF(B135="","",IF(AND(A135&lt;&gt;"",COUNTIF(Jobs!$A$5:$A$44,A135)=0),"Unknown Job ID",IF(D135="","Missing start",IF(E135="","Missing duration",""))))</f>
        <v/>
      </c>
      <c r="J135" s="35" t="n"/>
      <c r="K135" s="60" t="n"/>
      <c r="L135" s="60" t="n"/>
      <c r="M135" s="60" t="n"/>
      <c r="N135" s="60" t="n"/>
      <c r="O135" s="60" t="n"/>
      <c r="P135" s="60" t="n"/>
      <c r="Q135" s="60" t="n"/>
      <c r="R135" s="60" t="n"/>
      <c r="S135" s="60" t="n"/>
      <c r="T135" s="60" t="n"/>
      <c r="U135" s="60" t="n"/>
      <c r="V135" s="60" t="n"/>
      <c r="W135" s="60" t="n"/>
      <c r="X135" s="60" t="n"/>
      <c r="Y135" s="60" t="n"/>
      <c r="Z135" s="60" t="n"/>
      <c r="AA135" s="60" t="n"/>
      <c r="AB135" s="60" t="n"/>
      <c r="AC135" s="60" t="n"/>
      <c r="AD135" s="60" t="n"/>
      <c r="AE135" s="60" t="n"/>
      <c r="AF135" s="60" t="n"/>
      <c r="AG135" s="60" t="n"/>
      <c r="AH135" s="60" t="n"/>
      <c r="AI135" s="60" t="n"/>
      <c r="AJ135" s="60" t="n"/>
      <c r="AK135" s="60" t="n"/>
      <c r="AL135" s="60" t="n"/>
      <c r="AM135" s="60" t="n"/>
      <c r="AN135" s="60" t="n"/>
      <c r="AO135" s="60" t="n"/>
      <c r="AP135" s="60" t="n"/>
      <c r="AQ135" s="60" t="n"/>
      <c r="AR135" s="60" t="n"/>
      <c r="AS135" s="60" t="n"/>
      <c r="AT135" s="60" t="n"/>
      <c r="AU135" s="60" t="n"/>
      <c r="AV135" s="60" t="n"/>
      <c r="AW135" s="60" t="n"/>
      <c r="AX135" s="60" t="n"/>
      <c r="AY135" s="60" t="n"/>
      <c r="AZ135" s="60" t="n"/>
      <c r="BA135" s="60" t="n"/>
      <c r="BB135" s="60" t="n"/>
      <c r="BC135" s="60" t="n"/>
      <c r="BD135" s="60" t="n"/>
      <c r="BE135" s="60" t="n"/>
      <c r="BF135" s="60" t="n"/>
      <c r="BG135" s="60" t="n"/>
      <c r="BH135" s="60" t="n"/>
      <c r="BI135" s="60" t="n"/>
      <c r="BJ135" s="60" t="n"/>
      <c r="BK135" s="60" t="n"/>
      <c r="BL135" s="60" t="n"/>
      <c r="BM135" s="60" t="n"/>
      <c r="BN135" s="60" t="n"/>
      <c r="BO135" s="60" t="n"/>
      <c r="BP135" s="60" t="n"/>
      <c r="BQ135" s="60" t="n"/>
      <c r="BR135" s="60" t="n"/>
      <c r="BS135" s="60" t="n"/>
      <c r="BT135" s="60" t="n"/>
      <c r="BU135" s="60" t="n"/>
      <c r="BV135" s="60" t="n"/>
      <c r="BW135" s="60" t="n"/>
      <c r="BX135" s="60" t="n"/>
      <c r="BY135" s="60" t="n"/>
      <c r="BZ135" s="60" t="n"/>
      <c r="CA135" s="60" t="n"/>
      <c r="CB135" s="60" t="n"/>
      <c r="CC135" s="60" t="n"/>
      <c r="CD135" s="60" t="n"/>
      <c r="CE135" s="60" t="n"/>
      <c r="CF135" s="60" t="n"/>
      <c r="CG135" s="60" t="n"/>
      <c r="CH135" s="60" t="n"/>
      <c r="CI135" s="60" t="n"/>
      <c r="CJ135" s="60" t="n"/>
      <c r="CK135" s="60" t="n"/>
      <c r="CL135" s="60" t="n"/>
      <c r="CM135" s="60" t="n"/>
      <c r="CN135" s="60" t="n"/>
      <c r="CO135" s="60" t="n"/>
      <c r="CP135" s="60" t="n"/>
    </row>
    <row r="136">
      <c r="A136" s="35" t="n"/>
      <c r="B136" s="35" t="n"/>
      <c r="C136" s="35" t="n"/>
      <c r="D136" s="40" t="n"/>
      <c r="E136" s="35" t="n"/>
      <c r="F136" s="59">
        <f>IF(OR(D136="",E136=""),"",WORKDAY(D136,MAX(E136,1)-1))</f>
        <v/>
      </c>
      <c r="G136" s="36" t="n"/>
      <c r="H136" s="9">
        <f>IF(D136="","",IF(G136&gt;=1,"Done",IF(TODAY()&gt;F136,"Late",IF(TODAY()&gt;=D136,"In progress","Not started"))))</f>
        <v/>
      </c>
      <c r="I136" s="9">
        <f>IF(B136="","",IF(AND(A136&lt;&gt;"",COUNTIF(Jobs!$A$5:$A$44,A136)=0),"Unknown Job ID",IF(D136="","Missing start",IF(E136="","Missing duration",""))))</f>
        <v/>
      </c>
      <c r="J136" s="35" t="n"/>
      <c r="K136" s="60" t="n"/>
      <c r="L136" s="60" t="n"/>
      <c r="M136" s="60" t="n"/>
      <c r="N136" s="60" t="n"/>
      <c r="O136" s="60" t="n"/>
      <c r="P136" s="60" t="n"/>
      <c r="Q136" s="60" t="n"/>
      <c r="R136" s="60" t="n"/>
      <c r="S136" s="60" t="n"/>
      <c r="T136" s="60" t="n"/>
      <c r="U136" s="60" t="n"/>
      <c r="V136" s="60" t="n"/>
      <c r="W136" s="60" t="n"/>
      <c r="X136" s="60" t="n"/>
      <c r="Y136" s="60" t="n"/>
      <c r="Z136" s="60" t="n"/>
      <c r="AA136" s="60" t="n"/>
      <c r="AB136" s="60" t="n"/>
      <c r="AC136" s="60" t="n"/>
      <c r="AD136" s="60" t="n"/>
      <c r="AE136" s="60" t="n"/>
      <c r="AF136" s="60" t="n"/>
      <c r="AG136" s="60" t="n"/>
      <c r="AH136" s="60" t="n"/>
      <c r="AI136" s="60" t="n"/>
      <c r="AJ136" s="60" t="n"/>
      <c r="AK136" s="60" t="n"/>
      <c r="AL136" s="60" t="n"/>
      <c r="AM136" s="60" t="n"/>
      <c r="AN136" s="60" t="n"/>
      <c r="AO136" s="60" t="n"/>
      <c r="AP136" s="60" t="n"/>
      <c r="AQ136" s="60" t="n"/>
      <c r="AR136" s="60" t="n"/>
      <c r="AS136" s="60" t="n"/>
      <c r="AT136" s="60" t="n"/>
      <c r="AU136" s="60" t="n"/>
      <c r="AV136" s="60" t="n"/>
      <c r="AW136" s="60" t="n"/>
      <c r="AX136" s="60" t="n"/>
      <c r="AY136" s="60" t="n"/>
      <c r="AZ136" s="60" t="n"/>
      <c r="BA136" s="60" t="n"/>
      <c r="BB136" s="60" t="n"/>
      <c r="BC136" s="60" t="n"/>
      <c r="BD136" s="60" t="n"/>
      <c r="BE136" s="60" t="n"/>
      <c r="BF136" s="60" t="n"/>
      <c r="BG136" s="60" t="n"/>
      <c r="BH136" s="60" t="n"/>
      <c r="BI136" s="60" t="n"/>
      <c r="BJ136" s="60" t="n"/>
      <c r="BK136" s="60" t="n"/>
      <c r="BL136" s="60" t="n"/>
      <c r="BM136" s="60" t="n"/>
      <c r="BN136" s="60" t="n"/>
      <c r="BO136" s="60" t="n"/>
      <c r="BP136" s="60" t="n"/>
      <c r="BQ136" s="60" t="n"/>
      <c r="BR136" s="60" t="n"/>
      <c r="BS136" s="60" t="n"/>
      <c r="BT136" s="60" t="n"/>
      <c r="BU136" s="60" t="n"/>
      <c r="BV136" s="60" t="n"/>
      <c r="BW136" s="60" t="n"/>
      <c r="BX136" s="60" t="n"/>
      <c r="BY136" s="60" t="n"/>
      <c r="BZ136" s="60" t="n"/>
      <c r="CA136" s="60" t="n"/>
      <c r="CB136" s="60" t="n"/>
      <c r="CC136" s="60" t="n"/>
      <c r="CD136" s="60" t="n"/>
      <c r="CE136" s="60" t="n"/>
      <c r="CF136" s="60" t="n"/>
      <c r="CG136" s="60" t="n"/>
      <c r="CH136" s="60" t="n"/>
      <c r="CI136" s="60" t="n"/>
      <c r="CJ136" s="60" t="n"/>
      <c r="CK136" s="60" t="n"/>
      <c r="CL136" s="60" t="n"/>
      <c r="CM136" s="60" t="n"/>
      <c r="CN136" s="60" t="n"/>
      <c r="CO136" s="60" t="n"/>
      <c r="CP136" s="60" t="n"/>
    </row>
    <row r="137">
      <c r="A137" s="35" t="n"/>
      <c r="B137" s="35" t="n"/>
      <c r="C137" s="35" t="n"/>
      <c r="D137" s="40" t="n"/>
      <c r="E137" s="35" t="n"/>
      <c r="F137" s="59">
        <f>IF(OR(D137="",E137=""),"",WORKDAY(D137,MAX(E137,1)-1))</f>
        <v/>
      </c>
      <c r="G137" s="36" t="n"/>
      <c r="H137" s="9">
        <f>IF(D137="","",IF(G137&gt;=1,"Done",IF(TODAY()&gt;F137,"Late",IF(TODAY()&gt;=D137,"In progress","Not started"))))</f>
        <v/>
      </c>
      <c r="I137" s="9">
        <f>IF(B137="","",IF(AND(A137&lt;&gt;"",COUNTIF(Jobs!$A$5:$A$44,A137)=0),"Unknown Job ID",IF(D137="","Missing start",IF(E137="","Missing duration",""))))</f>
        <v/>
      </c>
      <c r="J137" s="35" t="n"/>
      <c r="K137" s="60" t="n"/>
      <c r="L137" s="60" t="n"/>
      <c r="M137" s="60" t="n"/>
      <c r="N137" s="60" t="n"/>
      <c r="O137" s="60" t="n"/>
      <c r="P137" s="60" t="n"/>
      <c r="Q137" s="60" t="n"/>
      <c r="R137" s="60" t="n"/>
      <c r="S137" s="60" t="n"/>
      <c r="T137" s="60" t="n"/>
      <c r="U137" s="60" t="n"/>
      <c r="V137" s="60" t="n"/>
      <c r="W137" s="60" t="n"/>
      <c r="X137" s="60" t="n"/>
      <c r="Y137" s="60" t="n"/>
      <c r="Z137" s="60" t="n"/>
      <c r="AA137" s="60" t="n"/>
      <c r="AB137" s="60" t="n"/>
      <c r="AC137" s="60" t="n"/>
      <c r="AD137" s="60" t="n"/>
      <c r="AE137" s="60" t="n"/>
      <c r="AF137" s="60" t="n"/>
      <c r="AG137" s="60" t="n"/>
      <c r="AH137" s="60" t="n"/>
      <c r="AI137" s="60" t="n"/>
      <c r="AJ137" s="60" t="n"/>
      <c r="AK137" s="60" t="n"/>
      <c r="AL137" s="60" t="n"/>
      <c r="AM137" s="60" t="n"/>
      <c r="AN137" s="60" t="n"/>
      <c r="AO137" s="60" t="n"/>
      <c r="AP137" s="60" t="n"/>
      <c r="AQ137" s="60" t="n"/>
      <c r="AR137" s="60" t="n"/>
      <c r="AS137" s="60" t="n"/>
      <c r="AT137" s="60" t="n"/>
      <c r="AU137" s="60" t="n"/>
      <c r="AV137" s="60" t="n"/>
      <c r="AW137" s="60" t="n"/>
      <c r="AX137" s="60" t="n"/>
      <c r="AY137" s="60" t="n"/>
      <c r="AZ137" s="60" t="n"/>
      <c r="BA137" s="60" t="n"/>
      <c r="BB137" s="60" t="n"/>
      <c r="BC137" s="60" t="n"/>
      <c r="BD137" s="60" t="n"/>
      <c r="BE137" s="60" t="n"/>
      <c r="BF137" s="60" t="n"/>
      <c r="BG137" s="60" t="n"/>
      <c r="BH137" s="60" t="n"/>
      <c r="BI137" s="60" t="n"/>
      <c r="BJ137" s="60" t="n"/>
      <c r="BK137" s="60" t="n"/>
      <c r="BL137" s="60" t="n"/>
      <c r="BM137" s="60" t="n"/>
      <c r="BN137" s="60" t="n"/>
      <c r="BO137" s="60" t="n"/>
      <c r="BP137" s="60" t="n"/>
      <c r="BQ137" s="60" t="n"/>
      <c r="BR137" s="60" t="n"/>
      <c r="BS137" s="60" t="n"/>
      <c r="BT137" s="60" t="n"/>
      <c r="BU137" s="60" t="n"/>
      <c r="BV137" s="60" t="n"/>
      <c r="BW137" s="60" t="n"/>
      <c r="BX137" s="60" t="n"/>
      <c r="BY137" s="60" t="n"/>
      <c r="BZ137" s="60" t="n"/>
      <c r="CA137" s="60" t="n"/>
      <c r="CB137" s="60" t="n"/>
      <c r="CC137" s="60" t="n"/>
      <c r="CD137" s="60" t="n"/>
      <c r="CE137" s="60" t="n"/>
      <c r="CF137" s="60" t="n"/>
      <c r="CG137" s="60" t="n"/>
      <c r="CH137" s="60" t="n"/>
      <c r="CI137" s="60" t="n"/>
      <c r="CJ137" s="60" t="n"/>
      <c r="CK137" s="60" t="n"/>
      <c r="CL137" s="60" t="n"/>
      <c r="CM137" s="60" t="n"/>
      <c r="CN137" s="60" t="n"/>
      <c r="CO137" s="60" t="n"/>
      <c r="CP137" s="60" t="n"/>
    </row>
    <row r="138">
      <c r="A138" s="35" t="n"/>
      <c r="B138" s="35" t="n"/>
      <c r="C138" s="35" t="n"/>
      <c r="D138" s="40" t="n"/>
      <c r="E138" s="35" t="n"/>
      <c r="F138" s="59">
        <f>IF(OR(D138="",E138=""),"",WORKDAY(D138,MAX(E138,1)-1))</f>
        <v/>
      </c>
      <c r="G138" s="36" t="n"/>
      <c r="H138" s="9">
        <f>IF(D138="","",IF(G138&gt;=1,"Done",IF(TODAY()&gt;F138,"Late",IF(TODAY()&gt;=D138,"In progress","Not started"))))</f>
        <v/>
      </c>
      <c r="I138" s="9">
        <f>IF(B138="","",IF(AND(A138&lt;&gt;"",COUNTIF(Jobs!$A$5:$A$44,A138)=0),"Unknown Job ID",IF(D138="","Missing start",IF(E138="","Missing duration",""))))</f>
        <v/>
      </c>
      <c r="J138" s="35" t="n"/>
      <c r="K138" s="60" t="n"/>
      <c r="L138" s="60" t="n"/>
      <c r="M138" s="60" t="n"/>
      <c r="N138" s="60" t="n"/>
      <c r="O138" s="60" t="n"/>
      <c r="P138" s="60" t="n"/>
      <c r="Q138" s="60" t="n"/>
      <c r="R138" s="60" t="n"/>
      <c r="S138" s="60" t="n"/>
      <c r="T138" s="60" t="n"/>
      <c r="U138" s="60" t="n"/>
      <c r="V138" s="60" t="n"/>
      <c r="W138" s="60" t="n"/>
      <c r="X138" s="60" t="n"/>
      <c r="Y138" s="60" t="n"/>
      <c r="Z138" s="60" t="n"/>
      <c r="AA138" s="60" t="n"/>
      <c r="AB138" s="60" t="n"/>
      <c r="AC138" s="60" t="n"/>
      <c r="AD138" s="60" t="n"/>
      <c r="AE138" s="60" t="n"/>
      <c r="AF138" s="60" t="n"/>
      <c r="AG138" s="60" t="n"/>
      <c r="AH138" s="60" t="n"/>
      <c r="AI138" s="60" t="n"/>
      <c r="AJ138" s="60" t="n"/>
      <c r="AK138" s="60" t="n"/>
      <c r="AL138" s="60" t="n"/>
      <c r="AM138" s="60" t="n"/>
      <c r="AN138" s="60" t="n"/>
      <c r="AO138" s="60" t="n"/>
      <c r="AP138" s="60" t="n"/>
      <c r="AQ138" s="60" t="n"/>
      <c r="AR138" s="60" t="n"/>
      <c r="AS138" s="60" t="n"/>
      <c r="AT138" s="60" t="n"/>
      <c r="AU138" s="60" t="n"/>
      <c r="AV138" s="60" t="n"/>
      <c r="AW138" s="60" t="n"/>
      <c r="AX138" s="60" t="n"/>
      <c r="AY138" s="60" t="n"/>
      <c r="AZ138" s="60" t="n"/>
      <c r="BA138" s="60" t="n"/>
      <c r="BB138" s="60" t="n"/>
      <c r="BC138" s="60" t="n"/>
      <c r="BD138" s="60" t="n"/>
      <c r="BE138" s="60" t="n"/>
      <c r="BF138" s="60" t="n"/>
      <c r="BG138" s="60" t="n"/>
      <c r="BH138" s="60" t="n"/>
      <c r="BI138" s="60" t="n"/>
      <c r="BJ138" s="60" t="n"/>
      <c r="BK138" s="60" t="n"/>
      <c r="BL138" s="60" t="n"/>
      <c r="BM138" s="60" t="n"/>
      <c r="BN138" s="60" t="n"/>
      <c r="BO138" s="60" t="n"/>
      <c r="BP138" s="60" t="n"/>
      <c r="BQ138" s="60" t="n"/>
      <c r="BR138" s="60" t="n"/>
      <c r="BS138" s="60" t="n"/>
      <c r="BT138" s="60" t="n"/>
      <c r="BU138" s="60" t="n"/>
      <c r="BV138" s="60" t="n"/>
      <c r="BW138" s="60" t="n"/>
      <c r="BX138" s="60" t="n"/>
      <c r="BY138" s="60" t="n"/>
      <c r="BZ138" s="60" t="n"/>
      <c r="CA138" s="60" t="n"/>
      <c r="CB138" s="60" t="n"/>
      <c r="CC138" s="60" t="n"/>
      <c r="CD138" s="60" t="n"/>
      <c r="CE138" s="60" t="n"/>
      <c r="CF138" s="60" t="n"/>
      <c r="CG138" s="60" t="n"/>
      <c r="CH138" s="60" t="n"/>
      <c r="CI138" s="60" t="n"/>
      <c r="CJ138" s="60" t="n"/>
      <c r="CK138" s="60" t="n"/>
      <c r="CL138" s="60" t="n"/>
      <c r="CM138" s="60" t="n"/>
      <c r="CN138" s="60" t="n"/>
      <c r="CO138" s="60" t="n"/>
      <c r="CP138" s="60" t="n"/>
    </row>
    <row r="139">
      <c r="A139" s="35" t="n"/>
      <c r="B139" s="35" t="n"/>
      <c r="C139" s="35" t="n"/>
      <c r="D139" s="40" t="n"/>
      <c r="E139" s="35" t="n"/>
      <c r="F139" s="59">
        <f>IF(OR(D139="",E139=""),"",WORKDAY(D139,MAX(E139,1)-1))</f>
        <v/>
      </c>
      <c r="G139" s="36" t="n"/>
      <c r="H139" s="9">
        <f>IF(D139="","",IF(G139&gt;=1,"Done",IF(TODAY()&gt;F139,"Late",IF(TODAY()&gt;=D139,"In progress","Not started"))))</f>
        <v/>
      </c>
      <c r="I139" s="9">
        <f>IF(B139="","",IF(AND(A139&lt;&gt;"",COUNTIF(Jobs!$A$5:$A$44,A139)=0),"Unknown Job ID",IF(D139="","Missing start",IF(E139="","Missing duration",""))))</f>
        <v/>
      </c>
      <c r="J139" s="35" t="n"/>
      <c r="K139" s="60" t="n"/>
      <c r="L139" s="60" t="n"/>
      <c r="M139" s="60" t="n"/>
      <c r="N139" s="60" t="n"/>
      <c r="O139" s="60" t="n"/>
      <c r="P139" s="60" t="n"/>
      <c r="Q139" s="60" t="n"/>
      <c r="R139" s="60" t="n"/>
      <c r="S139" s="60" t="n"/>
      <c r="T139" s="60" t="n"/>
      <c r="U139" s="60" t="n"/>
      <c r="V139" s="60" t="n"/>
      <c r="W139" s="60" t="n"/>
      <c r="X139" s="60" t="n"/>
      <c r="Y139" s="60" t="n"/>
      <c r="Z139" s="60" t="n"/>
      <c r="AA139" s="60" t="n"/>
      <c r="AB139" s="60" t="n"/>
      <c r="AC139" s="60" t="n"/>
      <c r="AD139" s="60" t="n"/>
      <c r="AE139" s="60" t="n"/>
      <c r="AF139" s="60" t="n"/>
      <c r="AG139" s="60" t="n"/>
      <c r="AH139" s="60" t="n"/>
      <c r="AI139" s="60" t="n"/>
      <c r="AJ139" s="60" t="n"/>
      <c r="AK139" s="60" t="n"/>
      <c r="AL139" s="60" t="n"/>
      <c r="AM139" s="60" t="n"/>
      <c r="AN139" s="60" t="n"/>
      <c r="AO139" s="60" t="n"/>
      <c r="AP139" s="60" t="n"/>
      <c r="AQ139" s="60" t="n"/>
      <c r="AR139" s="60" t="n"/>
      <c r="AS139" s="60" t="n"/>
      <c r="AT139" s="60" t="n"/>
      <c r="AU139" s="60" t="n"/>
      <c r="AV139" s="60" t="n"/>
      <c r="AW139" s="60" t="n"/>
      <c r="AX139" s="60" t="n"/>
      <c r="AY139" s="60" t="n"/>
      <c r="AZ139" s="60" t="n"/>
      <c r="BA139" s="60" t="n"/>
      <c r="BB139" s="60" t="n"/>
      <c r="BC139" s="60" t="n"/>
      <c r="BD139" s="60" t="n"/>
      <c r="BE139" s="60" t="n"/>
      <c r="BF139" s="60" t="n"/>
      <c r="BG139" s="60" t="n"/>
      <c r="BH139" s="60" t="n"/>
      <c r="BI139" s="60" t="n"/>
      <c r="BJ139" s="60" t="n"/>
      <c r="BK139" s="60" t="n"/>
      <c r="BL139" s="60" t="n"/>
      <c r="BM139" s="60" t="n"/>
      <c r="BN139" s="60" t="n"/>
      <c r="BO139" s="60" t="n"/>
      <c r="BP139" s="60" t="n"/>
      <c r="BQ139" s="60" t="n"/>
      <c r="BR139" s="60" t="n"/>
      <c r="BS139" s="60" t="n"/>
      <c r="BT139" s="60" t="n"/>
      <c r="BU139" s="60" t="n"/>
      <c r="BV139" s="60" t="n"/>
      <c r="BW139" s="60" t="n"/>
      <c r="BX139" s="60" t="n"/>
      <c r="BY139" s="60" t="n"/>
      <c r="BZ139" s="60" t="n"/>
      <c r="CA139" s="60" t="n"/>
      <c r="CB139" s="60" t="n"/>
      <c r="CC139" s="60" t="n"/>
      <c r="CD139" s="60" t="n"/>
      <c r="CE139" s="60" t="n"/>
      <c r="CF139" s="60" t="n"/>
      <c r="CG139" s="60" t="n"/>
      <c r="CH139" s="60" t="n"/>
      <c r="CI139" s="60" t="n"/>
      <c r="CJ139" s="60" t="n"/>
      <c r="CK139" s="60" t="n"/>
      <c r="CL139" s="60" t="n"/>
      <c r="CM139" s="60" t="n"/>
      <c r="CN139" s="60" t="n"/>
      <c r="CO139" s="60" t="n"/>
      <c r="CP139" s="60" t="n"/>
    </row>
    <row r="140">
      <c r="A140" s="35" t="n"/>
      <c r="B140" s="35" t="n"/>
      <c r="C140" s="35" t="n"/>
      <c r="D140" s="40" t="n"/>
      <c r="E140" s="35" t="n"/>
      <c r="F140" s="59">
        <f>IF(OR(D140="",E140=""),"",WORKDAY(D140,MAX(E140,1)-1))</f>
        <v/>
      </c>
      <c r="G140" s="36" t="n"/>
      <c r="H140" s="9">
        <f>IF(D140="","",IF(G140&gt;=1,"Done",IF(TODAY()&gt;F140,"Late",IF(TODAY()&gt;=D140,"In progress","Not started"))))</f>
        <v/>
      </c>
      <c r="I140" s="9">
        <f>IF(B140="","",IF(AND(A140&lt;&gt;"",COUNTIF(Jobs!$A$5:$A$44,A140)=0),"Unknown Job ID",IF(D140="","Missing start",IF(E140="","Missing duration",""))))</f>
        <v/>
      </c>
      <c r="J140" s="35" t="n"/>
      <c r="K140" s="60" t="n"/>
      <c r="L140" s="60" t="n"/>
      <c r="M140" s="60" t="n"/>
      <c r="N140" s="60" t="n"/>
      <c r="O140" s="60" t="n"/>
      <c r="P140" s="60" t="n"/>
      <c r="Q140" s="60" t="n"/>
      <c r="R140" s="60" t="n"/>
      <c r="S140" s="60" t="n"/>
      <c r="T140" s="60" t="n"/>
      <c r="U140" s="60" t="n"/>
      <c r="V140" s="60" t="n"/>
      <c r="W140" s="60" t="n"/>
      <c r="X140" s="60" t="n"/>
      <c r="Y140" s="60" t="n"/>
      <c r="Z140" s="60" t="n"/>
      <c r="AA140" s="60" t="n"/>
      <c r="AB140" s="60" t="n"/>
      <c r="AC140" s="60" t="n"/>
      <c r="AD140" s="60" t="n"/>
      <c r="AE140" s="60" t="n"/>
      <c r="AF140" s="60" t="n"/>
      <c r="AG140" s="60" t="n"/>
      <c r="AH140" s="60" t="n"/>
      <c r="AI140" s="60" t="n"/>
      <c r="AJ140" s="60" t="n"/>
      <c r="AK140" s="60" t="n"/>
      <c r="AL140" s="60" t="n"/>
      <c r="AM140" s="60" t="n"/>
      <c r="AN140" s="60" t="n"/>
      <c r="AO140" s="60" t="n"/>
      <c r="AP140" s="60" t="n"/>
      <c r="AQ140" s="60" t="n"/>
      <c r="AR140" s="60" t="n"/>
      <c r="AS140" s="60" t="n"/>
      <c r="AT140" s="60" t="n"/>
      <c r="AU140" s="60" t="n"/>
      <c r="AV140" s="60" t="n"/>
      <c r="AW140" s="60" t="n"/>
      <c r="AX140" s="60" t="n"/>
      <c r="AY140" s="60" t="n"/>
      <c r="AZ140" s="60" t="n"/>
      <c r="BA140" s="60" t="n"/>
      <c r="BB140" s="60" t="n"/>
      <c r="BC140" s="60" t="n"/>
      <c r="BD140" s="60" t="n"/>
      <c r="BE140" s="60" t="n"/>
      <c r="BF140" s="60" t="n"/>
      <c r="BG140" s="60" t="n"/>
      <c r="BH140" s="60" t="n"/>
      <c r="BI140" s="60" t="n"/>
      <c r="BJ140" s="60" t="n"/>
      <c r="BK140" s="60" t="n"/>
      <c r="BL140" s="60" t="n"/>
      <c r="BM140" s="60" t="n"/>
      <c r="BN140" s="60" t="n"/>
      <c r="BO140" s="60" t="n"/>
      <c r="BP140" s="60" t="n"/>
      <c r="BQ140" s="60" t="n"/>
      <c r="BR140" s="60" t="n"/>
      <c r="BS140" s="60" t="n"/>
      <c r="BT140" s="60" t="n"/>
      <c r="BU140" s="60" t="n"/>
      <c r="BV140" s="60" t="n"/>
      <c r="BW140" s="60" t="n"/>
      <c r="BX140" s="60" t="n"/>
      <c r="BY140" s="60" t="n"/>
      <c r="BZ140" s="60" t="n"/>
      <c r="CA140" s="60" t="n"/>
      <c r="CB140" s="60" t="n"/>
      <c r="CC140" s="60" t="n"/>
      <c r="CD140" s="60" t="n"/>
      <c r="CE140" s="60" t="n"/>
      <c r="CF140" s="60" t="n"/>
      <c r="CG140" s="60" t="n"/>
      <c r="CH140" s="60" t="n"/>
      <c r="CI140" s="60" t="n"/>
      <c r="CJ140" s="60" t="n"/>
      <c r="CK140" s="60" t="n"/>
      <c r="CL140" s="60" t="n"/>
      <c r="CM140" s="60" t="n"/>
      <c r="CN140" s="60" t="n"/>
      <c r="CO140" s="60" t="n"/>
      <c r="CP140" s="60" t="n"/>
    </row>
    <row r="141">
      <c r="A141" s="35" t="n"/>
      <c r="B141" s="35" t="n"/>
      <c r="C141" s="35" t="n"/>
      <c r="D141" s="40" t="n"/>
      <c r="E141" s="35" t="n"/>
      <c r="F141" s="59">
        <f>IF(OR(D141="",E141=""),"",WORKDAY(D141,MAX(E141,1)-1))</f>
        <v/>
      </c>
      <c r="G141" s="36" t="n"/>
      <c r="H141" s="9">
        <f>IF(D141="","",IF(G141&gt;=1,"Done",IF(TODAY()&gt;F141,"Late",IF(TODAY()&gt;=D141,"In progress","Not started"))))</f>
        <v/>
      </c>
      <c r="I141" s="9">
        <f>IF(B141="","",IF(AND(A141&lt;&gt;"",COUNTIF(Jobs!$A$5:$A$44,A141)=0),"Unknown Job ID",IF(D141="","Missing start",IF(E141="","Missing duration",""))))</f>
        <v/>
      </c>
      <c r="J141" s="35" t="n"/>
      <c r="K141" s="60" t="n"/>
      <c r="L141" s="60" t="n"/>
      <c r="M141" s="60" t="n"/>
      <c r="N141" s="60" t="n"/>
      <c r="O141" s="60" t="n"/>
      <c r="P141" s="60" t="n"/>
      <c r="Q141" s="60" t="n"/>
      <c r="R141" s="60" t="n"/>
      <c r="S141" s="60" t="n"/>
      <c r="T141" s="60" t="n"/>
      <c r="U141" s="60" t="n"/>
      <c r="V141" s="60" t="n"/>
      <c r="W141" s="60" t="n"/>
      <c r="X141" s="60" t="n"/>
      <c r="Y141" s="60" t="n"/>
      <c r="Z141" s="60" t="n"/>
      <c r="AA141" s="60" t="n"/>
      <c r="AB141" s="60" t="n"/>
      <c r="AC141" s="60" t="n"/>
      <c r="AD141" s="60" t="n"/>
      <c r="AE141" s="60" t="n"/>
      <c r="AF141" s="60" t="n"/>
      <c r="AG141" s="60" t="n"/>
      <c r="AH141" s="60" t="n"/>
      <c r="AI141" s="60" t="n"/>
      <c r="AJ141" s="60" t="n"/>
      <c r="AK141" s="60" t="n"/>
      <c r="AL141" s="60" t="n"/>
      <c r="AM141" s="60" t="n"/>
      <c r="AN141" s="60" t="n"/>
      <c r="AO141" s="60" t="n"/>
      <c r="AP141" s="60" t="n"/>
      <c r="AQ141" s="60" t="n"/>
      <c r="AR141" s="60" t="n"/>
      <c r="AS141" s="60" t="n"/>
      <c r="AT141" s="60" t="n"/>
      <c r="AU141" s="60" t="n"/>
      <c r="AV141" s="60" t="n"/>
      <c r="AW141" s="60" t="n"/>
      <c r="AX141" s="60" t="n"/>
      <c r="AY141" s="60" t="n"/>
      <c r="AZ141" s="60" t="n"/>
      <c r="BA141" s="60" t="n"/>
      <c r="BB141" s="60" t="n"/>
      <c r="BC141" s="60" t="n"/>
      <c r="BD141" s="60" t="n"/>
      <c r="BE141" s="60" t="n"/>
      <c r="BF141" s="60" t="n"/>
      <c r="BG141" s="60" t="n"/>
      <c r="BH141" s="60" t="n"/>
      <c r="BI141" s="60" t="n"/>
      <c r="BJ141" s="60" t="n"/>
      <c r="BK141" s="60" t="n"/>
      <c r="BL141" s="60" t="n"/>
      <c r="BM141" s="60" t="n"/>
      <c r="BN141" s="60" t="n"/>
      <c r="BO141" s="60" t="n"/>
      <c r="BP141" s="60" t="n"/>
      <c r="BQ141" s="60" t="n"/>
      <c r="BR141" s="60" t="n"/>
      <c r="BS141" s="60" t="n"/>
      <c r="BT141" s="60" t="n"/>
      <c r="BU141" s="60" t="n"/>
      <c r="BV141" s="60" t="n"/>
      <c r="BW141" s="60" t="n"/>
      <c r="BX141" s="60" t="n"/>
      <c r="BY141" s="60" t="n"/>
      <c r="BZ141" s="60" t="n"/>
      <c r="CA141" s="60" t="n"/>
      <c r="CB141" s="60" t="n"/>
      <c r="CC141" s="60" t="n"/>
      <c r="CD141" s="60" t="n"/>
      <c r="CE141" s="60" t="n"/>
      <c r="CF141" s="60" t="n"/>
      <c r="CG141" s="60" t="n"/>
      <c r="CH141" s="60" t="n"/>
      <c r="CI141" s="60" t="n"/>
      <c r="CJ141" s="60" t="n"/>
      <c r="CK141" s="60" t="n"/>
      <c r="CL141" s="60" t="n"/>
      <c r="CM141" s="60" t="n"/>
      <c r="CN141" s="60" t="n"/>
      <c r="CO141" s="60" t="n"/>
      <c r="CP141" s="60" t="n"/>
    </row>
    <row r="142">
      <c r="A142" s="35" t="n"/>
      <c r="B142" s="35" t="n"/>
      <c r="C142" s="35" t="n"/>
      <c r="D142" s="40" t="n"/>
      <c r="E142" s="35" t="n"/>
      <c r="F142" s="59">
        <f>IF(OR(D142="",E142=""),"",WORKDAY(D142,MAX(E142,1)-1))</f>
        <v/>
      </c>
      <c r="G142" s="36" t="n"/>
      <c r="H142" s="9">
        <f>IF(D142="","",IF(G142&gt;=1,"Done",IF(TODAY()&gt;F142,"Late",IF(TODAY()&gt;=D142,"In progress","Not started"))))</f>
        <v/>
      </c>
      <c r="I142" s="9">
        <f>IF(B142="","",IF(AND(A142&lt;&gt;"",COUNTIF(Jobs!$A$5:$A$44,A142)=0),"Unknown Job ID",IF(D142="","Missing start",IF(E142="","Missing duration",""))))</f>
        <v/>
      </c>
      <c r="J142" s="35" t="n"/>
      <c r="K142" s="60" t="n"/>
      <c r="L142" s="60" t="n"/>
      <c r="M142" s="60" t="n"/>
      <c r="N142" s="60" t="n"/>
      <c r="O142" s="60" t="n"/>
      <c r="P142" s="60" t="n"/>
      <c r="Q142" s="60" t="n"/>
      <c r="R142" s="60" t="n"/>
      <c r="S142" s="60" t="n"/>
      <c r="T142" s="60" t="n"/>
      <c r="U142" s="60" t="n"/>
      <c r="V142" s="60" t="n"/>
      <c r="W142" s="60" t="n"/>
      <c r="X142" s="60" t="n"/>
      <c r="Y142" s="60" t="n"/>
      <c r="Z142" s="60" t="n"/>
      <c r="AA142" s="60" t="n"/>
      <c r="AB142" s="60" t="n"/>
      <c r="AC142" s="60" t="n"/>
      <c r="AD142" s="60" t="n"/>
      <c r="AE142" s="60" t="n"/>
      <c r="AF142" s="60" t="n"/>
      <c r="AG142" s="60" t="n"/>
      <c r="AH142" s="60" t="n"/>
      <c r="AI142" s="60" t="n"/>
      <c r="AJ142" s="60" t="n"/>
      <c r="AK142" s="60" t="n"/>
      <c r="AL142" s="60" t="n"/>
      <c r="AM142" s="60" t="n"/>
      <c r="AN142" s="60" t="n"/>
      <c r="AO142" s="60" t="n"/>
      <c r="AP142" s="60" t="n"/>
      <c r="AQ142" s="60" t="n"/>
      <c r="AR142" s="60" t="n"/>
      <c r="AS142" s="60" t="n"/>
      <c r="AT142" s="60" t="n"/>
      <c r="AU142" s="60" t="n"/>
      <c r="AV142" s="60" t="n"/>
      <c r="AW142" s="60" t="n"/>
      <c r="AX142" s="60" t="n"/>
      <c r="AY142" s="60" t="n"/>
      <c r="AZ142" s="60" t="n"/>
      <c r="BA142" s="60" t="n"/>
      <c r="BB142" s="60" t="n"/>
      <c r="BC142" s="60" t="n"/>
      <c r="BD142" s="60" t="n"/>
      <c r="BE142" s="60" t="n"/>
      <c r="BF142" s="60" t="n"/>
      <c r="BG142" s="60" t="n"/>
      <c r="BH142" s="60" t="n"/>
      <c r="BI142" s="60" t="n"/>
      <c r="BJ142" s="60" t="n"/>
      <c r="BK142" s="60" t="n"/>
      <c r="BL142" s="60" t="n"/>
      <c r="BM142" s="60" t="n"/>
      <c r="BN142" s="60" t="n"/>
      <c r="BO142" s="60" t="n"/>
      <c r="BP142" s="60" t="n"/>
      <c r="BQ142" s="60" t="n"/>
      <c r="BR142" s="60" t="n"/>
      <c r="BS142" s="60" t="n"/>
      <c r="BT142" s="60" t="n"/>
      <c r="BU142" s="60" t="n"/>
      <c r="BV142" s="60" t="n"/>
      <c r="BW142" s="60" t="n"/>
      <c r="BX142" s="60" t="n"/>
      <c r="BY142" s="60" t="n"/>
      <c r="BZ142" s="60" t="n"/>
      <c r="CA142" s="60" t="n"/>
      <c r="CB142" s="60" t="n"/>
      <c r="CC142" s="60" t="n"/>
      <c r="CD142" s="60" t="n"/>
      <c r="CE142" s="60" t="n"/>
      <c r="CF142" s="60" t="n"/>
      <c r="CG142" s="60" t="n"/>
      <c r="CH142" s="60" t="n"/>
      <c r="CI142" s="60" t="n"/>
      <c r="CJ142" s="60" t="n"/>
      <c r="CK142" s="60" t="n"/>
      <c r="CL142" s="60" t="n"/>
      <c r="CM142" s="60" t="n"/>
      <c r="CN142" s="60" t="n"/>
      <c r="CO142" s="60" t="n"/>
      <c r="CP142" s="60" t="n"/>
    </row>
    <row r="143">
      <c r="A143" s="35" t="n"/>
      <c r="B143" s="35" t="n"/>
      <c r="C143" s="35" t="n"/>
      <c r="D143" s="40" t="n"/>
      <c r="E143" s="35" t="n"/>
      <c r="F143" s="59">
        <f>IF(OR(D143="",E143=""),"",WORKDAY(D143,MAX(E143,1)-1))</f>
        <v/>
      </c>
      <c r="G143" s="36" t="n"/>
      <c r="H143" s="9">
        <f>IF(D143="","",IF(G143&gt;=1,"Done",IF(TODAY()&gt;F143,"Late",IF(TODAY()&gt;=D143,"In progress","Not started"))))</f>
        <v/>
      </c>
      <c r="I143" s="9">
        <f>IF(B143="","",IF(AND(A143&lt;&gt;"",COUNTIF(Jobs!$A$5:$A$44,A143)=0),"Unknown Job ID",IF(D143="","Missing start",IF(E143="","Missing duration",""))))</f>
        <v/>
      </c>
      <c r="J143" s="35" t="n"/>
      <c r="K143" s="60" t="n"/>
      <c r="L143" s="60" t="n"/>
      <c r="M143" s="60" t="n"/>
      <c r="N143" s="60" t="n"/>
      <c r="O143" s="60" t="n"/>
      <c r="P143" s="60" t="n"/>
      <c r="Q143" s="60" t="n"/>
      <c r="R143" s="60" t="n"/>
      <c r="S143" s="60" t="n"/>
      <c r="T143" s="60" t="n"/>
      <c r="U143" s="60" t="n"/>
      <c r="V143" s="60" t="n"/>
      <c r="W143" s="60" t="n"/>
      <c r="X143" s="60" t="n"/>
      <c r="Y143" s="60" t="n"/>
      <c r="Z143" s="60" t="n"/>
      <c r="AA143" s="60" t="n"/>
      <c r="AB143" s="60" t="n"/>
      <c r="AC143" s="60" t="n"/>
      <c r="AD143" s="60" t="n"/>
      <c r="AE143" s="60" t="n"/>
      <c r="AF143" s="60" t="n"/>
      <c r="AG143" s="60" t="n"/>
      <c r="AH143" s="60" t="n"/>
      <c r="AI143" s="60" t="n"/>
      <c r="AJ143" s="60" t="n"/>
      <c r="AK143" s="60" t="n"/>
      <c r="AL143" s="60" t="n"/>
      <c r="AM143" s="60" t="n"/>
      <c r="AN143" s="60" t="n"/>
      <c r="AO143" s="60" t="n"/>
      <c r="AP143" s="60" t="n"/>
      <c r="AQ143" s="60" t="n"/>
      <c r="AR143" s="60" t="n"/>
      <c r="AS143" s="60" t="n"/>
      <c r="AT143" s="60" t="n"/>
      <c r="AU143" s="60" t="n"/>
      <c r="AV143" s="60" t="n"/>
      <c r="AW143" s="60" t="n"/>
      <c r="AX143" s="60" t="n"/>
      <c r="AY143" s="60" t="n"/>
      <c r="AZ143" s="60" t="n"/>
      <c r="BA143" s="60" t="n"/>
      <c r="BB143" s="60" t="n"/>
      <c r="BC143" s="60" t="n"/>
      <c r="BD143" s="60" t="n"/>
      <c r="BE143" s="60" t="n"/>
      <c r="BF143" s="60" t="n"/>
      <c r="BG143" s="60" t="n"/>
      <c r="BH143" s="60" t="n"/>
      <c r="BI143" s="60" t="n"/>
      <c r="BJ143" s="60" t="n"/>
      <c r="BK143" s="60" t="n"/>
      <c r="BL143" s="60" t="n"/>
      <c r="BM143" s="60" t="n"/>
      <c r="BN143" s="60" t="n"/>
      <c r="BO143" s="60" t="n"/>
      <c r="BP143" s="60" t="n"/>
      <c r="BQ143" s="60" t="n"/>
      <c r="BR143" s="60" t="n"/>
      <c r="BS143" s="60" t="n"/>
      <c r="BT143" s="60" t="n"/>
      <c r="BU143" s="60" t="n"/>
      <c r="BV143" s="60" t="n"/>
      <c r="BW143" s="60" t="n"/>
      <c r="BX143" s="60" t="n"/>
      <c r="BY143" s="60" t="n"/>
      <c r="BZ143" s="60" t="n"/>
      <c r="CA143" s="60" t="n"/>
      <c r="CB143" s="60" t="n"/>
      <c r="CC143" s="60" t="n"/>
      <c r="CD143" s="60" t="n"/>
      <c r="CE143" s="60" t="n"/>
      <c r="CF143" s="60" t="n"/>
      <c r="CG143" s="60" t="n"/>
      <c r="CH143" s="60" t="n"/>
      <c r="CI143" s="60" t="n"/>
      <c r="CJ143" s="60" t="n"/>
      <c r="CK143" s="60" t="n"/>
      <c r="CL143" s="60" t="n"/>
      <c r="CM143" s="60" t="n"/>
      <c r="CN143" s="60" t="n"/>
      <c r="CO143" s="60" t="n"/>
      <c r="CP143" s="60" t="n"/>
    </row>
    <row r="144">
      <c r="A144" s="35" t="n"/>
      <c r="B144" s="35" t="n"/>
      <c r="C144" s="35" t="n"/>
      <c r="D144" s="40" t="n"/>
      <c r="E144" s="35" t="n"/>
      <c r="F144" s="59">
        <f>IF(OR(D144="",E144=""),"",WORKDAY(D144,MAX(E144,1)-1))</f>
        <v/>
      </c>
      <c r="G144" s="36" t="n"/>
      <c r="H144" s="9">
        <f>IF(D144="","",IF(G144&gt;=1,"Done",IF(TODAY()&gt;F144,"Late",IF(TODAY()&gt;=D144,"In progress","Not started"))))</f>
        <v/>
      </c>
      <c r="I144" s="9">
        <f>IF(B144="","",IF(AND(A144&lt;&gt;"",COUNTIF(Jobs!$A$5:$A$44,A144)=0),"Unknown Job ID",IF(D144="","Missing start",IF(E144="","Missing duration",""))))</f>
        <v/>
      </c>
      <c r="J144" s="35" t="n"/>
      <c r="K144" s="60" t="n"/>
      <c r="L144" s="60" t="n"/>
      <c r="M144" s="60" t="n"/>
      <c r="N144" s="60" t="n"/>
      <c r="O144" s="60" t="n"/>
      <c r="P144" s="60" t="n"/>
      <c r="Q144" s="60" t="n"/>
      <c r="R144" s="60" t="n"/>
      <c r="S144" s="60" t="n"/>
      <c r="T144" s="60" t="n"/>
      <c r="U144" s="60" t="n"/>
      <c r="V144" s="60" t="n"/>
      <c r="W144" s="60" t="n"/>
      <c r="X144" s="60" t="n"/>
      <c r="Y144" s="60" t="n"/>
      <c r="Z144" s="60" t="n"/>
      <c r="AA144" s="60" t="n"/>
      <c r="AB144" s="60" t="n"/>
      <c r="AC144" s="60" t="n"/>
      <c r="AD144" s="60" t="n"/>
      <c r="AE144" s="60" t="n"/>
      <c r="AF144" s="60" t="n"/>
      <c r="AG144" s="60" t="n"/>
      <c r="AH144" s="60" t="n"/>
      <c r="AI144" s="60" t="n"/>
      <c r="AJ144" s="60" t="n"/>
      <c r="AK144" s="60" t="n"/>
      <c r="AL144" s="60" t="n"/>
      <c r="AM144" s="60" t="n"/>
      <c r="AN144" s="60" t="n"/>
      <c r="AO144" s="60" t="n"/>
      <c r="AP144" s="60" t="n"/>
      <c r="AQ144" s="60" t="n"/>
      <c r="AR144" s="60" t="n"/>
      <c r="AS144" s="60" t="n"/>
      <c r="AT144" s="60" t="n"/>
      <c r="AU144" s="60" t="n"/>
      <c r="AV144" s="60" t="n"/>
      <c r="AW144" s="60" t="n"/>
      <c r="AX144" s="60" t="n"/>
      <c r="AY144" s="60" t="n"/>
      <c r="AZ144" s="60" t="n"/>
      <c r="BA144" s="60" t="n"/>
      <c r="BB144" s="60" t="n"/>
      <c r="BC144" s="60" t="n"/>
      <c r="BD144" s="60" t="n"/>
      <c r="BE144" s="60" t="n"/>
      <c r="BF144" s="60" t="n"/>
      <c r="BG144" s="60" t="n"/>
      <c r="BH144" s="60" t="n"/>
      <c r="BI144" s="60" t="n"/>
      <c r="BJ144" s="60" t="n"/>
      <c r="BK144" s="60" t="n"/>
      <c r="BL144" s="60" t="n"/>
      <c r="BM144" s="60" t="n"/>
      <c r="BN144" s="60" t="n"/>
      <c r="BO144" s="60" t="n"/>
      <c r="BP144" s="60" t="n"/>
      <c r="BQ144" s="60" t="n"/>
      <c r="BR144" s="60" t="n"/>
      <c r="BS144" s="60" t="n"/>
      <c r="BT144" s="60" t="n"/>
      <c r="BU144" s="60" t="n"/>
      <c r="BV144" s="60" t="n"/>
      <c r="BW144" s="60" t="n"/>
      <c r="BX144" s="60" t="n"/>
      <c r="BY144" s="60" t="n"/>
      <c r="BZ144" s="60" t="n"/>
      <c r="CA144" s="60" t="n"/>
      <c r="CB144" s="60" t="n"/>
      <c r="CC144" s="60" t="n"/>
      <c r="CD144" s="60" t="n"/>
      <c r="CE144" s="60" t="n"/>
      <c r="CF144" s="60" t="n"/>
      <c r="CG144" s="60" t="n"/>
      <c r="CH144" s="60" t="n"/>
      <c r="CI144" s="60" t="n"/>
      <c r="CJ144" s="60" t="n"/>
      <c r="CK144" s="60" t="n"/>
      <c r="CL144" s="60" t="n"/>
      <c r="CM144" s="60" t="n"/>
      <c r="CN144" s="60" t="n"/>
      <c r="CO144" s="60" t="n"/>
      <c r="CP144" s="60" t="n"/>
    </row>
    <row r="145">
      <c r="A145" s="35" t="n"/>
      <c r="B145" s="35" t="n"/>
      <c r="C145" s="35" t="n"/>
      <c r="D145" s="40" t="n"/>
      <c r="E145" s="35" t="n"/>
      <c r="F145" s="59">
        <f>IF(OR(D145="",E145=""),"",WORKDAY(D145,MAX(E145,1)-1))</f>
        <v/>
      </c>
      <c r="G145" s="36" t="n"/>
      <c r="H145" s="9">
        <f>IF(D145="","",IF(G145&gt;=1,"Done",IF(TODAY()&gt;F145,"Late",IF(TODAY()&gt;=D145,"In progress","Not started"))))</f>
        <v/>
      </c>
      <c r="I145" s="9">
        <f>IF(B145="","",IF(AND(A145&lt;&gt;"",COUNTIF(Jobs!$A$5:$A$44,A145)=0),"Unknown Job ID",IF(D145="","Missing start",IF(E145="","Missing duration",""))))</f>
        <v/>
      </c>
      <c r="J145" s="35" t="n"/>
      <c r="K145" s="60" t="n"/>
      <c r="L145" s="60" t="n"/>
      <c r="M145" s="60" t="n"/>
      <c r="N145" s="60" t="n"/>
      <c r="O145" s="60" t="n"/>
      <c r="P145" s="60" t="n"/>
      <c r="Q145" s="60" t="n"/>
      <c r="R145" s="60" t="n"/>
      <c r="S145" s="60" t="n"/>
      <c r="T145" s="60" t="n"/>
      <c r="U145" s="60" t="n"/>
      <c r="V145" s="60" t="n"/>
      <c r="W145" s="60" t="n"/>
      <c r="X145" s="60" t="n"/>
      <c r="Y145" s="60" t="n"/>
      <c r="Z145" s="60" t="n"/>
      <c r="AA145" s="60" t="n"/>
      <c r="AB145" s="60" t="n"/>
      <c r="AC145" s="60" t="n"/>
      <c r="AD145" s="60" t="n"/>
      <c r="AE145" s="60" t="n"/>
      <c r="AF145" s="60" t="n"/>
      <c r="AG145" s="60" t="n"/>
      <c r="AH145" s="60" t="n"/>
      <c r="AI145" s="60" t="n"/>
      <c r="AJ145" s="60" t="n"/>
      <c r="AK145" s="60" t="n"/>
      <c r="AL145" s="60" t="n"/>
      <c r="AM145" s="60" t="n"/>
      <c r="AN145" s="60" t="n"/>
      <c r="AO145" s="60" t="n"/>
      <c r="AP145" s="60" t="n"/>
      <c r="AQ145" s="60" t="n"/>
      <c r="AR145" s="60" t="n"/>
      <c r="AS145" s="60" t="n"/>
      <c r="AT145" s="60" t="n"/>
      <c r="AU145" s="60" t="n"/>
      <c r="AV145" s="60" t="n"/>
      <c r="AW145" s="60" t="n"/>
      <c r="AX145" s="60" t="n"/>
      <c r="AY145" s="60" t="n"/>
      <c r="AZ145" s="60" t="n"/>
      <c r="BA145" s="60" t="n"/>
      <c r="BB145" s="60" t="n"/>
      <c r="BC145" s="60" t="n"/>
      <c r="BD145" s="60" t="n"/>
      <c r="BE145" s="60" t="n"/>
      <c r="BF145" s="60" t="n"/>
      <c r="BG145" s="60" t="n"/>
      <c r="BH145" s="60" t="n"/>
      <c r="BI145" s="60" t="n"/>
      <c r="BJ145" s="60" t="n"/>
      <c r="BK145" s="60" t="n"/>
      <c r="BL145" s="60" t="n"/>
      <c r="BM145" s="60" t="n"/>
      <c r="BN145" s="60" t="n"/>
      <c r="BO145" s="60" t="n"/>
      <c r="BP145" s="60" t="n"/>
      <c r="BQ145" s="60" t="n"/>
      <c r="BR145" s="60" t="n"/>
      <c r="BS145" s="60" t="n"/>
      <c r="BT145" s="60" t="n"/>
      <c r="BU145" s="60" t="n"/>
      <c r="BV145" s="60" t="n"/>
      <c r="BW145" s="60" t="n"/>
      <c r="BX145" s="60" t="n"/>
      <c r="BY145" s="60" t="n"/>
      <c r="BZ145" s="60" t="n"/>
      <c r="CA145" s="60" t="n"/>
      <c r="CB145" s="60" t="n"/>
      <c r="CC145" s="60" t="n"/>
      <c r="CD145" s="60" t="n"/>
      <c r="CE145" s="60" t="n"/>
      <c r="CF145" s="60" t="n"/>
      <c r="CG145" s="60" t="n"/>
      <c r="CH145" s="60" t="n"/>
      <c r="CI145" s="60" t="n"/>
      <c r="CJ145" s="60" t="n"/>
      <c r="CK145" s="60" t="n"/>
      <c r="CL145" s="60" t="n"/>
      <c r="CM145" s="60" t="n"/>
      <c r="CN145" s="60" t="n"/>
      <c r="CO145" s="60" t="n"/>
      <c r="CP145" s="60" t="n"/>
    </row>
    <row r="146">
      <c r="A146" s="35" t="n"/>
      <c r="B146" s="35" t="n"/>
      <c r="C146" s="35" t="n"/>
      <c r="D146" s="40" t="n"/>
      <c r="E146" s="35" t="n"/>
      <c r="F146" s="59">
        <f>IF(OR(D146="",E146=""),"",WORKDAY(D146,MAX(E146,1)-1))</f>
        <v/>
      </c>
      <c r="G146" s="36" t="n"/>
      <c r="H146" s="9">
        <f>IF(D146="","",IF(G146&gt;=1,"Done",IF(TODAY()&gt;F146,"Late",IF(TODAY()&gt;=D146,"In progress","Not started"))))</f>
        <v/>
      </c>
      <c r="I146" s="9">
        <f>IF(B146="","",IF(AND(A146&lt;&gt;"",COUNTIF(Jobs!$A$5:$A$44,A146)=0),"Unknown Job ID",IF(D146="","Missing start",IF(E146="","Missing duration",""))))</f>
        <v/>
      </c>
      <c r="J146" s="35" t="n"/>
      <c r="K146" s="60" t="n"/>
      <c r="L146" s="60" t="n"/>
      <c r="M146" s="60" t="n"/>
      <c r="N146" s="60" t="n"/>
      <c r="O146" s="60" t="n"/>
      <c r="P146" s="60" t="n"/>
      <c r="Q146" s="60" t="n"/>
      <c r="R146" s="60" t="n"/>
      <c r="S146" s="60" t="n"/>
      <c r="T146" s="60" t="n"/>
      <c r="U146" s="60" t="n"/>
      <c r="V146" s="60" t="n"/>
      <c r="W146" s="60" t="n"/>
      <c r="X146" s="60" t="n"/>
      <c r="Y146" s="60" t="n"/>
      <c r="Z146" s="60" t="n"/>
      <c r="AA146" s="60" t="n"/>
      <c r="AB146" s="60" t="n"/>
      <c r="AC146" s="60" t="n"/>
      <c r="AD146" s="60" t="n"/>
      <c r="AE146" s="60" t="n"/>
      <c r="AF146" s="60" t="n"/>
      <c r="AG146" s="60" t="n"/>
      <c r="AH146" s="60" t="n"/>
      <c r="AI146" s="60" t="n"/>
      <c r="AJ146" s="60" t="n"/>
      <c r="AK146" s="60" t="n"/>
      <c r="AL146" s="60" t="n"/>
      <c r="AM146" s="60" t="n"/>
      <c r="AN146" s="60" t="n"/>
      <c r="AO146" s="60" t="n"/>
      <c r="AP146" s="60" t="n"/>
      <c r="AQ146" s="60" t="n"/>
      <c r="AR146" s="60" t="n"/>
      <c r="AS146" s="60" t="n"/>
      <c r="AT146" s="60" t="n"/>
      <c r="AU146" s="60" t="n"/>
      <c r="AV146" s="60" t="n"/>
      <c r="AW146" s="60" t="n"/>
      <c r="AX146" s="60" t="n"/>
      <c r="AY146" s="60" t="n"/>
      <c r="AZ146" s="60" t="n"/>
      <c r="BA146" s="60" t="n"/>
      <c r="BB146" s="60" t="n"/>
      <c r="BC146" s="60" t="n"/>
      <c r="BD146" s="60" t="n"/>
      <c r="BE146" s="60" t="n"/>
      <c r="BF146" s="60" t="n"/>
      <c r="BG146" s="60" t="n"/>
      <c r="BH146" s="60" t="n"/>
      <c r="BI146" s="60" t="n"/>
      <c r="BJ146" s="60" t="n"/>
      <c r="BK146" s="60" t="n"/>
      <c r="BL146" s="60" t="n"/>
      <c r="BM146" s="60" t="n"/>
      <c r="BN146" s="60" t="n"/>
      <c r="BO146" s="60" t="n"/>
      <c r="BP146" s="60" t="n"/>
      <c r="BQ146" s="60" t="n"/>
      <c r="BR146" s="60" t="n"/>
      <c r="BS146" s="60" t="n"/>
      <c r="BT146" s="60" t="n"/>
      <c r="BU146" s="60" t="n"/>
      <c r="BV146" s="60" t="n"/>
      <c r="BW146" s="60" t="n"/>
      <c r="BX146" s="60" t="n"/>
      <c r="BY146" s="60" t="n"/>
      <c r="BZ146" s="60" t="n"/>
      <c r="CA146" s="60" t="n"/>
      <c r="CB146" s="60" t="n"/>
      <c r="CC146" s="60" t="n"/>
      <c r="CD146" s="60" t="n"/>
      <c r="CE146" s="60" t="n"/>
      <c r="CF146" s="60" t="n"/>
      <c r="CG146" s="60" t="n"/>
      <c r="CH146" s="60" t="n"/>
      <c r="CI146" s="60" t="n"/>
      <c r="CJ146" s="60" t="n"/>
      <c r="CK146" s="60" t="n"/>
      <c r="CL146" s="60" t="n"/>
      <c r="CM146" s="60" t="n"/>
      <c r="CN146" s="60" t="n"/>
      <c r="CO146" s="60" t="n"/>
      <c r="CP146" s="60" t="n"/>
    </row>
    <row r="147">
      <c r="A147" s="35" t="n"/>
      <c r="B147" s="35" t="n"/>
      <c r="C147" s="35" t="n"/>
      <c r="D147" s="40" t="n"/>
      <c r="E147" s="35" t="n"/>
      <c r="F147" s="59">
        <f>IF(OR(D147="",E147=""),"",WORKDAY(D147,MAX(E147,1)-1))</f>
        <v/>
      </c>
      <c r="G147" s="36" t="n"/>
      <c r="H147" s="9">
        <f>IF(D147="","",IF(G147&gt;=1,"Done",IF(TODAY()&gt;F147,"Late",IF(TODAY()&gt;=D147,"In progress","Not started"))))</f>
        <v/>
      </c>
      <c r="I147" s="9">
        <f>IF(B147="","",IF(AND(A147&lt;&gt;"",COUNTIF(Jobs!$A$5:$A$44,A147)=0),"Unknown Job ID",IF(D147="","Missing start",IF(E147="","Missing duration",""))))</f>
        <v/>
      </c>
      <c r="J147" s="35" t="n"/>
      <c r="K147" s="60" t="n"/>
      <c r="L147" s="60" t="n"/>
      <c r="M147" s="60" t="n"/>
      <c r="N147" s="60" t="n"/>
      <c r="O147" s="60" t="n"/>
      <c r="P147" s="60" t="n"/>
      <c r="Q147" s="60" t="n"/>
      <c r="R147" s="60" t="n"/>
      <c r="S147" s="60" t="n"/>
      <c r="T147" s="60" t="n"/>
      <c r="U147" s="60" t="n"/>
      <c r="V147" s="60" t="n"/>
      <c r="W147" s="60" t="n"/>
      <c r="X147" s="60" t="n"/>
      <c r="Y147" s="60" t="n"/>
      <c r="Z147" s="60" t="n"/>
      <c r="AA147" s="60" t="n"/>
      <c r="AB147" s="60" t="n"/>
      <c r="AC147" s="60" t="n"/>
      <c r="AD147" s="60" t="n"/>
      <c r="AE147" s="60" t="n"/>
      <c r="AF147" s="60" t="n"/>
      <c r="AG147" s="60" t="n"/>
      <c r="AH147" s="60" t="n"/>
      <c r="AI147" s="60" t="n"/>
      <c r="AJ147" s="60" t="n"/>
      <c r="AK147" s="60" t="n"/>
      <c r="AL147" s="60" t="n"/>
      <c r="AM147" s="60" t="n"/>
      <c r="AN147" s="60" t="n"/>
      <c r="AO147" s="60" t="n"/>
      <c r="AP147" s="60" t="n"/>
      <c r="AQ147" s="60" t="n"/>
      <c r="AR147" s="60" t="n"/>
      <c r="AS147" s="60" t="n"/>
      <c r="AT147" s="60" t="n"/>
      <c r="AU147" s="60" t="n"/>
      <c r="AV147" s="60" t="n"/>
      <c r="AW147" s="60" t="n"/>
      <c r="AX147" s="60" t="n"/>
      <c r="AY147" s="60" t="n"/>
      <c r="AZ147" s="60" t="n"/>
      <c r="BA147" s="60" t="n"/>
      <c r="BB147" s="60" t="n"/>
      <c r="BC147" s="60" t="n"/>
      <c r="BD147" s="60" t="n"/>
      <c r="BE147" s="60" t="n"/>
      <c r="BF147" s="60" t="n"/>
      <c r="BG147" s="60" t="n"/>
      <c r="BH147" s="60" t="n"/>
      <c r="BI147" s="60" t="n"/>
      <c r="BJ147" s="60" t="n"/>
      <c r="BK147" s="60" t="n"/>
      <c r="BL147" s="60" t="n"/>
      <c r="BM147" s="60" t="n"/>
      <c r="BN147" s="60" t="n"/>
      <c r="BO147" s="60" t="n"/>
      <c r="BP147" s="60" t="n"/>
      <c r="BQ147" s="60" t="n"/>
      <c r="BR147" s="60" t="n"/>
      <c r="BS147" s="60" t="n"/>
      <c r="BT147" s="60" t="n"/>
      <c r="BU147" s="60" t="n"/>
      <c r="BV147" s="60" t="n"/>
      <c r="BW147" s="60" t="n"/>
      <c r="BX147" s="60" t="n"/>
      <c r="BY147" s="60" t="n"/>
      <c r="BZ147" s="60" t="n"/>
      <c r="CA147" s="60" t="n"/>
      <c r="CB147" s="60" t="n"/>
      <c r="CC147" s="60" t="n"/>
      <c r="CD147" s="60" t="n"/>
      <c r="CE147" s="60" t="n"/>
      <c r="CF147" s="60" t="n"/>
      <c r="CG147" s="60" t="n"/>
      <c r="CH147" s="60" t="n"/>
      <c r="CI147" s="60" t="n"/>
      <c r="CJ147" s="60" t="n"/>
      <c r="CK147" s="60" t="n"/>
      <c r="CL147" s="60" t="n"/>
      <c r="CM147" s="60" t="n"/>
      <c r="CN147" s="60" t="n"/>
      <c r="CO147" s="60" t="n"/>
      <c r="CP147" s="60" t="n"/>
    </row>
    <row r="148">
      <c r="A148" s="35" t="n"/>
      <c r="B148" s="35" t="n"/>
      <c r="C148" s="35" t="n"/>
      <c r="D148" s="40" t="n"/>
      <c r="E148" s="35" t="n"/>
      <c r="F148" s="59">
        <f>IF(OR(D148="",E148=""),"",WORKDAY(D148,MAX(E148,1)-1))</f>
        <v/>
      </c>
      <c r="G148" s="36" t="n"/>
      <c r="H148" s="9">
        <f>IF(D148="","",IF(G148&gt;=1,"Done",IF(TODAY()&gt;F148,"Late",IF(TODAY()&gt;=D148,"In progress","Not started"))))</f>
        <v/>
      </c>
      <c r="I148" s="9">
        <f>IF(B148="","",IF(AND(A148&lt;&gt;"",COUNTIF(Jobs!$A$5:$A$44,A148)=0),"Unknown Job ID",IF(D148="","Missing start",IF(E148="","Missing duration",""))))</f>
        <v/>
      </c>
      <c r="J148" s="35" t="n"/>
      <c r="K148" s="60" t="n"/>
      <c r="L148" s="60" t="n"/>
      <c r="M148" s="60" t="n"/>
      <c r="N148" s="60" t="n"/>
      <c r="O148" s="60" t="n"/>
      <c r="P148" s="60" t="n"/>
      <c r="Q148" s="60" t="n"/>
      <c r="R148" s="60" t="n"/>
      <c r="S148" s="60" t="n"/>
      <c r="T148" s="60" t="n"/>
      <c r="U148" s="60" t="n"/>
      <c r="V148" s="60" t="n"/>
      <c r="W148" s="60" t="n"/>
      <c r="X148" s="60" t="n"/>
      <c r="Y148" s="60" t="n"/>
      <c r="Z148" s="60" t="n"/>
      <c r="AA148" s="60" t="n"/>
      <c r="AB148" s="60" t="n"/>
      <c r="AC148" s="60" t="n"/>
      <c r="AD148" s="60" t="n"/>
      <c r="AE148" s="60" t="n"/>
      <c r="AF148" s="60" t="n"/>
      <c r="AG148" s="60" t="n"/>
      <c r="AH148" s="60" t="n"/>
      <c r="AI148" s="60" t="n"/>
      <c r="AJ148" s="60" t="n"/>
      <c r="AK148" s="60" t="n"/>
      <c r="AL148" s="60" t="n"/>
      <c r="AM148" s="60" t="n"/>
      <c r="AN148" s="60" t="n"/>
      <c r="AO148" s="60" t="n"/>
      <c r="AP148" s="60" t="n"/>
      <c r="AQ148" s="60" t="n"/>
      <c r="AR148" s="60" t="n"/>
      <c r="AS148" s="60" t="n"/>
      <c r="AT148" s="60" t="n"/>
      <c r="AU148" s="60" t="n"/>
      <c r="AV148" s="60" t="n"/>
      <c r="AW148" s="60" t="n"/>
      <c r="AX148" s="60" t="n"/>
      <c r="AY148" s="60" t="n"/>
      <c r="AZ148" s="60" t="n"/>
      <c r="BA148" s="60" t="n"/>
      <c r="BB148" s="60" t="n"/>
      <c r="BC148" s="60" t="n"/>
      <c r="BD148" s="60" t="n"/>
      <c r="BE148" s="60" t="n"/>
      <c r="BF148" s="60" t="n"/>
      <c r="BG148" s="60" t="n"/>
      <c r="BH148" s="60" t="n"/>
      <c r="BI148" s="60" t="n"/>
      <c r="BJ148" s="60" t="n"/>
      <c r="BK148" s="60" t="n"/>
      <c r="BL148" s="60" t="n"/>
      <c r="BM148" s="60" t="n"/>
      <c r="BN148" s="60" t="n"/>
      <c r="BO148" s="60" t="n"/>
      <c r="BP148" s="60" t="n"/>
      <c r="BQ148" s="60" t="n"/>
      <c r="BR148" s="60" t="n"/>
      <c r="BS148" s="60" t="n"/>
      <c r="BT148" s="60" t="n"/>
      <c r="BU148" s="60" t="n"/>
      <c r="BV148" s="60" t="n"/>
      <c r="BW148" s="60" t="n"/>
      <c r="BX148" s="60" t="n"/>
      <c r="BY148" s="60" t="n"/>
      <c r="BZ148" s="60" t="n"/>
      <c r="CA148" s="60" t="n"/>
      <c r="CB148" s="60" t="n"/>
      <c r="CC148" s="60" t="n"/>
      <c r="CD148" s="60" t="n"/>
      <c r="CE148" s="60" t="n"/>
      <c r="CF148" s="60" t="n"/>
      <c r="CG148" s="60" t="n"/>
      <c r="CH148" s="60" t="n"/>
      <c r="CI148" s="60" t="n"/>
      <c r="CJ148" s="60" t="n"/>
      <c r="CK148" s="60" t="n"/>
      <c r="CL148" s="60" t="n"/>
      <c r="CM148" s="60" t="n"/>
      <c r="CN148" s="60" t="n"/>
      <c r="CO148" s="60" t="n"/>
      <c r="CP148" s="60" t="n"/>
    </row>
    <row r="149">
      <c r="A149" s="35" t="n"/>
      <c r="B149" s="35" t="n"/>
      <c r="C149" s="35" t="n"/>
      <c r="D149" s="40" t="n"/>
      <c r="E149" s="35" t="n"/>
      <c r="F149" s="59">
        <f>IF(OR(D149="",E149=""),"",WORKDAY(D149,MAX(E149,1)-1))</f>
        <v/>
      </c>
      <c r="G149" s="36" t="n"/>
      <c r="H149" s="9">
        <f>IF(D149="","",IF(G149&gt;=1,"Done",IF(TODAY()&gt;F149,"Late",IF(TODAY()&gt;=D149,"In progress","Not started"))))</f>
        <v/>
      </c>
      <c r="I149" s="9">
        <f>IF(B149="","",IF(AND(A149&lt;&gt;"",COUNTIF(Jobs!$A$5:$A$44,A149)=0),"Unknown Job ID",IF(D149="","Missing start",IF(E149="","Missing duration",""))))</f>
        <v/>
      </c>
      <c r="J149" s="35" t="n"/>
      <c r="K149" s="60" t="n"/>
      <c r="L149" s="60" t="n"/>
      <c r="M149" s="60" t="n"/>
      <c r="N149" s="60" t="n"/>
      <c r="O149" s="60" t="n"/>
      <c r="P149" s="60" t="n"/>
      <c r="Q149" s="60" t="n"/>
      <c r="R149" s="60" t="n"/>
      <c r="S149" s="60" t="n"/>
      <c r="T149" s="60" t="n"/>
      <c r="U149" s="60" t="n"/>
      <c r="V149" s="60" t="n"/>
      <c r="W149" s="60" t="n"/>
      <c r="X149" s="60" t="n"/>
      <c r="Y149" s="60" t="n"/>
      <c r="Z149" s="60" t="n"/>
      <c r="AA149" s="60" t="n"/>
      <c r="AB149" s="60" t="n"/>
      <c r="AC149" s="60" t="n"/>
      <c r="AD149" s="60" t="n"/>
      <c r="AE149" s="60" t="n"/>
      <c r="AF149" s="60" t="n"/>
      <c r="AG149" s="60" t="n"/>
      <c r="AH149" s="60" t="n"/>
      <c r="AI149" s="60" t="n"/>
      <c r="AJ149" s="60" t="n"/>
      <c r="AK149" s="60" t="n"/>
      <c r="AL149" s="60" t="n"/>
      <c r="AM149" s="60" t="n"/>
      <c r="AN149" s="60" t="n"/>
      <c r="AO149" s="60" t="n"/>
      <c r="AP149" s="60" t="n"/>
      <c r="AQ149" s="60" t="n"/>
      <c r="AR149" s="60" t="n"/>
      <c r="AS149" s="60" t="n"/>
      <c r="AT149" s="60" t="n"/>
      <c r="AU149" s="60" t="n"/>
      <c r="AV149" s="60" t="n"/>
      <c r="AW149" s="60" t="n"/>
      <c r="AX149" s="60" t="n"/>
      <c r="AY149" s="60" t="n"/>
      <c r="AZ149" s="60" t="n"/>
      <c r="BA149" s="60" t="n"/>
      <c r="BB149" s="60" t="n"/>
      <c r="BC149" s="60" t="n"/>
      <c r="BD149" s="60" t="n"/>
      <c r="BE149" s="60" t="n"/>
      <c r="BF149" s="60" t="n"/>
      <c r="BG149" s="60" t="n"/>
      <c r="BH149" s="60" t="n"/>
      <c r="BI149" s="60" t="n"/>
      <c r="BJ149" s="60" t="n"/>
      <c r="BK149" s="60" t="n"/>
      <c r="BL149" s="60" t="n"/>
      <c r="BM149" s="60" t="n"/>
      <c r="BN149" s="60" t="n"/>
      <c r="BO149" s="60" t="n"/>
      <c r="BP149" s="60" t="n"/>
      <c r="BQ149" s="60" t="n"/>
      <c r="BR149" s="60" t="n"/>
      <c r="BS149" s="60" t="n"/>
      <c r="BT149" s="60" t="n"/>
      <c r="BU149" s="60" t="n"/>
      <c r="BV149" s="60" t="n"/>
      <c r="BW149" s="60" t="n"/>
      <c r="BX149" s="60" t="n"/>
      <c r="BY149" s="60" t="n"/>
      <c r="BZ149" s="60" t="n"/>
      <c r="CA149" s="60" t="n"/>
      <c r="CB149" s="60" t="n"/>
      <c r="CC149" s="60" t="n"/>
      <c r="CD149" s="60" t="n"/>
      <c r="CE149" s="60" t="n"/>
      <c r="CF149" s="60" t="n"/>
      <c r="CG149" s="60" t="n"/>
      <c r="CH149" s="60" t="n"/>
      <c r="CI149" s="60" t="n"/>
      <c r="CJ149" s="60" t="n"/>
      <c r="CK149" s="60" t="n"/>
      <c r="CL149" s="60" t="n"/>
      <c r="CM149" s="60" t="n"/>
      <c r="CN149" s="60" t="n"/>
      <c r="CO149" s="60" t="n"/>
      <c r="CP149" s="60" t="n"/>
    </row>
    <row r="150">
      <c r="A150" s="35" t="n"/>
      <c r="B150" s="35" t="n"/>
      <c r="C150" s="35" t="n"/>
      <c r="D150" s="40" t="n"/>
      <c r="E150" s="35" t="n"/>
      <c r="F150" s="59">
        <f>IF(OR(D150="",E150=""),"",WORKDAY(D150,MAX(E150,1)-1))</f>
        <v/>
      </c>
      <c r="G150" s="36" t="n"/>
      <c r="H150" s="9">
        <f>IF(D150="","",IF(G150&gt;=1,"Done",IF(TODAY()&gt;F150,"Late",IF(TODAY()&gt;=D150,"In progress","Not started"))))</f>
        <v/>
      </c>
      <c r="I150" s="9">
        <f>IF(B150="","",IF(AND(A150&lt;&gt;"",COUNTIF(Jobs!$A$5:$A$44,A150)=0),"Unknown Job ID",IF(D150="","Missing start",IF(E150="","Missing duration",""))))</f>
        <v/>
      </c>
      <c r="J150" s="35" t="n"/>
      <c r="K150" s="60" t="n"/>
      <c r="L150" s="60" t="n"/>
      <c r="M150" s="60" t="n"/>
      <c r="N150" s="60" t="n"/>
      <c r="O150" s="60" t="n"/>
      <c r="P150" s="60" t="n"/>
      <c r="Q150" s="60" t="n"/>
      <c r="R150" s="60" t="n"/>
      <c r="S150" s="60" t="n"/>
      <c r="T150" s="60" t="n"/>
      <c r="U150" s="60" t="n"/>
      <c r="V150" s="60" t="n"/>
      <c r="W150" s="60" t="n"/>
      <c r="X150" s="60" t="n"/>
      <c r="Y150" s="60" t="n"/>
      <c r="Z150" s="60" t="n"/>
      <c r="AA150" s="60" t="n"/>
      <c r="AB150" s="60" t="n"/>
      <c r="AC150" s="60" t="n"/>
      <c r="AD150" s="60" t="n"/>
      <c r="AE150" s="60" t="n"/>
      <c r="AF150" s="60" t="n"/>
      <c r="AG150" s="60" t="n"/>
      <c r="AH150" s="60" t="n"/>
      <c r="AI150" s="60" t="n"/>
      <c r="AJ150" s="60" t="n"/>
      <c r="AK150" s="60" t="n"/>
      <c r="AL150" s="60" t="n"/>
      <c r="AM150" s="60" t="n"/>
      <c r="AN150" s="60" t="n"/>
      <c r="AO150" s="60" t="n"/>
      <c r="AP150" s="60" t="n"/>
      <c r="AQ150" s="60" t="n"/>
      <c r="AR150" s="60" t="n"/>
      <c r="AS150" s="60" t="n"/>
      <c r="AT150" s="60" t="n"/>
      <c r="AU150" s="60" t="n"/>
      <c r="AV150" s="60" t="n"/>
      <c r="AW150" s="60" t="n"/>
      <c r="AX150" s="60" t="n"/>
      <c r="AY150" s="60" t="n"/>
      <c r="AZ150" s="60" t="n"/>
      <c r="BA150" s="60" t="n"/>
      <c r="BB150" s="60" t="n"/>
      <c r="BC150" s="60" t="n"/>
      <c r="BD150" s="60" t="n"/>
      <c r="BE150" s="60" t="n"/>
      <c r="BF150" s="60" t="n"/>
      <c r="BG150" s="60" t="n"/>
      <c r="BH150" s="60" t="n"/>
      <c r="BI150" s="60" t="n"/>
      <c r="BJ150" s="60" t="n"/>
      <c r="BK150" s="60" t="n"/>
      <c r="BL150" s="60" t="n"/>
      <c r="BM150" s="60" t="n"/>
      <c r="BN150" s="60" t="n"/>
      <c r="BO150" s="60" t="n"/>
      <c r="BP150" s="60" t="n"/>
      <c r="BQ150" s="60" t="n"/>
      <c r="BR150" s="60" t="n"/>
      <c r="BS150" s="60" t="n"/>
      <c r="BT150" s="60" t="n"/>
      <c r="BU150" s="60" t="n"/>
      <c r="BV150" s="60" t="n"/>
      <c r="BW150" s="60" t="n"/>
      <c r="BX150" s="60" t="n"/>
      <c r="BY150" s="60" t="n"/>
      <c r="BZ150" s="60" t="n"/>
      <c r="CA150" s="60" t="n"/>
      <c r="CB150" s="60" t="n"/>
      <c r="CC150" s="60" t="n"/>
      <c r="CD150" s="60" t="n"/>
      <c r="CE150" s="60" t="n"/>
      <c r="CF150" s="60" t="n"/>
      <c r="CG150" s="60" t="n"/>
      <c r="CH150" s="60" t="n"/>
      <c r="CI150" s="60" t="n"/>
      <c r="CJ150" s="60" t="n"/>
      <c r="CK150" s="60" t="n"/>
      <c r="CL150" s="60" t="n"/>
      <c r="CM150" s="60" t="n"/>
      <c r="CN150" s="60" t="n"/>
      <c r="CO150" s="60" t="n"/>
      <c r="CP150" s="60" t="n"/>
    </row>
    <row r="151">
      <c r="A151" s="35" t="n"/>
      <c r="B151" s="35" t="n"/>
      <c r="C151" s="35" t="n"/>
      <c r="D151" s="40" t="n"/>
      <c r="E151" s="35" t="n"/>
      <c r="F151" s="59">
        <f>IF(OR(D151="",E151=""),"",WORKDAY(D151,MAX(E151,1)-1))</f>
        <v/>
      </c>
      <c r="G151" s="36" t="n"/>
      <c r="H151" s="9">
        <f>IF(D151="","",IF(G151&gt;=1,"Done",IF(TODAY()&gt;F151,"Late",IF(TODAY()&gt;=D151,"In progress","Not started"))))</f>
        <v/>
      </c>
      <c r="I151" s="9">
        <f>IF(B151="","",IF(AND(A151&lt;&gt;"",COUNTIF(Jobs!$A$5:$A$44,A151)=0),"Unknown Job ID",IF(D151="","Missing start",IF(E151="","Missing duration",""))))</f>
        <v/>
      </c>
      <c r="J151" s="35" t="n"/>
      <c r="K151" s="60" t="n"/>
      <c r="L151" s="60" t="n"/>
      <c r="M151" s="60" t="n"/>
      <c r="N151" s="60" t="n"/>
      <c r="O151" s="60" t="n"/>
      <c r="P151" s="60" t="n"/>
      <c r="Q151" s="60" t="n"/>
      <c r="R151" s="60" t="n"/>
      <c r="S151" s="60" t="n"/>
      <c r="T151" s="60" t="n"/>
      <c r="U151" s="60" t="n"/>
      <c r="V151" s="60" t="n"/>
      <c r="W151" s="60" t="n"/>
      <c r="X151" s="60" t="n"/>
      <c r="Y151" s="60" t="n"/>
      <c r="Z151" s="60" t="n"/>
      <c r="AA151" s="60" t="n"/>
      <c r="AB151" s="60" t="n"/>
      <c r="AC151" s="60" t="n"/>
      <c r="AD151" s="60" t="n"/>
      <c r="AE151" s="60" t="n"/>
      <c r="AF151" s="60" t="n"/>
      <c r="AG151" s="60" t="n"/>
      <c r="AH151" s="60" t="n"/>
      <c r="AI151" s="60" t="n"/>
      <c r="AJ151" s="60" t="n"/>
      <c r="AK151" s="60" t="n"/>
      <c r="AL151" s="60" t="n"/>
      <c r="AM151" s="60" t="n"/>
      <c r="AN151" s="60" t="n"/>
      <c r="AO151" s="60" t="n"/>
      <c r="AP151" s="60" t="n"/>
      <c r="AQ151" s="60" t="n"/>
      <c r="AR151" s="60" t="n"/>
      <c r="AS151" s="60" t="n"/>
      <c r="AT151" s="60" t="n"/>
      <c r="AU151" s="60" t="n"/>
      <c r="AV151" s="60" t="n"/>
      <c r="AW151" s="60" t="n"/>
      <c r="AX151" s="60" t="n"/>
      <c r="AY151" s="60" t="n"/>
      <c r="AZ151" s="60" t="n"/>
      <c r="BA151" s="60" t="n"/>
      <c r="BB151" s="60" t="n"/>
      <c r="BC151" s="60" t="n"/>
      <c r="BD151" s="60" t="n"/>
      <c r="BE151" s="60" t="n"/>
      <c r="BF151" s="60" t="n"/>
      <c r="BG151" s="60" t="n"/>
      <c r="BH151" s="60" t="n"/>
      <c r="BI151" s="60" t="n"/>
      <c r="BJ151" s="60" t="n"/>
      <c r="BK151" s="60" t="n"/>
      <c r="BL151" s="60" t="n"/>
      <c r="BM151" s="60" t="n"/>
      <c r="BN151" s="60" t="n"/>
      <c r="BO151" s="60" t="n"/>
      <c r="BP151" s="60" t="n"/>
      <c r="BQ151" s="60" t="n"/>
      <c r="BR151" s="60" t="n"/>
      <c r="BS151" s="60" t="n"/>
      <c r="BT151" s="60" t="n"/>
      <c r="BU151" s="60" t="n"/>
      <c r="BV151" s="60" t="n"/>
      <c r="BW151" s="60" t="n"/>
      <c r="BX151" s="60" t="n"/>
      <c r="BY151" s="60" t="n"/>
      <c r="BZ151" s="60" t="n"/>
      <c r="CA151" s="60" t="n"/>
      <c r="CB151" s="60" t="n"/>
      <c r="CC151" s="60" t="n"/>
      <c r="CD151" s="60" t="n"/>
      <c r="CE151" s="60" t="n"/>
      <c r="CF151" s="60" t="n"/>
      <c r="CG151" s="60" t="n"/>
      <c r="CH151" s="60" t="n"/>
      <c r="CI151" s="60" t="n"/>
      <c r="CJ151" s="60" t="n"/>
      <c r="CK151" s="60" t="n"/>
      <c r="CL151" s="60" t="n"/>
      <c r="CM151" s="60" t="n"/>
      <c r="CN151" s="60" t="n"/>
      <c r="CO151" s="60" t="n"/>
      <c r="CP151" s="60" t="n"/>
    </row>
    <row r="152">
      <c r="A152" s="35" t="n"/>
      <c r="B152" s="35" t="n"/>
      <c r="C152" s="35" t="n"/>
      <c r="D152" s="40" t="n"/>
      <c r="E152" s="35" t="n"/>
      <c r="F152" s="59">
        <f>IF(OR(D152="",E152=""),"",WORKDAY(D152,MAX(E152,1)-1))</f>
        <v/>
      </c>
      <c r="G152" s="36" t="n"/>
      <c r="H152" s="9">
        <f>IF(D152="","",IF(G152&gt;=1,"Done",IF(TODAY()&gt;F152,"Late",IF(TODAY()&gt;=D152,"In progress","Not started"))))</f>
        <v/>
      </c>
      <c r="I152" s="9">
        <f>IF(B152="","",IF(AND(A152&lt;&gt;"",COUNTIF(Jobs!$A$5:$A$44,A152)=0),"Unknown Job ID",IF(D152="","Missing start",IF(E152="","Missing duration",""))))</f>
        <v/>
      </c>
      <c r="J152" s="35" t="n"/>
      <c r="K152" s="60" t="n"/>
      <c r="L152" s="60" t="n"/>
      <c r="M152" s="60" t="n"/>
      <c r="N152" s="60" t="n"/>
      <c r="O152" s="60" t="n"/>
      <c r="P152" s="60" t="n"/>
      <c r="Q152" s="60" t="n"/>
      <c r="R152" s="60" t="n"/>
      <c r="S152" s="60" t="n"/>
      <c r="T152" s="60" t="n"/>
      <c r="U152" s="60" t="n"/>
      <c r="V152" s="60" t="n"/>
      <c r="W152" s="60" t="n"/>
      <c r="X152" s="60" t="n"/>
      <c r="Y152" s="60" t="n"/>
      <c r="Z152" s="60" t="n"/>
      <c r="AA152" s="60" t="n"/>
      <c r="AB152" s="60" t="n"/>
      <c r="AC152" s="60" t="n"/>
      <c r="AD152" s="60" t="n"/>
      <c r="AE152" s="60" t="n"/>
      <c r="AF152" s="60" t="n"/>
      <c r="AG152" s="60" t="n"/>
      <c r="AH152" s="60" t="n"/>
      <c r="AI152" s="60" t="n"/>
      <c r="AJ152" s="60" t="n"/>
      <c r="AK152" s="60" t="n"/>
      <c r="AL152" s="60" t="n"/>
      <c r="AM152" s="60" t="n"/>
      <c r="AN152" s="60" t="n"/>
      <c r="AO152" s="60" t="n"/>
      <c r="AP152" s="60" t="n"/>
      <c r="AQ152" s="60" t="n"/>
      <c r="AR152" s="60" t="n"/>
      <c r="AS152" s="60" t="n"/>
      <c r="AT152" s="60" t="n"/>
      <c r="AU152" s="60" t="n"/>
      <c r="AV152" s="60" t="n"/>
      <c r="AW152" s="60" t="n"/>
      <c r="AX152" s="60" t="n"/>
      <c r="AY152" s="60" t="n"/>
      <c r="AZ152" s="60" t="n"/>
      <c r="BA152" s="60" t="n"/>
      <c r="BB152" s="60" t="n"/>
      <c r="BC152" s="60" t="n"/>
      <c r="BD152" s="60" t="n"/>
      <c r="BE152" s="60" t="n"/>
      <c r="BF152" s="60" t="n"/>
      <c r="BG152" s="60" t="n"/>
      <c r="BH152" s="60" t="n"/>
      <c r="BI152" s="60" t="n"/>
      <c r="BJ152" s="60" t="n"/>
      <c r="BK152" s="60" t="n"/>
      <c r="BL152" s="60" t="n"/>
      <c r="BM152" s="60" t="n"/>
      <c r="BN152" s="60" t="n"/>
      <c r="BO152" s="60" t="n"/>
      <c r="BP152" s="60" t="n"/>
      <c r="BQ152" s="60" t="n"/>
      <c r="BR152" s="60" t="n"/>
      <c r="BS152" s="60" t="n"/>
      <c r="BT152" s="60" t="n"/>
      <c r="BU152" s="60" t="n"/>
      <c r="BV152" s="60" t="n"/>
      <c r="BW152" s="60" t="n"/>
      <c r="BX152" s="60" t="n"/>
      <c r="BY152" s="60" t="n"/>
      <c r="BZ152" s="60" t="n"/>
      <c r="CA152" s="60" t="n"/>
      <c r="CB152" s="60" t="n"/>
      <c r="CC152" s="60" t="n"/>
      <c r="CD152" s="60" t="n"/>
      <c r="CE152" s="60" t="n"/>
      <c r="CF152" s="60" t="n"/>
      <c r="CG152" s="60" t="n"/>
      <c r="CH152" s="60" t="n"/>
      <c r="CI152" s="60" t="n"/>
      <c r="CJ152" s="60" t="n"/>
      <c r="CK152" s="60" t="n"/>
      <c r="CL152" s="60" t="n"/>
      <c r="CM152" s="60" t="n"/>
      <c r="CN152" s="60" t="n"/>
      <c r="CO152" s="60" t="n"/>
      <c r="CP152" s="60" t="n"/>
    </row>
    <row r="153">
      <c r="A153" s="35" t="n"/>
      <c r="B153" s="35" t="n"/>
      <c r="C153" s="35" t="n"/>
      <c r="D153" s="40" t="n"/>
      <c r="E153" s="35" t="n"/>
      <c r="F153" s="59">
        <f>IF(OR(D153="",E153=""),"",WORKDAY(D153,MAX(E153,1)-1))</f>
        <v/>
      </c>
      <c r="G153" s="36" t="n"/>
      <c r="H153" s="9">
        <f>IF(D153="","",IF(G153&gt;=1,"Done",IF(TODAY()&gt;F153,"Late",IF(TODAY()&gt;=D153,"In progress","Not started"))))</f>
        <v/>
      </c>
      <c r="I153" s="9">
        <f>IF(B153="","",IF(AND(A153&lt;&gt;"",COUNTIF(Jobs!$A$5:$A$44,A153)=0),"Unknown Job ID",IF(D153="","Missing start",IF(E153="","Missing duration",""))))</f>
        <v/>
      </c>
      <c r="J153" s="35" t="n"/>
      <c r="K153" s="60" t="n"/>
      <c r="L153" s="60" t="n"/>
      <c r="M153" s="60" t="n"/>
      <c r="N153" s="60" t="n"/>
      <c r="O153" s="60" t="n"/>
      <c r="P153" s="60" t="n"/>
      <c r="Q153" s="60" t="n"/>
      <c r="R153" s="60" t="n"/>
      <c r="S153" s="60" t="n"/>
      <c r="T153" s="60" t="n"/>
      <c r="U153" s="60" t="n"/>
      <c r="V153" s="60" t="n"/>
      <c r="W153" s="60" t="n"/>
      <c r="X153" s="60" t="n"/>
      <c r="Y153" s="60" t="n"/>
      <c r="Z153" s="60" t="n"/>
      <c r="AA153" s="60" t="n"/>
      <c r="AB153" s="60" t="n"/>
      <c r="AC153" s="60" t="n"/>
      <c r="AD153" s="60" t="n"/>
      <c r="AE153" s="60" t="n"/>
      <c r="AF153" s="60" t="n"/>
      <c r="AG153" s="60" t="n"/>
      <c r="AH153" s="60" t="n"/>
      <c r="AI153" s="60" t="n"/>
      <c r="AJ153" s="60" t="n"/>
      <c r="AK153" s="60" t="n"/>
      <c r="AL153" s="60" t="n"/>
      <c r="AM153" s="60" t="n"/>
      <c r="AN153" s="60" t="n"/>
      <c r="AO153" s="60" t="n"/>
      <c r="AP153" s="60" t="n"/>
      <c r="AQ153" s="60" t="n"/>
      <c r="AR153" s="60" t="n"/>
      <c r="AS153" s="60" t="n"/>
      <c r="AT153" s="60" t="n"/>
      <c r="AU153" s="60" t="n"/>
      <c r="AV153" s="60" t="n"/>
      <c r="AW153" s="60" t="n"/>
      <c r="AX153" s="60" t="n"/>
      <c r="AY153" s="60" t="n"/>
      <c r="AZ153" s="60" t="n"/>
      <c r="BA153" s="60" t="n"/>
      <c r="BB153" s="60" t="n"/>
      <c r="BC153" s="60" t="n"/>
      <c r="BD153" s="60" t="n"/>
      <c r="BE153" s="60" t="n"/>
      <c r="BF153" s="60" t="n"/>
      <c r="BG153" s="60" t="n"/>
      <c r="BH153" s="60" t="n"/>
      <c r="BI153" s="60" t="n"/>
      <c r="BJ153" s="60" t="n"/>
      <c r="BK153" s="60" t="n"/>
      <c r="BL153" s="60" t="n"/>
      <c r="BM153" s="60" t="n"/>
      <c r="BN153" s="60" t="n"/>
      <c r="BO153" s="60" t="n"/>
      <c r="BP153" s="60" t="n"/>
      <c r="BQ153" s="60" t="n"/>
      <c r="BR153" s="60" t="n"/>
      <c r="BS153" s="60" t="n"/>
      <c r="BT153" s="60" t="n"/>
      <c r="BU153" s="60" t="n"/>
      <c r="BV153" s="60" t="n"/>
      <c r="BW153" s="60" t="n"/>
      <c r="BX153" s="60" t="n"/>
      <c r="BY153" s="60" t="n"/>
      <c r="BZ153" s="60" t="n"/>
      <c r="CA153" s="60" t="n"/>
      <c r="CB153" s="60" t="n"/>
      <c r="CC153" s="60" t="n"/>
      <c r="CD153" s="60" t="n"/>
      <c r="CE153" s="60" t="n"/>
      <c r="CF153" s="60" t="n"/>
      <c r="CG153" s="60" t="n"/>
      <c r="CH153" s="60" t="n"/>
      <c r="CI153" s="60" t="n"/>
      <c r="CJ153" s="60" t="n"/>
      <c r="CK153" s="60" t="n"/>
      <c r="CL153" s="60" t="n"/>
      <c r="CM153" s="60" t="n"/>
      <c r="CN153" s="60" t="n"/>
      <c r="CO153" s="60" t="n"/>
      <c r="CP153" s="60" t="n"/>
    </row>
    <row r="154">
      <c r="A154" s="35" t="n"/>
      <c r="B154" s="35" t="n"/>
      <c r="C154" s="35" t="n"/>
      <c r="D154" s="40" t="n"/>
      <c r="E154" s="35" t="n"/>
      <c r="F154" s="59">
        <f>IF(OR(D154="",E154=""),"",WORKDAY(D154,MAX(E154,1)-1))</f>
        <v/>
      </c>
      <c r="G154" s="36" t="n"/>
      <c r="H154" s="9">
        <f>IF(D154="","",IF(G154&gt;=1,"Done",IF(TODAY()&gt;F154,"Late",IF(TODAY()&gt;=D154,"In progress","Not started"))))</f>
        <v/>
      </c>
      <c r="I154" s="9">
        <f>IF(B154="","",IF(AND(A154&lt;&gt;"",COUNTIF(Jobs!$A$5:$A$44,A154)=0),"Unknown Job ID",IF(D154="","Missing start",IF(E154="","Missing duration",""))))</f>
        <v/>
      </c>
      <c r="J154" s="35" t="n"/>
      <c r="K154" s="60" t="n"/>
      <c r="L154" s="60" t="n"/>
      <c r="M154" s="60" t="n"/>
      <c r="N154" s="60" t="n"/>
      <c r="O154" s="60" t="n"/>
      <c r="P154" s="60" t="n"/>
      <c r="Q154" s="60" t="n"/>
      <c r="R154" s="60" t="n"/>
      <c r="S154" s="60" t="n"/>
      <c r="T154" s="60" t="n"/>
      <c r="U154" s="60" t="n"/>
      <c r="V154" s="60" t="n"/>
      <c r="W154" s="60" t="n"/>
      <c r="X154" s="60" t="n"/>
      <c r="Y154" s="60" t="n"/>
      <c r="Z154" s="60" t="n"/>
      <c r="AA154" s="60" t="n"/>
      <c r="AB154" s="60" t="n"/>
      <c r="AC154" s="60" t="n"/>
      <c r="AD154" s="60" t="n"/>
      <c r="AE154" s="60" t="n"/>
      <c r="AF154" s="60" t="n"/>
      <c r="AG154" s="60" t="n"/>
      <c r="AH154" s="60" t="n"/>
      <c r="AI154" s="60" t="n"/>
      <c r="AJ154" s="60" t="n"/>
      <c r="AK154" s="60" t="n"/>
      <c r="AL154" s="60" t="n"/>
      <c r="AM154" s="60" t="n"/>
      <c r="AN154" s="60" t="n"/>
      <c r="AO154" s="60" t="n"/>
      <c r="AP154" s="60" t="n"/>
      <c r="AQ154" s="60" t="n"/>
      <c r="AR154" s="60" t="n"/>
      <c r="AS154" s="60" t="n"/>
      <c r="AT154" s="60" t="n"/>
      <c r="AU154" s="60" t="n"/>
      <c r="AV154" s="60" t="n"/>
      <c r="AW154" s="60" t="n"/>
      <c r="AX154" s="60" t="n"/>
      <c r="AY154" s="60" t="n"/>
      <c r="AZ154" s="60" t="n"/>
      <c r="BA154" s="60" t="n"/>
      <c r="BB154" s="60" t="n"/>
      <c r="BC154" s="60" t="n"/>
      <c r="BD154" s="60" t="n"/>
      <c r="BE154" s="60" t="n"/>
      <c r="BF154" s="60" t="n"/>
      <c r="BG154" s="60" t="n"/>
      <c r="BH154" s="60" t="n"/>
      <c r="BI154" s="60" t="n"/>
      <c r="BJ154" s="60" t="n"/>
      <c r="BK154" s="60" t="n"/>
      <c r="BL154" s="60" t="n"/>
      <c r="BM154" s="60" t="n"/>
      <c r="BN154" s="60" t="n"/>
      <c r="BO154" s="60" t="n"/>
      <c r="BP154" s="60" t="n"/>
      <c r="BQ154" s="60" t="n"/>
      <c r="BR154" s="60" t="n"/>
      <c r="BS154" s="60" t="n"/>
      <c r="BT154" s="60" t="n"/>
      <c r="BU154" s="60" t="n"/>
      <c r="BV154" s="60" t="n"/>
      <c r="BW154" s="60" t="n"/>
      <c r="BX154" s="60" t="n"/>
      <c r="BY154" s="60" t="n"/>
      <c r="BZ154" s="60" t="n"/>
      <c r="CA154" s="60" t="n"/>
      <c r="CB154" s="60" t="n"/>
      <c r="CC154" s="60" t="n"/>
      <c r="CD154" s="60" t="n"/>
      <c r="CE154" s="60" t="n"/>
      <c r="CF154" s="60" t="n"/>
      <c r="CG154" s="60" t="n"/>
      <c r="CH154" s="60" t="n"/>
      <c r="CI154" s="60" t="n"/>
      <c r="CJ154" s="60" t="n"/>
      <c r="CK154" s="60" t="n"/>
      <c r="CL154" s="60" t="n"/>
      <c r="CM154" s="60" t="n"/>
      <c r="CN154" s="60" t="n"/>
      <c r="CO154" s="60" t="n"/>
      <c r="CP154" s="60" t="n"/>
    </row>
    <row r="155">
      <c r="A155" s="35" t="n"/>
      <c r="B155" s="35" t="n"/>
      <c r="C155" s="35" t="n"/>
      <c r="D155" s="40" t="n"/>
      <c r="E155" s="35" t="n"/>
      <c r="F155" s="59">
        <f>IF(OR(D155="",E155=""),"",WORKDAY(D155,MAX(E155,1)-1))</f>
        <v/>
      </c>
      <c r="G155" s="36" t="n"/>
      <c r="H155" s="9">
        <f>IF(D155="","",IF(G155&gt;=1,"Done",IF(TODAY()&gt;F155,"Late",IF(TODAY()&gt;=D155,"In progress","Not started"))))</f>
        <v/>
      </c>
      <c r="I155" s="9">
        <f>IF(B155="","",IF(AND(A155&lt;&gt;"",COUNTIF(Jobs!$A$5:$A$44,A155)=0),"Unknown Job ID",IF(D155="","Missing start",IF(E155="","Missing duration",""))))</f>
        <v/>
      </c>
      <c r="J155" s="35" t="n"/>
      <c r="K155" s="60" t="n"/>
      <c r="L155" s="60" t="n"/>
      <c r="M155" s="60" t="n"/>
      <c r="N155" s="60" t="n"/>
      <c r="O155" s="60" t="n"/>
      <c r="P155" s="60" t="n"/>
      <c r="Q155" s="60" t="n"/>
      <c r="R155" s="60" t="n"/>
      <c r="S155" s="60" t="n"/>
      <c r="T155" s="60" t="n"/>
      <c r="U155" s="60" t="n"/>
      <c r="V155" s="60" t="n"/>
      <c r="W155" s="60" t="n"/>
      <c r="X155" s="60" t="n"/>
      <c r="Y155" s="60" t="n"/>
      <c r="Z155" s="60" t="n"/>
      <c r="AA155" s="60" t="n"/>
      <c r="AB155" s="60" t="n"/>
      <c r="AC155" s="60" t="n"/>
      <c r="AD155" s="60" t="n"/>
      <c r="AE155" s="60" t="n"/>
      <c r="AF155" s="60" t="n"/>
      <c r="AG155" s="60" t="n"/>
      <c r="AH155" s="60" t="n"/>
      <c r="AI155" s="60" t="n"/>
      <c r="AJ155" s="60" t="n"/>
      <c r="AK155" s="60" t="n"/>
      <c r="AL155" s="60" t="n"/>
      <c r="AM155" s="60" t="n"/>
      <c r="AN155" s="60" t="n"/>
      <c r="AO155" s="60" t="n"/>
      <c r="AP155" s="60" t="n"/>
      <c r="AQ155" s="60" t="n"/>
      <c r="AR155" s="60" t="n"/>
      <c r="AS155" s="60" t="n"/>
      <c r="AT155" s="60" t="n"/>
      <c r="AU155" s="60" t="n"/>
      <c r="AV155" s="60" t="n"/>
      <c r="AW155" s="60" t="n"/>
      <c r="AX155" s="60" t="n"/>
      <c r="AY155" s="60" t="n"/>
      <c r="AZ155" s="60" t="n"/>
      <c r="BA155" s="60" t="n"/>
      <c r="BB155" s="60" t="n"/>
      <c r="BC155" s="60" t="n"/>
      <c r="BD155" s="60" t="n"/>
      <c r="BE155" s="60" t="n"/>
      <c r="BF155" s="60" t="n"/>
      <c r="BG155" s="60" t="n"/>
      <c r="BH155" s="60" t="n"/>
      <c r="BI155" s="60" t="n"/>
      <c r="BJ155" s="60" t="n"/>
      <c r="BK155" s="60" t="n"/>
      <c r="BL155" s="60" t="n"/>
      <c r="BM155" s="60" t="n"/>
      <c r="BN155" s="60" t="n"/>
      <c r="BO155" s="60" t="n"/>
      <c r="BP155" s="60" t="n"/>
      <c r="BQ155" s="60" t="n"/>
      <c r="BR155" s="60" t="n"/>
      <c r="BS155" s="60" t="n"/>
      <c r="BT155" s="60" t="n"/>
      <c r="BU155" s="60" t="n"/>
      <c r="BV155" s="60" t="n"/>
      <c r="BW155" s="60" t="n"/>
      <c r="BX155" s="60" t="n"/>
      <c r="BY155" s="60" t="n"/>
      <c r="BZ155" s="60" t="n"/>
      <c r="CA155" s="60" t="n"/>
      <c r="CB155" s="60" t="n"/>
      <c r="CC155" s="60" t="n"/>
      <c r="CD155" s="60" t="n"/>
      <c r="CE155" s="60" t="n"/>
      <c r="CF155" s="60" t="n"/>
      <c r="CG155" s="60" t="n"/>
      <c r="CH155" s="60" t="n"/>
      <c r="CI155" s="60" t="n"/>
      <c r="CJ155" s="60" t="n"/>
      <c r="CK155" s="60" t="n"/>
      <c r="CL155" s="60" t="n"/>
      <c r="CM155" s="60" t="n"/>
      <c r="CN155" s="60" t="n"/>
      <c r="CO155" s="60" t="n"/>
      <c r="CP155" s="60" t="n"/>
    </row>
    <row r="156">
      <c r="A156" s="35" t="n"/>
      <c r="B156" s="35" t="n"/>
      <c r="C156" s="35" t="n"/>
      <c r="D156" s="40" t="n"/>
      <c r="E156" s="35" t="n"/>
      <c r="F156" s="59">
        <f>IF(OR(D156="",E156=""),"",WORKDAY(D156,MAX(E156,1)-1))</f>
        <v/>
      </c>
      <c r="G156" s="36" t="n"/>
      <c r="H156" s="9">
        <f>IF(D156="","",IF(G156&gt;=1,"Done",IF(TODAY()&gt;F156,"Late",IF(TODAY()&gt;=D156,"In progress","Not started"))))</f>
        <v/>
      </c>
      <c r="I156" s="9">
        <f>IF(B156="","",IF(AND(A156&lt;&gt;"",COUNTIF(Jobs!$A$5:$A$44,A156)=0),"Unknown Job ID",IF(D156="","Missing start",IF(E156="","Missing duration",""))))</f>
        <v/>
      </c>
      <c r="J156" s="35" t="n"/>
      <c r="K156" s="60" t="n"/>
      <c r="L156" s="60" t="n"/>
      <c r="M156" s="60" t="n"/>
      <c r="N156" s="60" t="n"/>
      <c r="O156" s="60" t="n"/>
      <c r="P156" s="60" t="n"/>
      <c r="Q156" s="60" t="n"/>
      <c r="R156" s="60" t="n"/>
      <c r="S156" s="60" t="n"/>
      <c r="T156" s="60" t="n"/>
      <c r="U156" s="60" t="n"/>
      <c r="V156" s="60" t="n"/>
      <c r="W156" s="60" t="n"/>
      <c r="X156" s="60" t="n"/>
      <c r="Y156" s="60" t="n"/>
      <c r="Z156" s="60" t="n"/>
      <c r="AA156" s="60" t="n"/>
      <c r="AB156" s="60" t="n"/>
      <c r="AC156" s="60" t="n"/>
      <c r="AD156" s="60" t="n"/>
      <c r="AE156" s="60" t="n"/>
      <c r="AF156" s="60" t="n"/>
      <c r="AG156" s="60" t="n"/>
      <c r="AH156" s="60" t="n"/>
      <c r="AI156" s="60" t="n"/>
      <c r="AJ156" s="60" t="n"/>
      <c r="AK156" s="60" t="n"/>
      <c r="AL156" s="60" t="n"/>
      <c r="AM156" s="60" t="n"/>
      <c r="AN156" s="60" t="n"/>
      <c r="AO156" s="60" t="n"/>
      <c r="AP156" s="60" t="n"/>
      <c r="AQ156" s="60" t="n"/>
      <c r="AR156" s="60" t="n"/>
      <c r="AS156" s="60" t="n"/>
      <c r="AT156" s="60" t="n"/>
      <c r="AU156" s="60" t="n"/>
      <c r="AV156" s="60" t="n"/>
      <c r="AW156" s="60" t="n"/>
      <c r="AX156" s="60" t="n"/>
      <c r="AY156" s="60" t="n"/>
      <c r="AZ156" s="60" t="n"/>
      <c r="BA156" s="60" t="n"/>
      <c r="BB156" s="60" t="n"/>
      <c r="BC156" s="60" t="n"/>
      <c r="BD156" s="60" t="n"/>
      <c r="BE156" s="60" t="n"/>
      <c r="BF156" s="60" t="n"/>
      <c r="BG156" s="60" t="n"/>
      <c r="BH156" s="60" t="n"/>
      <c r="BI156" s="60" t="n"/>
      <c r="BJ156" s="60" t="n"/>
      <c r="BK156" s="60" t="n"/>
      <c r="BL156" s="60" t="n"/>
      <c r="BM156" s="60" t="n"/>
      <c r="BN156" s="60" t="n"/>
      <c r="BO156" s="60" t="n"/>
      <c r="BP156" s="60" t="n"/>
      <c r="BQ156" s="60" t="n"/>
      <c r="BR156" s="60" t="n"/>
      <c r="BS156" s="60" t="n"/>
      <c r="BT156" s="60" t="n"/>
      <c r="BU156" s="60" t="n"/>
      <c r="BV156" s="60" t="n"/>
      <c r="BW156" s="60" t="n"/>
      <c r="BX156" s="60" t="n"/>
      <c r="BY156" s="60" t="n"/>
      <c r="BZ156" s="60" t="n"/>
      <c r="CA156" s="60" t="n"/>
      <c r="CB156" s="60" t="n"/>
      <c r="CC156" s="60" t="n"/>
      <c r="CD156" s="60" t="n"/>
      <c r="CE156" s="60" t="n"/>
      <c r="CF156" s="60" t="n"/>
      <c r="CG156" s="60" t="n"/>
      <c r="CH156" s="60" t="n"/>
      <c r="CI156" s="60" t="n"/>
      <c r="CJ156" s="60" t="n"/>
      <c r="CK156" s="60" t="n"/>
      <c r="CL156" s="60" t="n"/>
      <c r="CM156" s="60" t="n"/>
      <c r="CN156" s="60" t="n"/>
      <c r="CO156" s="60" t="n"/>
      <c r="CP156" s="60" t="n"/>
    </row>
    <row r="157">
      <c r="A157" s="35" t="n"/>
      <c r="B157" s="35" t="n"/>
      <c r="C157" s="35" t="n"/>
      <c r="D157" s="40" t="n"/>
      <c r="E157" s="35" t="n"/>
      <c r="F157" s="59">
        <f>IF(OR(D157="",E157=""),"",WORKDAY(D157,MAX(E157,1)-1))</f>
        <v/>
      </c>
      <c r="G157" s="36" t="n"/>
      <c r="H157" s="9">
        <f>IF(D157="","",IF(G157&gt;=1,"Done",IF(TODAY()&gt;F157,"Late",IF(TODAY()&gt;=D157,"In progress","Not started"))))</f>
        <v/>
      </c>
      <c r="I157" s="9">
        <f>IF(B157="","",IF(AND(A157&lt;&gt;"",COUNTIF(Jobs!$A$5:$A$44,A157)=0),"Unknown Job ID",IF(D157="","Missing start",IF(E157="","Missing duration",""))))</f>
        <v/>
      </c>
      <c r="J157" s="35" t="n"/>
      <c r="K157" s="60" t="n"/>
      <c r="L157" s="60" t="n"/>
      <c r="M157" s="60" t="n"/>
      <c r="N157" s="60" t="n"/>
      <c r="O157" s="60" t="n"/>
      <c r="P157" s="60" t="n"/>
      <c r="Q157" s="60" t="n"/>
      <c r="R157" s="60" t="n"/>
      <c r="S157" s="60" t="n"/>
      <c r="T157" s="60" t="n"/>
      <c r="U157" s="60" t="n"/>
      <c r="V157" s="60" t="n"/>
      <c r="W157" s="60" t="n"/>
      <c r="X157" s="60" t="n"/>
      <c r="Y157" s="60" t="n"/>
      <c r="Z157" s="60" t="n"/>
      <c r="AA157" s="60" t="n"/>
      <c r="AB157" s="60" t="n"/>
      <c r="AC157" s="60" t="n"/>
      <c r="AD157" s="60" t="n"/>
      <c r="AE157" s="60" t="n"/>
      <c r="AF157" s="60" t="n"/>
      <c r="AG157" s="60" t="n"/>
      <c r="AH157" s="60" t="n"/>
      <c r="AI157" s="60" t="n"/>
      <c r="AJ157" s="60" t="n"/>
      <c r="AK157" s="60" t="n"/>
      <c r="AL157" s="60" t="n"/>
      <c r="AM157" s="60" t="n"/>
      <c r="AN157" s="60" t="n"/>
      <c r="AO157" s="60" t="n"/>
      <c r="AP157" s="60" t="n"/>
      <c r="AQ157" s="60" t="n"/>
      <c r="AR157" s="60" t="n"/>
      <c r="AS157" s="60" t="n"/>
      <c r="AT157" s="60" t="n"/>
      <c r="AU157" s="60" t="n"/>
      <c r="AV157" s="60" t="n"/>
      <c r="AW157" s="60" t="n"/>
      <c r="AX157" s="60" t="n"/>
      <c r="AY157" s="60" t="n"/>
      <c r="AZ157" s="60" t="n"/>
      <c r="BA157" s="60" t="n"/>
      <c r="BB157" s="60" t="n"/>
      <c r="BC157" s="60" t="n"/>
      <c r="BD157" s="60" t="n"/>
      <c r="BE157" s="60" t="n"/>
      <c r="BF157" s="60" t="n"/>
      <c r="BG157" s="60" t="n"/>
      <c r="BH157" s="60" t="n"/>
      <c r="BI157" s="60" t="n"/>
      <c r="BJ157" s="60" t="n"/>
      <c r="BK157" s="60" t="n"/>
      <c r="BL157" s="60" t="n"/>
      <c r="BM157" s="60" t="n"/>
      <c r="BN157" s="60" t="n"/>
      <c r="BO157" s="60" t="n"/>
      <c r="BP157" s="60" t="n"/>
      <c r="BQ157" s="60" t="n"/>
      <c r="BR157" s="60" t="n"/>
      <c r="BS157" s="60" t="n"/>
      <c r="BT157" s="60" t="n"/>
      <c r="BU157" s="60" t="n"/>
      <c r="BV157" s="60" t="n"/>
      <c r="BW157" s="60" t="n"/>
      <c r="BX157" s="60" t="n"/>
      <c r="BY157" s="60" t="n"/>
      <c r="BZ157" s="60" t="n"/>
      <c r="CA157" s="60" t="n"/>
      <c r="CB157" s="60" t="n"/>
      <c r="CC157" s="60" t="n"/>
      <c r="CD157" s="60" t="n"/>
      <c r="CE157" s="60" t="n"/>
      <c r="CF157" s="60" t="n"/>
      <c r="CG157" s="60" t="n"/>
      <c r="CH157" s="60" t="n"/>
      <c r="CI157" s="60" t="n"/>
      <c r="CJ157" s="60" t="n"/>
      <c r="CK157" s="60" t="n"/>
      <c r="CL157" s="60" t="n"/>
      <c r="CM157" s="60" t="n"/>
      <c r="CN157" s="60" t="n"/>
      <c r="CO157" s="60" t="n"/>
      <c r="CP157" s="60" t="n"/>
    </row>
    <row r="158">
      <c r="A158" s="35" t="n"/>
      <c r="B158" s="35" t="n"/>
      <c r="C158" s="35" t="n"/>
      <c r="D158" s="40" t="n"/>
      <c r="E158" s="35" t="n"/>
      <c r="F158" s="59">
        <f>IF(OR(D158="",E158=""),"",WORKDAY(D158,MAX(E158,1)-1))</f>
        <v/>
      </c>
      <c r="G158" s="36" t="n"/>
      <c r="H158" s="9">
        <f>IF(D158="","",IF(G158&gt;=1,"Done",IF(TODAY()&gt;F158,"Late",IF(TODAY()&gt;=D158,"In progress","Not started"))))</f>
        <v/>
      </c>
      <c r="I158" s="9">
        <f>IF(B158="","",IF(AND(A158&lt;&gt;"",COUNTIF(Jobs!$A$5:$A$44,A158)=0),"Unknown Job ID",IF(D158="","Missing start",IF(E158="","Missing duration",""))))</f>
        <v/>
      </c>
      <c r="J158" s="35" t="n"/>
      <c r="K158" s="60" t="n"/>
      <c r="L158" s="60" t="n"/>
      <c r="M158" s="60" t="n"/>
      <c r="N158" s="60" t="n"/>
      <c r="O158" s="60" t="n"/>
      <c r="P158" s="60" t="n"/>
      <c r="Q158" s="60" t="n"/>
      <c r="R158" s="60" t="n"/>
      <c r="S158" s="60" t="n"/>
      <c r="T158" s="60" t="n"/>
      <c r="U158" s="60" t="n"/>
      <c r="V158" s="60" t="n"/>
      <c r="W158" s="60" t="n"/>
      <c r="X158" s="60" t="n"/>
      <c r="Y158" s="60" t="n"/>
      <c r="Z158" s="60" t="n"/>
      <c r="AA158" s="60" t="n"/>
      <c r="AB158" s="60" t="n"/>
      <c r="AC158" s="60" t="n"/>
      <c r="AD158" s="60" t="n"/>
      <c r="AE158" s="60" t="n"/>
      <c r="AF158" s="60" t="n"/>
      <c r="AG158" s="60" t="n"/>
      <c r="AH158" s="60" t="n"/>
      <c r="AI158" s="60" t="n"/>
      <c r="AJ158" s="60" t="n"/>
      <c r="AK158" s="60" t="n"/>
      <c r="AL158" s="60" t="n"/>
      <c r="AM158" s="60" t="n"/>
      <c r="AN158" s="60" t="n"/>
      <c r="AO158" s="60" t="n"/>
      <c r="AP158" s="60" t="n"/>
      <c r="AQ158" s="60" t="n"/>
      <c r="AR158" s="60" t="n"/>
      <c r="AS158" s="60" t="n"/>
      <c r="AT158" s="60" t="n"/>
      <c r="AU158" s="60" t="n"/>
      <c r="AV158" s="60" t="n"/>
      <c r="AW158" s="60" t="n"/>
      <c r="AX158" s="60" t="n"/>
      <c r="AY158" s="60" t="n"/>
      <c r="AZ158" s="60" t="n"/>
      <c r="BA158" s="60" t="n"/>
      <c r="BB158" s="60" t="n"/>
      <c r="BC158" s="60" t="n"/>
      <c r="BD158" s="60" t="n"/>
      <c r="BE158" s="60" t="n"/>
      <c r="BF158" s="60" t="n"/>
      <c r="BG158" s="60" t="n"/>
      <c r="BH158" s="60" t="n"/>
      <c r="BI158" s="60" t="n"/>
      <c r="BJ158" s="60" t="n"/>
      <c r="BK158" s="60" t="n"/>
      <c r="BL158" s="60" t="n"/>
      <c r="BM158" s="60" t="n"/>
      <c r="BN158" s="60" t="n"/>
      <c r="BO158" s="60" t="n"/>
      <c r="BP158" s="60" t="n"/>
      <c r="BQ158" s="60" t="n"/>
      <c r="BR158" s="60" t="n"/>
      <c r="BS158" s="60" t="n"/>
      <c r="BT158" s="60" t="n"/>
      <c r="BU158" s="60" t="n"/>
      <c r="BV158" s="60" t="n"/>
      <c r="BW158" s="60" t="n"/>
      <c r="BX158" s="60" t="n"/>
      <c r="BY158" s="60" t="n"/>
      <c r="BZ158" s="60" t="n"/>
      <c r="CA158" s="60" t="n"/>
      <c r="CB158" s="60" t="n"/>
      <c r="CC158" s="60" t="n"/>
      <c r="CD158" s="60" t="n"/>
      <c r="CE158" s="60" t="n"/>
      <c r="CF158" s="60" t="n"/>
      <c r="CG158" s="60" t="n"/>
      <c r="CH158" s="60" t="n"/>
      <c r="CI158" s="60" t="n"/>
      <c r="CJ158" s="60" t="n"/>
      <c r="CK158" s="60" t="n"/>
      <c r="CL158" s="60" t="n"/>
      <c r="CM158" s="60" t="n"/>
      <c r="CN158" s="60" t="n"/>
      <c r="CO158" s="60" t="n"/>
      <c r="CP158" s="60" t="n"/>
    </row>
    <row r="159">
      <c r="A159" s="35" t="n"/>
      <c r="B159" s="35" t="n"/>
      <c r="C159" s="35" t="n"/>
      <c r="D159" s="40" t="n"/>
      <c r="E159" s="35" t="n"/>
      <c r="F159" s="59">
        <f>IF(OR(D159="",E159=""),"",WORKDAY(D159,MAX(E159,1)-1))</f>
        <v/>
      </c>
      <c r="G159" s="36" t="n"/>
      <c r="H159" s="9">
        <f>IF(D159="","",IF(G159&gt;=1,"Done",IF(TODAY()&gt;F159,"Late",IF(TODAY()&gt;=D159,"In progress","Not started"))))</f>
        <v/>
      </c>
      <c r="I159" s="9">
        <f>IF(B159="","",IF(AND(A159&lt;&gt;"",COUNTIF(Jobs!$A$5:$A$44,A159)=0),"Unknown Job ID",IF(D159="","Missing start",IF(E159="","Missing duration",""))))</f>
        <v/>
      </c>
      <c r="J159" s="35" t="n"/>
      <c r="K159" s="60" t="n"/>
      <c r="L159" s="60" t="n"/>
      <c r="M159" s="60" t="n"/>
      <c r="N159" s="60" t="n"/>
      <c r="O159" s="60" t="n"/>
      <c r="P159" s="60" t="n"/>
      <c r="Q159" s="60" t="n"/>
      <c r="R159" s="60" t="n"/>
      <c r="S159" s="60" t="n"/>
      <c r="T159" s="60" t="n"/>
      <c r="U159" s="60" t="n"/>
      <c r="V159" s="60" t="n"/>
      <c r="W159" s="60" t="n"/>
      <c r="X159" s="60" t="n"/>
      <c r="Y159" s="60" t="n"/>
      <c r="Z159" s="60" t="n"/>
      <c r="AA159" s="60" t="n"/>
      <c r="AB159" s="60" t="n"/>
      <c r="AC159" s="60" t="n"/>
      <c r="AD159" s="60" t="n"/>
      <c r="AE159" s="60" t="n"/>
      <c r="AF159" s="60" t="n"/>
      <c r="AG159" s="60" t="n"/>
      <c r="AH159" s="60" t="n"/>
      <c r="AI159" s="60" t="n"/>
      <c r="AJ159" s="60" t="n"/>
      <c r="AK159" s="60" t="n"/>
      <c r="AL159" s="60" t="n"/>
      <c r="AM159" s="60" t="n"/>
      <c r="AN159" s="60" t="n"/>
      <c r="AO159" s="60" t="n"/>
      <c r="AP159" s="60" t="n"/>
      <c r="AQ159" s="60" t="n"/>
      <c r="AR159" s="60" t="n"/>
      <c r="AS159" s="60" t="n"/>
      <c r="AT159" s="60" t="n"/>
      <c r="AU159" s="60" t="n"/>
      <c r="AV159" s="60" t="n"/>
      <c r="AW159" s="60" t="n"/>
      <c r="AX159" s="60" t="n"/>
      <c r="AY159" s="60" t="n"/>
      <c r="AZ159" s="60" t="n"/>
      <c r="BA159" s="60" t="n"/>
      <c r="BB159" s="60" t="n"/>
      <c r="BC159" s="60" t="n"/>
      <c r="BD159" s="60" t="n"/>
      <c r="BE159" s="60" t="n"/>
      <c r="BF159" s="60" t="n"/>
      <c r="BG159" s="60" t="n"/>
      <c r="BH159" s="60" t="n"/>
      <c r="BI159" s="60" t="n"/>
      <c r="BJ159" s="60" t="n"/>
      <c r="BK159" s="60" t="n"/>
      <c r="BL159" s="60" t="n"/>
      <c r="BM159" s="60" t="n"/>
      <c r="BN159" s="60" t="n"/>
      <c r="BO159" s="60" t="n"/>
      <c r="BP159" s="60" t="n"/>
      <c r="BQ159" s="60" t="n"/>
      <c r="BR159" s="60" t="n"/>
      <c r="BS159" s="60" t="n"/>
      <c r="BT159" s="60" t="n"/>
      <c r="BU159" s="60" t="n"/>
      <c r="BV159" s="60" t="n"/>
      <c r="BW159" s="60" t="n"/>
      <c r="BX159" s="60" t="n"/>
      <c r="BY159" s="60" t="n"/>
      <c r="BZ159" s="60" t="n"/>
      <c r="CA159" s="60" t="n"/>
      <c r="CB159" s="60" t="n"/>
      <c r="CC159" s="60" t="n"/>
      <c r="CD159" s="60" t="n"/>
      <c r="CE159" s="60" t="n"/>
      <c r="CF159" s="60" t="n"/>
      <c r="CG159" s="60" t="n"/>
      <c r="CH159" s="60" t="n"/>
      <c r="CI159" s="60" t="n"/>
      <c r="CJ159" s="60" t="n"/>
      <c r="CK159" s="60" t="n"/>
      <c r="CL159" s="60" t="n"/>
      <c r="CM159" s="60" t="n"/>
      <c r="CN159" s="60" t="n"/>
      <c r="CO159" s="60" t="n"/>
      <c r="CP159" s="60" t="n"/>
    </row>
    <row r="160">
      <c r="A160" s="35" t="n"/>
      <c r="B160" s="35" t="n"/>
      <c r="C160" s="35" t="n"/>
      <c r="D160" s="40" t="n"/>
      <c r="E160" s="35" t="n"/>
      <c r="F160" s="59">
        <f>IF(OR(D160="",E160=""),"",WORKDAY(D160,MAX(E160,1)-1))</f>
        <v/>
      </c>
      <c r="G160" s="36" t="n"/>
      <c r="H160" s="9">
        <f>IF(D160="","",IF(G160&gt;=1,"Done",IF(TODAY()&gt;F160,"Late",IF(TODAY()&gt;=D160,"In progress","Not started"))))</f>
        <v/>
      </c>
      <c r="I160" s="9">
        <f>IF(B160="","",IF(AND(A160&lt;&gt;"",COUNTIF(Jobs!$A$5:$A$44,A160)=0),"Unknown Job ID",IF(D160="","Missing start",IF(E160="","Missing duration",""))))</f>
        <v/>
      </c>
      <c r="J160" s="35" t="n"/>
      <c r="K160" s="60" t="n"/>
      <c r="L160" s="60" t="n"/>
      <c r="M160" s="60" t="n"/>
      <c r="N160" s="60" t="n"/>
      <c r="O160" s="60" t="n"/>
      <c r="P160" s="60" t="n"/>
      <c r="Q160" s="60" t="n"/>
      <c r="R160" s="60" t="n"/>
      <c r="S160" s="60" t="n"/>
      <c r="T160" s="60" t="n"/>
      <c r="U160" s="60" t="n"/>
      <c r="V160" s="60" t="n"/>
      <c r="W160" s="60" t="n"/>
      <c r="X160" s="60" t="n"/>
      <c r="Y160" s="60" t="n"/>
      <c r="Z160" s="60" t="n"/>
      <c r="AA160" s="60" t="n"/>
      <c r="AB160" s="60" t="n"/>
      <c r="AC160" s="60" t="n"/>
      <c r="AD160" s="60" t="n"/>
      <c r="AE160" s="60" t="n"/>
      <c r="AF160" s="60" t="n"/>
      <c r="AG160" s="60" t="n"/>
      <c r="AH160" s="60" t="n"/>
      <c r="AI160" s="60" t="n"/>
      <c r="AJ160" s="60" t="n"/>
      <c r="AK160" s="60" t="n"/>
      <c r="AL160" s="60" t="n"/>
      <c r="AM160" s="60" t="n"/>
      <c r="AN160" s="60" t="n"/>
      <c r="AO160" s="60" t="n"/>
      <c r="AP160" s="60" t="n"/>
      <c r="AQ160" s="60" t="n"/>
      <c r="AR160" s="60" t="n"/>
      <c r="AS160" s="60" t="n"/>
      <c r="AT160" s="60" t="n"/>
      <c r="AU160" s="60" t="n"/>
      <c r="AV160" s="60" t="n"/>
      <c r="AW160" s="60" t="n"/>
      <c r="AX160" s="60" t="n"/>
      <c r="AY160" s="60" t="n"/>
      <c r="AZ160" s="60" t="n"/>
      <c r="BA160" s="60" t="n"/>
      <c r="BB160" s="60" t="n"/>
      <c r="BC160" s="60" t="n"/>
      <c r="BD160" s="60" t="n"/>
      <c r="BE160" s="60" t="n"/>
      <c r="BF160" s="60" t="n"/>
      <c r="BG160" s="60" t="n"/>
      <c r="BH160" s="60" t="n"/>
      <c r="BI160" s="60" t="n"/>
      <c r="BJ160" s="60" t="n"/>
      <c r="BK160" s="60" t="n"/>
      <c r="BL160" s="60" t="n"/>
      <c r="BM160" s="60" t="n"/>
      <c r="BN160" s="60" t="n"/>
      <c r="BO160" s="60" t="n"/>
      <c r="BP160" s="60" t="n"/>
      <c r="BQ160" s="60" t="n"/>
      <c r="BR160" s="60" t="n"/>
      <c r="BS160" s="60" t="n"/>
      <c r="BT160" s="60" t="n"/>
      <c r="BU160" s="60" t="n"/>
      <c r="BV160" s="60" t="n"/>
      <c r="BW160" s="60" t="n"/>
      <c r="BX160" s="60" t="n"/>
      <c r="BY160" s="60" t="n"/>
      <c r="BZ160" s="60" t="n"/>
      <c r="CA160" s="60" t="n"/>
      <c r="CB160" s="60" t="n"/>
      <c r="CC160" s="60" t="n"/>
      <c r="CD160" s="60" t="n"/>
      <c r="CE160" s="60" t="n"/>
      <c r="CF160" s="60" t="n"/>
      <c r="CG160" s="60" t="n"/>
      <c r="CH160" s="60" t="n"/>
      <c r="CI160" s="60" t="n"/>
      <c r="CJ160" s="60" t="n"/>
      <c r="CK160" s="60" t="n"/>
      <c r="CL160" s="60" t="n"/>
      <c r="CM160" s="60" t="n"/>
      <c r="CN160" s="60" t="n"/>
      <c r="CO160" s="60" t="n"/>
      <c r="CP160" s="60" t="n"/>
    </row>
    <row r="161">
      <c r="A161" s="35" t="n"/>
      <c r="B161" s="35" t="n"/>
      <c r="C161" s="35" t="n"/>
      <c r="D161" s="40" t="n"/>
      <c r="E161" s="35" t="n"/>
      <c r="F161" s="59">
        <f>IF(OR(D161="",E161=""),"",WORKDAY(D161,MAX(E161,1)-1))</f>
        <v/>
      </c>
      <c r="G161" s="36" t="n"/>
      <c r="H161" s="9">
        <f>IF(D161="","",IF(G161&gt;=1,"Done",IF(TODAY()&gt;F161,"Late",IF(TODAY()&gt;=D161,"In progress","Not started"))))</f>
        <v/>
      </c>
      <c r="I161" s="9">
        <f>IF(B161="","",IF(AND(A161&lt;&gt;"",COUNTIF(Jobs!$A$5:$A$44,A161)=0),"Unknown Job ID",IF(D161="","Missing start",IF(E161="","Missing duration",""))))</f>
        <v/>
      </c>
      <c r="J161" s="35" t="n"/>
      <c r="K161" s="60" t="n"/>
      <c r="L161" s="60" t="n"/>
      <c r="M161" s="60" t="n"/>
      <c r="N161" s="60" t="n"/>
      <c r="O161" s="60" t="n"/>
      <c r="P161" s="60" t="n"/>
      <c r="Q161" s="60" t="n"/>
      <c r="R161" s="60" t="n"/>
      <c r="S161" s="60" t="n"/>
      <c r="T161" s="60" t="n"/>
      <c r="U161" s="60" t="n"/>
      <c r="V161" s="60" t="n"/>
      <c r="W161" s="60" t="n"/>
      <c r="X161" s="60" t="n"/>
      <c r="Y161" s="60" t="n"/>
      <c r="Z161" s="60" t="n"/>
      <c r="AA161" s="60" t="n"/>
      <c r="AB161" s="60" t="n"/>
      <c r="AC161" s="60" t="n"/>
      <c r="AD161" s="60" t="n"/>
      <c r="AE161" s="60" t="n"/>
      <c r="AF161" s="60" t="n"/>
      <c r="AG161" s="60" t="n"/>
      <c r="AH161" s="60" t="n"/>
      <c r="AI161" s="60" t="n"/>
      <c r="AJ161" s="60" t="n"/>
      <c r="AK161" s="60" t="n"/>
      <c r="AL161" s="60" t="n"/>
      <c r="AM161" s="60" t="n"/>
      <c r="AN161" s="60" t="n"/>
      <c r="AO161" s="60" t="n"/>
      <c r="AP161" s="60" t="n"/>
      <c r="AQ161" s="60" t="n"/>
      <c r="AR161" s="60" t="n"/>
      <c r="AS161" s="60" t="n"/>
      <c r="AT161" s="60" t="n"/>
      <c r="AU161" s="60" t="n"/>
      <c r="AV161" s="60" t="n"/>
      <c r="AW161" s="60" t="n"/>
      <c r="AX161" s="60" t="n"/>
      <c r="AY161" s="60" t="n"/>
      <c r="AZ161" s="60" t="n"/>
      <c r="BA161" s="60" t="n"/>
      <c r="BB161" s="60" t="n"/>
      <c r="BC161" s="60" t="n"/>
      <c r="BD161" s="60" t="n"/>
      <c r="BE161" s="60" t="n"/>
      <c r="BF161" s="60" t="n"/>
      <c r="BG161" s="60" t="n"/>
      <c r="BH161" s="60" t="n"/>
      <c r="BI161" s="60" t="n"/>
      <c r="BJ161" s="60" t="n"/>
      <c r="BK161" s="60" t="n"/>
      <c r="BL161" s="60" t="n"/>
      <c r="BM161" s="60" t="n"/>
      <c r="BN161" s="60" t="n"/>
      <c r="BO161" s="60" t="n"/>
      <c r="BP161" s="60" t="n"/>
      <c r="BQ161" s="60" t="n"/>
      <c r="BR161" s="60" t="n"/>
      <c r="BS161" s="60" t="n"/>
      <c r="BT161" s="60" t="n"/>
      <c r="BU161" s="60" t="n"/>
      <c r="BV161" s="60" t="n"/>
      <c r="BW161" s="60" t="n"/>
      <c r="BX161" s="60" t="n"/>
      <c r="BY161" s="60" t="n"/>
      <c r="BZ161" s="60" t="n"/>
      <c r="CA161" s="60" t="n"/>
      <c r="CB161" s="60" t="n"/>
      <c r="CC161" s="60" t="n"/>
      <c r="CD161" s="60" t="n"/>
      <c r="CE161" s="60" t="n"/>
      <c r="CF161" s="60" t="n"/>
      <c r="CG161" s="60" t="n"/>
      <c r="CH161" s="60" t="n"/>
      <c r="CI161" s="60" t="n"/>
      <c r="CJ161" s="60" t="n"/>
      <c r="CK161" s="60" t="n"/>
      <c r="CL161" s="60" t="n"/>
      <c r="CM161" s="60" t="n"/>
      <c r="CN161" s="60" t="n"/>
      <c r="CO161" s="60" t="n"/>
      <c r="CP161" s="60" t="n"/>
    </row>
    <row r="162">
      <c r="A162" s="35" t="n"/>
      <c r="B162" s="35" t="n"/>
      <c r="C162" s="35" t="n"/>
      <c r="D162" s="40" t="n"/>
      <c r="E162" s="35" t="n"/>
      <c r="F162" s="59">
        <f>IF(OR(D162="",E162=""),"",WORKDAY(D162,MAX(E162,1)-1))</f>
        <v/>
      </c>
      <c r="G162" s="36" t="n"/>
      <c r="H162" s="9">
        <f>IF(D162="","",IF(G162&gt;=1,"Done",IF(TODAY()&gt;F162,"Late",IF(TODAY()&gt;=D162,"In progress","Not started"))))</f>
        <v/>
      </c>
      <c r="I162" s="9">
        <f>IF(B162="","",IF(AND(A162&lt;&gt;"",COUNTIF(Jobs!$A$5:$A$44,A162)=0),"Unknown Job ID",IF(D162="","Missing start",IF(E162="","Missing duration",""))))</f>
        <v/>
      </c>
      <c r="J162" s="35" t="n"/>
      <c r="K162" s="60" t="n"/>
      <c r="L162" s="60" t="n"/>
      <c r="M162" s="60" t="n"/>
      <c r="N162" s="60" t="n"/>
      <c r="O162" s="60" t="n"/>
      <c r="P162" s="60" t="n"/>
      <c r="Q162" s="60" t="n"/>
      <c r="R162" s="60" t="n"/>
      <c r="S162" s="60" t="n"/>
      <c r="T162" s="60" t="n"/>
      <c r="U162" s="60" t="n"/>
      <c r="V162" s="60" t="n"/>
      <c r="W162" s="60" t="n"/>
      <c r="X162" s="60" t="n"/>
      <c r="Y162" s="60" t="n"/>
      <c r="Z162" s="60" t="n"/>
      <c r="AA162" s="60" t="n"/>
      <c r="AB162" s="60" t="n"/>
      <c r="AC162" s="60" t="n"/>
      <c r="AD162" s="60" t="n"/>
      <c r="AE162" s="60" t="n"/>
      <c r="AF162" s="60" t="n"/>
      <c r="AG162" s="60" t="n"/>
      <c r="AH162" s="60" t="n"/>
      <c r="AI162" s="60" t="n"/>
      <c r="AJ162" s="60" t="n"/>
      <c r="AK162" s="60" t="n"/>
      <c r="AL162" s="60" t="n"/>
      <c r="AM162" s="60" t="n"/>
      <c r="AN162" s="60" t="n"/>
      <c r="AO162" s="60" t="n"/>
      <c r="AP162" s="60" t="n"/>
      <c r="AQ162" s="60" t="n"/>
      <c r="AR162" s="60" t="n"/>
      <c r="AS162" s="60" t="n"/>
      <c r="AT162" s="60" t="n"/>
      <c r="AU162" s="60" t="n"/>
      <c r="AV162" s="60" t="n"/>
      <c r="AW162" s="60" t="n"/>
      <c r="AX162" s="60" t="n"/>
      <c r="AY162" s="60" t="n"/>
      <c r="AZ162" s="60" t="n"/>
      <c r="BA162" s="60" t="n"/>
      <c r="BB162" s="60" t="n"/>
      <c r="BC162" s="60" t="n"/>
      <c r="BD162" s="60" t="n"/>
      <c r="BE162" s="60" t="n"/>
      <c r="BF162" s="60" t="n"/>
      <c r="BG162" s="60" t="n"/>
      <c r="BH162" s="60" t="n"/>
      <c r="BI162" s="60" t="n"/>
      <c r="BJ162" s="60" t="n"/>
      <c r="BK162" s="60" t="n"/>
      <c r="BL162" s="60" t="n"/>
      <c r="BM162" s="60" t="n"/>
      <c r="BN162" s="60" t="n"/>
      <c r="BO162" s="60" t="n"/>
      <c r="BP162" s="60" t="n"/>
      <c r="BQ162" s="60" t="n"/>
      <c r="BR162" s="60" t="n"/>
      <c r="BS162" s="60" t="n"/>
      <c r="BT162" s="60" t="n"/>
      <c r="BU162" s="60" t="n"/>
      <c r="BV162" s="60" t="n"/>
      <c r="BW162" s="60" t="n"/>
      <c r="BX162" s="60" t="n"/>
      <c r="BY162" s="60" t="n"/>
      <c r="BZ162" s="60" t="n"/>
      <c r="CA162" s="60" t="n"/>
      <c r="CB162" s="60" t="n"/>
      <c r="CC162" s="60" t="n"/>
      <c r="CD162" s="60" t="n"/>
      <c r="CE162" s="60" t="n"/>
      <c r="CF162" s="60" t="n"/>
      <c r="CG162" s="60" t="n"/>
      <c r="CH162" s="60" t="n"/>
      <c r="CI162" s="60" t="n"/>
      <c r="CJ162" s="60" t="n"/>
      <c r="CK162" s="60" t="n"/>
      <c r="CL162" s="60" t="n"/>
      <c r="CM162" s="60" t="n"/>
      <c r="CN162" s="60" t="n"/>
      <c r="CO162" s="60" t="n"/>
      <c r="CP162" s="60" t="n"/>
    </row>
    <row r="163">
      <c r="A163" s="35" t="n"/>
      <c r="B163" s="35" t="n"/>
      <c r="C163" s="35" t="n"/>
      <c r="D163" s="40" t="n"/>
      <c r="E163" s="35" t="n"/>
      <c r="F163" s="59">
        <f>IF(OR(D163="",E163=""),"",WORKDAY(D163,MAX(E163,1)-1))</f>
        <v/>
      </c>
      <c r="G163" s="36" t="n"/>
      <c r="H163" s="9">
        <f>IF(D163="","",IF(G163&gt;=1,"Done",IF(TODAY()&gt;F163,"Late",IF(TODAY()&gt;=D163,"In progress","Not started"))))</f>
        <v/>
      </c>
      <c r="I163" s="9">
        <f>IF(B163="","",IF(AND(A163&lt;&gt;"",COUNTIF(Jobs!$A$5:$A$44,A163)=0),"Unknown Job ID",IF(D163="","Missing start",IF(E163="","Missing duration",""))))</f>
        <v/>
      </c>
      <c r="J163" s="35" t="n"/>
      <c r="K163" s="60" t="n"/>
      <c r="L163" s="60" t="n"/>
      <c r="M163" s="60" t="n"/>
      <c r="N163" s="60" t="n"/>
      <c r="O163" s="60" t="n"/>
      <c r="P163" s="60" t="n"/>
      <c r="Q163" s="60" t="n"/>
      <c r="R163" s="60" t="n"/>
      <c r="S163" s="60" t="n"/>
      <c r="T163" s="60" t="n"/>
      <c r="U163" s="60" t="n"/>
      <c r="V163" s="60" t="n"/>
      <c r="W163" s="60" t="n"/>
      <c r="X163" s="60" t="n"/>
      <c r="Y163" s="60" t="n"/>
      <c r="Z163" s="60" t="n"/>
      <c r="AA163" s="60" t="n"/>
      <c r="AB163" s="60" t="n"/>
      <c r="AC163" s="60" t="n"/>
      <c r="AD163" s="60" t="n"/>
      <c r="AE163" s="60" t="n"/>
      <c r="AF163" s="60" t="n"/>
      <c r="AG163" s="60" t="n"/>
      <c r="AH163" s="60" t="n"/>
      <c r="AI163" s="60" t="n"/>
      <c r="AJ163" s="60" t="n"/>
      <c r="AK163" s="60" t="n"/>
      <c r="AL163" s="60" t="n"/>
      <c r="AM163" s="60" t="n"/>
      <c r="AN163" s="60" t="n"/>
      <c r="AO163" s="60" t="n"/>
      <c r="AP163" s="60" t="n"/>
      <c r="AQ163" s="60" t="n"/>
      <c r="AR163" s="60" t="n"/>
      <c r="AS163" s="60" t="n"/>
      <c r="AT163" s="60" t="n"/>
      <c r="AU163" s="60" t="n"/>
      <c r="AV163" s="60" t="n"/>
      <c r="AW163" s="60" t="n"/>
      <c r="AX163" s="60" t="n"/>
      <c r="AY163" s="60" t="n"/>
      <c r="AZ163" s="60" t="n"/>
      <c r="BA163" s="60" t="n"/>
      <c r="BB163" s="60" t="n"/>
      <c r="BC163" s="60" t="n"/>
      <c r="BD163" s="60" t="n"/>
      <c r="BE163" s="60" t="n"/>
      <c r="BF163" s="60" t="n"/>
      <c r="BG163" s="60" t="n"/>
      <c r="BH163" s="60" t="n"/>
      <c r="BI163" s="60" t="n"/>
      <c r="BJ163" s="60" t="n"/>
      <c r="BK163" s="60" t="n"/>
      <c r="BL163" s="60" t="n"/>
      <c r="BM163" s="60" t="n"/>
      <c r="BN163" s="60" t="n"/>
      <c r="BO163" s="60" t="n"/>
      <c r="BP163" s="60" t="n"/>
      <c r="BQ163" s="60" t="n"/>
      <c r="BR163" s="60" t="n"/>
      <c r="BS163" s="60" t="n"/>
      <c r="BT163" s="60" t="n"/>
      <c r="BU163" s="60" t="n"/>
      <c r="BV163" s="60" t="n"/>
      <c r="BW163" s="60" t="n"/>
      <c r="BX163" s="60" t="n"/>
      <c r="BY163" s="60" t="n"/>
      <c r="BZ163" s="60" t="n"/>
      <c r="CA163" s="60" t="n"/>
      <c r="CB163" s="60" t="n"/>
      <c r="CC163" s="60" t="n"/>
      <c r="CD163" s="60" t="n"/>
      <c r="CE163" s="60" t="n"/>
      <c r="CF163" s="60" t="n"/>
      <c r="CG163" s="60" t="n"/>
      <c r="CH163" s="60" t="n"/>
      <c r="CI163" s="60" t="n"/>
      <c r="CJ163" s="60" t="n"/>
      <c r="CK163" s="60" t="n"/>
      <c r="CL163" s="60" t="n"/>
      <c r="CM163" s="60" t="n"/>
      <c r="CN163" s="60" t="n"/>
      <c r="CO163" s="60" t="n"/>
      <c r="CP163" s="60" t="n"/>
    </row>
    <row r="164">
      <c r="A164" s="35" t="n"/>
      <c r="B164" s="35" t="n"/>
      <c r="C164" s="35" t="n"/>
      <c r="D164" s="40" t="n"/>
      <c r="E164" s="35" t="n"/>
      <c r="F164" s="59">
        <f>IF(OR(D164="",E164=""),"",WORKDAY(D164,MAX(E164,1)-1))</f>
        <v/>
      </c>
      <c r="G164" s="36" t="n"/>
      <c r="H164" s="9">
        <f>IF(D164="","",IF(G164&gt;=1,"Done",IF(TODAY()&gt;F164,"Late",IF(TODAY()&gt;=D164,"In progress","Not started"))))</f>
        <v/>
      </c>
      <c r="I164" s="9">
        <f>IF(B164="","",IF(AND(A164&lt;&gt;"",COUNTIF(Jobs!$A$5:$A$44,A164)=0),"Unknown Job ID",IF(D164="","Missing start",IF(E164="","Missing duration",""))))</f>
        <v/>
      </c>
      <c r="J164" s="35" t="n"/>
      <c r="K164" s="60" t="n"/>
      <c r="L164" s="60" t="n"/>
      <c r="M164" s="60" t="n"/>
      <c r="N164" s="60" t="n"/>
      <c r="O164" s="60" t="n"/>
      <c r="P164" s="60" t="n"/>
      <c r="Q164" s="60" t="n"/>
      <c r="R164" s="60" t="n"/>
      <c r="S164" s="60" t="n"/>
      <c r="T164" s="60" t="n"/>
      <c r="U164" s="60" t="n"/>
      <c r="V164" s="60" t="n"/>
      <c r="W164" s="60" t="n"/>
      <c r="X164" s="60" t="n"/>
      <c r="Y164" s="60" t="n"/>
      <c r="Z164" s="60" t="n"/>
      <c r="AA164" s="60" t="n"/>
      <c r="AB164" s="60" t="n"/>
      <c r="AC164" s="60" t="n"/>
      <c r="AD164" s="60" t="n"/>
      <c r="AE164" s="60" t="n"/>
      <c r="AF164" s="60" t="n"/>
      <c r="AG164" s="60" t="n"/>
      <c r="AH164" s="60" t="n"/>
      <c r="AI164" s="60" t="n"/>
      <c r="AJ164" s="60" t="n"/>
      <c r="AK164" s="60" t="n"/>
      <c r="AL164" s="60" t="n"/>
      <c r="AM164" s="60" t="n"/>
      <c r="AN164" s="60" t="n"/>
      <c r="AO164" s="60" t="n"/>
      <c r="AP164" s="60" t="n"/>
      <c r="AQ164" s="60" t="n"/>
      <c r="AR164" s="60" t="n"/>
      <c r="AS164" s="60" t="n"/>
      <c r="AT164" s="60" t="n"/>
      <c r="AU164" s="60" t="n"/>
      <c r="AV164" s="60" t="n"/>
      <c r="AW164" s="60" t="n"/>
      <c r="AX164" s="60" t="n"/>
      <c r="AY164" s="60" t="n"/>
      <c r="AZ164" s="60" t="n"/>
      <c r="BA164" s="60" t="n"/>
      <c r="BB164" s="60" t="n"/>
      <c r="BC164" s="60" t="n"/>
      <c r="BD164" s="60" t="n"/>
      <c r="BE164" s="60" t="n"/>
      <c r="BF164" s="60" t="n"/>
      <c r="BG164" s="60" t="n"/>
      <c r="BH164" s="60" t="n"/>
      <c r="BI164" s="60" t="n"/>
      <c r="BJ164" s="60" t="n"/>
      <c r="BK164" s="60" t="n"/>
      <c r="BL164" s="60" t="n"/>
      <c r="BM164" s="60" t="n"/>
      <c r="BN164" s="60" t="n"/>
      <c r="BO164" s="60" t="n"/>
      <c r="BP164" s="60" t="n"/>
      <c r="BQ164" s="60" t="n"/>
      <c r="BR164" s="60" t="n"/>
      <c r="BS164" s="60" t="n"/>
      <c r="BT164" s="60" t="n"/>
      <c r="BU164" s="60" t="n"/>
      <c r="BV164" s="60" t="n"/>
      <c r="BW164" s="60" t="n"/>
      <c r="BX164" s="60" t="n"/>
      <c r="BY164" s="60" t="n"/>
      <c r="BZ164" s="60" t="n"/>
      <c r="CA164" s="60" t="n"/>
      <c r="CB164" s="60" t="n"/>
      <c r="CC164" s="60" t="n"/>
      <c r="CD164" s="60" t="n"/>
      <c r="CE164" s="60" t="n"/>
      <c r="CF164" s="60" t="n"/>
      <c r="CG164" s="60" t="n"/>
      <c r="CH164" s="60" t="n"/>
      <c r="CI164" s="60" t="n"/>
      <c r="CJ164" s="60" t="n"/>
      <c r="CK164" s="60" t="n"/>
      <c r="CL164" s="60" t="n"/>
      <c r="CM164" s="60" t="n"/>
      <c r="CN164" s="60" t="n"/>
      <c r="CO164" s="60" t="n"/>
      <c r="CP164" s="60" t="n"/>
    </row>
    <row r="165">
      <c r="A165" s="35" t="n"/>
      <c r="B165" s="35" t="n"/>
      <c r="C165" s="35" t="n"/>
      <c r="D165" s="40" t="n"/>
      <c r="E165" s="35" t="n"/>
      <c r="F165" s="59">
        <f>IF(OR(D165="",E165=""),"",WORKDAY(D165,MAX(E165,1)-1))</f>
        <v/>
      </c>
      <c r="G165" s="36" t="n"/>
      <c r="H165" s="9">
        <f>IF(D165="","",IF(G165&gt;=1,"Done",IF(TODAY()&gt;F165,"Late",IF(TODAY()&gt;=D165,"In progress","Not started"))))</f>
        <v/>
      </c>
      <c r="I165" s="9">
        <f>IF(B165="","",IF(AND(A165&lt;&gt;"",COUNTIF(Jobs!$A$5:$A$44,A165)=0),"Unknown Job ID",IF(D165="","Missing start",IF(E165="","Missing duration",""))))</f>
        <v/>
      </c>
      <c r="J165" s="35" t="n"/>
      <c r="K165" s="60" t="n"/>
      <c r="L165" s="60" t="n"/>
      <c r="M165" s="60" t="n"/>
      <c r="N165" s="60" t="n"/>
      <c r="O165" s="60" t="n"/>
      <c r="P165" s="60" t="n"/>
      <c r="Q165" s="60" t="n"/>
      <c r="R165" s="60" t="n"/>
      <c r="S165" s="60" t="n"/>
      <c r="T165" s="60" t="n"/>
      <c r="U165" s="60" t="n"/>
      <c r="V165" s="60" t="n"/>
      <c r="W165" s="60" t="n"/>
      <c r="X165" s="60" t="n"/>
      <c r="Y165" s="60" t="n"/>
      <c r="Z165" s="60" t="n"/>
      <c r="AA165" s="60" t="n"/>
      <c r="AB165" s="60" t="n"/>
      <c r="AC165" s="60" t="n"/>
      <c r="AD165" s="60" t="n"/>
      <c r="AE165" s="60" t="n"/>
      <c r="AF165" s="60" t="n"/>
      <c r="AG165" s="60" t="n"/>
      <c r="AH165" s="60" t="n"/>
      <c r="AI165" s="60" t="n"/>
      <c r="AJ165" s="60" t="n"/>
      <c r="AK165" s="60" t="n"/>
      <c r="AL165" s="60" t="n"/>
      <c r="AM165" s="60" t="n"/>
      <c r="AN165" s="60" t="n"/>
      <c r="AO165" s="60" t="n"/>
      <c r="AP165" s="60" t="n"/>
      <c r="AQ165" s="60" t="n"/>
      <c r="AR165" s="60" t="n"/>
      <c r="AS165" s="60" t="n"/>
      <c r="AT165" s="60" t="n"/>
      <c r="AU165" s="60" t="n"/>
      <c r="AV165" s="60" t="n"/>
      <c r="AW165" s="60" t="n"/>
      <c r="AX165" s="60" t="n"/>
      <c r="AY165" s="60" t="n"/>
      <c r="AZ165" s="60" t="n"/>
      <c r="BA165" s="60" t="n"/>
      <c r="BB165" s="60" t="n"/>
      <c r="BC165" s="60" t="n"/>
      <c r="BD165" s="60" t="n"/>
      <c r="BE165" s="60" t="n"/>
      <c r="BF165" s="60" t="n"/>
      <c r="BG165" s="60" t="n"/>
      <c r="BH165" s="60" t="n"/>
      <c r="BI165" s="60" t="n"/>
      <c r="BJ165" s="60" t="n"/>
      <c r="BK165" s="60" t="n"/>
      <c r="BL165" s="60" t="n"/>
      <c r="BM165" s="60" t="n"/>
      <c r="BN165" s="60" t="n"/>
      <c r="BO165" s="60" t="n"/>
      <c r="BP165" s="60" t="n"/>
      <c r="BQ165" s="60" t="n"/>
      <c r="BR165" s="60" t="n"/>
      <c r="BS165" s="60" t="n"/>
      <c r="BT165" s="60" t="n"/>
      <c r="BU165" s="60" t="n"/>
      <c r="BV165" s="60" t="n"/>
      <c r="BW165" s="60" t="n"/>
      <c r="BX165" s="60" t="n"/>
      <c r="BY165" s="60" t="n"/>
      <c r="BZ165" s="60" t="n"/>
      <c r="CA165" s="60" t="n"/>
      <c r="CB165" s="60" t="n"/>
      <c r="CC165" s="60" t="n"/>
      <c r="CD165" s="60" t="n"/>
      <c r="CE165" s="60" t="n"/>
      <c r="CF165" s="60" t="n"/>
      <c r="CG165" s="60" t="n"/>
      <c r="CH165" s="60" t="n"/>
      <c r="CI165" s="60" t="n"/>
      <c r="CJ165" s="60" t="n"/>
      <c r="CK165" s="60" t="n"/>
      <c r="CL165" s="60" t="n"/>
      <c r="CM165" s="60" t="n"/>
      <c r="CN165" s="60" t="n"/>
      <c r="CO165" s="60" t="n"/>
      <c r="CP165" s="60" t="n"/>
    </row>
    <row r="166">
      <c r="A166" s="35" t="n"/>
      <c r="B166" s="35" t="n"/>
      <c r="C166" s="35" t="n"/>
      <c r="D166" s="40" t="n"/>
      <c r="E166" s="35" t="n"/>
      <c r="F166" s="59">
        <f>IF(OR(D166="",E166=""),"",WORKDAY(D166,MAX(E166,1)-1))</f>
        <v/>
      </c>
      <c r="G166" s="36" t="n"/>
      <c r="H166" s="9">
        <f>IF(D166="","",IF(G166&gt;=1,"Done",IF(TODAY()&gt;F166,"Late",IF(TODAY()&gt;=D166,"In progress","Not started"))))</f>
        <v/>
      </c>
      <c r="I166" s="9">
        <f>IF(B166="","",IF(AND(A166&lt;&gt;"",COUNTIF(Jobs!$A$5:$A$44,A166)=0),"Unknown Job ID",IF(D166="","Missing start",IF(E166="","Missing duration",""))))</f>
        <v/>
      </c>
      <c r="J166" s="35" t="n"/>
      <c r="K166" s="60" t="n"/>
      <c r="L166" s="60" t="n"/>
      <c r="M166" s="60" t="n"/>
      <c r="N166" s="60" t="n"/>
      <c r="O166" s="60" t="n"/>
      <c r="P166" s="60" t="n"/>
      <c r="Q166" s="60" t="n"/>
      <c r="R166" s="60" t="n"/>
      <c r="S166" s="60" t="n"/>
      <c r="T166" s="60" t="n"/>
      <c r="U166" s="60" t="n"/>
      <c r="V166" s="60" t="n"/>
      <c r="W166" s="60" t="n"/>
      <c r="X166" s="60" t="n"/>
      <c r="Y166" s="60" t="n"/>
      <c r="Z166" s="60" t="n"/>
      <c r="AA166" s="60" t="n"/>
      <c r="AB166" s="60" t="n"/>
      <c r="AC166" s="60" t="n"/>
      <c r="AD166" s="60" t="n"/>
      <c r="AE166" s="60" t="n"/>
      <c r="AF166" s="60" t="n"/>
      <c r="AG166" s="60" t="n"/>
      <c r="AH166" s="60" t="n"/>
      <c r="AI166" s="60" t="n"/>
      <c r="AJ166" s="60" t="n"/>
      <c r="AK166" s="60" t="n"/>
      <c r="AL166" s="60" t="n"/>
      <c r="AM166" s="60" t="n"/>
      <c r="AN166" s="60" t="n"/>
      <c r="AO166" s="60" t="n"/>
      <c r="AP166" s="60" t="n"/>
      <c r="AQ166" s="60" t="n"/>
      <c r="AR166" s="60" t="n"/>
      <c r="AS166" s="60" t="n"/>
      <c r="AT166" s="60" t="n"/>
      <c r="AU166" s="60" t="n"/>
      <c r="AV166" s="60" t="n"/>
      <c r="AW166" s="60" t="n"/>
      <c r="AX166" s="60" t="n"/>
      <c r="AY166" s="60" t="n"/>
      <c r="AZ166" s="60" t="n"/>
      <c r="BA166" s="60" t="n"/>
      <c r="BB166" s="60" t="n"/>
      <c r="BC166" s="60" t="n"/>
      <c r="BD166" s="60" t="n"/>
      <c r="BE166" s="60" t="n"/>
      <c r="BF166" s="60" t="n"/>
      <c r="BG166" s="60" t="n"/>
      <c r="BH166" s="60" t="n"/>
      <c r="BI166" s="60" t="n"/>
      <c r="BJ166" s="60" t="n"/>
      <c r="BK166" s="60" t="n"/>
      <c r="BL166" s="60" t="n"/>
      <c r="BM166" s="60" t="n"/>
      <c r="BN166" s="60" t="n"/>
      <c r="BO166" s="60" t="n"/>
      <c r="BP166" s="60" t="n"/>
      <c r="BQ166" s="60" t="n"/>
      <c r="BR166" s="60" t="n"/>
      <c r="BS166" s="60" t="n"/>
      <c r="BT166" s="60" t="n"/>
      <c r="BU166" s="60" t="n"/>
      <c r="BV166" s="60" t="n"/>
      <c r="BW166" s="60" t="n"/>
      <c r="BX166" s="60" t="n"/>
      <c r="BY166" s="60" t="n"/>
      <c r="BZ166" s="60" t="n"/>
      <c r="CA166" s="60" t="n"/>
      <c r="CB166" s="60" t="n"/>
      <c r="CC166" s="60" t="n"/>
      <c r="CD166" s="60" t="n"/>
      <c r="CE166" s="60" t="n"/>
      <c r="CF166" s="60" t="n"/>
      <c r="CG166" s="60" t="n"/>
      <c r="CH166" s="60" t="n"/>
      <c r="CI166" s="60" t="n"/>
      <c r="CJ166" s="60" t="n"/>
      <c r="CK166" s="60" t="n"/>
      <c r="CL166" s="60" t="n"/>
      <c r="CM166" s="60" t="n"/>
      <c r="CN166" s="60" t="n"/>
      <c r="CO166" s="60" t="n"/>
      <c r="CP166" s="60" t="n"/>
    </row>
    <row r="167">
      <c r="A167" s="35" t="n"/>
      <c r="B167" s="35" t="n"/>
      <c r="C167" s="35" t="n"/>
      <c r="D167" s="40" t="n"/>
      <c r="E167" s="35" t="n"/>
      <c r="F167" s="59">
        <f>IF(OR(D167="",E167=""),"",WORKDAY(D167,MAX(E167,1)-1))</f>
        <v/>
      </c>
      <c r="G167" s="36" t="n"/>
      <c r="H167" s="9">
        <f>IF(D167="","",IF(G167&gt;=1,"Done",IF(TODAY()&gt;F167,"Late",IF(TODAY()&gt;=D167,"In progress","Not started"))))</f>
        <v/>
      </c>
      <c r="I167" s="9">
        <f>IF(B167="","",IF(AND(A167&lt;&gt;"",COUNTIF(Jobs!$A$5:$A$44,A167)=0),"Unknown Job ID",IF(D167="","Missing start",IF(E167="","Missing duration",""))))</f>
        <v/>
      </c>
      <c r="J167" s="35" t="n"/>
      <c r="K167" s="60" t="n"/>
      <c r="L167" s="60" t="n"/>
      <c r="M167" s="60" t="n"/>
      <c r="N167" s="60" t="n"/>
      <c r="O167" s="60" t="n"/>
      <c r="P167" s="60" t="n"/>
      <c r="Q167" s="60" t="n"/>
      <c r="R167" s="60" t="n"/>
      <c r="S167" s="60" t="n"/>
      <c r="T167" s="60" t="n"/>
      <c r="U167" s="60" t="n"/>
      <c r="V167" s="60" t="n"/>
      <c r="W167" s="60" t="n"/>
      <c r="X167" s="60" t="n"/>
      <c r="Y167" s="60" t="n"/>
      <c r="Z167" s="60" t="n"/>
      <c r="AA167" s="60" t="n"/>
      <c r="AB167" s="60" t="n"/>
      <c r="AC167" s="60" t="n"/>
      <c r="AD167" s="60" t="n"/>
      <c r="AE167" s="60" t="n"/>
      <c r="AF167" s="60" t="n"/>
      <c r="AG167" s="60" t="n"/>
      <c r="AH167" s="60" t="n"/>
      <c r="AI167" s="60" t="n"/>
      <c r="AJ167" s="60" t="n"/>
      <c r="AK167" s="60" t="n"/>
      <c r="AL167" s="60" t="n"/>
      <c r="AM167" s="60" t="n"/>
      <c r="AN167" s="60" t="n"/>
      <c r="AO167" s="60" t="n"/>
      <c r="AP167" s="60" t="n"/>
      <c r="AQ167" s="60" t="n"/>
      <c r="AR167" s="60" t="n"/>
      <c r="AS167" s="60" t="n"/>
      <c r="AT167" s="60" t="n"/>
      <c r="AU167" s="60" t="n"/>
      <c r="AV167" s="60" t="n"/>
      <c r="AW167" s="60" t="n"/>
      <c r="AX167" s="60" t="n"/>
      <c r="AY167" s="60" t="n"/>
      <c r="AZ167" s="60" t="n"/>
      <c r="BA167" s="60" t="n"/>
      <c r="BB167" s="60" t="n"/>
      <c r="BC167" s="60" t="n"/>
      <c r="BD167" s="60" t="n"/>
      <c r="BE167" s="60" t="n"/>
      <c r="BF167" s="60" t="n"/>
      <c r="BG167" s="60" t="n"/>
      <c r="BH167" s="60" t="n"/>
      <c r="BI167" s="60" t="n"/>
      <c r="BJ167" s="60" t="n"/>
      <c r="BK167" s="60" t="n"/>
      <c r="BL167" s="60" t="n"/>
      <c r="BM167" s="60" t="n"/>
      <c r="BN167" s="60" t="n"/>
      <c r="BO167" s="60" t="n"/>
      <c r="BP167" s="60" t="n"/>
      <c r="BQ167" s="60" t="n"/>
      <c r="BR167" s="60" t="n"/>
      <c r="BS167" s="60" t="n"/>
      <c r="BT167" s="60" t="n"/>
      <c r="BU167" s="60" t="n"/>
      <c r="BV167" s="60" t="n"/>
      <c r="BW167" s="60" t="n"/>
      <c r="BX167" s="60" t="n"/>
      <c r="BY167" s="60" t="n"/>
      <c r="BZ167" s="60" t="n"/>
      <c r="CA167" s="60" t="n"/>
      <c r="CB167" s="60" t="n"/>
      <c r="CC167" s="60" t="n"/>
      <c r="CD167" s="60" t="n"/>
      <c r="CE167" s="60" t="n"/>
      <c r="CF167" s="60" t="n"/>
      <c r="CG167" s="60" t="n"/>
      <c r="CH167" s="60" t="n"/>
      <c r="CI167" s="60" t="n"/>
      <c r="CJ167" s="60" t="n"/>
      <c r="CK167" s="60" t="n"/>
      <c r="CL167" s="60" t="n"/>
      <c r="CM167" s="60" t="n"/>
      <c r="CN167" s="60" t="n"/>
      <c r="CO167" s="60" t="n"/>
      <c r="CP167" s="60" t="n"/>
    </row>
    <row r="168">
      <c r="A168" s="35" t="n"/>
      <c r="B168" s="35" t="n"/>
      <c r="C168" s="35" t="n"/>
      <c r="D168" s="40" t="n"/>
      <c r="E168" s="35" t="n"/>
      <c r="F168" s="59">
        <f>IF(OR(D168="",E168=""),"",WORKDAY(D168,MAX(E168,1)-1))</f>
        <v/>
      </c>
      <c r="G168" s="36" t="n"/>
      <c r="H168" s="9">
        <f>IF(D168="","",IF(G168&gt;=1,"Done",IF(TODAY()&gt;F168,"Late",IF(TODAY()&gt;=D168,"In progress","Not started"))))</f>
        <v/>
      </c>
      <c r="I168" s="9">
        <f>IF(B168="","",IF(AND(A168&lt;&gt;"",COUNTIF(Jobs!$A$5:$A$44,A168)=0),"Unknown Job ID",IF(D168="","Missing start",IF(E168="","Missing duration",""))))</f>
        <v/>
      </c>
      <c r="J168" s="35" t="n"/>
      <c r="K168" s="60" t="n"/>
      <c r="L168" s="60" t="n"/>
      <c r="M168" s="60" t="n"/>
      <c r="N168" s="60" t="n"/>
      <c r="O168" s="60" t="n"/>
      <c r="P168" s="60" t="n"/>
      <c r="Q168" s="60" t="n"/>
      <c r="R168" s="60" t="n"/>
      <c r="S168" s="60" t="n"/>
      <c r="T168" s="60" t="n"/>
      <c r="U168" s="60" t="n"/>
      <c r="V168" s="60" t="n"/>
      <c r="W168" s="60" t="n"/>
      <c r="X168" s="60" t="n"/>
      <c r="Y168" s="60" t="n"/>
      <c r="Z168" s="60" t="n"/>
      <c r="AA168" s="60" t="n"/>
      <c r="AB168" s="60" t="n"/>
      <c r="AC168" s="60" t="n"/>
      <c r="AD168" s="60" t="n"/>
      <c r="AE168" s="60" t="n"/>
      <c r="AF168" s="60" t="n"/>
      <c r="AG168" s="60" t="n"/>
      <c r="AH168" s="60" t="n"/>
      <c r="AI168" s="60" t="n"/>
      <c r="AJ168" s="60" t="n"/>
      <c r="AK168" s="60" t="n"/>
      <c r="AL168" s="60" t="n"/>
      <c r="AM168" s="60" t="n"/>
      <c r="AN168" s="60" t="n"/>
      <c r="AO168" s="60" t="n"/>
      <c r="AP168" s="60" t="n"/>
      <c r="AQ168" s="60" t="n"/>
      <c r="AR168" s="60" t="n"/>
      <c r="AS168" s="60" t="n"/>
      <c r="AT168" s="60" t="n"/>
      <c r="AU168" s="60" t="n"/>
      <c r="AV168" s="60" t="n"/>
      <c r="AW168" s="60" t="n"/>
      <c r="AX168" s="60" t="n"/>
      <c r="AY168" s="60" t="n"/>
      <c r="AZ168" s="60" t="n"/>
      <c r="BA168" s="60" t="n"/>
      <c r="BB168" s="60" t="n"/>
      <c r="BC168" s="60" t="n"/>
      <c r="BD168" s="60" t="n"/>
      <c r="BE168" s="60" t="n"/>
      <c r="BF168" s="60" t="n"/>
      <c r="BG168" s="60" t="n"/>
      <c r="BH168" s="60" t="n"/>
      <c r="BI168" s="60" t="n"/>
      <c r="BJ168" s="60" t="n"/>
      <c r="BK168" s="60" t="n"/>
      <c r="BL168" s="60" t="n"/>
      <c r="BM168" s="60" t="n"/>
      <c r="BN168" s="60" t="n"/>
      <c r="BO168" s="60" t="n"/>
      <c r="BP168" s="60" t="n"/>
      <c r="BQ168" s="60" t="n"/>
      <c r="BR168" s="60" t="n"/>
      <c r="BS168" s="60" t="n"/>
      <c r="BT168" s="60" t="n"/>
      <c r="BU168" s="60" t="n"/>
      <c r="BV168" s="60" t="n"/>
      <c r="BW168" s="60" t="n"/>
      <c r="BX168" s="60" t="n"/>
      <c r="BY168" s="60" t="n"/>
      <c r="BZ168" s="60" t="n"/>
      <c r="CA168" s="60" t="n"/>
      <c r="CB168" s="60" t="n"/>
      <c r="CC168" s="60" t="n"/>
      <c r="CD168" s="60" t="n"/>
      <c r="CE168" s="60" t="n"/>
      <c r="CF168" s="60" t="n"/>
      <c r="CG168" s="60" t="n"/>
      <c r="CH168" s="60" t="n"/>
      <c r="CI168" s="60" t="n"/>
      <c r="CJ168" s="60" t="n"/>
      <c r="CK168" s="60" t="n"/>
      <c r="CL168" s="60" t="n"/>
      <c r="CM168" s="60" t="n"/>
      <c r="CN168" s="60" t="n"/>
      <c r="CO168" s="60" t="n"/>
      <c r="CP168" s="60" t="n"/>
    </row>
    <row r="169">
      <c r="A169" s="35" t="n"/>
      <c r="B169" s="35" t="n"/>
      <c r="C169" s="35" t="n"/>
      <c r="D169" s="40" t="n"/>
      <c r="E169" s="35" t="n"/>
      <c r="F169" s="59">
        <f>IF(OR(D169="",E169=""),"",WORKDAY(D169,MAX(E169,1)-1))</f>
        <v/>
      </c>
      <c r="G169" s="36" t="n"/>
      <c r="H169" s="9">
        <f>IF(D169="","",IF(G169&gt;=1,"Done",IF(TODAY()&gt;F169,"Late",IF(TODAY()&gt;=D169,"In progress","Not started"))))</f>
        <v/>
      </c>
      <c r="I169" s="9">
        <f>IF(B169="","",IF(AND(A169&lt;&gt;"",COUNTIF(Jobs!$A$5:$A$44,A169)=0),"Unknown Job ID",IF(D169="","Missing start",IF(E169="","Missing duration",""))))</f>
        <v/>
      </c>
      <c r="J169" s="35" t="n"/>
      <c r="K169" s="60" t="n"/>
      <c r="L169" s="60" t="n"/>
      <c r="M169" s="60" t="n"/>
      <c r="N169" s="60" t="n"/>
      <c r="O169" s="60" t="n"/>
      <c r="P169" s="60" t="n"/>
      <c r="Q169" s="60" t="n"/>
      <c r="R169" s="60" t="n"/>
      <c r="S169" s="60" t="n"/>
      <c r="T169" s="60" t="n"/>
      <c r="U169" s="60" t="n"/>
      <c r="V169" s="60" t="n"/>
      <c r="W169" s="60" t="n"/>
      <c r="X169" s="60" t="n"/>
      <c r="Y169" s="60" t="n"/>
      <c r="Z169" s="60" t="n"/>
      <c r="AA169" s="60" t="n"/>
      <c r="AB169" s="60" t="n"/>
      <c r="AC169" s="60" t="n"/>
      <c r="AD169" s="60" t="n"/>
      <c r="AE169" s="60" t="n"/>
      <c r="AF169" s="60" t="n"/>
      <c r="AG169" s="60" t="n"/>
      <c r="AH169" s="60" t="n"/>
      <c r="AI169" s="60" t="n"/>
      <c r="AJ169" s="60" t="n"/>
      <c r="AK169" s="60" t="n"/>
      <c r="AL169" s="60" t="n"/>
      <c r="AM169" s="60" t="n"/>
      <c r="AN169" s="60" t="n"/>
      <c r="AO169" s="60" t="n"/>
      <c r="AP169" s="60" t="n"/>
      <c r="AQ169" s="60" t="n"/>
      <c r="AR169" s="60" t="n"/>
      <c r="AS169" s="60" t="n"/>
      <c r="AT169" s="60" t="n"/>
      <c r="AU169" s="60" t="n"/>
      <c r="AV169" s="60" t="n"/>
      <c r="AW169" s="60" t="n"/>
      <c r="AX169" s="60" t="n"/>
      <c r="AY169" s="60" t="n"/>
      <c r="AZ169" s="60" t="n"/>
      <c r="BA169" s="60" t="n"/>
      <c r="BB169" s="60" t="n"/>
      <c r="BC169" s="60" t="n"/>
      <c r="BD169" s="60" t="n"/>
      <c r="BE169" s="60" t="n"/>
      <c r="BF169" s="60" t="n"/>
      <c r="BG169" s="60" t="n"/>
      <c r="BH169" s="60" t="n"/>
      <c r="BI169" s="60" t="n"/>
      <c r="BJ169" s="60" t="n"/>
      <c r="BK169" s="60" t="n"/>
      <c r="BL169" s="60" t="n"/>
      <c r="BM169" s="60" t="n"/>
      <c r="BN169" s="60" t="n"/>
      <c r="BO169" s="60" t="n"/>
      <c r="BP169" s="60" t="n"/>
      <c r="BQ169" s="60" t="n"/>
      <c r="BR169" s="60" t="n"/>
      <c r="BS169" s="60" t="n"/>
      <c r="BT169" s="60" t="n"/>
      <c r="BU169" s="60" t="n"/>
      <c r="BV169" s="60" t="n"/>
      <c r="BW169" s="60" t="n"/>
      <c r="BX169" s="60" t="n"/>
      <c r="BY169" s="60" t="n"/>
      <c r="BZ169" s="60" t="n"/>
      <c r="CA169" s="60" t="n"/>
      <c r="CB169" s="60" t="n"/>
      <c r="CC169" s="60" t="n"/>
      <c r="CD169" s="60" t="n"/>
      <c r="CE169" s="60" t="n"/>
      <c r="CF169" s="60" t="n"/>
      <c r="CG169" s="60" t="n"/>
      <c r="CH169" s="60" t="n"/>
      <c r="CI169" s="60" t="n"/>
      <c r="CJ169" s="60" t="n"/>
      <c r="CK169" s="60" t="n"/>
      <c r="CL169" s="60" t="n"/>
      <c r="CM169" s="60" t="n"/>
      <c r="CN169" s="60" t="n"/>
      <c r="CO169" s="60" t="n"/>
      <c r="CP169" s="60" t="n"/>
    </row>
    <row r="170">
      <c r="A170" s="35" t="n"/>
      <c r="B170" s="35" t="n"/>
      <c r="C170" s="35" t="n"/>
      <c r="D170" s="40" t="n"/>
      <c r="E170" s="35" t="n"/>
      <c r="F170" s="59">
        <f>IF(OR(D170="",E170=""),"",WORKDAY(D170,MAX(E170,1)-1))</f>
        <v/>
      </c>
      <c r="G170" s="36" t="n"/>
      <c r="H170" s="9">
        <f>IF(D170="","",IF(G170&gt;=1,"Done",IF(TODAY()&gt;F170,"Late",IF(TODAY()&gt;=D170,"In progress","Not started"))))</f>
        <v/>
      </c>
      <c r="I170" s="9">
        <f>IF(B170="","",IF(AND(A170&lt;&gt;"",COUNTIF(Jobs!$A$5:$A$44,A170)=0),"Unknown Job ID",IF(D170="","Missing start",IF(E170="","Missing duration",""))))</f>
        <v/>
      </c>
      <c r="J170" s="35" t="n"/>
      <c r="K170" s="60" t="n"/>
      <c r="L170" s="60" t="n"/>
      <c r="M170" s="60" t="n"/>
      <c r="N170" s="60" t="n"/>
      <c r="O170" s="60" t="n"/>
      <c r="P170" s="60" t="n"/>
      <c r="Q170" s="60" t="n"/>
      <c r="R170" s="60" t="n"/>
      <c r="S170" s="60" t="n"/>
      <c r="T170" s="60" t="n"/>
      <c r="U170" s="60" t="n"/>
      <c r="V170" s="60" t="n"/>
      <c r="W170" s="60" t="n"/>
      <c r="X170" s="60" t="n"/>
      <c r="Y170" s="60" t="n"/>
      <c r="Z170" s="60" t="n"/>
      <c r="AA170" s="60" t="n"/>
      <c r="AB170" s="60" t="n"/>
      <c r="AC170" s="60" t="n"/>
      <c r="AD170" s="60" t="n"/>
      <c r="AE170" s="60" t="n"/>
      <c r="AF170" s="60" t="n"/>
      <c r="AG170" s="60" t="n"/>
      <c r="AH170" s="60" t="n"/>
      <c r="AI170" s="60" t="n"/>
      <c r="AJ170" s="60" t="n"/>
      <c r="AK170" s="60" t="n"/>
      <c r="AL170" s="60" t="n"/>
      <c r="AM170" s="60" t="n"/>
      <c r="AN170" s="60" t="n"/>
      <c r="AO170" s="60" t="n"/>
      <c r="AP170" s="60" t="n"/>
      <c r="AQ170" s="60" t="n"/>
      <c r="AR170" s="60" t="n"/>
      <c r="AS170" s="60" t="n"/>
      <c r="AT170" s="60" t="n"/>
      <c r="AU170" s="60" t="n"/>
      <c r="AV170" s="60" t="n"/>
      <c r="AW170" s="60" t="n"/>
      <c r="AX170" s="60" t="n"/>
      <c r="AY170" s="60" t="n"/>
      <c r="AZ170" s="60" t="n"/>
      <c r="BA170" s="60" t="n"/>
      <c r="BB170" s="60" t="n"/>
      <c r="BC170" s="60" t="n"/>
      <c r="BD170" s="60" t="n"/>
      <c r="BE170" s="60" t="n"/>
      <c r="BF170" s="60" t="n"/>
      <c r="BG170" s="60" t="n"/>
      <c r="BH170" s="60" t="n"/>
      <c r="BI170" s="60" t="n"/>
      <c r="BJ170" s="60" t="n"/>
      <c r="BK170" s="60" t="n"/>
      <c r="BL170" s="60" t="n"/>
      <c r="BM170" s="60" t="n"/>
      <c r="BN170" s="60" t="n"/>
      <c r="BO170" s="60" t="n"/>
      <c r="BP170" s="60" t="n"/>
      <c r="BQ170" s="60" t="n"/>
      <c r="BR170" s="60" t="n"/>
      <c r="BS170" s="60" t="n"/>
      <c r="BT170" s="60" t="n"/>
      <c r="BU170" s="60" t="n"/>
      <c r="BV170" s="60" t="n"/>
      <c r="BW170" s="60" t="n"/>
      <c r="BX170" s="60" t="n"/>
      <c r="BY170" s="60" t="n"/>
      <c r="BZ170" s="60" t="n"/>
      <c r="CA170" s="60" t="n"/>
      <c r="CB170" s="60" t="n"/>
      <c r="CC170" s="60" t="n"/>
      <c r="CD170" s="60" t="n"/>
      <c r="CE170" s="60" t="n"/>
      <c r="CF170" s="60" t="n"/>
      <c r="CG170" s="60" t="n"/>
      <c r="CH170" s="60" t="n"/>
      <c r="CI170" s="60" t="n"/>
      <c r="CJ170" s="60" t="n"/>
      <c r="CK170" s="60" t="n"/>
      <c r="CL170" s="60" t="n"/>
      <c r="CM170" s="60" t="n"/>
      <c r="CN170" s="60" t="n"/>
      <c r="CO170" s="60" t="n"/>
      <c r="CP170" s="60" t="n"/>
    </row>
    <row r="171">
      <c r="A171" s="35" t="n"/>
      <c r="B171" s="35" t="n"/>
      <c r="C171" s="35" t="n"/>
      <c r="D171" s="40" t="n"/>
      <c r="E171" s="35" t="n"/>
      <c r="F171" s="59">
        <f>IF(OR(D171="",E171=""),"",WORKDAY(D171,MAX(E171,1)-1))</f>
        <v/>
      </c>
      <c r="G171" s="36" t="n"/>
      <c r="H171" s="9">
        <f>IF(D171="","",IF(G171&gt;=1,"Done",IF(TODAY()&gt;F171,"Late",IF(TODAY()&gt;=D171,"In progress","Not started"))))</f>
        <v/>
      </c>
      <c r="I171" s="9">
        <f>IF(B171="","",IF(AND(A171&lt;&gt;"",COUNTIF(Jobs!$A$5:$A$44,A171)=0),"Unknown Job ID",IF(D171="","Missing start",IF(E171="","Missing duration",""))))</f>
        <v/>
      </c>
      <c r="J171" s="35" t="n"/>
      <c r="K171" s="60" t="n"/>
      <c r="L171" s="60" t="n"/>
      <c r="M171" s="60" t="n"/>
      <c r="N171" s="60" t="n"/>
      <c r="O171" s="60" t="n"/>
      <c r="P171" s="60" t="n"/>
      <c r="Q171" s="60" t="n"/>
      <c r="R171" s="60" t="n"/>
      <c r="S171" s="60" t="n"/>
      <c r="T171" s="60" t="n"/>
      <c r="U171" s="60" t="n"/>
      <c r="V171" s="60" t="n"/>
      <c r="W171" s="60" t="n"/>
      <c r="X171" s="60" t="n"/>
      <c r="Y171" s="60" t="n"/>
      <c r="Z171" s="60" t="n"/>
      <c r="AA171" s="60" t="n"/>
      <c r="AB171" s="60" t="n"/>
      <c r="AC171" s="60" t="n"/>
      <c r="AD171" s="60" t="n"/>
      <c r="AE171" s="60" t="n"/>
      <c r="AF171" s="60" t="n"/>
      <c r="AG171" s="60" t="n"/>
      <c r="AH171" s="60" t="n"/>
      <c r="AI171" s="60" t="n"/>
      <c r="AJ171" s="60" t="n"/>
      <c r="AK171" s="60" t="n"/>
      <c r="AL171" s="60" t="n"/>
      <c r="AM171" s="60" t="n"/>
      <c r="AN171" s="60" t="n"/>
      <c r="AO171" s="60" t="n"/>
      <c r="AP171" s="60" t="n"/>
      <c r="AQ171" s="60" t="n"/>
      <c r="AR171" s="60" t="n"/>
      <c r="AS171" s="60" t="n"/>
      <c r="AT171" s="60" t="n"/>
      <c r="AU171" s="60" t="n"/>
      <c r="AV171" s="60" t="n"/>
      <c r="AW171" s="60" t="n"/>
      <c r="AX171" s="60" t="n"/>
      <c r="AY171" s="60" t="n"/>
      <c r="AZ171" s="60" t="n"/>
      <c r="BA171" s="60" t="n"/>
      <c r="BB171" s="60" t="n"/>
      <c r="BC171" s="60" t="n"/>
      <c r="BD171" s="60" t="n"/>
      <c r="BE171" s="60" t="n"/>
      <c r="BF171" s="60" t="n"/>
      <c r="BG171" s="60" t="n"/>
      <c r="BH171" s="60" t="n"/>
      <c r="BI171" s="60" t="n"/>
      <c r="BJ171" s="60" t="n"/>
      <c r="BK171" s="60" t="n"/>
      <c r="BL171" s="60" t="n"/>
      <c r="BM171" s="60" t="n"/>
      <c r="BN171" s="60" t="n"/>
      <c r="BO171" s="60" t="n"/>
      <c r="BP171" s="60" t="n"/>
      <c r="BQ171" s="60" t="n"/>
      <c r="BR171" s="60" t="n"/>
      <c r="BS171" s="60" t="n"/>
      <c r="BT171" s="60" t="n"/>
      <c r="BU171" s="60" t="n"/>
      <c r="BV171" s="60" t="n"/>
      <c r="BW171" s="60" t="n"/>
      <c r="BX171" s="60" t="n"/>
      <c r="BY171" s="60" t="n"/>
      <c r="BZ171" s="60" t="n"/>
      <c r="CA171" s="60" t="n"/>
      <c r="CB171" s="60" t="n"/>
      <c r="CC171" s="60" t="n"/>
      <c r="CD171" s="60" t="n"/>
      <c r="CE171" s="60" t="n"/>
      <c r="CF171" s="60" t="n"/>
      <c r="CG171" s="60" t="n"/>
      <c r="CH171" s="60" t="n"/>
      <c r="CI171" s="60" t="n"/>
      <c r="CJ171" s="60" t="n"/>
      <c r="CK171" s="60" t="n"/>
      <c r="CL171" s="60" t="n"/>
      <c r="CM171" s="60" t="n"/>
      <c r="CN171" s="60" t="n"/>
      <c r="CO171" s="60" t="n"/>
      <c r="CP171" s="60" t="n"/>
    </row>
    <row r="172">
      <c r="A172" s="35" t="n"/>
      <c r="B172" s="35" t="n"/>
      <c r="C172" s="35" t="n"/>
      <c r="D172" s="40" t="n"/>
      <c r="E172" s="35" t="n"/>
      <c r="F172" s="59">
        <f>IF(OR(D172="",E172=""),"",WORKDAY(D172,MAX(E172,1)-1))</f>
        <v/>
      </c>
      <c r="G172" s="36" t="n"/>
      <c r="H172" s="9">
        <f>IF(D172="","",IF(G172&gt;=1,"Done",IF(TODAY()&gt;F172,"Late",IF(TODAY()&gt;=D172,"In progress","Not started"))))</f>
        <v/>
      </c>
      <c r="I172" s="9">
        <f>IF(B172="","",IF(AND(A172&lt;&gt;"",COUNTIF(Jobs!$A$5:$A$44,A172)=0),"Unknown Job ID",IF(D172="","Missing start",IF(E172="","Missing duration",""))))</f>
        <v/>
      </c>
      <c r="J172" s="35"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0" t="n"/>
      <c r="AJ172" s="60" t="n"/>
      <c r="AK172" s="60" t="n"/>
      <c r="AL172" s="60" t="n"/>
      <c r="AM172" s="60" t="n"/>
      <c r="AN172" s="60" t="n"/>
      <c r="AO172" s="60" t="n"/>
      <c r="AP172" s="60" t="n"/>
      <c r="AQ172" s="60" t="n"/>
      <c r="AR172" s="60" t="n"/>
      <c r="AS172" s="60" t="n"/>
      <c r="AT172" s="60" t="n"/>
      <c r="AU172" s="60" t="n"/>
      <c r="AV172" s="60" t="n"/>
      <c r="AW172" s="60" t="n"/>
      <c r="AX172" s="60" t="n"/>
      <c r="AY172" s="60" t="n"/>
      <c r="AZ172" s="60" t="n"/>
      <c r="BA172" s="60" t="n"/>
      <c r="BB172" s="60" t="n"/>
      <c r="BC172" s="60" t="n"/>
      <c r="BD172" s="60" t="n"/>
      <c r="BE172" s="60" t="n"/>
      <c r="BF172" s="60" t="n"/>
      <c r="BG172" s="60" t="n"/>
      <c r="BH172" s="60" t="n"/>
      <c r="BI172" s="60" t="n"/>
      <c r="BJ172" s="60" t="n"/>
      <c r="BK172" s="60" t="n"/>
      <c r="BL172" s="60" t="n"/>
      <c r="BM172" s="60" t="n"/>
      <c r="BN172" s="60" t="n"/>
      <c r="BO172" s="60" t="n"/>
      <c r="BP172" s="60" t="n"/>
      <c r="BQ172" s="60" t="n"/>
      <c r="BR172" s="60" t="n"/>
      <c r="BS172" s="60" t="n"/>
      <c r="BT172" s="60" t="n"/>
      <c r="BU172" s="60" t="n"/>
      <c r="BV172" s="60" t="n"/>
      <c r="BW172" s="60" t="n"/>
      <c r="BX172" s="60" t="n"/>
      <c r="BY172" s="60" t="n"/>
      <c r="BZ172" s="60" t="n"/>
      <c r="CA172" s="60" t="n"/>
      <c r="CB172" s="60" t="n"/>
      <c r="CC172" s="60" t="n"/>
      <c r="CD172" s="60" t="n"/>
      <c r="CE172" s="60" t="n"/>
      <c r="CF172" s="60" t="n"/>
      <c r="CG172" s="60" t="n"/>
      <c r="CH172" s="60" t="n"/>
      <c r="CI172" s="60" t="n"/>
      <c r="CJ172" s="60" t="n"/>
      <c r="CK172" s="60" t="n"/>
      <c r="CL172" s="60" t="n"/>
      <c r="CM172" s="60" t="n"/>
      <c r="CN172" s="60" t="n"/>
      <c r="CO172" s="60" t="n"/>
      <c r="CP172" s="60" t="n"/>
    </row>
    <row r="173">
      <c r="A173" s="35" t="n"/>
      <c r="B173" s="35" t="n"/>
      <c r="C173" s="35" t="n"/>
      <c r="D173" s="40" t="n"/>
      <c r="E173" s="35" t="n"/>
      <c r="F173" s="59">
        <f>IF(OR(D173="",E173=""),"",WORKDAY(D173,MAX(E173,1)-1))</f>
        <v/>
      </c>
      <c r="G173" s="36" t="n"/>
      <c r="H173" s="9">
        <f>IF(D173="","",IF(G173&gt;=1,"Done",IF(TODAY()&gt;F173,"Late",IF(TODAY()&gt;=D173,"In progress","Not started"))))</f>
        <v/>
      </c>
      <c r="I173" s="9">
        <f>IF(B173="","",IF(AND(A173&lt;&gt;"",COUNTIF(Jobs!$A$5:$A$44,A173)=0),"Unknown Job ID",IF(D173="","Missing start",IF(E173="","Missing duration",""))))</f>
        <v/>
      </c>
      <c r="J173" s="35" t="n"/>
      <c r="K173" s="60" t="n"/>
      <c r="L173" s="60" t="n"/>
      <c r="M173" s="60" t="n"/>
      <c r="N173" s="60" t="n"/>
      <c r="O173" s="60" t="n"/>
      <c r="P173" s="60" t="n"/>
      <c r="Q173" s="60" t="n"/>
      <c r="R173" s="60" t="n"/>
      <c r="S173" s="60" t="n"/>
      <c r="T173" s="60" t="n"/>
      <c r="U173" s="60" t="n"/>
      <c r="V173" s="60" t="n"/>
      <c r="W173" s="60" t="n"/>
      <c r="X173" s="60" t="n"/>
      <c r="Y173" s="60" t="n"/>
      <c r="Z173" s="60" t="n"/>
      <c r="AA173" s="60" t="n"/>
      <c r="AB173" s="60" t="n"/>
      <c r="AC173" s="60" t="n"/>
      <c r="AD173" s="60" t="n"/>
      <c r="AE173" s="60" t="n"/>
      <c r="AF173" s="60" t="n"/>
      <c r="AG173" s="60" t="n"/>
      <c r="AH173" s="60" t="n"/>
      <c r="AI173" s="60" t="n"/>
      <c r="AJ173" s="60" t="n"/>
      <c r="AK173" s="60" t="n"/>
      <c r="AL173" s="60" t="n"/>
      <c r="AM173" s="60" t="n"/>
      <c r="AN173" s="60" t="n"/>
      <c r="AO173" s="60" t="n"/>
      <c r="AP173" s="60" t="n"/>
      <c r="AQ173" s="60" t="n"/>
      <c r="AR173" s="60" t="n"/>
      <c r="AS173" s="60" t="n"/>
      <c r="AT173" s="60" t="n"/>
      <c r="AU173" s="60" t="n"/>
      <c r="AV173" s="60" t="n"/>
      <c r="AW173" s="60" t="n"/>
      <c r="AX173" s="60" t="n"/>
      <c r="AY173" s="60" t="n"/>
      <c r="AZ173" s="60" t="n"/>
      <c r="BA173" s="60" t="n"/>
      <c r="BB173" s="60" t="n"/>
      <c r="BC173" s="60" t="n"/>
      <c r="BD173" s="60" t="n"/>
      <c r="BE173" s="60" t="n"/>
      <c r="BF173" s="60" t="n"/>
      <c r="BG173" s="60" t="n"/>
      <c r="BH173" s="60" t="n"/>
      <c r="BI173" s="60" t="n"/>
      <c r="BJ173" s="60" t="n"/>
      <c r="BK173" s="60" t="n"/>
      <c r="BL173" s="60" t="n"/>
      <c r="BM173" s="60" t="n"/>
      <c r="BN173" s="60" t="n"/>
      <c r="BO173" s="60" t="n"/>
      <c r="BP173" s="60" t="n"/>
      <c r="BQ173" s="60" t="n"/>
      <c r="BR173" s="60" t="n"/>
      <c r="BS173" s="60" t="n"/>
      <c r="BT173" s="60" t="n"/>
      <c r="BU173" s="60" t="n"/>
      <c r="BV173" s="60" t="n"/>
      <c r="BW173" s="60" t="n"/>
      <c r="BX173" s="60" t="n"/>
      <c r="BY173" s="60" t="n"/>
      <c r="BZ173" s="60" t="n"/>
      <c r="CA173" s="60" t="n"/>
      <c r="CB173" s="60" t="n"/>
      <c r="CC173" s="60" t="n"/>
      <c r="CD173" s="60" t="n"/>
      <c r="CE173" s="60" t="n"/>
      <c r="CF173" s="60" t="n"/>
      <c r="CG173" s="60" t="n"/>
      <c r="CH173" s="60" t="n"/>
      <c r="CI173" s="60" t="n"/>
      <c r="CJ173" s="60" t="n"/>
      <c r="CK173" s="60" t="n"/>
      <c r="CL173" s="60" t="n"/>
      <c r="CM173" s="60" t="n"/>
      <c r="CN173" s="60" t="n"/>
      <c r="CO173" s="60" t="n"/>
      <c r="CP173" s="60" t="n"/>
    </row>
    <row r="174">
      <c r="A174" s="35" t="n"/>
      <c r="B174" s="35" t="n"/>
      <c r="C174" s="35" t="n"/>
      <c r="D174" s="40" t="n"/>
      <c r="E174" s="35" t="n"/>
      <c r="F174" s="59">
        <f>IF(OR(D174="",E174=""),"",WORKDAY(D174,MAX(E174,1)-1))</f>
        <v/>
      </c>
      <c r="G174" s="36" t="n"/>
      <c r="H174" s="9">
        <f>IF(D174="","",IF(G174&gt;=1,"Done",IF(TODAY()&gt;F174,"Late",IF(TODAY()&gt;=D174,"In progress","Not started"))))</f>
        <v/>
      </c>
      <c r="I174" s="9">
        <f>IF(B174="","",IF(AND(A174&lt;&gt;"",COUNTIF(Jobs!$A$5:$A$44,A174)=0),"Unknown Job ID",IF(D174="","Missing start",IF(E174="","Missing duration",""))))</f>
        <v/>
      </c>
      <c r="J174" s="35" t="n"/>
      <c r="K174" s="60" t="n"/>
      <c r="L174" s="60" t="n"/>
      <c r="M174" s="60" t="n"/>
      <c r="N174" s="60" t="n"/>
      <c r="O174" s="60" t="n"/>
      <c r="P174" s="60" t="n"/>
      <c r="Q174" s="60" t="n"/>
      <c r="R174" s="60" t="n"/>
      <c r="S174" s="60" t="n"/>
      <c r="T174" s="60" t="n"/>
      <c r="U174" s="60" t="n"/>
      <c r="V174" s="60" t="n"/>
      <c r="W174" s="60" t="n"/>
      <c r="X174" s="60" t="n"/>
      <c r="Y174" s="60" t="n"/>
      <c r="Z174" s="60" t="n"/>
      <c r="AA174" s="60" t="n"/>
      <c r="AB174" s="60" t="n"/>
      <c r="AC174" s="60" t="n"/>
      <c r="AD174" s="60" t="n"/>
      <c r="AE174" s="60" t="n"/>
      <c r="AF174" s="60" t="n"/>
      <c r="AG174" s="60" t="n"/>
      <c r="AH174" s="60" t="n"/>
      <c r="AI174" s="60" t="n"/>
      <c r="AJ174" s="60" t="n"/>
      <c r="AK174" s="60" t="n"/>
      <c r="AL174" s="60" t="n"/>
      <c r="AM174" s="60" t="n"/>
      <c r="AN174" s="60" t="n"/>
      <c r="AO174" s="60" t="n"/>
      <c r="AP174" s="60" t="n"/>
      <c r="AQ174" s="60" t="n"/>
      <c r="AR174" s="60" t="n"/>
      <c r="AS174" s="60" t="n"/>
      <c r="AT174" s="60" t="n"/>
      <c r="AU174" s="60" t="n"/>
      <c r="AV174" s="60" t="n"/>
      <c r="AW174" s="60" t="n"/>
      <c r="AX174" s="60" t="n"/>
      <c r="AY174" s="60" t="n"/>
      <c r="AZ174" s="60" t="n"/>
      <c r="BA174" s="60" t="n"/>
      <c r="BB174" s="60" t="n"/>
      <c r="BC174" s="60" t="n"/>
      <c r="BD174" s="60" t="n"/>
      <c r="BE174" s="60" t="n"/>
      <c r="BF174" s="60" t="n"/>
      <c r="BG174" s="60" t="n"/>
      <c r="BH174" s="60" t="n"/>
      <c r="BI174" s="60" t="n"/>
      <c r="BJ174" s="60" t="n"/>
      <c r="BK174" s="60" t="n"/>
      <c r="BL174" s="60" t="n"/>
      <c r="BM174" s="60" t="n"/>
      <c r="BN174" s="60" t="n"/>
      <c r="BO174" s="60" t="n"/>
      <c r="BP174" s="60" t="n"/>
      <c r="BQ174" s="60" t="n"/>
      <c r="BR174" s="60" t="n"/>
      <c r="BS174" s="60" t="n"/>
      <c r="BT174" s="60" t="n"/>
      <c r="BU174" s="60" t="n"/>
      <c r="BV174" s="60" t="n"/>
      <c r="BW174" s="60" t="n"/>
      <c r="BX174" s="60" t="n"/>
      <c r="BY174" s="60" t="n"/>
      <c r="BZ174" s="60" t="n"/>
      <c r="CA174" s="60" t="n"/>
      <c r="CB174" s="60" t="n"/>
      <c r="CC174" s="60" t="n"/>
      <c r="CD174" s="60" t="n"/>
      <c r="CE174" s="60" t="n"/>
      <c r="CF174" s="60" t="n"/>
      <c r="CG174" s="60" t="n"/>
      <c r="CH174" s="60" t="n"/>
      <c r="CI174" s="60" t="n"/>
      <c r="CJ174" s="60" t="n"/>
      <c r="CK174" s="60" t="n"/>
      <c r="CL174" s="60" t="n"/>
      <c r="CM174" s="60" t="n"/>
      <c r="CN174" s="60" t="n"/>
      <c r="CO174" s="60" t="n"/>
      <c r="CP174" s="60" t="n"/>
    </row>
    <row r="175">
      <c r="A175" s="35" t="n"/>
      <c r="B175" s="35" t="n"/>
      <c r="C175" s="35" t="n"/>
      <c r="D175" s="40" t="n"/>
      <c r="E175" s="35" t="n"/>
      <c r="F175" s="59">
        <f>IF(OR(D175="",E175=""),"",WORKDAY(D175,MAX(E175,1)-1))</f>
        <v/>
      </c>
      <c r="G175" s="36" t="n"/>
      <c r="H175" s="9">
        <f>IF(D175="","",IF(G175&gt;=1,"Done",IF(TODAY()&gt;F175,"Late",IF(TODAY()&gt;=D175,"In progress","Not started"))))</f>
        <v/>
      </c>
      <c r="I175" s="9">
        <f>IF(B175="","",IF(AND(A175&lt;&gt;"",COUNTIF(Jobs!$A$5:$A$44,A175)=0),"Unknown Job ID",IF(D175="","Missing start",IF(E175="","Missing duration",""))))</f>
        <v/>
      </c>
      <c r="J175" s="35" t="n"/>
      <c r="K175" s="60" t="n"/>
      <c r="L175" s="60" t="n"/>
      <c r="M175" s="60" t="n"/>
      <c r="N175" s="60" t="n"/>
      <c r="O175" s="60" t="n"/>
      <c r="P175" s="60" t="n"/>
      <c r="Q175" s="60" t="n"/>
      <c r="R175" s="60" t="n"/>
      <c r="S175" s="60" t="n"/>
      <c r="T175" s="60" t="n"/>
      <c r="U175" s="60" t="n"/>
      <c r="V175" s="60" t="n"/>
      <c r="W175" s="60" t="n"/>
      <c r="X175" s="60" t="n"/>
      <c r="Y175" s="60" t="n"/>
      <c r="Z175" s="60" t="n"/>
      <c r="AA175" s="60" t="n"/>
      <c r="AB175" s="60" t="n"/>
      <c r="AC175" s="60" t="n"/>
      <c r="AD175" s="60" t="n"/>
      <c r="AE175" s="60" t="n"/>
      <c r="AF175" s="60" t="n"/>
      <c r="AG175" s="60" t="n"/>
      <c r="AH175" s="60" t="n"/>
      <c r="AI175" s="60" t="n"/>
      <c r="AJ175" s="60" t="n"/>
      <c r="AK175" s="60" t="n"/>
      <c r="AL175" s="60" t="n"/>
      <c r="AM175" s="60" t="n"/>
      <c r="AN175" s="60" t="n"/>
      <c r="AO175" s="60" t="n"/>
      <c r="AP175" s="60" t="n"/>
      <c r="AQ175" s="60" t="n"/>
      <c r="AR175" s="60" t="n"/>
      <c r="AS175" s="60" t="n"/>
      <c r="AT175" s="60" t="n"/>
      <c r="AU175" s="60" t="n"/>
      <c r="AV175" s="60" t="n"/>
      <c r="AW175" s="60" t="n"/>
      <c r="AX175" s="60" t="n"/>
      <c r="AY175" s="60" t="n"/>
      <c r="AZ175" s="60" t="n"/>
      <c r="BA175" s="60" t="n"/>
      <c r="BB175" s="60" t="n"/>
      <c r="BC175" s="60" t="n"/>
      <c r="BD175" s="60" t="n"/>
      <c r="BE175" s="60" t="n"/>
      <c r="BF175" s="60" t="n"/>
      <c r="BG175" s="60" t="n"/>
      <c r="BH175" s="60" t="n"/>
      <c r="BI175" s="60" t="n"/>
      <c r="BJ175" s="60" t="n"/>
      <c r="BK175" s="60" t="n"/>
      <c r="BL175" s="60" t="n"/>
      <c r="BM175" s="60" t="n"/>
      <c r="BN175" s="60" t="n"/>
      <c r="BO175" s="60" t="n"/>
      <c r="BP175" s="60" t="n"/>
      <c r="BQ175" s="60" t="n"/>
      <c r="BR175" s="60" t="n"/>
      <c r="BS175" s="60" t="n"/>
      <c r="BT175" s="60" t="n"/>
      <c r="BU175" s="60" t="n"/>
      <c r="BV175" s="60" t="n"/>
      <c r="BW175" s="60" t="n"/>
      <c r="BX175" s="60" t="n"/>
      <c r="BY175" s="60" t="n"/>
      <c r="BZ175" s="60" t="n"/>
      <c r="CA175" s="60" t="n"/>
      <c r="CB175" s="60" t="n"/>
      <c r="CC175" s="60" t="n"/>
      <c r="CD175" s="60" t="n"/>
      <c r="CE175" s="60" t="n"/>
      <c r="CF175" s="60" t="n"/>
      <c r="CG175" s="60" t="n"/>
      <c r="CH175" s="60" t="n"/>
      <c r="CI175" s="60" t="n"/>
      <c r="CJ175" s="60" t="n"/>
      <c r="CK175" s="60" t="n"/>
      <c r="CL175" s="60" t="n"/>
      <c r="CM175" s="60" t="n"/>
      <c r="CN175" s="60" t="n"/>
      <c r="CO175" s="60" t="n"/>
      <c r="CP175" s="60" t="n"/>
    </row>
    <row r="176">
      <c r="A176" s="35" t="n"/>
      <c r="B176" s="35" t="n"/>
      <c r="C176" s="35" t="n"/>
      <c r="D176" s="40" t="n"/>
      <c r="E176" s="35" t="n"/>
      <c r="F176" s="59">
        <f>IF(OR(D176="",E176=""),"",WORKDAY(D176,MAX(E176,1)-1))</f>
        <v/>
      </c>
      <c r="G176" s="36" t="n"/>
      <c r="H176" s="9">
        <f>IF(D176="","",IF(G176&gt;=1,"Done",IF(TODAY()&gt;F176,"Late",IF(TODAY()&gt;=D176,"In progress","Not started"))))</f>
        <v/>
      </c>
      <c r="I176" s="9">
        <f>IF(B176="","",IF(AND(A176&lt;&gt;"",COUNTIF(Jobs!$A$5:$A$44,A176)=0),"Unknown Job ID",IF(D176="","Missing start",IF(E176="","Missing duration",""))))</f>
        <v/>
      </c>
      <c r="J176" s="35" t="n"/>
      <c r="K176" s="60" t="n"/>
      <c r="L176" s="60" t="n"/>
      <c r="M176" s="60" t="n"/>
      <c r="N176" s="60" t="n"/>
      <c r="O176" s="60" t="n"/>
      <c r="P176" s="60" t="n"/>
      <c r="Q176" s="60" t="n"/>
      <c r="R176" s="60" t="n"/>
      <c r="S176" s="60" t="n"/>
      <c r="T176" s="60" t="n"/>
      <c r="U176" s="60" t="n"/>
      <c r="V176" s="60" t="n"/>
      <c r="W176" s="60" t="n"/>
      <c r="X176" s="60" t="n"/>
      <c r="Y176" s="60" t="n"/>
      <c r="Z176" s="60" t="n"/>
      <c r="AA176" s="60" t="n"/>
      <c r="AB176" s="60" t="n"/>
      <c r="AC176" s="60" t="n"/>
      <c r="AD176" s="60" t="n"/>
      <c r="AE176" s="60" t="n"/>
      <c r="AF176" s="60" t="n"/>
      <c r="AG176" s="60" t="n"/>
      <c r="AH176" s="60" t="n"/>
      <c r="AI176" s="60" t="n"/>
      <c r="AJ176" s="60" t="n"/>
      <c r="AK176" s="60" t="n"/>
      <c r="AL176" s="60" t="n"/>
      <c r="AM176" s="60" t="n"/>
      <c r="AN176" s="60" t="n"/>
      <c r="AO176" s="60" t="n"/>
      <c r="AP176" s="60" t="n"/>
      <c r="AQ176" s="60" t="n"/>
      <c r="AR176" s="60" t="n"/>
      <c r="AS176" s="60" t="n"/>
      <c r="AT176" s="60" t="n"/>
      <c r="AU176" s="60" t="n"/>
      <c r="AV176" s="60" t="n"/>
      <c r="AW176" s="60" t="n"/>
      <c r="AX176" s="60" t="n"/>
      <c r="AY176" s="60" t="n"/>
      <c r="AZ176" s="60" t="n"/>
      <c r="BA176" s="60" t="n"/>
      <c r="BB176" s="60" t="n"/>
      <c r="BC176" s="60" t="n"/>
      <c r="BD176" s="60" t="n"/>
      <c r="BE176" s="60" t="n"/>
      <c r="BF176" s="60" t="n"/>
      <c r="BG176" s="60" t="n"/>
      <c r="BH176" s="60" t="n"/>
      <c r="BI176" s="60" t="n"/>
      <c r="BJ176" s="60" t="n"/>
      <c r="BK176" s="60" t="n"/>
      <c r="BL176" s="60" t="n"/>
      <c r="BM176" s="60" t="n"/>
      <c r="BN176" s="60" t="n"/>
      <c r="BO176" s="60" t="n"/>
      <c r="BP176" s="60" t="n"/>
      <c r="BQ176" s="60" t="n"/>
      <c r="BR176" s="60" t="n"/>
      <c r="BS176" s="60" t="n"/>
      <c r="BT176" s="60" t="n"/>
      <c r="BU176" s="60" t="n"/>
      <c r="BV176" s="60" t="n"/>
      <c r="BW176" s="60" t="n"/>
      <c r="BX176" s="60" t="n"/>
      <c r="BY176" s="60" t="n"/>
      <c r="BZ176" s="60" t="n"/>
      <c r="CA176" s="60" t="n"/>
      <c r="CB176" s="60" t="n"/>
      <c r="CC176" s="60" t="n"/>
      <c r="CD176" s="60" t="n"/>
      <c r="CE176" s="60" t="n"/>
      <c r="CF176" s="60" t="n"/>
      <c r="CG176" s="60" t="n"/>
      <c r="CH176" s="60" t="n"/>
      <c r="CI176" s="60" t="n"/>
      <c r="CJ176" s="60" t="n"/>
      <c r="CK176" s="60" t="n"/>
      <c r="CL176" s="60" t="n"/>
      <c r="CM176" s="60" t="n"/>
      <c r="CN176" s="60" t="n"/>
      <c r="CO176" s="60" t="n"/>
      <c r="CP176" s="60" t="n"/>
    </row>
    <row r="177">
      <c r="A177" s="35" t="n"/>
      <c r="B177" s="35" t="n"/>
      <c r="C177" s="35" t="n"/>
      <c r="D177" s="40" t="n"/>
      <c r="E177" s="35" t="n"/>
      <c r="F177" s="59">
        <f>IF(OR(D177="",E177=""),"",WORKDAY(D177,MAX(E177,1)-1))</f>
        <v/>
      </c>
      <c r="G177" s="36" t="n"/>
      <c r="H177" s="9">
        <f>IF(D177="","",IF(G177&gt;=1,"Done",IF(TODAY()&gt;F177,"Late",IF(TODAY()&gt;=D177,"In progress","Not started"))))</f>
        <v/>
      </c>
      <c r="I177" s="9">
        <f>IF(B177="","",IF(AND(A177&lt;&gt;"",COUNTIF(Jobs!$A$5:$A$44,A177)=0),"Unknown Job ID",IF(D177="","Missing start",IF(E177="","Missing duration",""))))</f>
        <v/>
      </c>
      <c r="J177" s="35" t="n"/>
      <c r="K177" s="60" t="n"/>
      <c r="L177" s="60" t="n"/>
      <c r="M177" s="60" t="n"/>
      <c r="N177" s="60" t="n"/>
      <c r="O177" s="60" t="n"/>
      <c r="P177" s="60" t="n"/>
      <c r="Q177" s="60" t="n"/>
      <c r="R177" s="60" t="n"/>
      <c r="S177" s="60" t="n"/>
      <c r="T177" s="60" t="n"/>
      <c r="U177" s="60" t="n"/>
      <c r="V177" s="60" t="n"/>
      <c r="W177" s="60" t="n"/>
      <c r="X177" s="60" t="n"/>
      <c r="Y177" s="60" t="n"/>
      <c r="Z177" s="60" t="n"/>
      <c r="AA177" s="60" t="n"/>
      <c r="AB177" s="60" t="n"/>
      <c r="AC177" s="60" t="n"/>
      <c r="AD177" s="60" t="n"/>
      <c r="AE177" s="60" t="n"/>
      <c r="AF177" s="60" t="n"/>
      <c r="AG177" s="60" t="n"/>
      <c r="AH177" s="60" t="n"/>
      <c r="AI177" s="60" t="n"/>
      <c r="AJ177" s="60" t="n"/>
      <c r="AK177" s="60" t="n"/>
      <c r="AL177" s="60" t="n"/>
      <c r="AM177" s="60" t="n"/>
      <c r="AN177" s="60" t="n"/>
      <c r="AO177" s="60" t="n"/>
      <c r="AP177" s="60" t="n"/>
      <c r="AQ177" s="60" t="n"/>
      <c r="AR177" s="60" t="n"/>
      <c r="AS177" s="60" t="n"/>
      <c r="AT177" s="60" t="n"/>
      <c r="AU177" s="60" t="n"/>
      <c r="AV177" s="60" t="n"/>
      <c r="AW177" s="60" t="n"/>
      <c r="AX177" s="60" t="n"/>
      <c r="AY177" s="60" t="n"/>
      <c r="AZ177" s="60" t="n"/>
      <c r="BA177" s="60" t="n"/>
      <c r="BB177" s="60" t="n"/>
      <c r="BC177" s="60" t="n"/>
      <c r="BD177" s="60" t="n"/>
      <c r="BE177" s="60" t="n"/>
      <c r="BF177" s="60" t="n"/>
      <c r="BG177" s="60" t="n"/>
      <c r="BH177" s="60" t="n"/>
      <c r="BI177" s="60" t="n"/>
      <c r="BJ177" s="60" t="n"/>
      <c r="BK177" s="60" t="n"/>
      <c r="BL177" s="60" t="n"/>
      <c r="BM177" s="60" t="n"/>
      <c r="BN177" s="60" t="n"/>
      <c r="BO177" s="60" t="n"/>
      <c r="BP177" s="60" t="n"/>
      <c r="BQ177" s="60" t="n"/>
      <c r="BR177" s="60" t="n"/>
      <c r="BS177" s="60" t="n"/>
      <c r="BT177" s="60" t="n"/>
      <c r="BU177" s="60" t="n"/>
      <c r="BV177" s="60" t="n"/>
      <c r="BW177" s="60" t="n"/>
      <c r="BX177" s="60" t="n"/>
      <c r="BY177" s="60" t="n"/>
      <c r="BZ177" s="60" t="n"/>
      <c r="CA177" s="60" t="n"/>
      <c r="CB177" s="60" t="n"/>
      <c r="CC177" s="60" t="n"/>
      <c r="CD177" s="60" t="n"/>
      <c r="CE177" s="60" t="n"/>
      <c r="CF177" s="60" t="n"/>
      <c r="CG177" s="60" t="n"/>
      <c r="CH177" s="60" t="n"/>
      <c r="CI177" s="60" t="n"/>
      <c r="CJ177" s="60" t="n"/>
      <c r="CK177" s="60" t="n"/>
      <c r="CL177" s="60" t="n"/>
      <c r="CM177" s="60" t="n"/>
      <c r="CN177" s="60" t="n"/>
      <c r="CO177" s="60" t="n"/>
      <c r="CP177" s="60" t="n"/>
    </row>
    <row r="178">
      <c r="A178" s="35" t="n"/>
      <c r="B178" s="35" t="n"/>
      <c r="C178" s="35" t="n"/>
      <c r="D178" s="40" t="n"/>
      <c r="E178" s="35" t="n"/>
      <c r="F178" s="59">
        <f>IF(OR(D178="",E178=""),"",WORKDAY(D178,MAX(E178,1)-1))</f>
        <v/>
      </c>
      <c r="G178" s="36" t="n"/>
      <c r="H178" s="9">
        <f>IF(D178="","",IF(G178&gt;=1,"Done",IF(TODAY()&gt;F178,"Late",IF(TODAY()&gt;=D178,"In progress","Not started"))))</f>
        <v/>
      </c>
      <c r="I178" s="9">
        <f>IF(B178="","",IF(AND(A178&lt;&gt;"",COUNTIF(Jobs!$A$5:$A$44,A178)=0),"Unknown Job ID",IF(D178="","Missing start",IF(E178="","Missing duration",""))))</f>
        <v/>
      </c>
      <c r="J178" s="35" t="n"/>
      <c r="K178" s="60" t="n"/>
      <c r="L178" s="60" t="n"/>
      <c r="M178" s="60" t="n"/>
      <c r="N178" s="60" t="n"/>
      <c r="O178" s="60" t="n"/>
      <c r="P178" s="60" t="n"/>
      <c r="Q178" s="60" t="n"/>
      <c r="R178" s="60" t="n"/>
      <c r="S178" s="60" t="n"/>
      <c r="T178" s="60" t="n"/>
      <c r="U178" s="60" t="n"/>
      <c r="V178" s="60" t="n"/>
      <c r="W178" s="60" t="n"/>
      <c r="X178" s="60" t="n"/>
      <c r="Y178" s="60" t="n"/>
      <c r="Z178" s="60" t="n"/>
      <c r="AA178" s="60" t="n"/>
      <c r="AB178" s="60" t="n"/>
      <c r="AC178" s="60" t="n"/>
      <c r="AD178" s="60" t="n"/>
      <c r="AE178" s="60" t="n"/>
      <c r="AF178" s="60" t="n"/>
      <c r="AG178" s="60" t="n"/>
      <c r="AH178" s="60" t="n"/>
      <c r="AI178" s="60" t="n"/>
      <c r="AJ178" s="60" t="n"/>
      <c r="AK178" s="60" t="n"/>
      <c r="AL178" s="60" t="n"/>
      <c r="AM178" s="60" t="n"/>
      <c r="AN178" s="60" t="n"/>
      <c r="AO178" s="60" t="n"/>
      <c r="AP178" s="60" t="n"/>
      <c r="AQ178" s="60" t="n"/>
      <c r="AR178" s="60" t="n"/>
      <c r="AS178" s="60" t="n"/>
      <c r="AT178" s="60" t="n"/>
      <c r="AU178" s="60" t="n"/>
      <c r="AV178" s="60" t="n"/>
      <c r="AW178" s="60" t="n"/>
      <c r="AX178" s="60" t="n"/>
      <c r="AY178" s="60" t="n"/>
      <c r="AZ178" s="60" t="n"/>
      <c r="BA178" s="60" t="n"/>
      <c r="BB178" s="60" t="n"/>
      <c r="BC178" s="60" t="n"/>
      <c r="BD178" s="60" t="n"/>
      <c r="BE178" s="60" t="n"/>
      <c r="BF178" s="60" t="n"/>
      <c r="BG178" s="60" t="n"/>
      <c r="BH178" s="60" t="n"/>
      <c r="BI178" s="60" t="n"/>
      <c r="BJ178" s="60" t="n"/>
      <c r="BK178" s="60" t="n"/>
      <c r="BL178" s="60" t="n"/>
      <c r="BM178" s="60" t="n"/>
      <c r="BN178" s="60" t="n"/>
      <c r="BO178" s="60" t="n"/>
      <c r="BP178" s="60" t="n"/>
      <c r="BQ178" s="60" t="n"/>
      <c r="BR178" s="60" t="n"/>
      <c r="BS178" s="60" t="n"/>
      <c r="BT178" s="60" t="n"/>
      <c r="BU178" s="60" t="n"/>
      <c r="BV178" s="60" t="n"/>
      <c r="BW178" s="60" t="n"/>
      <c r="BX178" s="60" t="n"/>
      <c r="BY178" s="60" t="n"/>
      <c r="BZ178" s="60" t="n"/>
      <c r="CA178" s="60" t="n"/>
      <c r="CB178" s="60" t="n"/>
      <c r="CC178" s="60" t="n"/>
      <c r="CD178" s="60" t="n"/>
      <c r="CE178" s="60" t="n"/>
      <c r="CF178" s="60" t="n"/>
      <c r="CG178" s="60" t="n"/>
      <c r="CH178" s="60" t="n"/>
      <c r="CI178" s="60" t="n"/>
      <c r="CJ178" s="60" t="n"/>
      <c r="CK178" s="60" t="n"/>
      <c r="CL178" s="60" t="n"/>
      <c r="CM178" s="60" t="n"/>
      <c r="CN178" s="60" t="n"/>
      <c r="CO178" s="60" t="n"/>
      <c r="CP178" s="60" t="n"/>
    </row>
    <row r="179">
      <c r="A179" s="35" t="n"/>
      <c r="B179" s="35" t="n"/>
      <c r="C179" s="35" t="n"/>
      <c r="D179" s="40" t="n"/>
      <c r="E179" s="35" t="n"/>
      <c r="F179" s="59">
        <f>IF(OR(D179="",E179=""),"",WORKDAY(D179,MAX(E179,1)-1))</f>
        <v/>
      </c>
      <c r="G179" s="36" t="n"/>
      <c r="H179" s="9">
        <f>IF(D179="","",IF(G179&gt;=1,"Done",IF(TODAY()&gt;F179,"Late",IF(TODAY()&gt;=D179,"In progress","Not started"))))</f>
        <v/>
      </c>
      <c r="I179" s="9">
        <f>IF(B179="","",IF(AND(A179&lt;&gt;"",COUNTIF(Jobs!$A$5:$A$44,A179)=0),"Unknown Job ID",IF(D179="","Missing start",IF(E179="","Missing duration",""))))</f>
        <v/>
      </c>
      <c r="J179" s="35" t="n"/>
      <c r="K179" s="60" t="n"/>
      <c r="L179" s="60" t="n"/>
      <c r="M179" s="60" t="n"/>
      <c r="N179" s="60" t="n"/>
      <c r="O179" s="60" t="n"/>
      <c r="P179" s="60" t="n"/>
      <c r="Q179" s="60" t="n"/>
      <c r="R179" s="60" t="n"/>
      <c r="S179" s="60" t="n"/>
      <c r="T179" s="60" t="n"/>
      <c r="U179" s="60" t="n"/>
      <c r="V179" s="60" t="n"/>
      <c r="W179" s="60" t="n"/>
      <c r="X179" s="60" t="n"/>
      <c r="Y179" s="60" t="n"/>
      <c r="Z179" s="60" t="n"/>
      <c r="AA179" s="60" t="n"/>
      <c r="AB179" s="60" t="n"/>
      <c r="AC179" s="60" t="n"/>
      <c r="AD179" s="60" t="n"/>
      <c r="AE179" s="60" t="n"/>
      <c r="AF179" s="60" t="n"/>
      <c r="AG179" s="60" t="n"/>
      <c r="AH179" s="60" t="n"/>
      <c r="AI179" s="60" t="n"/>
      <c r="AJ179" s="60" t="n"/>
      <c r="AK179" s="60" t="n"/>
      <c r="AL179" s="60" t="n"/>
      <c r="AM179" s="60" t="n"/>
      <c r="AN179" s="60" t="n"/>
      <c r="AO179" s="60" t="n"/>
      <c r="AP179" s="60" t="n"/>
      <c r="AQ179" s="60" t="n"/>
      <c r="AR179" s="60" t="n"/>
      <c r="AS179" s="60" t="n"/>
      <c r="AT179" s="60" t="n"/>
      <c r="AU179" s="60" t="n"/>
      <c r="AV179" s="60" t="n"/>
      <c r="AW179" s="60" t="n"/>
      <c r="AX179" s="60" t="n"/>
      <c r="AY179" s="60" t="n"/>
      <c r="AZ179" s="60" t="n"/>
      <c r="BA179" s="60" t="n"/>
      <c r="BB179" s="60" t="n"/>
      <c r="BC179" s="60" t="n"/>
      <c r="BD179" s="60" t="n"/>
      <c r="BE179" s="60" t="n"/>
      <c r="BF179" s="60" t="n"/>
      <c r="BG179" s="60" t="n"/>
      <c r="BH179" s="60" t="n"/>
      <c r="BI179" s="60" t="n"/>
      <c r="BJ179" s="60" t="n"/>
      <c r="BK179" s="60" t="n"/>
      <c r="BL179" s="60" t="n"/>
      <c r="BM179" s="60" t="n"/>
      <c r="BN179" s="60" t="n"/>
      <c r="BO179" s="60" t="n"/>
      <c r="BP179" s="60" t="n"/>
      <c r="BQ179" s="60" t="n"/>
      <c r="BR179" s="60" t="n"/>
      <c r="BS179" s="60" t="n"/>
      <c r="BT179" s="60" t="n"/>
      <c r="BU179" s="60" t="n"/>
      <c r="BV179" s="60" t="n"/>
      <c r="BW179" s="60" t="n"/>
      <c r="BX179" s="60" t="n"/>
      <c r="BY179" s="60" t="n"/>
      <c r="BZ179" s="60" t="n"/>
      <c r="CA179" s="60" t="n"/>
      <c r="CB179" s="60" t="n"/>
      <c r="CC179" s="60" t="n"/>
      <c r="CD179" s="60" t="n"/>
      <c r="CE179" s="60" t="n"/>
      <c r="CF179" s="60" t="n"/>
      <c r="CG179" s="60" t="n"/>
      <c r="CH179" s="60" t="n"/>
      <c r="CI179" s="60" t="n"/>
      <c r="CJ179" s="60" t="n"/>
      <c r="CK179" s="60" t="n"/>
      <c r="CL179" s="60" t="n"/>
      <c r="CM179" s="60" t="n"/>
      <c r="CN179" s="60" t="n"/>
      <c r="CO179" s="60" t="n"/>
      <c r="CP179" s="60" t="n"/>
    </row>
    <row r="180">
      <c r="A180" s="35" t="n"/>
      <c r="B180" s="35" t="n"/>
      <c r="C180" s="35" t="n"/>
      <c r="D180" s="40" t="n"/>
      <c r="E180" s="35" t="n"/>
      <c r="F180" s="59">
        <f>IF(OR(D180="",E180=""),"",WORKDAY(D180,MAX(E180,1)-1))</f>
        <v/>
      </c>
      <c r="G180" s="36" t="n"/>
      <c r="H180" s="9">
        <f>IF(D180="","",IF(G180&gt;=1,"Done",IF(TODAY()&gt;F180,"Late",IF(TODAY()&gt;=D180,"In progress","Not started"))))</f>
        <v/>
      </c>
      <c r="I180" s="9">
        <f>IF(B180="","",IF(AND(A180&lt;&gt;"",COUNTIF(Jobs!$A$5:$A$44,A180)=0),"Unknown Job ID",IF(D180="","Missing start",IF(E180="","Missing duration",""))))</f>
        <v/>
      </c>
      <c r="J180" s="35" t="n"/>
      <c r="K180" s="60" t="n"/>
      <c r="L180" s="60" t="n"/>
      <c r="M180" s="60" t="n"/>
      <c r="N180" s="60" t="n"/>
      <c r="O180" s="60" t="n"/>
      <c r="P180" s="60" t="n"/>
      <c r="Q180" s="60" t="n"/>
      <c r="R180" s="60" t="n"/>
      <c r="S180" s="60" t="n"/>
      <c r="T180" s="60" t="n"/>
      <c r="U180" s="60" t="n"/>
      <c r="V180" s="60" t="n"/>
      <c r="W180" s="60" t="n"/>
      <c r="X180" s="60" t="n"/>
      <c r="Y180" s="60" t="n"/>
      <c r="Z180" s="60" t="n"/>
      <c r="AA180" s="60" t="n"/>
      <c r="AB180" s="60" t="n"/>
      <c r="AC180" s="60" t="n"/>
      <c r="AD180" s="60" t="n"/>
      <c r="AE180" s="60" t="n"/>
      <c r="AF180" s="60" t="n"/>
      <c r="AG180" s="60" t="n"/>
      <c r="AH180" s="60" t="n"/>
      <c r="AI180" s="60" t="n"/>
      <c r="AJ180" s="60" t="n"/>
      <c r="AK180" s="60" t="n"/>
      <c r="AL180" s="60" t="n"/>
      <c r="AM180" s="60" t="n"/>
      <c r="AN180" s="60" t="n"/>
      <c r="AO180" s="60" t="n"/>
      <c r="AP180" s="60" t="n"/>
      <c r="AQ180" s="60" t="n"/>
      <c r="AR180" s="60" t="n"/>
      <c r="AS180" s="60" t="n"/>
      <c r="AT180" s="60" t="n"/>
      <c r="AU180" s="60" t="n"/>
      <c r="AV180" s="60" t="n"/>
      <c r="AW180" s="60" t="n"/>
      <c r="AX180" s="60" t="n"/>
      <c r="AY180" s="60" t="n"/>
      <c r="AZ180" s="60" t="n"/>
      <c r="BA180" s="60" t="n"/>
      <c r="BB180" s="60" t="n"/>
      <c r="BC180" s="60" t="n"/>
      <c r="BD180" s="60" t="n"/>
      <c r="BE180" s="60" t="n"/>
      <c r="BF180" s="60" t="n"/>
      <c r="BG180" s="60" t="n"/>
      <c r="BH180" s="60" t="n"/>
      <c r="BI180" s="60" t="n"/>
      <c r="BJ180" s="60" t="n"/>
      <c r="BK180" s="60" t="n"/>
      <c r="BL180" s="60" t="n"/>
      <c r="BM180" s="60" t="n"/>
      <c r="BN180" s="60" t="n"/>
      <c r="BO180" s="60" t="n"/>
      <c r="BP180" s="60" t="n"/>
      <c r="BQ180" s="60" t="n"/>
      <c r="BR180" s="60" t="n"/>
      <c r="BS180" s="60" t="n"/>
      <c r="BT180" s="60" t="n"/>
      <c r="BU180" s="60" t="n"/>
      <c r="BV180" s="60" t="n"/>
      <c r="BW180" s="60" t="n"/>
      <c r="BX180" s="60" t="n"/>
      <c r="BY180" s="60" t="n"/>
      <c r="BZ180" s="60" t="n"/>
      <c r="CA180" s="60" t="n"/>
      <c r="CB180" s="60" t="n"/>
      <c r="CC180" s="60" t="n"/>
      <c r="CD180" s="60" t="n"/>
      <c r="CE180" s="60" t="n"/>
      <c r="CF180" s="60" t="n"/>
      <c r="CG180" s="60" t="n"/>
      <c r="CH180" s="60" t="n"/>
      <c r="CI180" s="60" t="n"/>
      <c r="CJ180" s="60" t="n"/>
      <c r="CK180" s="60" t="n"/>
      <c r="CL180" s="60" t="n"/>
      <c r="CM180" s="60" t="n"/>
      <c r="CN180" s="60" t="n"/>
      <c r="CO180" s="60" t="n"/>
      <c r="CP180" s="60" t="n"/>
    </row>
    <row r="181">
      <c r="A181" s="35" t="n"/>
      <c r="B181" s="35" t="n"/>
      <c r="C181" s="35" t="n"/>
      <c r="D181" s="40" t="n"/>
      <c r="E181" s="35" t="n"/>
      <c r="F181" s="59">
        <f>IF(OR(D181="",E181=""),"",WORKDAY(D181,MAX(E181,1)-1))</f>
        <v/>
      </c>
      <c r="G181" s="36" t="n"/>
      <c r="H181" s="9">
        <f>IF(D181="","",IF(G181&gt;=1,"Done",IF(TODAY()&gt;F181,"Late",IF(TODAY()&gt;=D181,"In progress","Not started"))))</f>
        <v/>
      </c>
      <c r="I181" s="9">
        <f>IF(B181="","",IF(AND(A181&lt;&gt;"",COUNTIF(Jobs!$A$5:$A$44,A181)=0),"Unknown Job ID",IF(D181="","Missing start",IF(E181="","Missing duration",""))))</f>
        <v/>
      </c>
      <c r="J181" s="35" t="n"/>
      <c r="K181" s="60" t="n"/>
      <c r="L181" s="60" t="n"/>
      <c r="M181" s="60" t="n"/>
      <c r="N181" s="60" t="n"/>
      <c r="O181" s="60" t="n"/>
      <c r="P181" s="60" t="n"/>
      <c r="Q181" s="60" t="n"/>
      <c r="R181" s="60" t="n"/>
      <c r="S181" s="60" t="n"/>
      <c r="T181" s="60" t="n"/>
      <c r="U181" s="60" t="n"/>
      <c r="V181" s="60" t="n"/>
      <c r="W181" s="60" t="n"/>
      <c r="X181" s="60" t="n"/>
      <c r="Y181" s="60" t="n"/>
      <c r="Z181" s="60" t="n"/>
      <c r="AA181" s="60" t="n"/>
      <c r="AB181" s="60" t="n"/>
      <c r="AC181" s="60" t="n"/>
      <c r="AD181" s="60" t="n"/>
      <c r="AE181" s="60" t="n"/>
      <c r="AF181" s="60" t="n"/>
      <c r="AG181" s="60" t="n"/>
      <c r="AH181" s="60" t="n"/>
      <c r="AI181" s="60" t="n"/>
      <c r="AJ181" s="60" t="n"/>
      <c r="AK181" s="60" t="n"/>
      <c r="AL181" s="60" t="n"/>
      <c r="AM181" s="60" t="n"/>
      <c r="AN181" s="60" t="n"/>
      <c r="AO181" s="60" t="n"/>
      <c r="AP181" s="60" t="n"/>
      <c r="AQ181" s="60" t="n"/>
      <c r="AR181" s="60" t="n"/>
      <c r="AS181" s="60" t="n"/>
      <c r="AT181" s="60" t="n"/>
      <c r="AU181" s="60" t="n"/>
      <c r="AV181" s="60" t="n"/>
      <c r="AW181" s="60" t="n"/>
      <c r="AX181" s="60" t="n"/>
      <c r="AY181" s="60" t="n"/>
      <c r="AZ181" s="60" t="n"/>
      <c r="BA181" s="60" t="n"/>
      <c r="BB181" s="60" t="n"/>
      <c r="BC181" s="60" t="n"/>
      <c r="BD181" s="60" t="n"/>
      <c r="BE181" s="60" t="n"/>
      <c r="BF181" s="60" t="n"/>
      <c r="BG181" s="60" t="n"/>
      <c r="BH181" s="60" t="n"/>
      <c r="BI181" s="60" t="n"/>
      <c r="BJ181" s="60" t="n"/>
      <c r="BK181" s="60" t="n"/>
      <c r="BL181" s="60" t="n"/>
      <c r="BM181" s="60" t="n"/>
      <c r="BN181" s="60" t="n"/>
      <c r="BO181" s="60" t="n"/>
      <c r="BP181" s="60" t="n"/>
      <c r="BQ181" s="60" t="n"/>
      <c r="BR181" s="60" t="n"/>
      <c r="BS181" s="60" t="n"/>
      <c r="BT181" s="60" t="n"/>
      <c r="BU181" s="60" t="n"/>
      <c r="BV181" s="60" t="n"/>
      <c r="BW181" s="60" t="n"/>
      <c r="BX181" s="60" t="n"/>
      <c r="BY181" s="60" t="n"/>
      <c r="BZ181" s="60" t="n"/>
      <c r="CA181" s="60" t="n"/>
      <c r="CB181" s="60" t="n"/>
      <c r="CC181" s="60" t="n"/>
      <c r="CD181" s="60" t="n"/>
      <c r="CE181" s="60" t="n"/>
      <c r="CF181" s="60" t="n"/>
      <c r="CG181" s="60" t="n"/>
      <c r="CH181" s="60" t="n"/>
      <c r="CI181" s="60" t="n"/>
      <c r="CJ181" s="60" t="n"/>
      <c r="CK181" s="60" t="n"/>
      <c r="CL181" s="60" t="n"/>
      <c r="CM181" s="60" t="n"/>
      <c r="CN181" s="60" t="n"/>
      <c r="CO181" s="60" t="n"/>
      <c r="CP181" s="60" t="n"/>
    </row>
    <row r="182">
      <c r="A182" s="35" t="n"/>
      <c r="B182" s="35" t="n"/>
      <c r="C182" s="35" t="n"/>
      <c r="D182" s="40" t="n"/>
      <c r="E182" s="35" t="n"/>
      <c r="F182" s="59">
        <f>IF(OR(D182="",E182=""),"",WORKDAY(D182,MAX(E182,1)-1))</f>
        <v/>
      </c>
      <c r="G182" s="36" t="n"/>
      <c r="H182" s="9">
        <f>IF(D182="","",IF(G182&gt;=1,"Done",IF(TODAY()&gt;F182,"Late",IF(TODAY()&gt;=D182,"In progress","Not started"))))</f>
        <v/>
      </c>
      <c r="I182" s="9">
        <f>IF(B182="","",IF(AND(A182&lt;&gt;"",COUNTIF(Jobs!$A$5:$A$44,A182)=0),"Unknown Job ID",IF(D182="","Missing start",IF(E182="","Missing duration",""))))</f>
        <v/>
      </c>
      <c r="J182" s="35" t="n"/>
      <c r="K182" s="60" t="n"/>
      <c r="L182" s="60" t="n"/>
      <c r="M182" s="60" t="n"/>
      <c r="N182" s="60" t="n"/>
      <c r="O182" s="60" t="n"/>
      <c r="P182" s="60" t="n"/>
      <c r="Q182" s="60" t="n"/>
      <c r="R182" s="60" t="n"/>
      <c r="S182" s="60" t="n"/>
      <c r="T182" s="60" t="n"/>
      <c r="U182" s="60" t="n"/>
      <c r="V182" s="60" t="n"/>
      <c r="W182" s="60" t="n"/>
      <c r="X182" s="60" t="n"/>
      <c r="Y182" s="60" t="n"/>
      <c r="Z182" s="60" t="n"/>
      <c r="AA182" s="60" t="n"/>
      <c r="AB182" s="60" t="n"/>
      <c r="AC182" s="60" t="n"/>
      <c r="AD182" s="60" t="n"/>
      <c r="AE182" s="60" t="n"/>
      <c r="AF182" s="60" t="n"/>
      <c r="AG182" s="60" t="n"/>
      <c r="AH182" s="60" t="n"/>
      <c r="AI182" s="60" t="n"/>
      <c r="AJ182" s="60" t="n"/>
      <c r="AK182" s="60" t="n"/>
      <c r="AL182" s="60" t="n"/>
      <c r="AM182" s="60" t="n"/>
      <c r="AN182" s="60" t="n"/>
      <c r="AO182" s="60" t="n"/>
      <c r="AP182" s="60" t="n"/>
      <c r="AQ182" s="60" t="n"/>
      <c r="AR182" s="60" t="n"/>
      <c r="AS182" s="60" t="n"/>
      <c r="AT182" s="60" t="n"/>
      <c r="AU182" s="60" t="n"/>
      <c r="AV182" s="60" t="n"/>
      <c r="AW182" s="60" t="n"/>
      <c r="AX182" s="60" t="n"/>
      <c r="AY182" s="60" t="n"/>
      <c r="AZ182" s="60" t="n"/>
      <c r="BA182" s="60" t="n"/>
      <c r="BB182" s="60" t="n"/>
      <c r="BC182" s="60" t="n"/>
      <c r="BD182" s="60" t="n"/>
      <c r="BE182" s="60" t="n"/>
      <c r="BF182" s="60" t="n"/>
      <c r="BG182" s="60" t="n"/>
      <c r="BH182" s="60" t="n"/>
      <c r="BI182" s="60" t="n"/>
      <c r="BJ182" s="60" t="n"/>
      <c r="BK182" s="60" t="n"/>
      <c r="BL182" s="60" t="n"/>
      <c r="BM182" s="60" t="n"/>
      <c r="BN182" s="60" t="n"/>
      <c r="BO182" s="60" t="n"/>
      <c r="BP182" s="60" t="n"/>
      <c r="BQ182" s="60" t="n"/>
      <c r="BR182" s="60" t="n"/>
      <c r="BS182" s="60" t="n"/>
      <c r="BT182" s="60" t="n"/>
      <c r="BU182" s="60" t="n"/>
      <c r="BV182" s="60" t="n"/>
      <c r="BW182" s="60" t="n"/>
      <c r="BX182" s="60" t="n"/>
      <c r="BY182" s="60" t="n"/>
      <c r="BZ182" s="60" t="n"/>
      <c r="CA182" s="60" t="n"/>
      <c r="CB182" s="60" t="n"/>
      <c r="CC182" s="60" t="n"/>
      <c r="CD182" s="60" t="n"/>
      <c r="CE182" s="60" t="n"/>
      <c r="CF182" s="60" t="n"/>
      <c r="CG182" s="60" t="n"/>
      <c r="CH182" s="60" t="n"/>
      <c r="CI182" s="60" t="n"/>
      <c r="CJ182" s="60" t="n"/>
      <c r="CK182" s="60" t="n"/>
      <c r="CL182" s="60" t="n"/>
      <c r="CM182" s="60" t="n"/>
      <c r="CN182" s="60" t="n"/>
      <c r="CO182" s="60" t="n"/>
      <c r="CP182" s="60" t="n"/>
    </row>
    <row r="183">
      <c r="A183" s="35" t="n"/>
      <c r="B183" s="35" t="n"/>
      <c r="C183" s="35" t="n"/>
      <c r="D183" s="40" t="n"/>
      <c r="E183" s="35" t="n"/>
      <c r="F183" s="59">
        <f>IF(OR(D183="",E183=""),"",WORKDAY(D183,MAX(E183,1)-1))</f>
        <v/>
      </c>
      <c r="G183" s="36" t="n"/>
      <c r="H183" s="9">
        <f>IF(D183="","",IF(G183&gt;=1,"Done",IF(TODAY()&gt;F183,"Late",IF(TODAY()&gt;=D183,"In progress","Not started"))))</f>
        <v/>
      </c>
      <c r="I183" s="9">
        <f>IF(B183="","",IF(AND(A183&lt;&gt;"",COUNTIF(Jobs!$A$5:$A$44,A183)=0),"Unknown Job ID",IF(D183="","Missing start",IF(E183="","Missing duration",""))))</f>
        <v/>
      </c>
      <c r="J183" s="35" t="n"/>
      <c r="K183" s="60" t="n"/>
      <c r="L183" s="60" t="n"/>
      <c r="M183" s="60" t="n"/>
      <c r="N183" s="60" t="n"/>
      <c r="O183" s="60" t="n"/>
      <c r="P183" s="60" t="n"/>
      <c r="Q183" s="60" t="n"/>
      <c r="R183" s="60" t="n"/>
      <c r="S183" s="60" t="n"/>
      <c r="T183" s="60" t="n"/>
      <c r="U183" s="60" t="n"/>
      <c r="V183" s="60" t="n"/>
      <c r="W183" s="60" t="n"/>
      <c r="X183" s="60" t="n"/>
      <c r="Y183" s="60" t="n"/>
      <c r="Z183" s="60" t="n"/>
      <c r="AA183" s="60" t="n"/>
      <c r="AB183" s="60" t="n"/>
      <c r="AC183" s="60" t="n"/>
      <c r="AD183" s="60" t="n"/>
      <c r="AE183" s="60" t="n"/>
      <c r="AF183" s="60" t="n"/>
      <c r="AG183" s="60" t="n"/>
      <c r="AH183" s="60" t="n"/>
      <c r="AI183" s="60" t="n"/>
      <c r="AJ183" s="60" t="n"/>
      <c r="AK183" s="60" t="n"/>
      <c r="AL183" s="60" t="n"/>
      <c r="AM183" s="60" t="n"/>
      <c r="AN183" s="60" t="n"/>
      <c r="AO183" s="60" t="n"/>
      <c r="AP183" s="60" t="n"/>
      <c r="AQ183" s="60" t="n"/>
      <c r="AR183" s="60" t="n"/>
      <c r="AS183" s="60" t="n"/>
      <c r="AT183" s="60" t="n"/>
      <c r="AU183" s="60" t="n"/>
      <c r="AV183" s="60" t="n"/>
      <c r="AW183" s="60" t="n"/>
      <c r="AX183" s="60" t="n"/>
      <c r="AY183" s="60" t="n"/>
      <c r="AZ183" s="60" t="n"/>
      <c r="BA183" s="60" t="n"/>
      <c r="BB183" s="60" t="n"/>
      <c r="BC183" s="60" t="n"/>
      <c r="BD183" s="60" t="n"/>
      <c r="BE183" s="60" t="n"/>
      <c r="BF183" s="60" t="n"/>
      <c r="BG183" s="60" t="n"/>
      <c r="BH183" s="60" t="n"/>
      <c r="BI183" s="60" t="n"/>
      <c r="BJ183" s="60" t="n"/>
      <c r="BK183" s="60" t="n"/>
      <c r="BL183" s="60" t="n"/>
      <c r="BM183" s="60" t="n"/>
      <c r="BN183" s="60" t="n"/>
      <c r="BO183" s="60" t="n"/>
      <c r="BP183" s="60" t="n"/>
      <c r="BQ183" s="60" t="n"/>
      <c r="BR183" s="60" t="n"/>
      <c r="BS183" s="60" t="n"/>
      <c r="BT183" s="60" t="n"/>
      <c r="BU183" s="60" t="n"/>
      <c r="BV183" s="60" t="n"/>
      <c r="BW183" s="60" t="n"/>
      <c r="BX183" s="60" t="n"/>
      <c r="BY183" s="60" t="n"/>
      <c r="BZ183" s="60" t="n"/>
      <c r="CA183" s="60" t="n"/>
      <c r="CB183" s="60" t="n"/>
      <c r="CC183" s="60" t="n"/>
      <c r="CD183" s="60" t="n"/>
      <c r="CE183" s="60" t="n"/>
      <c r="CF183" s="60" t="n"/>
      <c r="CG183" s="60" t="n"/>
      <c r="CH183" s="60" t="n"/>
      <c r="CI183" s="60" t="n"/>
      <c r="CJ183" s="60" t="n"/>
      <c r="CK183" s="60" t="n"/>
      <c r="CL183" s="60" t="n"/>
      <c r="CM183" s="60" t="n"/>
      <c r="CN183" s="60" t="n"/>
      <c r="CO183" s="60" t="n"/>
      <c r="CP183" s="60" t="n"/>
    </row>
    <row r="184">
      <c r="A184" s="35" t="n"/>
      <c r="B184" s="35" t="n"/>
      <c r="C184" s="35" t="n"/>
      <c r="D184" s="40" t="n"/>
      <c r="E184" s="35" t="n"/>
      <c r="F184" s="59">
        <f>IF(OR(D184="",E184=""),"",WORKDAY(D184,MAX(E184,1)-1))</f>
        <v/>
      </c>
      <c r="G184" s="36" t="n"/>
      <c r="H184" s="9">
        <f>IF(D184="","",IF(G184&gt;=1,"Done",IF(TODAY()&gt;F184,"Late",IF(TODAY()&gt;=D184,"In progress","Not started"))))</f>
        <v/>
      </c>
      <c r="I184" s="9">
        <f>IF(B184="","",IF(AND(A184&lt;&gt;"",COUNTIF(Jobs!$A$5:$A$44,A184)=0),"Unknown Job ID",IF(D184="","Missing start",IF(E184="","Missing duration",""))))</f>
        <v/>
      </c>
      <c r="J184" s="35" t="n"/>
      <c r="K184" s="60" t="n"/>
      <c r="L184" s="60" t="n"/>
      <c r="M184" s="60" t="n"/>
      <c r="N184" s="60" t="n"/>
      <c r="O184" s="60" t="n"/>
      <c r="P184" s="60" t="n"/>
      <c r="Q184" s="60" t="n"/>
      <c r="R184" s="60" t="n"/>
      <c r="S184" s="60" t="n"/>
      <c r="T184" s="60" t="n"/>
      <c r="U184" s="60" t="n"/>
      <c r="V184" s="60" t="n"/>
      <c r="W184" s="60" t="n"/>
      <c r="X184" s="60" t="n"/>
      <c r="Y184" s="60" t="n"/>
      <c r="Z184" s="60" t="n"/>
      <c r="AA184" s="60" t="n"/>
      <c r="AB184" s="60" t="n"/>
      <c r="AC184" s="60" t="n"/>
      <c r="AD184" s="60" t="n"/>
      <c r="AE184" s="60" t="n"/>
      <c r="AF184" s="60" t="n"/>
      <c r="AG184" s="60" t="n"/>
      <c r="AH184" s="60" t="n"/>
      <c r="AI184" s="60" t="n"/>
      <c r="AJ184" s="60" t="n"/>
      <c r="AK184" s="60" t="n"/>
      <c r="AL184" s="60" t="n"/>
      <c r="AM184" s="60" t="n"/>
      <c r="AN184" s="60" t="n"/>
      <c r="AO184" s="60" t="n"/>
      <c r="AP184" s="60" t="n"/>
      <c r="AQ184" s="60" t="n"/>
      <c r="AR184" s="60" t="n"/>
      <c r="AS184" s="60" t="n"/>
      <c r="AT184" s="60" t="n"/>
      <c r="AU184" s="60" t="n"/>
      <c r="AV184" s="60" t="n"/>
      <c r="AW184" s="60" t="n"/>
      <c r="AX184" s="60" t="n"/>
      <c r="AY184" s="60" t="n"/>
      <c r="AZ184" s="60" t="n"/>
      <c r="BA184" s="60" t="n"/>
      <c r="BB184" s="60" t="n"/>
      <c r="BC184" s="60" t="n"/>
      <c r="BD184" s="60" t="n"/>
      <c r="BE184" s="60" t="n"/>
      <c r="BF184" s="60" t="n"/>
      <c r="BG184" s="60" t="n"/>
      <c r="BH184" s="60" t="n"/>
      <c r="BI184" s="60" t="n"/>
      <c r="BJ184" s="60" t="n"/>
      <c r="BK184" s="60" t="n"/>
      <c r="BL184" s="60" t="n"/>
      <c r="BM184" s="60" t="n"/>
      <c r="BN184" s="60" t="n"/>
      <c r="BO184" s="60" t="n"/>
      <c r="BP184" s="60" t="n"/>
      <c r="BQ184" s="60" t="n"/>
      <c r="BR184" s="60" t="n"/>
      <c r="BS184" s="60" t="n"/>
      <c r="BT184" s="60" t="n"/>
      <c r="BU184" s="60" t="n"/>
      <c r="BV184" s="60" t="n"/>
      <c r="BW184" s="60" t="n"/>
      <c r="BX184" s="60" t="n"/>
      <c r="BY184" s="60" t="n"/>
      <c r="BZ184" s="60" t="n"/>
      <c r="CA184" s="60" t="n"/>
      <c r="CB184" s="60" t="n"/>
      <c r="CC184" s="60" t="n"/>
      <c r="CD184" s="60" t="n"/>
      <c r="CE184" s="60" t="n"/>
      <c r="CF184" s="60" t="n"/>
      <c r="CG184" s="60" t="n"/>
      <c r="CH184" s="60" t="n"/>
      <c r="CI184" s="60" t="n"/>
      <c r="CJ184" s="60" t="n"/>
      <c r="CK184" s="60" t="n"/>
      <c r="CL184" s="60" t="n"/>
      <c r="CM184" s="60" t="n"/>
      <c r="CN184" s="60" t="n"/>
      <c r="CO184" s="60" t="n"/>
      <c r="CP184" s="60" t="n"/>
    </row>
    <row r="185">
      <c r="A185" s="35" t="n"/>
      <c r="B185" s="35" t="n"/>
      <c r="C185" s="35" t="n"/>
      <c r="D185" s="40" t="n"/>
      <c r="E185" s="35" t="n"/>
      <c r="F185" s="59">
        <f>IF(OR(D185="",E185=""),"",WORKDAY(D185,MAX(E185,1)-1))</f>
        <v/>
      </c>
      <c r="G185" s="36" t="n"/>
      <c r="H185" s="9">
        <f>IF(D185="","",IF(G185&gt;=1,"Done",IF(TODAY()&gt;F185,"Late",IF(TODAY()&gt;=D185,"In progress","Not started"))))</f>
        <v/>
      </c>
      <c r="I185" s="9">
        <f>IF(B185="","",IF(AND(A185&lt;&gt;"",COUNTIF(Jobs!$A$5:$A$44,A185)=0),"Unknown Job ID",IF(D185="","Missing start",IF(E185="","Missing duration",""))))</f>
        <v/>
      </c>
      <c r="J185" s="35" t="n"/>
      <c r="K185" s="60" t="n"/>
      <c r="L185" s="60" t="n"/>
      <c r="M185" s="60" t="n"/>
      <c r="N185" s="60" t="n"/>
      <c r="O185" s="60" t="n"/>
      <c r="P185" s="60" t="n"/>
      <c r="Q185" s="60" t="n"/>
      <c r="R185" s="60" t="n"/>
      <c r="S185" s="60" t="n"/>
      <c r="T185" s="60" t="n"/>
      <c r="U185" s="60" t="n"/>
      <c r="V185" s="60" t="n"/>
      <c r="W185" s="60" t="n"/>
      <c r="X185" s="60" t="n"/>
      <c r="Y185" s="60" t="n"/>
      <c r="Z185" s="60" t="n"/>
      <c r="AA185" s="60" t="n"/>
      <c r="AB185" s="60" t="n"/>
      <c r="AC185" s="60" t="n"/>
      <c r="AD185" s="60" t="n"/>
      <c r="AE185" s="60" t="n"/>
      <c r="AF185" s="60" t="n"/>
      <c r="AG185" s="60" t="n"/>
      <c r="AH185" s="60" t="n"/>
      <c r="AI185" s="60" t="n"/>
      <c r="AJ185" s="60" t="n"/>
      <c r="AK185" s="60" t="n"/>
      <c r="AL185" s="60" t="n"/>
      <c r="AM185" s="60" t="n"/>
      <c r="AN185" s="60" t="n"/>
      <c r="AO185" s="60" t="n"/>
      <c r="AP185" s="60" t="n"/>
      <c r="AQ185" s="60" t="n"/>
      <c r="AR185" s="60" t="n"/>
      <c r="AS185" s="60" t="n"/>
      <c r="AT185" s="60" t="n"/>
      <c r="AU185" s="60" t="n"/>
      <c r="AV185" s="60" t="n"/>
      <c r="AW185" s="60" t="n"/>
      <c r="AX185" s="60" t="n"/>
      <c r="AY185" s="60" t="n"/>
      <c r="AZ185" s="60" t="n"/>
      <c r="BA185" s="60" t="n"/>
      <c r="BB185" s="60" t="n"/>
      <c r="BC185" s="60" t="n"/>
      <c r="BD185" s="60" t="n"/>
      <c r="BE185" s="60" t="n"/>
      <c r="BF185" s="60" t="n"/>
      <c r="BG185" s="60" t="n"/>
      <c r="BH185" s="60" t="n"/>
      <c r="BI185" s="60" t="n"/>
      <c r="BJ185" s="60" t="n"/>
      <c r="BK185" s="60" t="n"/>
      <c r="BL185" s="60" t="n"/>
      <c r="BM185" s="60" t="n"/>
      <c r="BN185" s="60" t="n"/>
      <c r="BO185" s="60" t="n"/>
      <c r="BP185" s="60" t="n"/>
      <c r="BQ185" s="60" t="n"/>
      <c r="BR185" s="60" t="n"/>
      <c r="BS185" s="60" t="n"/>
      <c r="BT185" s="60" t="n"/>
      <c r="BU185" s="60" t="n"/>
      <c r="BV185" s="60" t="n"/>
      <c r="BW185" s="60" t="n"/>
      <c r="BX185" s="60" t="n"/>
      <c r="BY185" s="60" t="n"/>
      <c r="BZ185" s="60" t="n"/>
      <c r="CA185" s="60" t="n"/>
      <c r="CB185" s="60" t="n"/>
      <c r="CC185" s="60" t="n"/>
      <c r="CD185" s="60" t="n"/>
      <c r="CE185" s="60" t="n"/>
      <c r="CF185" s="60" t="n"/>
      <c r="CG185" s="60" t="n"/>
      <c r="CH185" s="60" t="n"/>
      <c r="CI185" s="60" t="n"/>
      <c r="CJ185" s="60" t="n"/>
      <c r="CK185" s="60" t="n"/>
      <c r="CL185" s="60" t="n"/>
      <c r="CM185" s="60" t="n"/>
      <c r="CN185" s="60" t="n"/>
      <c r="CO185" s="60" t="n"/>
      <c r="CP185" s="60" t="n"/>
    </row>
    <row r="186">
      <c r="A186" s="35" t="n"/>
      <c r="B186" s="35" t="n"/>
      <c r="C186" s="35" t="n"/>
      <c r="D186" s="40" t="n"/>
      <c r="E186" s="35" t="n"/>
      <c r="F186" s="59">
        <f>IF(OR(D186="",E186=""),"",WORKDAY(D186,MAX(E186,1)-1))</f>
        <v/>
      </c>
      <c r="G186" s="36" t="n"/>
      <c r="H186" s="9">
        <f>IF(D186="","",IF(G186&gt;=1,"Done",IF(TODAY()&gt;F186,"Late",IF(TODAY()&gt;=D186,"In progress","Not started"))))</f>
        <v/>
      </c>
      <c r="I186" s="9">
        <f>IF(B186="","",IF(AND(A186&lt;&gt;"",COUNTIF(Jobs!$A$5:$A$44,A186)=0),"Unknown Job ID",IF(D186="","Missing start",IF(E186="","Missing duration",""))))</f>
        <v/>
      </c>
      <c r="J186" s="35" t="n"/>
      <c r="K186" s="60" t="n"/>
      <c r="L186" s="60" t="n"/>
      <c r="M186" s="60" t="n"/>
      <c r="N186" s="60" t="n"/>
      <c r="O186" s="60" t="n"/>
      <c r="P186" s="60" t="n"/>
      <c r="Q186" s="60" t="n"/>
      <c r="R186" s="60" t="n"/>
      <c r="S186" s="60" t="n"/>
      <c r="T186" s="60" t="n"/>
      <c r="U186" s="60" t="n"/>
      <c r="V186" s="60" t="n"/>
      <c r="W186" s="60" t="n"/>
      <c r="X186" s="60" t="n"/>
      <c r="Y186" s="60" t="n"/>
      <c r="Z186" s="60" t="n"/>
      <c r="AA186" s="60" t="n"/>
      <c r="AB186" s="60" t="n"/>
      <c r="AC186" s="60" t="n"/>
      <c r="AD186" s="60" t="n"/>
      <c r="AE186" s="60" t="n"/>
      <c r="AF186" s="60" t="n"/>
      <c r="AG186" s="60" t="n"/>
      <c r="AH186" s="60" t="n"/>
      <c r="AI186" s="60" t="n"/>
      <c r="AJ186" s="60" t="n"/>
      <c r="AK186" s="60" t="n"/>
      <c r="AL186" s="60" t="n"/>
      <c r="AM186" s="60" t="n"/>
      <c r="AN186" s="60" t="n"/>
      <c r="AO186" s="60" t="n"/>
      <c r="AP186" s="60" t="n"/>
      <c r="AQ186" s="60" t="n"/>
      <c r="AR186" s="60" t="n"/>
      <c r="AS186" s="60" t="n"/>
      <c r="AT186" s="60" t="n"/>
      <c r="AU186" s="60" t="n"/>
      <c r="AV186" s="60" t="n"/>
      <c r="AW186" s="60" t="n"/>
      <c r="AX186" s="60" t="n"/>
      <c r="AY186" s="60" t="n"/>
      <c r="AZ186" s="60" t="n"/>
      <c r="BA186" s="60" t="n"/>
      <c r="BB186" s="60" t="n"/>
      <c r="BC186" s="60" t="n"/>
      <c r="BD186" s="60" t="n"/>
      <c r="BE186" s="60" t="n"/>
      <c r="BF186" s="60" t="n"/>
      <c r="BG186" s="60" t="n"/>
      <c r="BH186" s="60" t="n"/>
      <c r="BI186" s="60" t="n"/>
      <c r="BJ186" s="60" t="n"/>
      <c r="BK186" s="60" t="n"/>
      <c r="BL186" s="60" t="n"/>
      <c r="BM186" s="60" t="n"/>
      <c r="BN186" s="60" t="n"/>
      <c r="BO186" s="60" t="n"/>
      <c r="BP186" s="60" t="n"/>
      <c r="BQ186" s="60" t="n"/>
      <c r="BR186" s="60" t="n"/>
      <c r="BS186" s="60" t="n"/>
      <c r="BT186" s="60" t="n"/>
      <c r="BU186" s="60" t="n"/>
      <c r="BV186" s="60" t="n"/>
      <c r="BW186" s="60" t="n"/>
      <c r="BX186" s="60" t="n"/>
      <c r="BY186" s="60" t="n"/>
      <c r="BZ186" s="60" t="n"/>
      <c r="CA186" s="60" t="n"/>
      <c r="CB186" s="60" t="n"/>
      <c r="CC186" s="60" t="n"/>
      <c r="CD186" s="60" t="n"/>
      <c r="CE186" s="60" t="n"/>
      <c r="CF186" s="60" t="n"/>
      <c r="CG186" s="60" t="n"/>
      <c r="CH186" s="60" t="n"/>
      <c r="CI186" s="60" t="n"/>
      <c r="CJ186" s="60" t="n"/>
      <c r="CK186" s="60" t="n"/>
      <c r="CL186" s="60" t="n"/>
      <c r="CM186" s="60" t="n"/>
      <c r="CN186" s="60" t="n"/>
      <c r="CO186" s="60" t="n"/>
      <c r="CP186" s="60" t="n"/>
    </row>
    <row r="187">
      <c r="A187" s="35" t="n"/>
      <c r="B187" s="35" t="n"/>
      <c r="C187" s="35" t="n"/>
      <c r="D187" s="40" t="n"/>
      <c r="E187" s="35" t="n"/>
      <c r="F187" s="59">
        <f>IF(OR(D187="",E187=""),"",WORKDAY(D187,MAX(E187,1)-1))</f>
        <v/>
      </c>
      <c r="G187" s="36" t="n"/>
      <c r="H187" s="9">
        <f>IF(D187="","",IF(G187&gt;=1,"Done",IF(TODAY()&gt;F187,"Late",IF(TODAY()&gt;=D187,"In progress","Not started"))))</f>
        <v/>
      </c>
      <c r="I187" s="9">
        <f>IF(B187="","",IF(AND(A187&lt;&gt;"",COUNTIF(Jobs!$A$5:$A$44,A187)=0),"Unknown Job ID",IF(D187="","Missing start",IF(E187="","Missing duration",""))))</f>
        <v/>
      </c>
      <c r="J187" s="35" t="n"/>
      <c r="K187" s="60" t="n"/>
      <c r="L187" s="60" t="n"/>
      <c r="M187" s="60" t="n"/>
      <c r="N187" s="60" t="n"/>
      <c r="O187" s="60" t="n"/>
      <c r="P187" s="60" t="n"/>
      <c r="Q187" s="60" t="n"/>
      <c r="R187" s="60" t="n"/>
      <c r="S187" s="60" t="n"/>
      <c r="T187" s="60" t="n"/>
      <c r="U187" s="60" t="n"/>
      <c r="V187" s="60" t="n"/>
      <c r="W187" s="60" t="n"/>
      <c r="X187" s="60" t="n"/>
      <c r="Y187" s="60" t="n"/>
      <c r="Z187" s="60" t="n"/>
      <c r="AA187" s="60" t="n"/>
      <c r="AB187" s="60" t="n"/>
      <c r="AC187" s="60" t="n"/>
      <c r="AD187" s="60" t="n"/>
      <c r="AE187" s="60" t="n"/>
      <c r="AF187" s="60" t="n"/>
      <c r="AG187" s="60" t="n"/>
      <c r="AH187" s="60" t="n"/>
      <c r="AI187" s="60" t="n"/>
      <c r="AJ187" s="60" t="n"/>
      <c r="AK187" s="60" t="n"/>
      <c r="AL187" s="60" t="n"/>
      <c r="AM187" s="60" t="n"/>
      <c r="AN187" s="60" t="n"/>
      <c r="AO187" s="60" t="n"/>
      <c r="AP187" s="60" t="n"/>
      <c r="AQ187" s="60" t="n"/>
      <c r="AR187" s="60" t="n"/>
      <c r="AS187" s="60" t="n"/>
      <c r="AT187" s="60" t="n"/>
      <c r="AU187" s="60" t="n"/>
      <c r="AV187" s="60" t="n"/>
      <c r="AW187" s="60" t="n"/>
      <c r="AX187" s="60" t="n"/>
      <c r="AY187" s="60" t="n"/>
      <c r="AZ187" s="60" t="n"/>
      <c r="BA187" s="60" t="n"/>
      <c r="BB187" s="60" t="n"/>
      <c r="BC187" s="60" t="n"/>
      <c r="BD187" s="60" t="n"/>
      <c r="BE187" s="60" t="n"/>
      <c r="BF187" s="60" t="n"/>
      <c r="BG187" s="60" t="n"/>
      <c r="BH187" s="60" t="n"/>
      <c r="BI187" s="60" t="n"/>
      <c r="BJ187" s="60" t="n"/>
      <c r="BK187" s="60" t="n"/>
      <c r="BL187" s="60" t="n"/>
      <c r="BM187" s="60" t="n"/>
      <c r="BN187" s="60" t="n"/>
      <c r="BO187" s="60" t="n"/>
      <c r="BP187" s="60" t="n"/>
      <c r="BQ187" s="60" t="n"/>
      <c r="BR187" s="60" t="n"/>
      <c r="BS187" s="60" t="n"/>
      <c r="BT187" s="60" t="n"/>
      <c r="BU187" s="60" t="n"/>
      <c r="BV187" s="60" t="n"/>
      <c r="BW187" s="60" t="n"/>
      <c r="BX187" s="60" t="n"/>
      <c r="BY187" s="60" t="n"/>
      <c r="BZ187" s="60" t="n"/>
      <c r="CA187" s="60" t="n"/>
      <c r="CB187" s="60" t="n"/>
      <c r="CC187" s="60" t="n"/>
      <c r="CD187" s="60" t="n"/>
      <c r="CE187" s="60" t="n"/>
      <c r="CF187" s="60" t="n"/>
      <c r="CG187" s="60" t="n"/>
      <c r="CH187" s="60" t="n"/>
      <c r="CI187" s="60" t="n"/>
      <c r="CJ187" s="60" t="n"/>
      <c r="CK187" s="60" t="n"/>
      <c r="CL187" s="60" t="n"/>
      <c r="CM187" s="60" t="n"/>
      <c r="CN187" s="60" t="n"/>
      <c r="CO187" s="60" t="n"/>
      <c r="CP187" s="60" t="n"/>
    </row>
    <row r="188">
      <c r="A188" s="35" t="n"/>
      <c r="B188" s="35" t="n"/>
      <c r="C188" s="35" t="n"/>
      <c r="D188" s="40" t="n"/>
      <c r="E188" s="35" t="n"/>
      <c r="F188" s="59">
        <f>IF(OR(D188="",E188=""),"",WORKDAY(D188,MAX(E188,1)-1))</f>
        <v/>
      </c>
      <c r="G188" s="36" t="n"/>
      <c r="H188" s="9">
        <f>IF(D188="","",IF(G188&gt;=1,"Done",IF(TODAY()&gt;F188,"Late",IF(TODAY()&gt;=D188,"In progress","Not started"))))</f>
        <v/>
      </c>
      <c r="I188" s="9">
        <f>IF(B188="","",IF(AND(A188&lt;&gt;"",COUNTIF(Jobs!$A$5:$A$44,A188)=0),"Unknown Job ID",IF(D188="","Missing start",IF(E188="","Missing duration",""))))</f>
        <v/>
      </c>
      <c r="J188" s="35" t="n"/>
      <c r="K188" s="60" t="n"/>
      <c r="L188" s="60" t="n"/>
      <c r="M188" s="60" t="n"/>
      <c r="N188" s="60" t="n"/>
      <c r="O188" s="60" t="n"/>
      <c r="P188" s="60" t="n"/>
      <c r="Q188" s="60" t="n"/>
      <c r="R188" s="60" t="n"/>
      <c r="S188" s="60" t="n"/>
      <c r="T188" s="60" t="n"/>
      <c r="U188" s="60" t="n"/>
      <c r="V188" s="60" t="n"/>
      <c r="W188" s="60" t="n"/>
      <c r="X188" s="60" t="n"/>
      <c r="Y188" s="60" t="n"/>
      <c r="Z188" s="60" t="n"/>
      <c r="AA188" s="60" t="n"/>
      <c r="AB188" s="60" t="n"/>
      <c r="AC188" s="60" t="n"/>
      <c r="AD188" s="60" t="n"/>
      <c r="AE188" s="60" t="n"/>
      <c r="AF188" s="60" t="n"/>
      <c r="AG188" s="60" t="n"/>
      <c r="AH188" s="60" t="n"/>
      <c r="AI188" s="60" t="n"/>
      <c r="AJ188" s="60" t="n"/>
      <c r="AK188" s="60" t="n"/>
      <c r="AL188" s="60" t="n"/>
      <c r="AM188" s="60" t="n"/>
      <c r="AN188" s="60" t="n"/>
      <c r="AO188" s="60" t="n"/>
      <c r="AP188" s="60" t="n"/>
      <c r="AQ188" s="60" t="n"/>
      <c r="AR188" s="60" t="n"/>
      <c r="AS188" s="60" t="n"/>
      <c r="AT188" s="60" t="n"/>
      <c r="AU188" s="60" t="n"/>
      <c r="AV188" s="60" t="n"/>
      <c r="AW188" s="60" t="n"/>
      <c r="AX188" s="60" t="n"/>
      <c r="AY188" s="60" t="n"/>
      <c r="AZ188" s="60" t="n"/>
      <c r="BA188" s="60" t="n"/>
      <c r="BB188" s="60" t="n"/>
      <c r="BC188" s="60" t="n"/>
      <c r="BD188" s="60" t="n"/>
      <c r="BE188" s="60" t="n"/>
      <c r="BF188" s="60" t="n"/>
      <c r="BG188" s="60" t="n"/>
      <c r="BH188" s="60" t="n"/>
      <c r="BI188" s="60" t="n"/>
      <c r="BJ188" s="60" t="n"/>
      <c r="BK188" s="60" t="n"/>
      <c r="BL188" s="60" t="n"/>
      <c r="BM188" s="60" t="n"/>
      <c r="BN188" s="60" t="n"/>
      <c r="BO188" s="60" t="n"/>
      <c r="BP188" s="60" t="n"/>
      <c r="BQ188" s="60" t="n"/>
      <c r="BR188" s="60" t="n"/>
      <c r="BS188" s="60" t="n"/>
      <c r="BT188" s="60" t="n"/>
      <c r="BU188" s="60" t="n"/>
      <c r="BV188" s="60" t="n"/>
      <c r="BW188" s="60" t="n"/>
      <c r="BX188" s="60" t="n"/>
      <c r="BY188" s="60" t="n"/>
      <c r="BZ188" s="60" t="n"/>
      <c r="CA188" s="60" t="n"/>
      <c r="CB188" s="60" t="n"/>
      <c r="CC188" s="60" t="n"/>
      <c r="CD188" s="60" t="n"/>
      <c r="CE188" s="60" t="n"/>
      <c r="CF188" s="60" t="n"/>
      <c r="CG188" s="60" t="n"/>
      <c r="CH188" s="60" t="n"/>
      <c r="CI188" s="60" t="n"/>
      <c r="CJ188" s="60" t="n"/>
      <c r="CK188" s="60" t="n"/>
      <c r="CL188" s="60" t="n"/>
      <c r="CM188" s="60" t="n"/>
      <c r="CN188" s="60" t="n"/>
      <c r="CO188" s="60" t="n"/>
      <c r="CP188" s="60" t="n"/>
    </row>
    <row r="189">
      <c r="A189" s="35" t="n"/>
      <c r="B189" s="35" t="n"/>
      <c r="C189" s="35" t="n"/>
      <c r="D189" s="40" t="n"/>
      <c r="E189" s="35" t="n"/>
      <c r="F189" s="59">
        <f>IF(OR(D189="",E189=""),"",WORKDAY(D189,MAX(E189,1)-1))</f>
        <v/>
      </c>
      <c r="G189" s="36" t="n"/>
      <c r="H189" s="9">
        <f>IF(D189="","",IF(G189&gt;=1,"Done",IF(TODAY()&gt;F189,"Late",IF(TODAY()&gt;=D189,"In progress","Not started"))))</f>
        <v/>
      </c>
      <c r="I189" s="9">
        <f>IF(B189="","",IF(AND(A189&lt;&gt;"",COUNTIF(Jobs!$A$5:$A$44,A189)=0),"Unknown Job ID",IF(D189="","Missing start",IF(E189="","Missing duration",""))))</f>
        <v/>
      </c>
      <c r="J189" s="35" t="n"/>
      <c r="K189" s="60" t="n"/>
      <c r="L189" s="60" t="n"/>
      <c r="M189" s="60" t="n"/>
      <c r="N189" s="60" t="n"/>
      <c r="O189" s="60" t="n"/>
      <c r="P189" s="60" t="n"/>
      <c r="Q189" s="60" t="n"/>
      <c r="R189" s="60" t="n"/>
      <c r="S189" s="60" t="n"/>
      <c r="T189" s="60" t="n"/>
      <c r="U189" s="60" t="n"/>
      <c r="V189" s="60" t="n"/>
      <c r="W189" s="60" t="n"/>
      <c r="X189" s="60" t="n"/>
      <c r="Y189" s="60" t="n"/>
      <c r="Z189" s="60" t="n"/>
      <c r="AA189" s="60" t="n"/>
      <c r="AB189" s="60" t="n"/>
      <c r="AC189" s="60" t="n"/>
      <c r="AD189" s="60" t="n"/>
      <c r="AE189" s="60" t="n"/>
      <c r="AF189" s="60" t="n"/>
      <c r="AG189" s="60" t="n"/>
      <c r="AH189" s="60" t="n"/>
      <c r="AI189" s="60" t="n"/>
      <c r="AJ189" s="60" t="n"/>
      <c r="AK189" s="60" t="n"/>
      <c r="AL189" s="60" t="n"/>
      <c r="AM189" s="60" t="n"/>
      <c r="AN189" s="60" t="n"/>
      <c r="AO189" s="60" t="n"/>
      <c r="AP189" s="60" t="n"/>
      <c r="AQ189" s="60" t="n"/>
      <c r="AR189" s="60" t="n"/>
      <c r="AS189" s="60" t="n"/>
      <c r="AT189" s="60" t="n"/>
      <c r="AU189" s="60" t="n"/>
      <c r="AV189" s="60" t="n"/>
      <c r="AW189" s="60" t="n"/>
      <c r="AX189" s="60" t="n"/>
      <c r="AY189" s="60" t="n"/>
      <c r="AZ189" s="60" t="n"/>
      <c r="BA189" s="60" t="n"/>
      <c r="BB189" s="60" t="n"/>
      <c r="BC189" s="60" t="n"/>
      <c r="BD189" s="60" t="n"/>
      <c r="BE189" s="60" t="n"/>
      <c r="BF189" s="60" t="n"/>
      <c r="BG189" s="60" t="n"/>
      <c r="BH189" s="60" t="n"/>
      <c r="BI189" s="60" t="n"/>
      <c r="BJ189" s="60" t="n"/>
      <c r="BK189" s="60" t="n"/>
      <c r="BL189" s="60" t="n"/>
      <c r="BM189" s="60" t="n"/>
      <c r="BN189" s="60" t="n"/>
      <c r="BO189" s="60" t="n"/>
      <c r="BP189" s="60" t="n"/>
      <c r="BQ189" s="60" t="n"/>
      <c r="BR189" s="60" t="n"/>
      <c r="BS189" s="60" t="n"/>
      <c r="BT189" s="60" t="n"/>
      <c r="BU189" s="60" t="n"/>
      <c r="BV189" s="60" t="n"/>
      <c r="BW189" s="60" t="n"/>
      <c r="BX189" s="60" t="n"/>
      <c r="BY189" s="60" t="n"/>
      <c r="BZ189" s="60" t="n"/>
      <c r="CA189" s="60" t="n"/>
      <c r="CB189" s="60" t="n"/>
      <c r="CC189" s="60" t="n"/>
      <c r="CD189" s="60" t="n"/>
      <c r="CE189" s="60" t="n"/>
      <c r="CF189" s="60" t="n"/>
      <c r="CG189" s="60" t="n"/>
      <c r="CH189" s="60" t="n"/>
      <c r="CI189" s="60" t="n"/>
      <c r="CJ189" s="60" t="n"/>
      <c r="CK189" s="60" t="n"/>
      <c r="CL189" s="60" t="n"/>
      <c r="CM189" s="60" t="n"/>
      <c r="CN189" s="60" t="n"/>
      <c r="CO189" s="60" t="n"/>
      <c r="CP189" s="60" t="n"/>
    </row>
    <row r="190">
      <c r="A190" s="35" t="n"/>
      <c r="B190" s="35" t="n"/>
      <c r="C190" s="35" t="n"/>
      <c r="D190" s="40" t="n"/>
      <c r="E190" s="35" t="n"/>
      <c r="F190" s="59">
        <f>IF(OR(D190="",E190=""),"",WORKDAY(D190,MAX(E190,1)-1))</f>
        <v/>
      </c>
      <c r="G190" s="36" t="n"/>
      <c r="H190" s="9">
        <f>IF(D190="","",IF(G190&gt;=1,"Done",IF(TODAY()&gt;F190,"Late",IF(TODAY()&gt;=D190,"In progress","Not started"))))</f>
        <v/>
      </c>
      <c r="I190" s="9">
        <f>IF(B190="","",IF(AND(A190&lt;&gt;"",COUNTIF(Jobs!$A$5:$A$44,A190)=0),"Unknown Job ID",IF(D190="","Missing start",IF(E190="","Missing duration",""))))</f>
        <v/>
      </c>
      <c r="J190" s="35" t="n"/>
      <c r="K190" s="60" t="n"/>
      <c r="L190" s="60" t="n"/>
      <c r="M190" s="60" t="n"/>
      <c r="N190" s="60" t="n"/>
      <c r="O190" s="60" t="n"/>
      <c r="P190" s="60" t="n"/>
      <c r="Q190" s="60" t="n"/>
      <c r="R190" s="60" t="n"/>
      <c r="S190" s="60" t="n"/>
      <c r="T190" s="60" t="n"/>
      <c r="U190" s="60" t="n"/>
      <c r="V190" s="60" t="n"/>
      <c r="W190" s="60" t="n"/>
      <c r="X190" s="60" t="n"/>
      <c r="Y190" s="60" t="n"/>
      <c r="Z190" s="60" t="n"/>
      <c r="AA190" s="60" t="n"/>
      <c r="AB190" s="60" t="n"/>
      <c r="AC190" s="60" t="n"/>
      <c r="AD190" s="60" t="n"/>
      <c r="AE190" s="60" t="n"/>
      <c r="AF190" s="60" t="n"/>
      <c r="AG190" s="60" t="n"/>
      <c r="AH190" s="60" t="n"/>
      <c r="AI190" s="60" t="n"/>
      <c r="AJ190" s="60" t="n"/>
      <c r="AK190" s="60" t="n"/>
      <c r="AL190" s="60" t="n"/>
      <c r="AM190" s="60" t="n"/>
      <c r="AN190" s="60" t="n"/>
      <c r="AO190" s="60" t="n"/>
      <c r="AP190" s="60" t="n"/>
      <c r="AQ190" s="60" t="n"/>
      <c r="AR190" s="60" t="n"/>
      <c r="AS190" s="60" t="n"/>
      <c r="AT190" s="60" t="n"/>
      <c r="AU190" s="60" t="n"/>
      <c r="AV190" s="60" t="n"/>
      <c r="AW190" s="60" t="n"/>
      <c r="AX190" s="60" t="n"/>
      <c r="AY190" s="60" t="n"/>
      <c r="AZ190" s="60" t="n"/>
      <c r="BA190" s="60" t="n"/>
      <c r="BB190" s="60" t="n"/>
      <c r="BC190" s="60" t="n"/>
      <c r="BD190" s="60" t="n"/>
      <c r="BE190" s="60" t="n"/>
      <c r="BF190" s="60" t="n"/>
      <c r="BG190" s="60" t="n"/>
      <c r="BH190" s="60" t="n"/>
      <c r="BI190" s="60" t="n"/>
      <c r="BJ190" s="60" t="n"/>
      <c r="BK190" s="60" t="n"/>
      <c r="BL190" s="60" t="n"/>
      <c r="BM190" s="60" t="n"/>
      <c r="BN190" s="60" t="n"/>
      <c r="BO190" s="60" t="n"/>
      <c r="BP190" s="60" t="n"/>
      <c r="BQ190" s="60" t="n"/>
      <c r="BR190" s="60" t="n"/>
      <c r="BS190" s="60" t="n"/>
      <c r="BT190" s="60" t="n"/>
      <c r="BU190" s="60" t="n"/>
      <c r="BV190" s="60" t="n"/>
      <c r="BW190" s="60" t="n"/>
      <c r="BX190" s="60" t="n"/>
      <c r="BY190" s="60" t="n"/>
      <c r="BZ190" s="60" t="n"/>
      <c r="CA190" s="60" t="n"/>
      <c r="CB190" s="60" t="n"/>
      <c r="CC190" s="60" t="n"/>
      <c r="CD190" s="60" t="n"/>
      <c r="CE190" s="60" t="n"/>
      <c r="CF190" s="60" t="n"/>
      <c r="CG190" s="60" t="n"/>
      <c r="CH190" s="60" t="n"/>
      <c r="CI190" s="60" t="n"/>
      <c r="CJ190" s="60" t="n"/>
      <c r="CK190" s="60" t="n"/>
      <c r="CL190" s="60" t="n"/>
      <c r="CM190" s="60" t="n"/>
      <c r="CN190" s="60" t="n"/>
      <c r="CO190" s="60" t="n"/>
      <c r="CP190" s="60" t="n"/>
    </row>
    <row r="191">
      <c r="A191" s="35" t="n"/>
      <c r="B191" s="35" t="n"/>
      <c r="C191" s="35" t="n"/>
      <c r="D191" s="40" t="n"/>
      <c r="E191" s="35" t="n"/>
      <c r="F191" s="59">
        <f>IF(OR(D191="",E191=""),"",WORKDAY(D191,MAX(E191,1)-1))</f>
        <v/>
      </c>
      <c r="G191" s="36" t="n"/>
      <c r="H191" s="9">
        <f>IF(D191="","",IF(G191&gt;=1,"Done",IF(TODAY()&gt;F191,"Late",IF(TODAY()&gt;=D191,"In progress","Not started"))))</f>
        <v/>
      </c>
      <c r="I191" s="9">
        <f>IF(B191="","",IF(AND(A191&lt;&gt;"",COUNTIF(Jobs!$A$5:$A$44,A191)=0),"Unknown Job ID",IF(D191="","Missing start",IF(E191="","Missing duration",""))))</f>
        <v/>
      </c>
      <c r="J191" s="35" t="n"/>
      <c r="K191" s="60" t="n"/>
      <c r="L191" s="60" t="n"/>
      <c r="M191" s="60" t="n"/>
      <c r="N191" s="60" t="n"/>
      <c r="O191" s="60" t="n"/>
      <c r="P191" s="60" t="n"/>
      <c r="Q191" s="60" t="n"/>
      <c r="R191" s="60" t="n"/>
      <c r="S191" s="60" t="n"/>
      <c r="T191" s="60" t="n"/>
      <c r="U191" s="60" t="n"/>
      <c r="V191" s="60" t="n"/>
      <c r="W191" s="60" t="n"/>
      <c r="X191" s="60" t="n"/>
      <c r="Y191" s="60" t="n"/>
      <c r="Z191" s="60" t="n"/>
      <c r="AA191" s="60" t="n"/>
      <c r="AB191" s="60" t="n"/>
      <c r="AC191" s="60" t="n"/>
      <c r="AD191" s="60" t="n"/>
      <c r="AE191" s="60" t="n"/>
      <c r="AF191" s="60" t="n"/>
      <c r="AG191" s="60" t="n"/>
      <c r="AH191" s="60" t="n"/>
      <c r="AI191" s="60" t="n"/>
      <c r="AJ191" s="60" t="n"/>
      <c r="AK191" s="60" t="n"/>
      <c r="AL191" s="60" t="n"/>
      <c r="AM191" s="60" t="n"/>
      <c r="AN191" s="60" t="n"/>
      <c r="AO191" s="60" t="n"/>
      <c r="AP191" s="60" t="n"/>
      <c r="AQ191" s="60" t="n"/>
      <c r="AR191" s="60" t="n"/>
      <c r="AS191" s="60" t="n"/>
      <c r="AT191" s="60" t="n"/>
      <c r="AU191" s="60" t="n"/>
      <c r="AV191" s="60" t="n"/>
      <c r="AW191" s="60" t="n"/>
      <c r="AX191" s="60" t="n"/>
      <c r="AY191" s="60" t="n"/>
      <c r="AZ191" s="60" t="n"/>
      <c r="BA191" s="60" t="n"/>
      <c r="BB191" s="60" t="n"/>
      <c r="BC191" s="60" t="n"/>
      <c r="BD191" s="60" t="n"/>
      <c r="BE191" s="60" t="n"/>
      <c r="BF191" s="60" t="n"/>
      <c r="BG191" s="60" t="n"/>
      <c r="BH191" s="60" t="n"/>
      <c r="BI191" s="60" t="n"/>
      <c r="BJ191" s="60" t="n"/>
      <c r="BK191" s="60" t="n"/>
      <c r="BL191" s="60" t="n"/>
      <c r="BM191" s="60" t="n"/>
      <c r="BN191" s="60" t="n"/>
      <c r="BO191" s="60" t="n"/>
      <c r="BP191" s="60" t="n"/>
      <c r="BQ191" s="60" t="n"/>
      <c r="BR191" s="60" t="n"/>
      <c r="BS191" s="60" t="n"/>
      <c r="BT191" s="60" t="n"/>
      <c r="BU191" s="60" t="n"/>
      <c r="BV191" s="60" t="n"/>
      <c r="BW191" s="60" t="n"/>
      <c r="BX191" s="60" t="n"/>
      <c r="BY191" s="60" t="n"/>
      <c r="BZ191" s="60" t="n"/>
      <c r="CA191" s="60" t="n"/>
      <c r="CB191" s="60" t="n"/>
      <c r="CC191" s="60" t="n"/>
      <c r="CD191" s="60" t="n"/>
      <c r="CE191" s="60" t="n"/>
      <c r="CF191" s="60" t="n"/>
      <c r="CG191" s="60" t="n"/>
      <c r="CH191" s="60" t="n"/>
      <c r="CI191" s="60" t="n"/>
      <c r="CJ191" s="60" t="n"/>
      <c r="CK191" s="60" t="n"/>
      <c r="CL191" s="60" t="n"/>
      <c r="CM191" s="60" t="n"/>
      <c r="CN191" s="60" t="n"/>
      <c r="CO191" s="60" t="n"/>
      <c r="CP191" s="60" t="n"/>
    </row>
    <row r="192">
      <c r="A192" s="35" t="n"/>
      <c r="B192" s="35" t="n"/>
      <c r="C192" s="35" t="n"/>
      <c r="D192" s="40" t="n"/>
      <c r="E192" s="35" t="n"/>
      <c r="F192" s="59">
        <f>IF(OR(D192="",E192=""),"",WORKDAY(D192,MAX(E192,1)-1))</f>
        <v/>
      </c>
      <c r="G192" s="36" t="n"/>
      <c r="H192" s="9">
        <f>IF(D192="","",IF(G192&gt;=1,"Done",IF(TODAY()&gt;F192,"Late",IF(TODAY()&gt;=D192,"In progress","Not started"))))</f>
        <v/>
      </c>
      <c r="I192" s="9">
        <f>IF(B192="","",IF(AND(A192&lt;&gt;"",COUNTIF(Jobs!$A$5:$A$44,A192)=0),"Unknown Job ID",IF(D192="","Missing start",IF(E192="","Missing duration",""))))</f>
        <v/>
      </c>
      <c r="J192" s="35" t="n"/>
      <c r="K192" s="60" t="n"/>
      <c r="L192" s="60" t="n"/>
      <c r="M192" s="60" t="n"/>
      <c r="N192" s="60" t="n"/>
      <c r="O192" s="60" t="n"/>
      <c r="P192" s="60" t="n"/>
      <c r="Q192" s="60" t="n"/>
      <c r="R192" s="60" t="n"/>
      <c r="S192" s="60" t="n"/>
      <c r="T192" s="60" t="n"/>
      <c r="U192" s="60" t="n"/>
      <c r="V192" s="60" t="n"/>
      <c r="W192" s="60" t="n"/>
      <c r="X192" s="60" t="n"/>
      <c r="Y192" s="60" t="n"/>
      <c r="Z192" s="60" t="n"/>
      <c r="AA192" s="60" t="n"/>
      <c r="AB192" s="60" t="n"/>
      <c r="AC192" s="60" t="n"/>
      <c r="AD192" s="60" t="n"/>
      <c r="AE192" s="60" t="n"/>
      <c r="AF192" s="60" t="n"/>
      <c r="AG192" s="60" t="n"/>
      <c r="AH192" s="60" t="n"/>
      <c r="AI192" s="60" t="n"/>
      <c r="AJ192" s="60" t="n"/>
      <c r="AK192" s="60" t="n"/>
      <c r="AL192" s="60" t="n"/>
      <c r="AM192" s="60" t="n"/>
      <c r="AN192" s="60" t="n"/>
      <c r="AO192" s="60" t="n"/>
      <c r="AP192" s="60" t="n"/>
      <c r="AQ192" s="60" t="n"/>
      <c r="AR192" s="60" t="n"/>
      <c r="AS192" s="60" t="n"/>
      <c r="AT192" s="60" t="n"/>
      <c r="AU192" s="60" t="n"/>
      <c r="AV192" s="60" t="n"/>
      <c r="AW192" s="60" t="n"/>
      <c r="AX192" s="60" t="n"/>
      <c r="AY192" s="60" t="n"/>
      <c r="AZ192" s="60" t="n"/>
      <c r="BA192" s="60" t="n"/>
      <c r="BB192" s="60" t="n"/>
      <c r="BC192" s="60" t="n"/>
      <c r="BD192" s="60" t="n"/>
      <c r="BE192" s="60" t="n"/>
      <c r="BF192" s="60" t="n"/>
      <c r="BG192" s="60" t="n"/>
      <c r="BH192" s="60" t="n"/>
      <c r="BI192" s="60" t="n"/>
      <c r="BJ192" s="60" t="n"/>
      <c r="BK192" s="60" t="n"/>
      <c r="BL192" s="60" t="n"/>
      <c r="BM192" s="60" t="n"/>
      <c r="BN192" s="60" t="n"/>
      <c r="BO192" s="60" t="n"/>
      <c r="BP192" s="60" t="n"/>
      <c r="BQ192" s="60" t="n"/>
      <c r="BR192" s="60" t="n"/>
      <c r="BS192" s="60" t="n"/>
      <c r="BT192" s="60" t="n"/>
      <c r="BU192" s="60" t="n"/>
      <c r="BV192" s="60" t="n"/>
      <c r="BW192" s="60" t="n"/>
      <c r="BX192" s="60" t="n"/>
      <c r="BY192" s="60" t="n"/>
      <c r="BZ192" s="60" t="n"/>
      <c r="CA192" s="60" t="n"/>
      <c r="CB192" s="60" t="n"/>
      <c r="CC192" s="60" t="n"/>
      <c r="CD192" s="60" t="n"/>
      <c r="CE192" s="60" t="n"/>
      <c r="CF192" s="60" t="n"/>
      <c r="CG192" s="60" t="n"/>
      <c r="CH192" s="60" t="n"/>
      <c r="CI192" s="60" t="n"/>
      <c r="CJ192" s="60" t="n"/>
      <c r="CK192" s="60" t="n"/>
      <c r="CL192" s="60" t="n"/>
      <c r="CM192" s="60" t="n"/>
      <c r="CN192" s="60" t="n"/>
      <c r="CO192" s="60" t="n"/>
      <c r="CP192" s="60" t="n"/>
    </row>
    <row r="193">
      <c r="A193" s="35" t="n"/>
      <c r="B193" s="35" t="n"/>
      <c r="C193" s="35" t="n"/>
      <c r="D193" s="40" t="n"/>
      <c r="E193" s="35" t="n"/>
      <c r="F193" s="59">
        <f>IF(OR(D193="",E193=""),"",WORKDAY(D193,MAX(E193,1)-1))</f>
        <v/>
      </c>
      <c r="G193" s="36" t="n"/>
      <c r="H193" s="9">
        <f>IF(D193="","",IF(G193&gt;=1,"Done",IF(TODAY()&gt;F193,"Late",IF(TODAY()&gt;=D193,"In progress","Not started"))))</f>
        <v/>
      </c>
      <c r="I193" s="9">
        <f>IF(B193="","",IF(AND(A193&lt;&gt;"",COUNTIF(Jobs!$A$5:$A$44,A193)=0),"Unknown Job ID",IF(D193="","Missing start",IF(E193="","Missing duration",""))))</f>
        <v/>
      </c>
      <c r="J193" s="35" t="n"/>
      <c r="K193" s="60" t="n"/>
      <c r="L193" s="60" t="n"/>
      <c r="M193" s="60" t="n"/>
      <c r="N193" s="60" t="n"/>
      <c r="O193" s="60" t="n"/>
      <c r="P193" s="60" t="n"/>
      <c r="Q193" s="60" t="n"/>
      <c r="R193" s="60" t="n"/>
      <c r="S193" s="60" t="n"/>
      <c r="T193" s="60" t="n"/>
      <c r="U193" s="60" t="n"/>
      <c r="V193" s="60" t="n"/>
      <c r="W193" s="60" t="n"/>
      <c r="X193" s="60" t="n"/>
      <c r="Y193" s="60" t="n"/>
      <c r="Z193" s="60" t="n"/>
      <c r="AA193" s="60" t="n"/>
      <c r="AB193" s="60" t="n"/>
      <c r="AC193" s="60" t="n"/>
      <c r="AD193" s="60" t="n"/>
      <c r="AE193" s="60" t="n"/>
      <c r="AF193" s="60" t="n"/>
      <c r="AG193" s="60" t="n"/>
      <c r="AH193" s="60" t="n"/>
      <c r="AI193" s="60" t="n"/>
      <c r="AJ193" s="60" t="n"/>
      <c r="AK193" s="60" t="n"/>
      <c r="AL193" s="60" t="n"/>
      <c r="AM193" s="60" t="n"/>
      <c r="AN193" s="60" t="n"/>
      <c r="AO193" s="60" t="n"/>
      <c r="AP193" s="60" t="n"/>
      <c r="AQ193" s="60" t="n"/>
      <c r="AR193" s="60" t="n"/>
      <c r="AS193" s="60" t="n"/>
      <c r="AT193" s="60" t="n"/>
      <c r="AU193" s="60" t="n"/>
      <c r="AV193" s="60" t="n"/>
      <c r="AW193" s="60" t="n"/>
      <c r="AX193" s="60" t="n"/>
      <c r="AY193" s="60" t="n"/>
      <c r="AZ193" s="60" t="n"/>
      <c r="BA193" s="60" t="n"/>
      <c r="BB193" s="60" t="n"/>
      <c r="BC193" s="60" t="n"/>
      <c r="BD193" s="60" t="n"/>
      <c r="BE193" s="60" t="n"/>
      <c r="BF193" s="60" t="n"/>
      <c r="BG193" s="60" t="n"/>
      <c r="BH193" s="60" t="n"/>
      <c r="BI193" s="60" t="n"/>
      <c r="BJ193" s="60" t="n"/>
      <c r="BK193" s="60" t="n"/>
      <c r="BL193" s="60" t="n"/>
      <c r="BM193" s="60" t="n"/>
      <c r="BN193" s="60" t="n"/>
      <c r="BO193" s="60" t="n"/>
      <c r="BP193" s="60" t="n"/>
      <c r="BQ193" s="60" t="n"/>
      <c r="BR193" s="60" t="n"/>
      <c r="BS193" s="60" t="n"/>
      <c r="BT193" s="60" t="n"/>
      <c r="BU193" s="60" t="n"/>
      <c r="BV193" s="60" t="n"/>
      <c r="BW193" s="60" t="n"/>
      <c r="BX193" s="60" t="n"/>
      <c r="BY193" s="60" t="n"/>
      <c r="BZ193" s="60" t="n"/>
      <c r="CA193" s="60" t="n"/>
      <c r="CB193" s="60" t="n"/>
      <c r="CC193" s="60" t="n"/>
      <c r="CD193" s="60" t="n"/>
      <c r="CE193" s="60" t="n"/>
      <c r="CF193" s="60" t="n"/>
      <c r="CG193" s="60" t="n"/>
      <c r="CH193" s="60" t="n"/>
      <c r="CI193" s="60" t="n"/>
      <c r="CJ193" s="60" t="n"/>
      <c r="CK193" s="60" t="n"/>
      <c r="CL193" s="60" t="n"/>
      <c r="CM193" s="60" t="n"/>
      <c r="CN193" s="60" t="n"/>
      <c r="CO193" s="60" t="n"/>
      <c r="CP193" s="60" t="n"/>
    </row>
    <row r="194">
      <c r="A194" s="35" t="n"/>
      <c r="B194" s="35" t="n"/>
      <c r="C194" s="35" t="n"/>
      <c r="D194" s="40" t="n"/>
      <c r="E194" s="35" t="n"/>
      <c r="F194" s="59">
        <f>IF(OR(D194="",E194=""),"",WORKDAY(D194,MAX(E194,1)-1))</f>
        <v/>
      </c>
      <c r="G194" s="36" t="n"/>
      <c r="H194" s="9">
        <f>IF(D194="","",IF(G194&gt;=1,"Done",IF(TODAY()&gt;F194,"Late",IF(TODAY()&gt;=D194,"In progress","Not started"))))</f>
        <v/>
      </c>
      <c r="I194" s="9">
        <f>IF(B194="","",IF(AND(A194&lt;&gt;"",COUNTIF(Jobs!$A$5:$A$44,A194)=0),"Unknown Job ID",IF(D194="","Missing start",IF(E194="","Missing duration",""))))</f>
        <v/>
      </c>
      <c r="J194" s="35" t="n"/>
      <c r="K194" s="60" t="n"/>
      <c r="L194" s="60" t="n"/>
      <c r="M194" s="60" t="n"/>
      <c r="N194" s="60" t="n"/>
      <c r="O194" s="60" t="n"/>
      <c r="P194" s="60" t="n"/>
      <c r="Q194" s="60" t="n"/>
      <c r="R194" s="60" t="n"/>
      <c r="S194" s="60" t="n"/>
      <c r="T194" s="60" t="n"/>
      <c r="U194" s="60" t="n"/>
      <c r="V194" s="60" t="n"/>
      <c r="W194" s="60" t="n"/>
      <c r="X194" s="60" t="n"/>
      <c r="Y194" s="60" t="n"/>
      <c r="Z194" s="60" t="n"/>
      <c r="AA194" s="60" t="n"/>
      <c r="AB194" s="60" t="n"/>
      <c r="AC194" s="60" t="n"/>
      <c r="AD194" s="60" t="n"/>
      <c r="AE194" s="60" t="n"/>
      <c r="AF194" s="60" t="n"/>
      <c r="AG194" s="60" t="n"/>
      <c r="AH194" s="60" t="n"/>
      <c r="AI194" s="60" t="n"/>
      <c r="AJ194" s="60" t="n"/>
      <c r="AK194" s="60" t="n"/>
      <c r="AL194" s="60" t="n"/>
      <c r="AM194" s="60" t="n"/>
      <c r="AN194" s="60" t="n"/>
      <c r="AO194" s="60" t="n"/>
      <c r="AP194" s="60" t="n"/>
      <c r="AQ194" s="60" t="n"/>
      <c r="AR194" s="60" t="n"/>
      <c r="AS194" s="60" t="n"/>
      <c r="AT194" s="60" t="n"/>
      <c r="AU194" s="60" t="n"/>
      <c r="AV194" s="60" t="n"/>
      <c r="AW194" s="60" t="n"/>
      <c r="AX194" s="60" t="n"/>
      <c r="AY194" s="60" t="n"/>
      <c r="AZ194" s="60" t="n"/>
      <c r="BA194" s="60" t="n"/>
      <c r="BB194" s="60" t="n"/>
      <c r="BC194" s="60" t="n"/>
      <c r="BD194" s="60" t="n"/>
      <c r="BE194" s="60" t="n"/>
      <c r="BF194" s="60" t="n"/>
      <c r="BG194" s="60" t="n"/>
      <c r="BH194" s="60" t="n"/>
      <c r="BI194" s="60" t="n"/>
      <c r="BJ194" s="60" t="n"/>
      <c r="BK194" s="60" t="n"/>
      <c r="BL194" s="60" t="n"/>
      <c r="BM194" s="60" t="n"/>
      <c r="BN194" s="60" t="n"/>
      <c r="BO194" s="60" t="n"/>
      <c r="BP194" s="60" t="n"/>
      <c r="BQ194" s="60" t="n"/>
      <c r="BR194" s="60" t="n"/>
      <c r="BS194" s="60" t="n"/>
      <c r="BT194" s="60" t="n"/>
      <c r="BU194" s="60" t="n"/>
      <c r="BV194" s="60" t="n"/>
      <c r="BW194" s="60" t="n"/>
      <c r="BX194" s="60" t="n"/>
      <c r="BY194" s="60" t="n"/>
      <c r="BZ194" s="60" t="n"/>
      <c r="CA194" s="60" t="n"/>
      <c r="CB194" s="60" t="n"/>
      <c r="CC194" s="60" t="n"/>
      <c r="CD194" s="60" t="n"/>
      <c r="CE194" s="60" t="n"/>
      <c r="CF194" s="60" t="n"/>
      <c r="CG194" s="60" t="n"/>
      <c r="CH194" s="60" t="n"/>
      <c r="CI194" s="60" t="n"/>
      <c r="CJ194" s="60" t="n"/>
      <c r="CK194" s="60" t="n"/>
      <c r="CL194" s="60" t="n"/>
      <c r="CM194" s="60" t="n"/>
      <c r="CN194" s="60" t="n"/>
      <c r="CO194" s="60" t="n"/>
      <c r="CP194" s="60" t="n"/>
    </row>
    <row r="195">
      <c r="A195" s="35" t="n"/>
      <c r="B195" s="35" t="n"/>
      <c r="C195" s="35" t="n"/>
      <c r="D195" s="40" t="n"/>
      <c r="E195" s="35" t="n"/>
      <c r="F195" s="59">
        <f>IF(OR(D195="",E195=""),"",WORKDAY(D195,MAX(E195,1)-1))</f>
        <v/>
      </c>
      <c r="G195" s="36" t="n"/>
      <c r="H195" s="9">
        <f>IF(D195="","",IF(G195&gt;=1,"Done",IF(TODAY()&gt;F195,"Late",IF(TODAY()&gt;=D195,"In progress","Not started"))))</f>
        <v/>
      </c>
      <c r="I195" s="9">
        <f>IF(B195="","",IF(AND(A195&lt;&gt;"",COUNTIF(Jobs!$A$5:$A$44,A195)=0),"Unknown Job ID",IF(D195="","Missing start",IF(E195="","Missing duration",""))))</f>
        <v/>
      </c>
      <c r="J195" s="35" t="n"/>
      <c r="K195" s="60" t="n"/>
      <c r="L195" s="60" t="n"/>
      <c r="M195" s="60" t="n"/>
      <c r="N195" s="60" t="n"/>
      <c r="O195" s="60" t="n"/>
      <c r="P195" s="60" t="n"/>
      <c r="Q195" s="60" t="n"/>
      <c r="R195" s="60" t="n"/>
      <c r="S195" s="60" t="n"/>
      <c r="T195" s="60" t="n"/>
      <c r="U195" s="60" t="n"/>
      <c r="V195" s="60" t="n"/>
      <c r="W195" s="60" t="n"/>
      <c r="X195" s="60" t="n"/>
      <c r="Y195" s="60" t="n"/>
      <c r="Z195" s="60" t="n"/>
      <c r="AA195" s="60" t="n"/>
      <c r="AB195" s="60" t="n"/>
      <c r="AC195" s="60" t="n"/>
      <c r="AD195" s="60" t="n"/>
      <c r="AE195" s="60" t="n"/>
      <c r="AF195" s="60" t="n"/>
      <c r="AG195" s="60" t="n"/>
      <c r="AH195" s="60" t="n"/>
      <c r="AI195" s="60" t="n"/>
      <c r="AJ195" s="60" t="n"/>
      <c r="AK195" s="60" t="n"/>
      <c r="AL195" s="60" t="n"/>
      <c r="AM195" s="60" t="n"/>
      <c r="AN195" s="60" t="n"/>
      <c r="AO195" s="60" t="n"/>
      <c r="AP195" s="60" t="n"/>
      <c r="AQ195" s="60" t="n"/>
      <c r="AR195" s="60" t="n"/>
      <c r="AS195" s="60" t="n"/>
      <c r="AT195" s="60" t="n"/>
      <c r="AU195" s="60" t="n"/>
      <c r="AV195" s="60" t="n"/>
      <c r="AW195" s="60" t="n"/>
      <c r="AX195" s="60" t="n"/>
      <c r="AY195" s="60" t="n"/>
      <c r="AZ195" s="60" t="n"/>
      <c r="BA195" s="60" t="n"/>
      <c r="BB195" s="60" t="n"/>
      <c r="BC195" s="60" t="n"/>
      <c r="BD195" s="60" t="n"/>
      <c r="BE195" s="60" t="n"/>
      <c r="BF195" s="60" t="n"/>
      <c r="BG195" s="60" t="n"/>
      <c r="BH195" s="60" t="n"/>
      <c r="BI195" s="60" t="n"/>
      <c r="BJ195" s="60" t="n"/>
      <c r="BK195" s="60" t="n"/>
      <c r="BL195" s="60" t="n"/>
      <c r="BM195" s="60" t="n"/>
      <c r="BN195" s="60" t="n"/>
      <c r="BO195" s="60" t="n"/>
      <c r="BP195" s="60" t="n"/>
      <c r="BQ195" s="60" t="n"/>
      <c r="BR195" s="60" t="n"/>
      <c r="BS195" s="60" t="n"/>
      <c r="BT195" s="60" t="n"/>
      <c r="BU195" s="60" t="n"/>
      <c r="BV195" s="60" t="n"/>
      <c r="BW195" s="60" t="n"/>
      <c r="BX195" s="60" t="n"/>
      <c r="BY195" s="60" t="n"/>
      <c r="BZ195" s="60" t="n"/>
      <c r="CA195" s="60" t="n"/>
      <c r="CB195" s="60" t="n"/>
      <c r="CC195" s="60" t="n"/>
      <c r="CD195" s="60" t="n"/>
      <c r="CE195" s="60" t="n"/>
      <c r="CF195" s="60" t="n"/>
      <c r="CG195" s="60" t="n"/>
      <c r="CH195" s="60" t="n"/>
      <c r="CI195" s="60" t="n"/>
      <c r="CJ195" s="60" t="n"/>
      <c r="CK195" s="60" t="n"/>
      <c r="CL195" s="60" t="n"/>
      <c r="CM195" s="60" t="n"/>
      <c r="CN195" s="60" t="n"/>
      <c r="CO195" s="60" t="n"/>
      <c r="CP195" s="60" t="n"/>
    </row>
    <row r="196">
      <c r="A196" s="35" t="n"/>
      <c r="B196" s="35" t="n"/>
      <c r="C196" s="35" t="n"/>
      <c r="D196" s="40" t="n"/>
      <c r="E196" s="35" t="n"/>
      <c r="F196" s="59">
        <f>IF(OR(D196="",E196=""),"",WORKDAY(D196,MAX(E196,1)-1))</f>
        <v/>
      </c>
      <c r="G196" s="36" t="n"/>
      <c r="H196" s="9">
        <f>IF(D196="","",IF(G196&gt;=1,"Done",IF(TODAY()&gt;F196,"Late",IF(TODAY()&gt;=D196,"In progress","Not started"))))</f>
        <v/>
      </c>
      <c r="I196" s="9">
        <f>IF(B196="","",IF(AND(A196&lt;&gt;"",COUNTIF(Jobs!$A$5:$A$44,A196)=0),"Unknown Job ID",IF(D196="","Missing start",IF(E196="","Missing duration",""))))</f>
        <v/>
      </c>
      <c r="J196" s="35" t="n"/>
      <c r="K196" s="60" t="n"/>
      <c r="L196" s="60" t="n"/>
      <c r="M196" s="60" t="n"/>
      <c r="N196" s="60" t="n"/>
      <c r="O196" s="60" t="n"/>
      <c r="P196" s="60" t="n"/>
      <c r="Q196" s="60" t="n"/>
      <c r="R196" s="60" t="n"/>
      <c r="S196" s="60" t="n"/>
      <c r="T196" s="60" t="n"/>
      <c r="U196" s="60" t="n"/>
      <c r="V196" s="60" t="n"/>
      <c r="W196" s="60" t="n"/>
      <c r="X196" s="60" t="n"/>
      <c r="Y196" s="60" t="n"/>
      <c r="Z196" s="60" t="n"/>
      <c r="AA196" s="60" t="n"/>
      <c r="AB196" s="60" t="n"/>
      <c r="AC196" s="60" t="n"/>
      <c r="AD196" s="60" t="n"/>
      <c r="AE196" s="60" t="n"/>
      <c r="AF196" s="60" t="n"/>
      <c r="AG196" s="60" t="n"/>
      <c r="AH196" s="60" t="n"/>
      <c r="AI196" s="60" t="n"/>
      <c r="AJ196" s="60" t="n"/>
      <c r="AK196" s="60" t="n"/>
      <c r="AL196" s="60" t="n"/>
      <c r="AM196" s="60" t="n"/>
      <c r="AN196" s="60" t="n"/>
      <c r="AO196" s="60" t="n"/>
      <c r="AP196" s="60" t="n"/>
      <c r="AQ196" s="60" t="n"/>
      <c r="AR196" s="60" t="n"/>
      <c r="AS196" s="60" t="n"/>
      <c r="AT196" s="60" t="n"/>
      <c r="AU196" s="60" t="n"/>
      <c r="AV196" s="60" t="n"/>
      <c r="AW196" s="60" t="n"/>
      <c r="AX196" s="60" t="n"/>
      <c r="AY196" s="60" t="n"/>
      <c r="AZ196" s="60" t="n"/>
      <c r="BA196" s="60" t="n"/>
      <c r="BB196" s="60" t="n"/>
      <c r="BC196" s="60" t="n"/>
      <c r="BD196" s="60" t="n"/>
      <c r="BE196" s="60" t="n"/>
      <c r="BF196" s="60" t="n"/>
      <c r="BG196" s="60" t="n"/>
      <c r="BH196" s="60" t="n"/>
      <c r="BI196" s="60" t="n"/>
      <c r="BJ196" s="60" t="n"/>
      <c r="BK196" s="60" t="n"/>
      <c r="BL196" s="60" t="n"/>
      <c r="BM196" s="60" t="n"/>
      <c r="BN196" s="60" t="n"/>
      <c r="BO196" s="60" t="n"/>
      <c r="BP196" s="60" t="n"/>
      <c r="BQ196" s="60" t="n"/>
      <c r="BR196" s="60" t="n"/>
      <c r="BS196" s="60" t="n"/>
      <c r="BT196" s="60" t="n"/>
      <c r="BU196" s="60" t="n"/>
      <c r="BV196" s="60" t="n"/>
      <c r="BW196" s="60" t="n"/>
      <c r="BX196" s="60" t="n"/>
      <c r="BY196" s="60" t="n"/>
      <c r="BZ196" s="60" t="n"/>
      <c r="CA196" s="60" t="n"/>
      <c r="CB196" s="60" t="n"/>
      <c r="CC196" s="60" t="n"/>
      <c r="CD196" s="60" t="n"/>
      <c r="CE196" s="60" t="n"/>
      <c r="CF196" s="60" t="n"/>
      <c r="CG196" s="60" t="n"/>
      <c r="CH196" s="60" t="n"/>
      <c r="CI196" s="60" t="n"/>
      <c r="CJ196" s="60" t="n"/>
      <c r="CK196" s="60" t="n"/>
      <c r="CL196" s="60" t="n"/>
      <c r="CM196" s="60" t="n"/>
      <c r="CN196" s="60" t="n"/>
      <c r="CO196" s="60" t="n"/>
      <c r="CP196" s="60" t="n"/>
    </row>
    <row r="197">
      <c r="A197" s="35" t="n"/>
      <c r="B197" s="35" t="n"/>
      <c r="C197" s="35" t="n"/>
      <c r="D197" s="40" t="n"/>
      <c r="E197" s="35" t="n"/>
      <c r="F197" s="59">
        <f>IF(OR(D197="",E197=""),"",WORKDAY(D197,MAX(E197,1)-1))</f>
        <v/>
      </c>
      <c r="G197" s="36" t="n"/>
      <c r="H197" s="9">
        <f>IF(D197="","",IF(G197&gt;=1,"Done",IF(TODAY()&gt;F197,"Late",IF(TODAY()&gt;=D197,"In progress","Not started"))))</f>
        <v/>
      </c>
      <c r="I197" s="9">
        <f>IF(B197="","",IF(AND(A197&lt;&gt;"",COUNTIF(Jobs!$A$5:$A$44,A197)=0),"Unknown Job ID",IF(D197="","Missing start",IF(E197="","Missing duration",""))))</f>
        <v/>
      </c>
      <c r="J197" s="35" t="n"/>
      <c r="K197" s="60" t="n"/>
      <c r="L197" s="60" t="n"/>
      <c r="M197" s="60" t="n"/>
      <c r="N197" s="60" t="n"/>
      <c r="O197" s="60" t="n"/>
      <c r="P197" s="60" t="n"/>
      <c r="Q197" s="60" t="n"/>
      <c r="R197" s="60" t="n"/>
      <c r="S197" s="60" t="n"/>
      <c r="T197" s="60" t="n"/>
      <c r="U197" s="60" t="n"/>
      <c r="V197" s="60" t="n"/>
      <c r="W197" s="60" t="n"/>
      <c r="X197" s="60" t="n"/>
      <c r="Y197" s="60" t="n"/>
      <c r="Z197" s="60" t="n"/>
      <c r="AA197" s="60" t="n"/>
      <c r="AB197" s="60" t="n"/>
      <c r="AC197" s="60" t="n"/>
      <c r="AD197" s="60" t="n"/>
      <c r="AE197" s="60" t="n"/>
      <c r="AF197" s="60" t="n"/>
      <c r="AG197" s="60" t="n"/>
      <c r="AH197" s="60" t="n"/>
      <c r="AI197" s="60" t="n"/>
      <c r="AJ197" s="60" t="n"/>
      <c r="AK197" s="60" t="n"/>
      <c r="AL197" s="60" t="n"/>
      <c r="AM197" s="60" t="n"/>
      <c r="AN197" s="60" t="n"/>
      <c r="AO197" s="60" t="n"/>
      <c r="AP197" s="60" t="n"/>
      <c r="AQ197" s="60" t="n"/>
      <c r="AR197" s="60" t="n"/>
      <c r="AS197" s="60" t="n"/>
      <c r="AT197" s="60" t="n"/>
      <c r="AU197" s="60" t="n"/>
      <c r="AV197" s="60" t="n"/>
      <c r="AW197" s="60" t="n"/>
      <c r="AX197" s="60" t="n"/>
      <c r="AY197" s="60" t="n"/>
      <c r="AZ197" s="60" t="n"/>
      <c r="BA197" s="60" t="n"/>
      <c r="BB197" s="60" t="n"/>
      <c r="BC197" s="60" t="n"/>
      <c r="BD197" s="60" t="n"/>
      <c r="BE197" s="60" t="n"/>
      <c r="BF197" s="60" t="n"/>
      <c r="BG197" s="60" t="n"/>
      <c r="BH197" s="60" t="n"/>
      <c r="BI197" s="60" t="n"/>
      <c r="BJ197" s="60" t="n"/>
      <c r="BK197" s="60" t="n"/>
      <c r="BL197" s="60" t="n"/>
      <c r="BM197" s="60" t="n"/>
      <c r="BN197" s="60" t="n"/>
      <c r="BO197" s="60" t="n"/>
      <c r="BP197" s="60" t="n"/>
      <c r="BQ197" s="60" t="n"/>
      <c r="BR197" s="60" t="n"/>
      <c r="BS197" s="60" t="n"/>
      <c r="BT197" s="60" t="n"/>
      <c r="BU197" s="60" t="n"/>
      <c r="BV197" s="60" t="n"/>
      <c r="BW197" s="60" t="n"/>
      <c r="BX197" s="60" t="n"/>
      <c r="BY197" s="60" t="n"/>
      <c r="BZ197" s="60" t="n"/>
      <c r="CA197" s="60" t="n"/>
      <c r="CB197" s="60" t="n"/>
      <c r="CC197" s="60" t="n"/>
      <c r="CD197" s="60" t="n"/>
      <c r="CE197" s="60" t="n"/>
      <c r="CF197" s="60" t="n"/>
      <c r="CG197" s="60" t="n"/>
      <c r="CH197" s="60" t="n"/>
      <c r="CI197" s="60" t="n"/>
      <c r="CJ197" s="60" t="n"/>
      <c r="CK197" s="60" t="n"/>
      <c r="CL197" s="60" t="n"/>
      <c r="CM197" s="60" t="n"/>
      <c r="CN197" s="60" t="n"/>
      <c r="CO197" s="60" t="n"/>
      <c r="CP197" s="60" t="n"/>
    </row>
    <row r="198">
      <c r="A198" s="35" t="n"/>
      <c r="B198" s="35" t="n"/>
      <c r="C198" s="35" t="n"/>
      <c r="D198" s="40" t="n"/>
      <c r="E198" s="35" t="n"/>
      <c r="F198" s="59">
        <f>IF(OR(D198="",E198=""),"",WORKDAY(D198,MAX(E198,1)-1))</f>
        <v/>
      </c>
      <c r="G198" s="36" t="n"/>
      <c r="H198" s="9">
        <f>IF(D198="","",IF(G198&gt;=1,"Done",IF(TODAY()&gt;F198,"Late",IF(TODAY()&gt;=D198,"In progress","Not started"))))</f>
        <v/>
      </c>
      <c r="I198" s="9">
        <f>IF(B198="","",IF(AND(A198&lt;&gt;"",COUNTIF(Jobs!$A$5:$A$44,A198)=0),"Unknown Job ID",IF(D198="","Missing start",IF(E198="","Missing duration",""))))</f>
        <v/>
      </c>
      <c r="J198" s="35" t="n"/>
      <c r="K198" s="60" t="n"/>
      <c r="L198" s="60" t="n"/>
      <c r="M198" s="60" t="n"/>
      <c r="N198" s="60" t="n"/>
      <c r="O198" s="60" t="n"/>
      <c r="P198" s="60" t="n"/>
      <c r="Q198" s="60" t="n"/>
      <c r="R198" s="60" t="n"/>
      <c r="S198" s="60" t="n"/>
      <c r="T198" s="60" t="n"/>
      <c r="U198" s="60" t="n"/>
      <c r="V198" s="60" t="n"/>
      <c r="W198" s="60" t="n"/>
      <c r="X198" s="60" t="n"/>
      <c r="Y198" s="60" t="n"/>
      <c r="Z198" s="60" t="n"/>
      <c r="AA198" s="60" t="n"/>
      <c r="AB198" s="60" t="n"/>
      <c r="AC198" s="60" t="n"/>
      <c r="AD198" s="60" t="n"/>
      <c r="AE198" s="60" t="n"/>
      <c r="AF198" s="60" t="n"/>
      <c r="AG198" s="60" t="n"/>
      <c r="AH198" s="60" t="n"/>
      <c r="AI198" s="60" t="n"/>
      <c r="AJ198" s="60" t="n"/>
      <c r="AK198" s="60" t="n"/>
      <c r="AL198" s="60" t="n"/>
      <c r="AM198" s="60" t="n"/>
      <c r="AN198" s="60" t="n"/>
      <c r="AO198" s="60" t="n"/>
      <c r="AP198" s="60" t="n"/>
      <c r="AQ198" s="60" t="n"/>
      <c r="AR198" s="60" t="n"/>
      <c r="AS198" s="60" t="n"/>
      <c r="AT198" s="60" t="n"/>
      <c r="AU198" s="60" t="n"/>
      <c r="AV198" s="60" t="n"/>
      <c r="AW198" s="60" t="n"/>
      <c r="AX198" s="60" t="n"/>
      <c r="AY198" s="60" t="n"/>
      <c r="AZ198" s="60" t="n"/>
      <c r="BA198" s="60" t="n"/>
      <c r="BB198" s="60" t="n"/>
      <c r="BC198" s="60" t="n"/>
      <c r="BD198" s="60" t="n"/>
      <c r="BE198" s="60" t="n"/>
      <c r="BF198" s="60" t="n"/>
      <c r="BG198" s="60" t="n"/>
      <c r="BH198" s="60" t="n"/>
      <c r="BI198" s="60" t="n"/>
      <c r="BJ198" s="60" t="n"/>
      <c r="BK198" s="60" t="n"/>
      <c r="BL198" s="60" t="n"/>
      <c r="BM198" s="60" t="n"/>
      <c r="BN198" s="60" t="n"/>
      <c r="BO198" s="60" t="n"/>
      <c r="BP198" s="60" t="n"/>
      <c r="BQ198" s="60" t="n"/>
      <c r="BR198" s="60" t="n"/>
      <c r="BS198" s="60" t="n"/>
      <c r="BT198" s="60" t="n"/>
      <c r="BU198" s="60" t="n"/>
      <c r="BV198" s="60" t="n"/>
      <c r="BW198" s="60" t="n"/>
      <c r="BX198" s="60" t="n"/>
      <c r="BY198" s="60" t="n"/>
      <c r="BZ198" s="60" t="n"/>
      <c r="CA198" s="60" t="n"/>
      <c r="CB198" s="60" t="n"/>
      <c r="CC198" s="60" t="n"/>
      <c r="CD198" s="60" t="n"/>
      <c r="CE198" s="60" t="n"/>
      <c r="CF198" s="60" t="n"/>
      <c r="CG198" s="60" t="n"/>
      <c r="CH198" s="60" t="n"/>
      <c r="CI198" s="60" t="n"/>
      <c r="CJ198" s="60" t="n"/>
      <c r="CK198" s="60" t="n"/>
      <c r="CL198" s="60" t="n"/>
      <c r="CM198" s="60" t="n"/>
      <c r="CN198" s="60" t="n"/>
      <c r="CO198" s="60" t="n"/>
      <c r="CP198" s="60" t="n"/>
    </row>
    <row r="199">
      <c r="A199" s="35" t="n"/>
      <c r="B199" s="35" t="n"/>
      <c r="C199" s="35" t="n"/>
      <c r="D199" s="40" t="n"/>
      <c r="E199" s="35" t="n"/>
      <c r="F199" s="59">
        <f>IF(OR(D199="",E199=""),"",WORKDAY(D199,MAX(E199,1)-1))</f>
        <v/>
      </c>
      <c r="G199" s="36" t="n"/>
      <c r="H199" s="9">
        <f>IF(D199="","",IF(G199&gt;=1,"Done",IF(TODAY()&gt;F199,"Late",IF(TODAY()&gt;=D199,"In progress","Not started"))))</f>
        <v/>
      </c>
      <c r="I199" s="9">
        <f>IF(B199="","",IF(AND(A199&lt;&gt;"",COUNTIF(Jobs!$A$5:$A$44,A199)=0),"Unknown Job ID",IF(D199="","Missing start",IF(E199="","Missing duration",""))))</f>
        <v/>
      </c>
      <c r="J199" s="35" t="n"/>
      <c r="K199" s="60" t="n"/>
      <c r="L199" s="60" t="n"/>
      <c r="M199" s="60" t="n"/>
      <c r="N199" s="60" t="n"/>
      <c r="O199" s="60" t="n"/>
      <c r="P199" s="60" t="n"/>
      <c r="Q199" s="60" t="n"/>
      <c r="R199" s="60" t="n"/>
      <c r="S199" s="60" t="n"/>
      <c r="T199" s="60" t="n"/>
      <c r="U199" s="60" t="n"/>
      <c r="V199" s="60" t="n"/>
      <c r="W199" s="60" t="n"/>
      <c r="X199" s="60" t="n"/>
      <c r="Y199" s="60" t="n"/>
      <c r="Z199" s="60" t="n"/>
      <c r="AA199" s="60" t="n"/>
      <c r="AB199" s="60" t="n"/>
      <c r="AC199" s="60" t="n"/>
      <c r="AD199" s="60" t="n"/>
      <c r="AE199" s="60" t="n"/>
      <c r="AF199" s="60" t="n"/>
      <c r="AG199" s="60" t="n"/>
      <c r="AH199" s="60" t="n"/>
      <c r="AI199" s="60" t="n"/>
      <c r="AJ199" s="60" t="n"/>
      <c r="AK199" s="60" t="n"/>
      <c r="AL199" s="60" t="n"/>
      <c r="AM199" s="60" t="n"/>
      <c r="AN199" s="60" t="n"/>
      <c r="AO199" s="60" t="n"/>
      <c r="AP199" s="60" t="n"/>
      <c r="AQ199" s="60" t="n"/>
      <c r="AR199" s="60" t="n"/>
      <c r="AS199" s="60" t="n"/>
      <c r="AT199" s="60" t="n"/>
      <c r="AU199" s="60" t="n"/>
      <c r="AV199" s="60" t="n"/>
      <c r="AW199" s="60" t="n"/>
      <c r="AX199" s="60" t="n"/>
      <c r="AY199" s="60" t="n"/>
      <c r="AZ199" s="60" t="n"/>
      <c r="BA199" s="60" t="n"/>
      <c r="BB199" s="60" t="n"/>
      <c r="BC199" s="60" t="n"/>
      <c r="BD199" s="60" t="n"/>
      <c r="BE199" s="60" t="n"/>
      <c r="BF199" s="60" t="n"/>
      <c r="BG199" s="60" t="n"/>
      <c r="BH199" s="60" t="n"/>
      <c r="BI199" s="60" t="n"/>
      <c r="BJ199" s="60" t="n"/>
      <c r="BK199" s="60" t="n"/>
      <c r="BL199" s="60" t="n"/>
      <c r="BM199" s="60" t="n"/>
      <c r="BN199" s="60" t="n"/>
      <c r="BO199" s="60" t="n"/>
      <c r="BP199" s="60" t="n"/>
      <c r="BQ199" s="60" t="n"/>
      <c r="BR199" s="60" t="n"/>
      <c r="BS199" s="60" t="n"/>
      <c r="BT199" s="60" t="n"/>
      <c r="BU199" s="60" t="n"/>
      <c r="BV199" s="60" t="n"/>
      <c r="BW199" s="60" t="n"/>
      <c r="BX199" s="60" t="n"/>
      <c r="BY199" s="60" t="n"/>
      <c r="BZ199" s="60" t="n"/>
      <c r="CA199" s="60" t="n"/>
      <c r="CB199" s="60" t="n"/>
      <c r="CC199" s="60" t="n"/>
      <c r="CD199" s="60" t="n"/>
      <c r="CE199" s="60" t="n"/>
      <c r="CF199" s="60" t="n"/>
      <c r="CG199" s="60" t="n"/>
      <c r="CH199" s="60" t="n"/>
      <c r="CI199" s="60" t="n"/>
      <c r="CJ199" s="60" t="n"/>
      <c r="CK199" s="60" t="n"/>
      <c r="CL199" s="60" t="n"/>
      <c r="CM199" s="60" t="n"/>
      <c r="CN199" s="60" t="n"/>
      <c r="CO199" s="60" t="n"/>
      <c r="CP199" s="60" t="n"/>
    </row>
    <row r="200">
      <c r="A200" s="35" t="n"/>
      <c r="B200" s="35" t="n"/>
      <c r="C200" s="35" t="n"/>
      <c r="D200" s="40" t="n"/>
      <c r="E200" s="35" t="n"/>
      <c r="F200" s="59">
        <f>IF(OR(D200="",E200=""),"",WORKDAY(D200,MAX(E200,1)-1))</f>
        <v/>
      </c>
      <c r="G200" s="36" t="n"/>
      <c r="H200" s="9">
        <f>IF(D200="","",IF(G200&gt;=1,"Done",IF(TODAY()&gt;F200,"Late",IF(TODAY()&gt;=D200,"In progress","Not started"))))</f>
        <v/>
      </c>
      <c r="I200" s="9">
        <f>IF(B200="","",IF(AND(A200&lt;&gt;"",COUNTIF(Jobs!$A$5:$A$44,A200)=0),"Unknown Job ID",IF(D200="","Missing start",IF(E200="","Missing duration",""))))</f>
        <v/>
      </c>
      <c r="J200" s="35" t="n"/>
      <c r="K200" s="60" t="n"/>
      <c r="L200" s="60" t="n"/>
      <c r="M200" s="60" t="n"/>
      <c r="N200" s="60" t="n"/>
      <c r="O200" s="60" t="n"/>
      <c r="P200" s="60" t="n"/>
      <c r="Q200" s="60" t="n"/>
      <c r="R200" s="60" t="n"/>
      <c r="S200" s="60" t="n"/>
      <c r="T200" s="60" t="n"/>
      <c r="U200" s="60" t="n"/>
      <c r="V200" s="60" t="n"/>
      <c r="W200" s="60" t="n"/>
      <c r="X200" s="60" t="n"/>
      <c r="Y200" s="60" t="n"/>
      <c r="Z200" s="60" t="n"/>
      <c r="AA200" s="60" t="n"/>
      <c r="AB200" s="60" t="n"/>
      <c r="AC200" s="60" t="n"/>
      <c r="AD200" s="60" t="n"/>
      <c r="AE200" s="60" t="n"/>
      <c r="AF200" s="60" t="n"/>
      <c r="AG200" s="60" t="n"/>
      <c r="AH200" s="60" t="n"/>
      <c r="AI200" s="60" t="n"/>
      <c r="AJ200" s="60" t="n"/>
      <c r="AK200" s="60" t="n"/>
      <c r="AL200" s="60" t="n"/>
      <c r="AM200" s="60" t="n"/>
      <c r="AN200" s="60" t="n"/>
      <c r="AO200" s="60" t="n"/>
      <c r="AP200" s="60" t="n"/>
      <c r="AQ200" s="60" t="n"/>
      <c r="AR200" s="60" t="n"/>
      <c r="AS200" s="60" t="n"/>
      <c r="AT200" s="60" t="n"/>
      <c r="AU200" s="60" t="n"/>
      <c r="AV200" s="60" t="n"/>
      <c r="AW200" s="60" t="n"/>
      <c r="AX200" s="60" t="n"/>
      <c r="AY200" s="60" t="n"/>
      <c r="AZ200" s="60" t="n"/>
      <c r="BA200" s="60" t="n"/>
      <c r="BB200" s="60" t="n"/>
      <c r="BC200" s="60" t="n"/>
      <c r="BD200" s="60" t="n"/>
      <c r="BE200" s="60" t="n"/>
      <c r="BF200" s="60" t="n"/>
      <c r="BG200" s="60" t="n"/>
      <c r="BH200" s="60" t="n"/>
      <c r="BI200" s="60" t="n"/>
      <c r="BJ200" s="60" t="n"/>
      <c r="BK200" s="60" t="n"/>
      <c r="BL200" s="60" t="n"/>
      <c r="BM200" s="60" t="n"/>
      <c r="BN200" s="60" t="n"/>
      <c r="BO200" s="60" t="n"/>
      <c r="BP200" s="60" t="n"/>
      <c r="BQ200" s="60" t="n"/>
      <c r="BR200" s="60" t="n"/>
      <c r="BS200" s="60" t="n"/>
      <c r="BT200" s="60" t="n"/>
      <c r="BU200" s="60" t="n"/>
      <c r="BV200" s="60" t="n"/>
      <c r="BW200" s="60" t="n"/>
      <c r="BX200" s="60" t="n"/>
      <c r="BY200" s="60" t="n"/>
      <c r="BZ200" s="60" t="n"/>
      <c r="CA200" s="60" t="n"/>
      <c r="CB200" s="60" t="n"/>
      <c r="CC200" s="60" t="n"/>
      <c r="CD200" s="60" t="n"/>
      <c r="CE200" s="60" t="n"/>
      <c r="CF200" s="60" t="n"/>
      <c r="CG200" s="60" t="n"/>
      <c r="CH200" s="60" t="n"/>
      <c r="CI200" s="60" t="n"/>
      <c r="CJ200" s="60" t="n"/>
      <c r="CK200" s="60" t="n"/>
      <c r="CL200" s="60" t="n"/>
      <c r="CM200" s="60" t="n"/>
      <c r="CN200" s="60" t="n"/>
      <c r="CO200" s="60" t="n"/>
      <c r="CP200" s="60" t="n"/>
    </row>
    <row r="201">
      <c r="A201" s="35" t="n"/>
      <c r="B201" s="35" t="n"/>
      <c r="C201" s="35" t="n"/>
      <c r="D201" s="40" t="n"/>
      <c r="E201" s="35" t="n"/>
      <c r="F201" s="59">
        <f>IF(OR(D201="",E201=""),"",WORKDAY(D201,MAX(E201,1)-1))</f>
        <v/>
      </c>
      <c r="G201" s="36" t="n"/>
      <c r="H201" s="9">
        <f>IF(D201="","",IF(G201&gt;=1,"Done",IF(TODAY()&gt;F201,"Late",IF(TODAY()&gt;=D201,"In progress","Not started"))))</f>
        <v/>
      </c>
      <c r="I201" s="9">
        <f>IF(B201="","",IF(AND(A201&lt;&gt;"",COUNTIF(Jobs!$A$5:$A$44,A201)=0),"Unknown Job ID",IF(D201="","Missing start",IF(E201="","Missing duration",""))))</f>
        <v/>
      </c>
      <c r="J201" s="35" t="n"/>
      <c r="K201" s="60" t="n"/>
      <c r="L201" s="60" t="n"/>
      <c r="M201" s="60" t="n"/>
      <c r="N201" s="60" t="n"/>
      <c r="O201" s="60" t="n"/>
      <c r="P201" s="60" t="n"/>
      <c r="Q201" s="60" t="n"/>
      <c r="R201" s="60" t="n"/>
      <c r="S201" s="60" t="n"/>
      <c r="T201" s="60" t="n"/>
      <c r="U201" s="60" t="n"/>
      <c r="V201" s="60" t="n"/>
      <c r="W201" s="60" t="n"/>
      <c r="X201" s="60" t="n"/>
      <c r="Y201" s="60" t="n"/>
      <c r="Z201" s="60" t="n"/>
      <c r="AA201" s="60" t="n"/>
      <c r="AB201" s="60" t="n"/>
      <c r="AC201" s="60" t="n"/>
      <c r="AD201" s="60" t="n"/>
      <c r="AE201" s="60" t="n"/>
      <c r="AF201" s="60" t="n"/>
      <c r="AG201" s="60" t="n"/>
      <c r="AH201" s="60" t="n"/>
      <c r="AI201" s="60" t="n"/>
      <c r="AJ201" s="60" t="n"/>
      <c r="AK201" s="60" t="n"/>
      <c r="AL201" s="60" t="n"/>
      <c r="AM201" s="60" t="n"/>
      <c r="AN201" s="60" t="n"/>
      <c r="AO201" s="60" t="n"/>
      <c r="AP201" s="60" t="n"/>
      <c r="AQ201" s="60" t="n"/>
      <c r="AR201" s="60" t="n"/>
      <c r="AS201" s="60" t="n"/>
      <c r="AT201" s="60" t="n"/>
      <c r="AU201" s="60" t="n"/>
      <c r="AV201" s="60" t="n"/>
      <c r="AW201" s="60" t="n"/>
      <c r="AX201" s="60" t="n"/>
      <c r="AY201" s="60" t="n"/>
      <c r="AZ201" s="60" t="n"/>
      <c r="BA201" s="60" t="n"/>
      <c r="BB201" s="60" t="n"/>
      <c r="BC201" s="60" t="n"/>
      <c r="BD201" s="60" t="n"/>
      <c r="BE201" s="60" t="n"/>
      <c r="BF201" s="60" t="n"/>
      <c r="BG201" s="60" t="n"/>
      <c r="BH201" s="60" t="n"/>
      <c r="BI201" s="60" t="n"/>
      <c r="BJ201" s="60" t="n"/>
      <c r="BK201" s="60" t="n"/>
      <c r="BL201" s="60" t="n"/>
      <c r="BM201" s="60" t="n"/>
      <c r="BN201" s="60" t="n"/>
      <c r="BO201" s="60" t="n"/>
      <c r="BP201" s="60" t="n"/>
      <c r="BQ201" s="60" t="n"/>
      <c r="BR201" s="60" t="n"/>
      <c r="BS201" s="60" t="n"/>
      <c r="BT201" s="60" t="n"/>
      <c r="BU201" s="60" t="n"/>
      <c r="BV201" s="60" t="n"/>
      <c r="BW201" s="60" t="n"/>
      <c r="BX201" s="60" t="n"/>
      <c r="BY201" s="60" t="n"/>
      <c r="BZ201" s="60" t="n"/>
      <c r="CA201" s="60" t="n"/>
      <c r="CB201" s="60" t="n"/>
      <c r="CC201" s="60" t="n"/>
      <c r="CD201" s="60" t="n"/>
      <c r="CE201" s="60" t="n"/>
      <c r="CF201" s="60" t="n"/>
      <c r="CG201" s="60" t="n"/>
      <c r="CH201" s="60" t="n"/>
      <c r="CI201" s="60" t="n"/>
      <c r="CJ201" s="60" t="n"/>
      <c r="CK201" s="60" t="n"/>
      <c r="CL201" s="60" t="n"/>
      <c r="CM201" s="60" t="n"/>
      <c r="CN201" s="60" t="n"/>
      <c r="CO201" s="60" t="n"/>
      <c r="CP201" s="60" t="n"/>
    </row>
    <row r="202">
      <c r="A202" s="35" t="n"/>
      <c r="B202" s="35" t="n"/>
      <c r="C202" s="35" t="n"/>
      <c r="D202" s="40" t="n"/>
      <c r="E202" s="35" t="n"/>
      <c r="F202" s="59">
        <f>IF(OR(D202="",E202=""),"",WORKDAY(D202,MAX(E202,1)-1))</f>
        <v/>
      </c>
      <c r="G202" s="36" t="n"/>
      <c r="H202" s="9">
        <f>IF(D202="","",IF(G202&gt;=1,"Done",IF(TODAY()&gt;F202,"Late",IF(TODAY()&gt;=D202,"In progress","Not started"))))</f>
        <v/>
      </c>
      <c r="I202" s="9">
        <f>IF(B202="","",IF(AND(A202&lt;&gt;"",COUNTIF(Jobs!$A$5:$A$44,A202)=0),"Unknown Job ID",IF(D202="","Missing start",IF(E202="","Missing duration",""))))</f>
        <v/>
      </c>
      <c r="J202" s="35" t="n"/>
      <c r="K202" s="60" t="n"/>
      <c r="L202" s="60" t="n"/>
      <c r="M202" s="60" t="n"/>
      <c r="N202" s="60" t="n"/>
      <c r="O202" s="60" t="n"/>
      <c r="P202" s="60" t="n"/>
      <c r="Q202" s="60" t="n"/>
      <c r="R202" s="60" t="n"/>
      <c r="S202" s="60" t="n"/>
      <c r="T202" s="60" t="n"/>
      <c r="U202" s="60" t="n"/>
      <c r="V202" s="60" t="n"/>
      <c r="W202" s="60" t="n"/>
      <c r="X202" s="60" t="n"/>
      <c r="Y202" s="60" t="n"/>
      <c r="Z202" s="60" t="n"/>
      <c r="AA202" s="60" t="n"/>
      <c r="AB202" s="60" t="n"/>
      <c r="AC202" s="60" t="n"/>
      <c r="AD202" s="60" t="n"/>
      <c r="AE202" s="60" t="n"/>
      <c r="AF202" s="60" t="n"/>
      <c r="AG202" s="60" t="n"/>
      <c r="AH202" s="60" t="n"/>
      <c r="AI202" s="60" t="n"/>
      <c r="AJ202" s="60" t="n"/>
      <c r="AK202" s="60" t="n"/>
      <c r="AL202" s="60" t="n"/>
      <c r="AM202" s="60" t="n"/>
      <c r="AN202" s="60" t="n"/>
      <c r="AO202" s="60" t="n"/>
      <c r="AP202" s="60" t="n"/>
      <c r="AQ202" s="60" t="n"/>
      <c r="AR202" s="60" t="n"/>
      <c r="AS202" s="60" t="n"/>
      <c r="AT202" s="60" t="n"/>
      <c r="AU202" s="60" t="n"/>
      <c r="AV202" s="60" t="n"/>
      <c r="AW202" s="60" t="n"/>
      <c r="AX202" s="60" t="n"/>
      <c r="AY202" s="60" t="n"/>
      <c r="AZ202" s="60" t="n"/>
      <c r="BA202" s="60" t="n"/>
      <c r="BB202" s="60" t="n"/>
      <c r="BC202" s="60" t="n"/>
      <c r="BD202" s="60" t="n"/>
      <c r="BE202" s="60" t="n"/>
      <c r="BF202" s="60" t="n"/>
      <c r="BG202" s="60" t="n"/>
      <c r="BH202" s="60" t="n"/>
      <c r="BI202" s="60" t="n"/>
      <c r="BJ202" s="60" t="n"/>
      <c r="BK202" s="60" t="n"/>
      <c r="BL202" s="60" t="n"/>
      <c r="BM202" s="60" t="n"/>
      <c r="BN202" s="60" t="n"/>
      <c r="BO202" s="60" t="n"/>
      <c r="BP202" s="60" t="n"/>
      <c r="BQ202" s="60" t="n"/>
      <c r="BR202" s="60" t="n"/>
      <c r="BS202" s="60" t="n"/>
      <c r="BT202" s="60" t="n"/>
      <c r="BU202" s="60" t="n"/>
      <c r="BV202" s="60" t="n"/>
      <c r="BW202" s="60" t="n"/>
      <c r="BX202" s="60" t="n"/>
      <c r="BY202" s="60" t="n"/>
      <c r="BZ202" s="60" t="n"/>
      <c r="CA202" s="60" t="n"/>
      <c r="CB202" s="60" t="n"/>
      <c r="CC202" s="60" t="n"/>
      <c r="CD202" s="60" t="n"/>
      <c r="CE202" s="60" t="n"/>
      <c r="CF202" s="60" t="n"/>
      <c r="CG202" s="60" t="n"/>
      <c r="CH202" s="60" t="n"/>
      <c r="CI202" s="60" t="n"/>
      <c r="CJ202" s="60" t="n"/>
      <c r="CK202" s="60" t="n"/>
      <c r="CL202" s="60" t="n"/>
      <c r="CM202" s="60" t="n"/>
      <c r="CN202" s="60" t="n"/>
      <c r="CO202" s="60" t="n"/>
      <c r="CP202" s="60" t="n"/>
    </row>
    <row r="203">
      <c r="A203" s="35" t="n"/>
      <c r="B203" s="35" t="n"/>
      <c r="C203" s="35" t="n"/>
      <c r="D203" s="40" t="n"/>
      <c r="E203" s="35" t="n"/>
      <c r="F203" s="59">
        <f>IF(OR(D203="",E203=""),"",WORKDAY(D203,MAX(E203,1)-1))</f>
        <v/>
      </c>
      <c r="G203" s="36" t="n"/>
      <c r="H203" s="9">
        <f>IF(D203="","",IF(G203&gt;=1,"Done",IF(TODAY()&gt;F203,"Late",IF(TODAY()&gt;=D203,"In progress","Not started"))))</f>
        <v/>
      </c>
      <c r="I203" s="9">
        <f>IF(B203="","",IF(AND(A203&lt;&gt;"",COUNTIF(Jobs!$A$5:$A$44,A203)=0),"Unknown Job ID",IF(D203="","Missing start",IF(E203="","Missing duration",""))))</f>
        <v/>
      </c>
      <c r="J203" s="35" t="n"/>
      <c r="K203" s="60" t="n"/>
      <c r="L203" s="60" t="n"/>
      <c r="M203" s="60" t="n"/>
      <c r="N203" s="60" t="n"/>
      <c r="O203" s="60" t="n"/>
      <c r="P203" s="60" t="n"/>
      <c r="Q203" s="60" t="n"/>
      <c r="R203" s="60" t="n"/>
      <c r="S203" s="60" t="n"/>
      <c r="T203" s="60" t="n"/>
      <c r="U203" s="60" t="n"/>
      <c r="V203" s="60" t="n"/>
      <c r="W203" s="60" t="n"/>
      <c r="X203" s="60" t="n"/>
      <c r="Y203" s="60" t="n"/>
      <c r="Z203" s="60" t="n"/>
      <c r="AA203" s="60" t="n"/>
      <c r="AB203" s="60" t="n"/>
      <c r="AC203" s="60" t="n"/>
      <c r="AD203" s="60" t="n"/>
      <c r="AE203" s="60" t="n"/>
      <c r="AF203" s="60" t="n"/>
      <c r="AG203" s="60" t="n"/>
      <c r="AH203" s="60" t="n"/>
      <c r="AI203" s="60" t="n"/>
      <c r="AJ203" s="60" t="n"/>
      <c r="AK203" s="60" t="n"/>
      <c r="AL203" s="60" t="n"/>
      <c r="AM203" s="60" t="n"/>
      <c r="AN203" s="60" t="n"/>
      <c r="AO203" s="60" t="n"/>
      <c r="AP203" s="60" t="n"/>
      <c r="AQ203" s="60" t="n"/>
      <c r="AR203" s="60" t="n"/>
      <c r="AS203" s="60" t="n"/>
      <c r="AT203" s="60" t="n"/>
      <c r="AU203" s="60" t="n"/>
      <c r="AV203" s="60" t="n"/>
      <c r="AW203" s="60" t="n"/>
      <c r="AX203" s="60" t="n"/>
      <c r="AY203" s="60" t="n"/>
      <c r="AZ203" s="60" t="n"/>
      <c r="BA203" s="60" t="n"/>
      <c r="BB203" s="60" t="n"/>
      <c r="BC203" s="60" t="n"/>
      <c r="BD203" s="60" t="n"/>
      <c r="BE203" s="60" t="n"/>
      <c r="BF203" s="60" t="n"/>
      <c r="BG203" s="60" t="n"/>
      <c r="BH203" s="60" t="n"/>
      <c r="BI203" s="60" t="n"/>
      <c r="BJ203" s="60" t="n"/>
      <c r="BK203" s="60" t="n"/>
      <c r="BL203" s="60" t="n"/>
      <c r="BM203" s="60" t="n"/>
      <c r="BN203" s="60" t="n"/>
      <c r="BO203" s="60" t="n"/>
      <c r="BP203" s="60" t="n"/>
      <c r="BQ203" s="60" t="n"/>
      <c r="BR203" s="60" t="n"/>
      <c r="BS203" s="60" t="n"/>
      <c r="BT203" s="60" t="n"/>
      <c r="BU203" s="60" t="n"/>
      <c r="BV203" s="60" t="n"/>
      <c r="BW203" s="60" t="n"/>
      <c r="BX203" s="60" t="n"/>
      <c r="BY203" s="60" t="n"/>
      <c r="BZ203" s="60" t="n"/>
      <c r="CA203" s="60" t="n"/>
      <c r="CB203" s="60" t="n"/>
      <c r="CC203" s="60" t="n"/>
      <c r="CD203" s="60" t="n"/>
      <c r="CE203" s="60" t="n"/>
      <c r="CF203" s="60" t="n"/>
      <c r="CG203" s="60" t="n"/>
      <c r="CH203" s="60" t="n"/>
      <c r="CI203" s="60" t="n"/>
      <c r="CJ203" s="60" t="n"/>
      <c r="CK203" s="60" t="n"/>
      <c r="CL203" s="60" t="n"/>
      <c r="CM203" s="60" t="n"/>
      <c r="CN203" s="60" t="n"/>
      <c r="CO203" s="60" t="n"/>
      <c r="CP203" s="60" t="n"/>
    </row>
    <row r="204">
      <c r="A204" s="35" t="n"/>
      <c r="B204" s="35" t="n"/>
      <c r="C204" s="35" t="n"/>
      <c r="D204" s="40" t="n"/>
      <c r="E204" s="35" t="n"/>
      <c r="F204" s="59">
        <f>IF(OR(D204="",E204=""),"",WORKDAY(D204,MAX(E204,1)-1))</f>
        <v/>
      </c>
      <c r="G204" s="36" t="n"/>
      <c r="H204" s="9">
        <f>IF(D204="","",IF(G204&gt;=1,"Done",IF(TODAY()&gt;F204,"Late",IF(TODAY()&gt;=D204,"In progress","Not started"))))</f>
        <v/>
      </c>
      <c r="I204" s="9">
        <f>IF(B204="","",IF(AND(A204&lt;&gt;"",COUNTIF(Jobs!$A$5:$A$44,A204)=0),"Unknown Job ID",IF(D204="","Missing start",IF(E204="","Missing duration",""))))</f>
        <v/>
      </c>
      <c r="J204" s="35" t="n"/>
      <c r="K204" s="60" t="n"/>
      <c r="L204" s="60" t="n"/>
      <c r="M204" s="60" t="n"/>
      <c r="N204" s="60" t="n"/>
      <c r="O204" s="60" t="n"/>
      <c r="P204" s="60" t="n"/>
      <c r="Q204" s="60" t="n"/>
      <c r="R204" s="60" t="n"/>
      <c r="S204" s="60" t="n"/>
      <c r="T204" s="60" t="n"/>
      <c r="U204" s="60" t="n"/>
      <c r="V204" s="60" t="n"/>
      <c r="W204" s="60" t="n"/>
      <c r="X204" s="60" t="n"/>
      <c r="Y204" s="60" t="n"/>
      <c r="Z204" s="60" t="n"/>
      <c r="AA204" s="60" t="n"/>
      <c r="AB204" s="60" t="n"/>
      <c r="AC204" s="60" t="n"/>
      <c r="AD204" s="60" t="n"/>
      <c r="AE204" s="60" t="n"/>
      <c r="AF204" s="60" t="n"/>
      <c r="AG204" s="60" t="n"/>
      <c r="AH204" s="60" t="n"/>
      <c r="AI204" s="60" t="n"/>
      <c r="AJ204" s="60" t="n"/>
      <c r="AK204" s="60" t="n"/>
      <c r="AL204" s="60" t="n"/>
      <c r="AM204" s="60" t="n"/>
      <c r="AN204" s="60" t="n"/>
      <c r="AO204" s="60" t="n"/>
      <c r="AP204" s="60" t="n"/>
      <c r="AQ204" s="60" t="n"/>
      <c r="AR204" s="60" t="n"/>
      <c r="AS204" s="60" t="n"/>
      <c r="AT204" s="60" t="n"/>
      <c r="AU204" s="60" t="n"/>
      <c r="AV204" s="60" t="n"/>
      <c r="AW204" s="60" t="n"/>
      <c r="AX204" s="60" t="n"/>
      <c r="AY204" s="60" t="n"/>
      <c r="AZ204" s="60" t="n"/>
      <c r="BA204" s="60" t="n"/>
      <c r="BB204" s="60" t="n"/>
      <c r="BC204" s="60" t="n"/>
      <c r="BD204" s="60" t="n"/>
      <c r="BE204" s="60" t="n"/>
      <c r="BF204" s="60" t="n"/>
      <c r="BG204" s="60" t="n"/>
      <c r="BH204" s="60" t="n"/>
      <c r="BI204" s="60" t="n"/>
      <c r="BJ204" s="60" t="n"/>
      <c r="BK204" s="60" t="n"/>
      <c r="BL204" s="60" t="n"/>
      <c r="BM204" s="60" t="n"/>
      <c r="BN204" s="60" t="n"/>
      <c r="BO204" s="60" t="n"/>
      <c r="BP204" s="60" t="n"/>
      <c r="BQ204" s="60" t="n"/>
      <c r="BR204" s="60" t="n"/>
      <c r="BS204" s="60" t="n"/>
      <c r="BT204" s="60" t="n"/>
      <c r="BU204" s="60" t="n"/>
      <c r="BV204" s="60" t="n"/>
      <c r="BW204" s="60" t="n"/>
      <c r="BX204" s="60" t="n"/>
      <c r="BY204" s="60" t="n"/>
      <c r="BZ204" s="60" t="n"/>
      <c r="CA204" s="60" t="n"/>
      <c r="CB204" s="60" t="n"/>
      <c r="CC204" s="60" t="n"/>
      <c r="CD204" s="60" t="n"/>
      <c r="CE204" s="60" t="n"/>
      <c r="CF204" s="60" t="n"/>
      <c r="CG204" s="60" t="n"/>
      <c r="CH204" s="60" t="n"/>
      <c r="CI204" s="60" t="n"/>
      <c r="CJ204" s="60" t="n"/>
      <c r="CK204" s="60" t="n"/>
      <c r="CL204" s="60" t="n"/>
      <c r="CM204" s="60" t="n"/>
      <c r="CN204" s="60" t="n"/>
      <c r="CO204" s="60" t="n"/>
      <c r="CP204" s="60" t="n"/>
    </row>
  </sheetData>
  <conditionalFormatting sqref="K5:CP204">
    <cfRule type="expression" priority="1" dxfId="3" stopIfTrue="1">
      <formula>AND($D5&lt;&gt;"",K$3&gt;=$D5,K$3&lt;=$D5+($F5-$D5+1)*$G5-1)</formula>
    </cfRule>
    <cfRule type="expression" priority="2" dxfId="4" stopIfTrue="1">
      <formula>AND($D5&lt;&gt;"",K$3&gt;=$D5,K$3&lt;=$F5)</formula>
    </cfRule>
    <cfRule type="expression" priority="3" dxfId="5" stopIfTrue="1">
      <formula>K$3=TODAY()</formula>
    </cfRule>
    <cfRule type="expression" priority="4" dxfId="6">
      <formula>WEEKDAY(K$3,2)&gt;5</formula>
    </cfRule>
  </conditionalFormatting>
  <conditionalFormatting sqref="K3:CP3">
    <cfRule type="expression" priority="5" dxfId="5">
      <formula>K$3=TODAY()</formula>
    </cfRule>
  </conditionalFormatting>
  <conditionalFormatting sqref="H5:H204">
    <cfRule type="cellIs" priority="6" operator="equal" dxfId="1">
      <formula>"Late"</formula>
    </cfRule>
    <cfRule type="cellIs" priority="7" operator="equal" dxfId="0">
      <formula>"In progress"</formula>
    </cfRule>
    <cfRule type="cellIs" priority="8" operator="equal" dxfId="2">
      <formula>"Done"</formula>
    </cfRule>
  </conditionalFormatting>
  <conditionalFormatting sqref="I5:I204">
    <cfRule type="expression" priority="9" dxfId="1">
      <formula>I5&lt;&gt;""</formula>
    </cfRule>
  </conditionalFormatting>
  <dataValidations count="2">
    <dataValidation sqref="A5:A204" showDropDown="0" showInputMessage="0" showErrorMessage="0" allowBlank="1" type="list">
      <formula1>=Jobs!$A$5:$A$44</formula1>
    </dataValidation>
    <dataValidation sqref="C5:C204" showDropDown="0" showInputMessage="0" showErrorMessage="0" allowBlank="1" type="list">
      <formula1>='Vendors &amp; Crew'!$A$5:$A$34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1.xml><?xml version="1.0" encoding="utf-8"?>
<worksheet xmlns="http://schemas.openxmlformats.org/spreadsheetml/2006/main">
  <sheetPr>
    <tabColor rgb="004A86C8"/>
    <outlinePr summaryBelow="1" summaryRight="1"/>
    <pageSetUpPr fitToPage="1"/>
  </sheetPr>
  <dimension ref="A1:T10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20" customWidth="1" min="2" max="2"/>
    <col width="11" customWidth="1" min="3" max="3"/>
    <col width="10" customWidth="1" min="4" max="4"/>
    <col width="8" customWidth="1" min="5" max="5"/>
    <col width="12" customWidth="1" min="6" max="6"/>
    <col width="11" customWidth="1" min="7" max="7"/>
    <col width="13" customWidth="1" min="8" max="8"/>
    <col width="11" customWidth="1" min="9" max="9"/>
    <col width="13" customWidth="1" min="10" max="10"/>
    <col width="12" customWidth="1" min="11" max="11"/>
    <col width="13" customWidth="1" min="12" max="12"/>
    <col width="22" customWidth="1" min="13" max="13"/>
    <col width="26" customWidth="1" min="14" max="14"/>
    <col width="3" customWidth="1" min="15" max="15"/>
    <col width="22" customWidth="1" min="16" max="16"/>
    <col width="12" customWidth="1" min="17" max="17"/>
    <col width="14" customWidth="1" min="18" max="18"/>
    <col width="14" customWidth="1" min="19" max="19"/>
    <col width="12" customWidth="1" min="20" max="20"/>
    <col width="3" customWidth="1" min="21" max="21"/>
  </cols>
  <sheetData>
    <row r="1">
      <c r="A1" s="13" t="inlineStr">
        <is>
          <t>Timesheet</t>
        </is>
      </c>
    </row>
    <row r="2">
      <c r="A2" s="14" t="inlineStr">
        <is>
          <t>Crew hours by day and job. Rate Used comes from Vendors &amp; Crew unless you type an override. Log crew labor HERE (or in Job Costs), never both.</t>
        </is>
      </c>
      <c r="P2" s="3" t="inlineStr">
        <is>
          <t>WEEKLY PAYROLL SUMMARY</t>
        </is>
      </c>
    </row>
    <row r="3">
      <c r="P3" s="44" t="inlineStr">
        <is>
          <t>Week ending (Sunday)</t>
        </is>
      </c>
      <c r="Q3" s="40">
        <f>TODAY()-WEEKDAY(TODAY(),2)+7</f>
        <v/>
      </c>
      <c r="R3" s="14" t="inlineStr">
        <is>
          <t>← type any Sunday</t>
        </is>
      </c>
    </row>
    <row r="4" ht="30" customHeight="1">
      <c r="A4" s="24" t="inlineStr">
        <is>
          <t>Date</t>
        </is>
      </c>
      <c r="B4" s="24" t="inlineStr">
        <is>
          <t>Worker</t>
        </is>
      </c>
      <c r="C4" s="24" t="inlineStr">
        <is>
          <t>Job ID</t>
        </is>
      </c>
      <c r="D4" s="24" t="inlineStr">
        <is>
          <t>Cost Code</t>
        </is>
      </c>
      <c r="E4" s="24" t="inlineStr">
        <is>
          <t>Hours</t>
        </is>
      </c>
      <c r="F4" s="24" t="inlineStr">
        <is>
          <t>Cost Rate Override</t>
        </is>
      </c>
      <c r="G4" s="24" t="inlineStr">
        <is>
          <t>Rate Used</t>
        </is>
      </c>
      <c r="H4" s="24" t="inlineStr">
        <is>
          <t>Labor Cost (incl. burden)</t>
        </is>
      </c>
      <c r="I4" s="24" t="inlineStr">
        <is>
          <t>Bill Rate</t>
        </is>
      </c>
      <c r="J4" s="24" t="inlineStr">
        <is>
          <t>Billable Value</t>
        </is>
      </c>
      <c r="K4" s="24" t="inlineStr">
        <is>
          <t>Week Ending</t>
        </is>
      </c>
      <c r="L4" s="24" t="inlineStr">
        <is>
          <t>Category</t>
        </is>
      </c>
      <c r="M4" s="24" t="inlineStr">
        <is>
          <t>Check</t>
        </is>
      </c>
      <c r="N4" s="24" t="inlineStr">
        <is>
          <t>Notes</t>
        </is>
      </c>
      <c r="P4" s="24" t="inlineStr">
        <is>
          <t>Worker</t>
        </is>
      </c>
      <c r="Q4" s="24" t="inlineStr">
        <is>
          <t>Hours</t>
        </is>
      </c>
      <c r="R4" s="24" t="inlineStr">
        <is>
          <t>Labor cost</t>
        </is>
      </c>
      <c r="S4" s="24" t="inlineStr">
        <is>
          <t>Billable</t>
        </is>
      </c>
      <c r="T4" s="24" t="inlineStr">
        <is>
          <t>OT hours (&gt;40)</t>
        </is>
      </c>
    </row>
    <row r="5">
      <c r="A5" s="40" t="n"/>
      <c r="B5" s="35" t="n"/>
      <c r="C5" s="35" t="n"/>
      <c r="D5" s="35" t="n"/>
      <c r="E5" s="61" t="n"/>
      <c r="F5" s="37" t="n"/>
      <c r="G5" s="39">
        <f>IF(B5="","",IF(F5&lt;&gt;"",F5,IFERROR(VLOOKUP(B5,'Vendors &amp; Crew'!$A$5:$D$34,3,FALSE),0)))</f>
        <v/>
      </c>
      <c r="H5" s="39">
        <f>IF(B5="","",E5*G5*(1+Settings!$B$18))</f>
        <v/>
      </c>
      <c r="I5" s="39">
        <f>IF(B5="","",IFERROR(VLOOKUP(B5,'Vendors &amp; Crew'!$A$5:$D$34,4,FALSE),0))</f>
        <v/>
      </c>
      <c r="J5" s="39">
        <f>IF(B5="","",E5*I5)</f>
        <v/>
      </c>
      <c r="K5" s="59">
        <f>IF(A5="","",A5-WEEKDAY(A5,2)+7)</f>
        <v/>
      </c>
      <c r="L5" s="9">
        <f>IF(B5="","",IF(D5="","Labor",IFERROR(VLOOKUP(D5,Settings!$E$5:$G$28,3,FALSE),"Labor")))</f>
        <v/>
      </c>
      <c r="M5" s="9">
        <f>IF(B5="","",IF(COUNTIF('Vendors &amp; Crew'!$A$5:$A$34,B5)=0,"Worker not in Crew table",IF(C5="","Missing Job ID",IF(COUNTIF(Jobs!$A$5:$A$44,C5)=0,"Unknown Job ID",IF(E5="","Missing hours",IF(A5="","Missing date",""))))))</f>
        <v/>
      </c>
      <c r="N5" s="35" t="n"/>
      <c r="P5" s="9">
        <f>IF('Vendors &amp; Crew'!$A$5="","",'Vendors &amp; Crew'!$A$5)</f>
        <v/>
      </c>
      <c r="Q5" s="28">
        <f>IF(P5="","",SUMIFS(Timesheet!$E$5:$E$1004,Timesheet!$B$5:$B$1004,P5,Timesheet!$K$5:$K$1004,$Q$3))</f>
        <v/>
      </c>
      <c r="R5" s="39">
        <f>IF(P5="","",SUMIFS(Timesheet!$H$5:$H$1004,Timesheet!$B$5:$B$1004,P5,Timesheet!$K$5:$K$1004,$Q$3))</f>
        <v/>
      </c>
      <c r="S5" s="39">
        <f>IF(P5="","",SUMIFS(Timesheet!$J$5:$J$1004,Timesheet!$B$5:$B$1004,P5,Timesheet!$K$5:$K$1004,$Q$3))</f>
        <v/>
      </c>
      <c r="T5" s="28">
        <f>IF(P5="","",MAX(0,Q5-40))</f>
        <v/>
      </c>
    </row>
    <row r="6">
      <c r="A6" s="40" t="n"/>
      <c r="B6" s="35" t="n"/>
      <c r="C6" s="35" t="n"/>
      <c r="D6" s="35" t="n"/>
      <c r="E6" s="61" t="n"/>
      <c r="F6" s="37" t="n"/>
      <c r="G6" s="39">
        <f>IF(B6="","",IF(F6&lt;&gt;"",F6,IFERROR(VLOOKUP(B6,'Vendors &amp; Crew'!$A$5:$D$34,3,FALSE),0)))</f>
        <v/>
      </c>
      <c r="H6" s="39">
        <f>IF(B6="","",E6*G6*(1+Settings!$B$18))</f>
        <v/>
      </c>
      <c r="I6" s="39">
        <f>IF(B6="","",IFERROR(VLOOKUP(B6,'Vendors &amp; Crew'!$A$5:$D$34,4,FALSE),0))</f>
        <v/>
      </c>
      <c r="J6" s="39">
        <f>IF(B6="","",E6*I6)</f>
        <v/>
      </c>
      <c r="K6" s="59">
        <f>IF(A6="","",A6-WEEKDAY(A6,2)+7)</f>
        <v/>
      </c>
      <c r="L6" s="9">
        <f>IF(B6="","",IF(D6="","Labor",IFERROR(VLOOKUP(D6,Settings!$E$5:$G$28,3,FALSE),"Labor")))</f>
        <v/>
      </c>
      <c r="M6" s="9">
        <f>IF(B6="","",IF(COUNTIF('Vendors &amp; Crew'!$A$5:$A$34,B6)=0,"Worker not in Crew table",IF(C6="","Missing Job ID",IF(COUNTIF(Jobs!$A$5:$A$44,C6)=0,"Unknown Job ID",IF(E6="","Missing hours",IF(A6="","Missing date",""))))))</f>
        <v/>
      </c>
      <c r="N6" s="35" t="n"/>
      <c r="P6" s="9">
        <f>IF('Vendors &amp; Crew'!$A$6="","",'Vendors &amp; Crew'!$A$6)</f>
        <v/>
      </c>
      <c r="Q6" s="28">
        <f>IF(P6="","",SUMIFS(Timesheet!$E$5:$E$1004,Timesheet!$B$5:$B$1004,P6,Timesheet!$K$5:$K$1004,$Q$3))</f>
        <v/>
      </c>
      <c r="R6" s="39">
        <f>IF(P6="","",SUMIFS(Timesheet!$H$5:$H$1004,Timesheet!$B$5:$B$1004,P6,Timesheet!$K$5:$K$1004,$Q$3))</f>
        <v/>
      </c>
      <c r="S6" s="39">
        <f>IF(P6="","",SUMIFS(Timesheet!$J$5:$J$1004,Timesheet!$B$5:$B$1004,P6,Timesheet!$K$5:$K$1004,$Q$3))</f>
        <v/>
      </c>
      <c r="T6" s="28">
        <f>IF(P6="","",MAX(0,Q6-40))</f>
        <v/>
      </c>
    </row>
    <row r="7">
      <c r="A7" s="40" t="n"/>
      <c r="B7" s="35" t="n"/>
      <c r="C7" s="35" t="n"/>
      <c r="D7" s="35" t="n"/>
      <c r="E7" s="61" t="n"/>
      <c r="F7" s="37" t="n"/>
      <c r="G7" s="39">
        <f>IF(B7="","",IF(F7&lt;&gt;"",F7,IFERROR(VLOOKUP(B7,'Vendors &amp; Crew'!$A$5:$D$34,3,FALSE),0)))</f>
        <v/>
      </c>
      <c r="H7" s="39">
        <f>IF(B7="","",E7*G7*(1+Settings!$B$18))</f>
        <v/>
      </c>
      <c r="I7" s="39">
        <f>IF(B7="","",IFERROR(VLOOKUP(B7,'Vendors &amp; Crew'!$A$5:$D$34,4,FALSE),0))</f>
        <v/>
      </c>
      <c r="J7" s="39">
        <f>IF(B7="","",E7*I7)</f>
        <v/>
      </c>
      <c r="K7" s="59">
        <f>IF(A7="","",A7-WEEKDAY(A7,2)+7)</f>
        <v/>
      </c>
      <c r="L7" s="9">
        <f>IF(B7="","",IF(D7="","Labor",IFERROR(VLOOKUP(D7,Settings!$E$5:$G$28,3,FALSE),"Labor")))</f>
        <v/>
      </c>
      <c r="M7" s="9">
        <f>IF(B7="","",IF(COUNTIF('Vendors &amp; Crew'!$A$5:$A$34,B7)=0,"Worker not in Crew table",IF(C7="","Missing Job ID",IF(COUNTIF(Jobs!$A$5:$A$44,C7)=0,"Unknown Job ID",IF(E7="","Missing hours",IF(A7="","Missing date",""))))))</f>
        <v/>
      </c>
      <c r="N7" s="35" t="n"/>
      <c r="P7" s="9">
        <f>IF('Vendors &amp; Crew'!$A$7="","",'Vendors &amp; Crew'!$A$7)</f>
        <v/>
      </c>
      <c r="Q7" s="28">
        <f>IF(P7="","",SUMIFS(Timesheet!$E$5:$E$1004,Timesheet!$B$5:$B$1004,P7,Timesheet!$K$5:$K$1004,$Q$3))</f>
        <v/>
      </c>
      <c r="R7" s="39">
        <f>IF(P7="","",SUMIFS(Timesheet!$H$5:$H$1004,Timesheet!$B$5:$B$1004,P7,Timesheet!$K$5:$K$1004,$Q$3))</f>
        <v/>
      </c>
      <c r="S7" s="39">
        <f>IF(P7="","",SUMIFS(Timesheet!$J$5:$J$1004,Timesheet!$B$5:$B$1004,P7,Timesheet!$K$5:$K$1004,$Q$3))</f>
        <v/>
      </c>
      <c r="T7" s="28">
        <f>IF(P7="","",MAX(0,Q7-40))</f>
        <v/>
      </c>
    </row>
    <row r="8">
      <c r="A8" s="40" t="n"/>
      <c r="B8" s="35" t="n"/>
      <c r="C8" s="35" t="n"/>
      <c r="D8" s="35" t="n"/>
      <c r="E8" s="61" t="n"/>
      <c r="F8" s="37" t="n"/>
      <c r="G8" s="39">
        <f>IF(B8="","",IF(F8&lt;&gt;"",F8,IFERROR(VLOOKUP(B8,'Vendors &amp; Crew'!$A$5:$D$34,3,FALSE),0)))</f>
        <v/>
      </c>
      <c r="H8" s="39">
        <f>IF(B8="","",E8*G8*(1+Settings!$B$18))</f>
        <v/>
      </c>
      <c r="I8" s="39">
        <f>IF(B8="","",IFERROR(VLOOKUP(B8,'Vendors &amp; Crew'!$A$5:$D$34,4,FALSE),0))</f>
        <v/>
      </c>
      <c r="J8" s="39">
        <f>IF(B8="","",E8*I8)</f>
        <v/>
      </c>
      <c r="K8" s="59">
        <f>IF(A8="","",A8-WEEKDAY(A8,2)+7)</f>
        <v/>
      </c>
      <c r="L8" s="9">
        <f>IF(B8="","",IF(D8="","Labor",IFERROR(VLOOKUP(D8,Settings!$E$5:$G$28,3,FALSE),"Labor")))</f>
        <v/>
      </c>
      <c r="M8" s="9">
        <f>IF(B8="","",IF(COUNTIF('Vendors &amp; Crew'!$A$5:$A$34,B8)=0,"Worker not in Crew table",IF(C8="","Missing Job ID",IF(COUNTIF(Jobs!$A$5:$A$44,C8)=0,"Unknown Job ID",IF(E8="","Missing hours",IF(A8="","Missing date",""))))))</f>
        <v/>
      </c>
      <c r="N8" s="35" t="n"/>
      <c r="P8" s="9">
        <f>IF('Vendors &amp; Crew'!$A$8="","",'Vendors &amp; Crew'!$A$8)</f>
        <v/>
      </c>
      <c r="Q8" s="28">
        <f>IF(P8="","",SUMIFS(Timesheet!$E$5:$E$1004,Timesheet!$B$5:$B$1004,P8,Timesheet!$K$5:$K$1004,$Q$3))</f>
        <v/>
      </c>
      <c r="R8" s="39">
        <f>IF(P8="","",SUMIFS(Timesheet!$H$5:$H$1004,Timesheet!$B$5:$B$1004,P8,Timesheet!$K$5:$K$1004,$Q$3))</f>
        <v/>
      </c>
      <c r="S8" s="39">
        <f>IF(P8="","",SUMIFS(Timesheet!$J$5:$J$1004,Timesheet!$B$5:$B$1004,P8,Timesheet!$K$5:$K$1004,$Q$3))</f>
        <v/>
      </c>
      <c r="T8" s="28">
        <f>IF(P8="","",MAX(0,Q8-40))</f>
        <v/>
      </c>
    </row>
    <row r="9">
      <c r="A9" s="40" t="n"/>
      <c r="B9" s="35" t="n"/>
      <c r="C9" s="35" t="n"/>
      <c r="D9" s="35" t="n"/>
      <c r="E9" s="61" t="n"/>
      <c r="F9" s="37" t="n"/>
      <c r="G9" s="39">
        <f>IF(B9="","",IF(F9&lt;&gt;"",F9,IFERROR(VLOOKUP(B9,'Vendors &amp; Crew'!$A$5:$D$34,3,FALSE),0)))</f>
        <v/>
      </c>
      <c r="H9" s="39">
        <f>IF(B9="","",E9*G9*(1+Settings!$B$18))</f>
        <v/>
      </c>
      <c r="I9" s="39">
        <f>IF(B9="","",IFERROR(VLOOKUP(B9,'Vendors &amp; Crew'!$A$5:$D$34,4,FALSE),0))</f>
        <v/>
      </c>
      <c r="J9" s="39">
        <f>IF(B9="","",E9*I9)</f>
        <v/>
      </c>
      <c r="K9" s="59">
        <f>IF(A9="","",A9-WEEKDAY(A9,2)+7)</f>
        <v/>
      </c>
      <c r="L9" s="9">
        <f>IF(B9="","",IF(D9="","Labor",IFERROR(VLOOKUP(D9,Settings!$E$5:$G$28,3,FALSE),"Labor")))</f>
        <v/>
      </c>
      <c r="M9" s="9">
        <f>IF(B9="","",IF(COUNTIF('Vendors &amp; Crew'!$A$5:$A$34,B9)=0,"Worker not in Crew table",IF(C9="","Missing Job ID",IF(COUNTIF(Jobs!$A$5:$A$44,C9)=0,"Unknown Job ID",IF(E9="","Missing hours",IF(A9="","Missing date",""))))))</f>
        <v/>
      </c>
      <c r="N9" s="35" t="n"/>
      <c r="P9" s="9">
        <f>IF('Vendors &amp; Crew'!$A$9="","",'Vendors &amp; Crew'!$A$9)</f>
        <v/>
      </c>
      <c r="Q9" s="28">
        <f>IF(P9="","",SUMIFS(Timesheet!$E$5:$E$1004,Timesheet!$B$5:$B$1004,P9,Timesheet!$K$5:$K$1004,$Q$3))</f>
        <v/>
      </c>
      <c r="R9" s="39">
        <f>IF(P9="","",SUMIFS(Timesheet!$H$5:$H$1004,Timesheet!$B$5:$B$1004,P9,Timesheet!$K$5:$K$1004,$Q$3))</f>
        <v/>
      </c>
      <c r="S9" s="39">
        <f>IF(P9="","",SUMIFS(Timesheet!$J$5:$J$1004,Timesheet!$B$5:$B$1004,P9,Timesheet!$K$5:$K$1004,$Q$3))</f>
        <v/>
      </c>
      <c r="T9" s="28">
        <f>IF(P9="","",MAX(0,Q9-40))</f>
        <v/>
      </c>
    </row>
    <row r="10">
      <c r="A10" s="40" t="n"/>
      <c r="B10" s="35" t="n"/>
      <c r="C10" s="35" t="n"/>
      <c r="D10" s="35" t="n"/>
      <c r="E10" s="61" t="n"/>
      <c r="F10" s="37" t="n"/>
      <c r="G10" s="39">
        <f>IF(B10="","",IF(F10&lt;&gt;"",F10,IFERROR(VLOOKUP(B10,'Vendors &amp; Crew'!$A$5:$D$34,3,FALSE),0)))</f>
        <v/>
      </c>
      <c r="H10" s="39">
        <f>IF(B10="","",E10*G10*(1+Settings!$B$18))</f>
        <v/>
      </c>
      <c r="I10" s="39">
        <f>IF(B10="","",IFERROR(VLOOKUP(B10,'Vendors &amp; Crew'!$A$5:$D$34,4,FALSE),0))</f>
        <v/>
      </c>
      <c r="J10" s="39">
        <f>IF(B10="","",E10*I10)</f>
        <v/>
      </c>
      <c r="K10" s="59">
        <f>IF(A10="","",A10-WEEKDAY(A10,2)+7)</f>
        <v/>
      </c>
      <c r="L10" s="9">
        <f>IF(B10="","",IF(D10="","Labor",IFERROR(VLOOKUP(D10,Settings!$E$5:$G$28,3,FALSE),"Labor")))</f>
        <v/>
      </c>
      <c r="M10" s="9">
        <f>IF(B10="","",IF(COUNTIF('Vendors &amp; Crew'!$A$5:$A$34,B10)=0,"Worker not in Crew table",IF(C10="","Missing Job ID",IF(COUNTIF(Jobs!$A$5:$A$44,C10)=0,"Unknown Job ID",IF(E10="","Missing hours",IF(A10="","Missing date",""))))))</f>
        <v/>
      </c>
      <c r="N10" s="35" t="n"/>
      <c r="P10" s="9">
        <f>IF('Vendors &amp; Crew'!$A$10="","",'Vendors &amp; Crew'!$A$10)</f>
        <v/>
      </c>
      <c r="Q10" s="28">
        <f>IF(P10="","",SUMIFS(Timesheet!$E$5:$E$1004,Timesheet!$B$5:$B$1004,P10,Timesheet!$K$5:$K$1004,$Q$3))</f>
        <v/>
      </c>
      <c r="R10" s="39">
        <f>IF(P10="","",SUMIFS(Timesheet!$H$5:$H$1004,Timesheet!$B$5:$B$1004,P10,Timesheet!$K$5:$K$1004,$Q$3))</f>
        <v/>
      </c>
      <c r="S10" s="39">
        <f>IF(P10="","",SUMIFS(Timesheet!$J$5:$J$1004,Timesheet!$B$5:$B$1004,P10,Timesheet!$K$5:$K$1004,$Q$3))</f>
        <v/>
      </c>
      <c r="T10" s="28">
        <f>IF(P10="","",MAX(0,Q10-40))</f>
        <v/>
      </c>
    </row>
    <row r="11">
      <c r="A11" s="40" t="n"/>
      <c r="B11" s="35" t="n"/>
      <c r="C11" s="35" t="n"/>
      <c r="D11" s="35" t="n"/>
      <c r="E11" s="61" t="n"/>
      <c r="F11" s="37" t="n"/>
      <c r="G11" s="39">
        <f>IF(B11="","",IF(F11&lt;&gt;"",F11,IFERROR(VLOOKUP(B11,'Vendors &amp; Crew'!$A$5:$D$34,3,FALSE),0)))</f>
        <v/>
      </c>
      <c r="H11" s="39">
        <f>IF(B11="","",E11*G11*(1+Settings!$B$18))</f>
        <v/>
      </c>
      <c r="I11" s="39">
        <f>IF(B11="","",IFERROR(VLOOKUP(B11,'Vendors &amp; Crew'!$A$5:$D$34,4,FALSE),0))</f>
        <v/>
      </c>
      <c r="J11" s="39">
        <f>IF(B11="","",E11*I11)</f>
        <v/>
      </c>
      <c r="K11" s="59">
        <f>IF(A11="","",A11-WEEKDAY(A11,2)+7)</f>
        <v/>
      </c>
      <c r="L11" s="9">
        <f>IF(B11="","",IF(D11="","Labor",IFERROR(VLOOKUP(D11,Settings!$E$5:$G$28,3,FALSE),"Labor")))</f>
        <v/>
      </c>
      <c r="M11" s="9">
        <f>IF(B11="","",IF(COUNTIF('Vendors &amp; Crew'!$A$5:$A$34,B11)=0,"Worker not in Crew table",IF(C11="","Missing Job ID",IF(COUNTIF(Jobs!$A$5:$A$44,C11)=0,"Unknown Job ID",IF(E11="","Missing hours",IF(A11="","Missing date",""))))))</f>
        <v/>
      </c>
      <c r="N11" s="35" t="n"/>
      <c r="P11" s="9">
        <f>IF('Vendors &amp; Crew'!$A$11="","",'Vendors &amp; Crew'!$A$11)</f>
        <v/>
      </c>
      <c r="Q11" s="28">
        <f>IF(P11="","",SUMIFS(Timesheet!$E$5:$E$1004,Timesheet!$B$5:$B$1004,P11,Timesheet!$K$5:$K$1004,$Q$3))</f>
        <v/>
      </c>
      <c r="R11" s="39">
        <f>IF(P11="","",SUMIFS(Timesheet!$H$5:$H$1004,Timesheet!$B$5:$B$1004,P11,Timesheet!$K$5:$K$1004,$Q$3))</f>
        <v/>
      </c>
      <c r="S11" s="39">
        <f>IF(P11="","",SUMIFS(Timesheet!$J$5:$J$1004,Timesheet!$B$5:$B$1004,P11,Timesheet!$K$5:$K$1004,$Q$3))</f>
        <v/>
      </c>
      <c r="T11" s="28">
        <f>IF(P11="","",MAX(0,Q11-40))</f>
        <v/>
      </c>
    </row>
    <row r="12">
      <c r="A12" s="40" t="n"/>
      <c r="B12" s="35" t="n"/>
      <c r="C12" s="35" t="n"/>
      <c r="D12" s="35" t="n"/>
      <c r="E12" s="61" t="n"/>
      <c r="F12" s="37" t="n"/>
      <c r="G12" s="39">
        <f>IF(B12="","",IF(F12&lt;&gt;"",F12,IFERROR(VLOOKUP(B12,'Vendors &amp; Crew'!$A$5:$D$34,3,FALSE),0)))</f>
        <v/>
      </c>
      <c r="H12" s="39">
        <f>IF(B12="","",E12*G12*(1+Settings!$B$18))</f>
        <v/>
      </c>
      <c r="I12" s="39">
        <f>IF(B12="","",IFERROR(VLOOKUP(B12,'Vendors &amp; Crew'!$A$5:$D$34,4,FALSE),0))</f>
        <v/>
      </c>
      <c r="J12" s="39">
        <f>IF(B12="","",E12*I12)</f>
        <v/>
      </c>
      <c r="K12" s="59">
        <f>IF(A12="","",A12-WEEKDAY(A12,2)+7)</f>
        <v/>
      </c>
      <c r="L12" s="9">
        <f>IF(B12="","",IF(D12="","Labor",IFERROR(VLOOKUP(D12,Settings!$E$5:$G$28,3,FALSE),"Labor")))</f>
        <v/>
      </c>
      <c r="M12" s="9">
        <f>IF(B12="","",IF(COUNTIF('Vendors &amp; Crew'!$A$5:$A$34,B12)=0,"Worker not in Crew table",IF(C12="","Missing Job ID",IF(COUNTIF(Jobs!$A$5:$A$44,C12)=0,"Unknown Job ID",IF(E12="","Missing hours",IF(A12="","Missing date",""))))))</f>
        <v/>
      </c>
      <c r="N12" s="35" t="n"/>
      <c r="P12" s="9">
        <f>IF('Vendors &amp; Crew'!$A$12="","",'Vendors &amp; Crew'!$A$12)</f>
        <v/>
      </c>
      <c r="Q12" s="28">
        <f>IF(P12="","",SUMIFS(Timesheet!$E$5:$E$1004,Timesheet!$B$5:$B$1004,P12,Timesheet!$K$5:$K$1004,$Q$3))</f>
        <v/>
      </c>
      <c r="R12" s="39">
        <f>IF(P12="","",SUMIFS(Timesheet!$H$5:$H$1004,Timesheet!$B$5:$B$1004,P12,Timesheet!$K$5:$K$1004,$Q$3))</f>
        <v/>
      </c>
      <c r="S12" s="39">
        <f>IF(P12="","",SUMIFS(Timesheet!$J$5:$J$1004,Timesheet!$B$5:$B$1004,P12,Timesheet!$K$5:$K$1004,$Q$3))</f>
        <v/>
      </c>
      <c r="T12" s="28">
        <f>IF(P12="","",MAX(0,Q12-40))</f>
        <v/>
      </c>
    </row>
    <row r="13">
      <c r="A13" s="40" t="n"/>
      <c r="B13" s="35" t="n"/>
      <c r="C13" s="35" t="n"/>
      <c r="D13" s="35" t="n"/>
      <c r="E13" s="61" t="n"/>
      <c r="F13" s="37" t="n"/>
      <c r="G13" s="39">
        <f>IF(B13="","",IF(F13&lt;&gt;"",F13,IFERROR(VLOOKUP(B13,'Vendors &amp; Crew'!$A$5:$D$34,3,FALSE),0)))</f>
        <v/>
      </c>
      <c r="H13" s="39">
        <f>IF(B13="","",E13*G13*(1+Settings!$B$18))</f>
        <v/>
      </c>
      <c r="I13" s="39">
        <f>IF(B13="","",IFERROR(VLOOKUP(B13,'Vendors &amp; Crew'!$A$5:$D$34,4,FALSE),0))</f>
        <v/>
      </c>
      <c r="J13" s="39">
        <f>IF(B13="","",E13*I13)</f>
        <v/>
      </c>
      <c r="K13" s="59">
        <f>IF(A13="","",A13-WEEKDAY(A13,2)+7)</f>
        <v/>
      </c>
      <c r="L13" s="9">
        <f>IF(B13="","",IF(D13="","Labor",IFERROR(VLOOKUP(D13,Settings!$E$5:$G$28,3,FALSE),"Labor")))</f>
        <v/>
      </c>
      <c r="M13" s="9">
        <f>IF(B13="","",IF(COUNTIF('Vendors &amp; Crew'!$A$5:$A$34,B13)=0,"Worker not in Crew table",IF(C13="","Missing Job ID",IF(COUNTIF(Jobs!$A$5:$A$44,C13)=0,"Unknown Job ID",IF(E13="","Missing hours",IF(A13="","Missing date",""))))))</f>
        <v/>
      </c>
      <c r="N13" s="35" t="n"/>
      <c r="P13" s="9">
        <f>IF('Vendors &amp; Crew'!$A$13="","",'Vendors &amp; Crew'!$A$13)</f>
        <v/>
      </c>
      <c r="Q13" s="28">
        <f>IF(P13="","",SUMIFS(Timesheet!$E$5:$E$1004,Timesheet!$B$5:$B$1004,P13,Timesheet!$K$5:$K$1004,$Q$3))</f>
        <v/>
      </c>
      <c r="R13" s="39">
        <f>IF(P13="","",SUMIFS(Timesheet!$H$5:$H$1004,Timesheet!$B$5:$B$1004,P13,Timesheet!$K$5:$K$1004,$Q$3))</f>
        <v/>
      </c>
      <c r="S13" s="39">
        <f>IF(P13="","",SUMIFS(Timesheet!$J$5:$J$1004,Timesheet!$B$5:$B$1004,P13,Timesheet!$K$5:$K$1004,$Q$3))</f>
        <v/>
      </c>
      <c r="T13" s="28">
        <f>IF(P13="","",MAX(0,Q13-40))</f>
        <v/>
      </c>
    </row>
    <row r="14">
      <c r="A14" s="40" t="n"/>
      <c r="B14" s="35" t="n"/>
      <c r="C14" s="35" t="n"/>
      <c r="D14" s="35" t="n"/>
      <c r="E14" s="61" t="n"/>
      <c r="F14" s="37" t="n"/>
      <c r="G14" s="39">
        <f>IF(B14="","",IF(F14&lt;&gt;"",F14,IFERROR(VLOOKUP(B14,'Vendors &amp; Crew'!$A$5:$D$34,3,FALSE),0)))</f>
        <v/>
      </c>
      <c r="H14" s="39">
        <f>IF(B14="","",E14*G14*(1+Settings!$B$18))</f>
        <v/>
      </c>
      <c r="I14" s="39">
        <f>IF(B14="","",IFERROR(VLOOKUP(B14,'Vendors &amp; Crew'!$A$5:$D$34,4,FALSE),0))</f>
        <v/>
      </c>
      <c r="J14" s="39">
        <f>IF(B14="","",E14*I14)</f>
        <v/>
      </c>
      <c r="K14" s="59">
        <f>IF(A14="","",A14-WEEKDAY(A14,2)+7)</f>
        <v/>
      </c>
      <c r="L14" s="9">
        <f>IF(B14="","",IF(D14="","Labor",IFERROR(VLOOKUP(D14,Settings!$E$5:$G$28,3,FALSE),"Labor")))</f>
        <v/>
      </c>
      <c r="M14" s="9">
        <f>IF(B14="","",IF(COUNTIF('Vendors &amp; Crew'!$A$5:$A$34,B14)=0,"Worker not in Crew table",IF(C14="","Missing Job ID",IF(COUNTIF(Jobs!$A$5:$A$44,C14)=0,"Unknown Job ID",IF(E14="","Missing hours",IF(A14="","Missing date",""))))))</f>
        <v/>
      </c>
      <c r="N14" s="35" t="n"/>
      <c r="P14" s="9">
        <f>IF('Vendors &amp; Crew'!$A$14="","",'Vendors &amp; Crew'!$A$14)</f>
        <v/>
      </c>
      <c r="Q14" s="28">
        <f>IF(P14="","",SUMIFS(Timesheet!$E$5:$E$1004,Timesheet!$B$5:$B$1004,P14,Timesheet!$K$5:$K$1004,$Q$3))</f>
        <v/>
      </c>
      <c r="R14" s="39">
        <f>IF(P14="","",SUMIFS(Timesheet!$H$5:$H$1004,Timesheet!$B$5:$B$1004,P14,Timesheet!$K$5:$K$1004,$Q$3))</f>
        <v/>
      </c>
      <c r="S14" s="39">
        <f>IF(P14="","",SUMIFS(Timesheet!$J$5:$J$1004,Timesheet!$B$5:$B$1004,P14,Timesheet!$K$5:$K$1004,$Q$3))</f>
        <v/>
      </c>
      <c r="T14" s="28">
        <f>IF(P14="","",MAX(0,Q14-40))</f>
        <v/>
      </c>
    </row>
    <row r="15">
      <c r="A15" s="40" t="n"/>
      <c r="B15" s="35" t="n"/>
      <c r="C15" s="35" t="n"/>
      <c r="D15" s="35" t="n"/>
      <c r="E15" s="61" t="n"/>
      <c r="F15" s="37" t="n"/>
      <c r="G15" s="39">
        <f>IF(B15="","",IF(F15&lt;&gt;"",F15,IFERROR(VLOOKUP(B15,'Vendors &amp; Crew'!$A$5:$D$34,3,FALSE),0)))</f>
        <v/>
      </c>
      <c r="H15" s="39">
        <f>IF(B15="","",E15*G15*(1+Settings!$B$18))</f>
        <v/>
      </c>
      <c r="I15" s="39">
        <f>IF(B15="","",IFERROR(VLOOKUP(B15,'Vendors &amp; Crew'!$A$5:$D$34,4,FALSE),0))</f>
        <v/>
      </c>
      <c r="J15" s="39">
        <f>IF(B15="","",E15*I15)</f>
        <v/>
      </c>
      <c r="K15" s="59">
        <f>IF(A15="","",A15-WEEKDAY(A15,2)+7)</f>
        <v/>
      </c>
      <c r="L15" s="9">
        <f>IF(B15="","",IF(D15="","Labor",IFERROR(VLOOKUP(D15,Settings!$E$5:$G$28,3,FALSE),"Labor")))</f>
        <v/>
      </c>
      <c r="M15" s="9">
        <f>IF(B15="","",IF(COUNTIF('Vendors &amp; Crew'!$A$5:$A$34,B15)=0,"Worker not in Crew table",IF(C15="","Missing Job ID",IF(COUNTIF(Jobs!$A$5:$A$44,C15)=0,"Unknown Job ID",IF(E15="","Missing hours",IF(A15="","Missing date",""))))))</f>
        <v/>
      </c>
      <c r="N15" s="35" t="n"/>
      <c r="P15" s="9">
        <f>IF('Vendors &amp; Crew'!$A$15="","",'Vendors &amp; Crew'!$A$15)</f>
        <v/>
      </c>
      <c r="Q15" s="28">
        <f>IF(P15="","",SUMIFS(Timesheet!$E$5:$E$1004,Timesheet!$B$5:$B$1004,P15,Timesheet!$K$5:$K$1004,$Q$3))</f>
        <v/>
      </c>
      <c r="R15" s="39">
        <f>IF(P15="","",SUMIFS(Timesheet!$H$5:$H$1004,Timesheet!$B$5:$B$1004,P15,Timesheet!$K$5:$K$1004,$Q$3))</f>
        <v/>
      </c>
      <c r="S15" s="39">
        <f>IF(P15="","",SUMIFS(Timesheet!$J$5:$J$1004,Timesheet!$B$5:$B$1004,P15,Timesheet!$K$5:$K$1004,$Q$3))</f>
        <v/>
      </c>
      <c r="T15" s="28">
        <f>IF(P15="","",MAX(0,Q15-40))</f>
        <v/>
      </c>
    </row>
    <row r="16">
      <c r="A16" s="40" t="n"/>
      <c r="B16" s="35" t="n"/>
      <c r="C16" s="35" t="n"/>
      <c r="D16" s="35" t="n"/>
      <c r="E16" s="61" t="n"/>
      <c r="F16" s="37" t="n"/>
      <c r="G16" s="39">
        <f>IF(B16="","",IF(F16&lt;&gt;"",F16,IFERROR(VLOOKUP(B16,'Vendors &amp; Crew'!$A$5:$D$34,3,FALSE),0)))</f>
        <v/>
      </c>
      <c r="H16" s="39">
        <f>IF(B16="","",E16*G16*(1+Settings!$B$18))</f>
        <v/>
      </c>
      <c r="I16" s="39">
        <f>IF(B16="","",IFERROR(VLOOKUP(B16,'Vendors &amp; Crew'!$A$5:$D$34,4,FALSE),0))</f>
        <v/>
      </c>
      <c r="J16" s="39">
        <f>IF(B16="","",E16*I16)</f>
        <v/>
      </c>
      <c r="K16" s="59">
        <f>IF(A16="","",A16-WEEKDAY(A16,2)+7)</f>
        <v/>
      </c>
      <c r="L16" s="9">
        <f>IF(B16="","",IF(D16="","Labor",IFERROR(VLOOKUP(D16,Settings!$E$5:$G$28,3,FALSE),"Labor")))</f>
        <v/>
      </c>
      <c r="M16" s="9">
        <f>IF(B16="","",IF(COUNTIF('Vendors &amp; Crew'!$A$5:$A$34,B16)=0,"Worker not in Crew table",IF(C16="","Missing Job ID",IF(COUNTIF(Jobs!$A$5:$A$44,C16)=0,"Unknown Job ID",IF(E16="","Missing hours",IF(A16="","Missing date",""))))))</f>
        <v/>
      </c>
      <c r="N16" s="35" t="n"/>
      <c r="P16" s="9">
        <f>IF('Vendors &amp; Crew'!$A$16="","",'Vendors &amp; Crew'!$A$16)</f>
        <v/>
      </c>
      <c r="Q16" s="28">
        <f>IF(P16="","",SUMIFS(Timesheet!$E$5:$E$1004,Timesheet!$B$5:$B$1004,P16,Timesheet!$K$5:$K$1004,$Q$3))</f>
        <v/>
      </c>
      <c r="R16" s="39">
        <f>IF(P16="","",SUMIFS(Timesheet!$H$5:$H$1004,Timesheet!$B$5:$B$1004,P16,Timesheet!$K$5:$K$1004,$Q$3))</f>
        <v/>
      </c>
      <c r="S16" s="39">
        <f>IF(P16="","",SUMIFS(Timesheet!$J$5:$J$1004,Timesheet!$B$5:$B$1004,P16,Timesheet!$K$5:$K$1004,$Q$3))</f>
        <v/>
      </c>
      <c r="T16" s="28">
        <f>IF(P16="","",MAX(0,Q16-40))</f>
        <v/>
      </c>
    </row>
    <row r="17">
      <c r="A17" s="40" t="n"/>
      <c r="B17" s="35" t="n"/>
      <c r="C17" s="35" t="n"/>
      <c r="D17" s="35" t="n"/>
      <c r="E17" s="61" t="n"/>
      <c r="F17" s="37" t="n"/>
      <c r="G17" s="39">
        <f>IF(B17="","",IF(F17&lt;&gt;"",F17,IFERROR(VLOOKUP(B17,'Vendors &amp; Crew'!$A$5:$D$34,3,FALSE),0)))</f>
        <v/>
      </c>
      <c r="H17" s="39">
        <f>IF(B17="","",E17*G17*(1+Settings!$B$18))</f>
        <v/>
      </c>
      <c r="I17" s="39">
        <f>IF(B17="","",IFERROR(VLOOKUP(B17,'Vendors &amp; Crew'!$A$5:$D$34,4,FALSE),0))</f>
        <v/>
      </c>
      <c r="J17" s="39">
        <f>IF(B17="","",E17*I17)</f>
        <v/>
      </c>
      <c r="K17" s="59">
        <f>IF(A17="","",A17-WEEKDAY(A17,2)+7)</f>
        <v/>
      </c>
      <c r="L17" s="9">
        <f>IF(B17="","",IF(D17="","Labor",IFERROR(VLOOKUP(D17,Settings!$E$5:$G$28,3,FALSE),"Labor")))</f>
        <v/>
      </c>
      <c r="M17" s="9">
        <f>IF(B17="","",IF(COUNTIF('Vendors &amp; Crew'!$A$5:$A$34,B17)=0,"Worker not in Crew table",IF(C17="","Missing Job ID",IF(COUNTIF(Jobs!$A$5:$A$44,C17)=0,"Unknown Job ID",IF(E17="","Missing hours",IF(A17="","Missing date",""))))))</f>
        <v/>
      </c>
      <c r="N17" s="35" t="n"/>
      <c r="P17" s="9">
        <f>IF('Vendors &amp; Crew'!$A$17="","",'Vendors &amp; Crew'!$A$17)</f>
        <v/>
      </c>
      <c r="Q17" s="28">
        <f>IF(P17="","",SUMIFS(Timesheet!$E$5:$E$1004,Timesheet!$B$5:$B$1004,P17,Timesheet!$K$5:$K$1004,$Q$3))</f>
        <v/>
      </c>
      <c r="R17" s="39">
        <f>IF(P17="","",SUMIFS(Timesheet!$H$5:$H$1004,Timesheet!$B$5:$B$1004,P17,Timesheet!$K$5:$K$1004,$Q$3))</f>
        <v/>
      </c>
      <c r="S17" s="39">
        <f>IF(P17="","",SUMIFS(Timesheet!$J$5:$J$1004,Timesheet!$B$5:$B$1004,P17,Timesheet!$K$5:$K$1004,$Q$3))</f>
        <v/>
      </c>
      <c r="T17" s="28">
        <f>IF(P17="","",MAX(0,Q17-40))</f>
        <v/>
      </c>
    </row>
    <row r="18">
      <c r="A18" s="40" t="n"/>
      <c r="B18" s="35" t="n"/>
      <c r="C18" s="35" t="n"/>
      <c r="D18" s="35" t="n"/>
      <c r="E18" s="61" t="n"/>
      <c r="F18" s="37" t="n"/>
      <c r="G18" s="39">
        <f>IF(B18="","",IF(F18&lt;&gt;"",F18,IFERROR(VLOOKUP(B18,'Vendors &amp; Crew'!$A$5:$D$34,3,FALSE),0)))</f>
        <v/>
      </c>
      <c r="H18" s="39">
        <f>IF(B18="","",E18*G18*(1+Settings!$B$18))</f>
        <v/>
      </c>
      <c r="I18" s="39">
        <f>IF(B18="","",IFERROR(VLOOKUP(B18,'Vendors &amp; Crew'!$A$5:$D$34,4,FALSE),0))</f>
        <v/>
      </c>
      <c r="J18" s="39">
        <f>IF(B18="","",E18*I18)</f>
        <v/>
      </c>
      <c r="K18" s="59">
        <f>IF(A18="","",A18-WEEKDAY(A18,2)+7)</f>
        <v/>
      </c>
      <c r="L18" s="9">
        <f>IF(B18="","",IF(D18="","Labor",IFERROR(VLOOKUP(D18,Settings!$E$5:$G$28,3,FALSE),"Labor")))</f>
        <v/>
      </c>
      <c r="M18" s="9">
        <f>IF(B18="","",IF(COUNTIF('Vendors &amp; Crew'!$A$5:$A$34,B18)=0,"Worker not in Crew table",IF(C18="","Missing Job ID",IF(COUNTIF(Jobs!$A$5:$A$44,C18)=0,"Unknown Job ID",IF(E18="","Missing hours",IF(A18="","Missing date",""))))))</f>
        <v/>
      </c>
      <c r="N18" s="35" t="n"/>
      <c r="P18" s="9">
        <f>IF('Vendors &amp; Crew'!$A$18="","",'Vendors &amp; Crew'!$A$18)</f>
        <v/>
      </c>
      <c r="Q18" s="28">
        <f>IF(P18="","",SUMIFS(Timesheet!$E$5:$E$1004,Timesheet!$B$5:$B$1004,P18,Timesheet!$K$5:$K$1004,$Q$3))</f>
        <v/>
      </c>
      <c r="R18" s="39">
        <f>IF(P18="","",SUMIFS(Timesheet!$H$5:$H$1004,Timesheet!$B$5:$B$1004,P18,Timesheet!$K$5:$K$1004,$Q$3))</f>
        <v/>
      </c>
      <c r="S18" s="39">
        <f>IF(P18="","",SUMIFS(Timesheet!$J$5:$J$1004,Timesheet!$B$5:$B$1004,P18,Timesheet!$K$5:$K$1004,$Q$3))</f>
        <v/>
      </c>
      <c r="T18" s="28">
        <f>IF(P18="","",MAX(0,Q18-40))</f>
        <v/>
      </c>
    </row>
    <row r="19">
      <c r="A19" s="40" t="n"/>
      <c r="B19" s="35" t="n"/>
      <c r="C19" s="35" t="n"/>
      <c r="D19" s="35" t="n"/>
      <c r="E19" s="61" t="n"/>
      <c r="F19" s="37" t="n"/>
      <c r="G19" s="39">
        <f>IF(B19="","",IF(F19&lt;&gt;"",F19,IFERROR(VLOOKUP(B19,'Vendors &amp; Crew'!$A$5:$D$34,3,FALSE),0)))</f>
        <v/>
      </c>
      <c r="H19" s="39">
        <f>IF(B19="","",E19*G19*(1+Settings!$B$18))</f>
        <v/>
      </c>
      <c r="I19" s="39">
        <f>IF(B19="","",IFERROR(VLOOKUP(B19,'Vendors &amp; Crew'!$A$5:$D$34,4,FALSE),0))</f>
        <v/>
      </c>
      <c r="J19" s="39">
        <f>IF(B19="","",E19*I19)</f>
        <v/>
      </c>
      <c r="K19" s="59">
        <f>IF(A19="","",A19-WEEKDAY(A19,2)+7)</f>
        <v/>
      </c>
      <c r="L19" s="9">
        <f>IF(B19="","",IF(D19="","Labor",IFERROR(VLOOKUP(D19,Settings!$E$5:$G$28,3,FALSE),"Labor")))</f>
        <v/>
      </c>
      <c r="M19" s="9">
        <f>IF(B19="","",IF(COUNTIF('Vendors &amp; Crew'!$A$5:$A$34,B19)=0,"Worker not in Crew table",IF(C19="","Missing Job ID",IF(COUNTIF(Jobs!$A$5:$A$44,C19)=0,"Unknown Job ID",IF(E19="","Missing hours",IF(A19="","Missing date",""))))))</f>
        <v/>
      </c>
      <c r="N19" s="35" t="n"/>
      <c r="P19" s="9">
        <f>IF('Vendors &amp; Crew'!$A$19="","",'Vendors &amp; Crew'!$A$19)</f>
        <v/>
      </c>
      <c r="Q19" s="28">
        <f>IF(P19="","",SUMIFS(Timesheet!$E$5:$E$1004,Timesheet!$B$5:$B$1004,P19,Timesheet!$K$5:$K$1004,$Q$3))</f>
        <v/>
      </c>
      <c r="R19" s="39">
        <f>IF(P19="","",SUMIFS(Timesheet!$H$5:$H$1004,Timesheet!$B$5:$B$1004,P19,Timesheet!$K$5:$K$1004,$Q$3))</f>
        <v/>
      </c>
      <c r="S19" s="39">
        <f>IF(P19="","",SUMIFS(Timesheet!$J$5:$J$1004,Timesheet!$B$5:$B$1004,P19,Timesheet!$K$5:$K$1004,$Q$3))</f>
        <v/>
      </c>
      <c r="T19" s="28">
        <f>IF(P19="","",MAX(0,Q19-40))</f>
        <v/>
      </c>
    </row>
    <row r="20">
      <c r="A20" s="40" t="n"/>
      <c r="B20" s="35" t="n"/>
      <c r="C20" s="35" t="n"/>
      <c r="D20" s="35" t="n"/>
      <c r="E20" s="61" t="n"/>
      <c r="F20" s="37" t="n"/>
      <c r="G20" s="39">
        <f>IF(B20="","",IF(F20&lt;&gt;"",F20,IFERROR(VLOOKUP(B20,'Vendors &amp; Crew'!$A$5:$D$34,3,FALSE),0)))</f>
        <v/>
      </c>
      <c r="H20" s="39">
        <f>IF(B20="","",E20*G20*(1+Settings!$B$18))</f>
        <v/>
      </c>
      <c r="I20" s="39">
        <f>IF(B20="","",IFERROR(VLOOKUP(B20,'Vendors &amp; Crew'!$A$5:$D$34,4,FALSE),0))</f>
        <v/>
      </c>
      <c r="J20" s="39">
        <f>IF(B20="","",E20*I20)</f>
        <v/>
      </c>
      <c r="K20" s="59">
        <f>IF(A20="","",A20-WEEKDAY(A20,2)+7)</f>
        <v/>
      </c>
      <c r="L20" s="9">
        <f>IF(B20="","",IF(D20="","Labor",IFERROR(VLOOKUP(D20,Settings!$E$5:$G$28,3,FALSE),"Labor")))</f>
        <v/>
      </c>
      <c r="M20" s="9">
        <f>IF(B20="","",IF(COUNTIF('Vendors &amp; Crew'!$A$5:$A$34,B20)=0,"Worker not in Crew table",IF(C20="","Missing Job ID",IF(COUNTIF(Jobs!$A$5:$A$44,C20)=0,"Unknown Job ID",IF(E20="","Missing hours",IF(A20="","Missing date",""))))))</f>
        <v/>
      </c>
      <c r="N20" s="35" t="n"/>
      <c r="P20" s="9">
        <f>IF('Vendors &amp; Crew'!$A$20="","",'Vendors &amp; Crew'!$A$20)</f>
        <v/>
      </c>
      <c r="Q20" s="28">
        <f>IF(P20="","",SUMIFS(Timesheet!$E$5:$E$1004,Timesheet!$B$5:$B$1004,P20,Timesheet!$K$5:$K$1004,$Q$3))</f>
        <v/>
      </c>
      <c r="R20" s="39">
        <f>IF(P20="","",SUMIFS(Timesheet!$H$5:$H$1004,Timesheet!$B$5:$B$1004,P20,Timesheet!$K$5:$K$1004,$Q$3))</f>
        <v/>
      </c>
      <c r="S20" s="39">
        <f>IF(P20="","",SUMIFS(Timesheet!$J$5:$J$1004,Timesheet!$B$5:$B$1004,P20,Timesheet!$K$5:$K$1004,$Q$3))</f>
        <v/>
      </c>
      <c r="T20" s="28">
        <f>IF(P20="","",MAX(0,Q20-40))</f>
        <v/>
      </c>
    </row>
    <row r="21">
      <c r="A21" s="40" t="n"/>
      <c r="B21" s="35" t="n"/>
      <c r="C21" s="35" t="n"/>
      <c r="D21" s="35" t="n"/>
      <c r="E21" s="61" t="n"/>
      <c r="F21" s="37" t="n"/>
      <c r="G21" s="39">
        <f>IF(B21="","",IF(F21&lt;&gt;"",F21,IFERROR(VLOOKUP(B21,'Vendors &amp; Crew'!$A$5:$D$34,3,FALSE),0)))</f>
        <v/>
      </c>
      <c r="H21" s="39">
        <f>IF(B21="","",E21*G21*(1+Settings!$B$18))</f>
        <v/>
      </c>
      <c r="I21" s="39">
        <f>IF(B21="","",IFERROR(VLOOKUP(B21,'Vendors &amp; Crew'!$A$5:$D$34,4,FALSE),0))</f>
        <v/>
      </c>
      <c r="J21" s="39">
        <f>IF(B21="","",E21*I21)</f>
        <v/>
      </c>
      <c r="K21" s="59">
        <f>IF(A21="","",A21-WEEKDAY(A21,2)+7)</f>
        <v/>
      </c>
      <c r="L21" s="9">
        <f>IF(B21="","",IF(D21="","Labor",IFERROR(VLOOKUP(D21,Settings!$E$5:$G$28,3,FALSE),"Labor")))</f>
        <v/>
      </c>
      <c r="M21" s="9">
        <f>IF(B21="","",IF(COUNTIF('Vendors &amp; Crew'!$A$5:$A$34,B21)=0,"Worker not in Crew table",IF(C21="","Missing Job ID",IF(COUNTIF(Jobs!$A$5:$A$44,C21)=0,"Unknown Job ID",IF(E21="","Missing hours",IF(A21="","Missing date",""))))))</f>
        <v/>
      </c>
      <c r="N21" s="35" t="n"/>
      <c r="P21" s="9">
        <f>IF('Vendors &amp; Crew'!$A$21="","",'Vendors &amp; Crew'!$A$21)</f>
        <v/>
      </c>
      <c r="Q21" s="28">
        <f>IF(P21="","",SUMIFS(Timesheet!$E$5:$E$1004,Timesheet!$B$5:$B$1004,P21,Timesheet!$K$5:$K$1004,$Q$3))</f>
        <v/>
      </c>
      <c r="R21" s="39">
        <f>IF(P21="","",SUMIFS(Timesheet!$H$5:$H$1004,Timesheet!$B$5:$B$1004,P21,Timesheet!$K$5:$K$1004,$Q$3))</f>
        <v/>
      </c>
      <c r="S21" s="39">
        <f>IF(P21="","",SUMIFS(Timesheet!$J$5:$J$1004,Timesheet!$B$5:$B$1004,P21,Timesheet!$K$5:$K$1004,$Q$3))</f>
        <v/>
      </c>
      <c r="T21" s="28">
        <f>IF(P21="","",MAX(0,Q21-40))</f>
        <v/>
      </c>
    </row>
    <row r="22">
      <c r="A22" s="40" t="n"/>
      <c r="B22" s="35" t="n"/>
      <c r="C22" s="35" t="n"/>
      <c r="D22" s="35" t="n"/>
      <c r="E22" s="61" t="n"/>
      <c r="F22" s="37" t="n"/>
      <c r="G22" s="39">
        <f>IF(B22="","",IF(F22&lt;&gt;"",F22,IFERROR(VLOOKUP(B22,'Vendors &amp; Crew'!$A$5:$D$34,3,FALSE),0)))</f>
        <v/>
      </c>
      <c r="H22" s="39">
        <f>IF(B22="","",E22*G22*(1+Settings!$B$18))</f>
        <v/>
      </c>
      <c r="I22" s="39">
        <f>IF(B22="","",IFERROR(VLOOKUP(B22,'Vendors &amp; Crew'!$A$5:$D$34,4,FALSE),0))</f>
        <v/>
      </c>
      <c r="J22" s="39">
        <f>IF(B22="","",E22*I22)</f>
        <v/>
      </c>
      <c r="K22" s="59">
        <f>IF(A22="","",A22-WEEKDAY(A22,2)+7)</f>
        <v/>
      </c>
      <c r="L22" s="9">
        <f>IF(B22="","",IF(D22="","Labor",IFERROR(VLOOKUP(D22,Settings!$E$5:$G$28,3,FALSE),"Labor")))</f>
        <v/>
      </c>
      <c r="M22" s="9">
        <f>IF(B22="","",IF(COUNTIF('Vendors &amp; Crew'!$A$5:$A$34,B22)=0,"Worker not in Crew table",IF(C22="","Missing Job ID",IF(COUNTIF(Jobs!$A$5:$A$44,C22)=0,"Unknown Job ID",IF(E22="","Missing hours",IF(A22="","Missing date",""))))))</f>
        <v/>
      </c>
      <c r="N22" s="35" t="n"/>
      <c r="P22" s="9">
        <f>IF('Vendors &amp; Crew'!$A$22="","",'Vendors &amp; Crew'!$A$22)</f>
        <v/>
      </c>
      <c r="Q22" s="28">
        <f>IF(P22="","",SUMIFS(Timesheet!$E$5:$E$1004,Timesheet!$B$5:$B$1004,P22,Timesheet!$K$5:$K$1004,$Q$3))</f>
        <v/>
      </c>
      <c r="R22" s="39">
        <f>IF(P22="","",SUMIFS(Timesheet!$H$5:$H$1004,Timesheet!$B$5:$B$1004,P22,Timesheet!$K$5:$K$1004,$Q$3))</f>
        <v/>
      </c>
      <c r="S22" s="39">
        <f>IF(P22="","",SUMIFS(Timesheet!$J$5:$J$1004,Timesheet!$B$5:$B$1004,P22,Timesheet!$K$5:$K$1004,$Q$3))</f>
        <v/>
      </c>
      <c r="T22" s="28">
        <f>IF(P22="","",MAX(0,Q22-40))</f>
        <v/>
      </c>
    </row>
    <row r="23">
      <c r="A23" s="40" t="n"/>
      <c r="B23" s="35" t="n"/>
      <c r="C23" s="35" t="n"/>
      <c r="D23" s="35" t="n"/>
      <c r="E23" s="61" t="n"/>
      <c r="F23" s="37" t="n"/>
      <c r="G23" s="39">
        <f>IF(B23="","",IF(F23&lt;&gt;"",F23,IFERROR(VLOOKUP(B23,'Vendors &amp; Crew'!$A$5:$D$34,3,FALSE),0)))</f>
        <v/>
      </c>
      <c r="H23" s="39">
        <f>IF(B23="","",E23*G23*(1+Settings!$B$18))</f>
        <v/>
      </c>
      <c r="I23" s="39">
        <f>IF(B23="","",IFERROR(VLOOKUP(B23,'Vendors &amp; Crew'!$A$5:$D$34,4,FALSE),0))</f>
        <v/>
      </c>
      <c r="J23" s="39">
        <f>IF(B23="","",E23*I23)</f>
        <v/>
      </c>
      <c r="K23" s="59">
        <f>IF(A23="","",A23-WEEKDAY(A23,2)+7)</f>
        <v/>
      </c>
      <c r="L23" s="9">
        <f>IF(B23="","",IF(D23="","Labor",IFERROR(VLOOKUP(D23,Settings!$E$5:$G$28,3,FALSE),"Labor")))</f>
        <v/>
      </c>
      <c r="M23" s="9">
        <f>IF(B23="","",IF(COUNTIF('Vendors &amp; Crew'!$A$5:$A$34,B23)=0,"Worker not in Crew table",IF(C23="","Missing Job ID",IF(COUNTIF(Jobs!$A$5:$A$44,C23)=0,"Unknown Job ID",IF(E23="","Missing hours",IF(A23="","Missing date",""))))))</f>
        <v/>
      </c>
      <c r="N23" s="35" t="n"/>
      <c r="P23" s="9">
        <f>IF('Vendors &amp; Crew'!$A$23="","",'Vendors &amp; Crew'!$A$23)</f>
        <v/>
      </c>
      <c r="Q23" s="28">
        <f>IF(P23="","",SUMIFS(Timesheet!$E$5:$E$1004,Timesheet!$B$5:$B$1004,P23,Timesheet!$K$5:$K$1004,$Q$3))</f>
        <v/>
      </c>
      <c r="R23" s="39">
        <f>IF(P23="","",SUMIFS(Timesheet!$H$5:$H$1004,Timesheet!$B$5:$B$1004,P23,Timesheet!$K$5:$K$1004,$Q$3))</f>
        <v/>
      </c>
      <c r="S23" s="39">
        <f>IF(P23="","",SUMIFS(Timesheet!$J$5:$J$1004,Timesheet!$B$5:$B$1004,P23,Timesheet!$K$5:$K$1004,$Q$3))</f>
        <v/>
      </c>
      <c r="T23" s="28">
        <f>IF(P23="","",MAX(0,Q23-40))</f>
        <v/>
      </c>
    </row>
    <row r="24">
      <c r="A24" s="40" t="n"/>
      <c r="B24" s="35" t="n"/>
      <c r="C24" s="35" t="n"/>
      <c r="D24" s="35" t="n"/>
      <c r="E24" s="61" t="n"/>
      <c r="F24" s="37" t="n"/>
      <c r="G24" s="39">
        <f>IF(B24="","",IF(F24&lt;&gt;"",F24,IFERROR(VLOOKUP(B24,'Vendors &amp; Crew'!$A$5:$D$34,3,FALSE),0)))</f>
        <v/>
      </c>
      <c r="H24" s="39">
        <f>IF(B24="","",E24*G24*(1+Settings!$B$18))</f>
        <v/>
      </c>
      <c r="I24" s="39">
        <f>IF(B24="","",IFERROR(VLOOKUP(B24,'Vendors &amp; Crew'!$A$5:$D$34,4,FALSE),0))</f>
        <v/>
      </c>
      <c r="J24" s="39">
        <f>IF(B24="","",E24*I24)</f>
        <v/>
      </c>
      <c r="K24" s="59">
        <f>IF(A24="","",A24-WEEKDAY(A24,2)+7)</f>
        <v/>
      </c>
      <c r="L24" s="9">
        <f>IF(B24="","",IF(D24="","Labor",IFERROR(VLOOKUP(D24,Settings!$E$5:$G$28,3,FALSE),"Labor")))</f>
        <v/>
      </c>
      <c r="M24" s="9">
        <f>IF(B24="","",IF(COUNTIF('Vendors &amp; Crew'!$A$5:$A$34,B24)=0,"Worker not in Crew table",IF(C24="","Missing Job ID",IF(COUNTIF(Jobs!$A$5:$A$44,C24)=0,"Unknown Job ID",IF(E24="","Missing hours",IF(A24="","Missing date",""))))))</f>
        <v/>
      </c>
      <c r="N24" s="35" t="n"/>
      <c r="P24" s="9">
        <f>IF('Vendors &amp; Crew'!$A$24="","",'Vendors &amp; Crew'!$A$24)</f>
        <v/>
      </c>
      <c r="Q24" s="28">
        <f>IF(P24="","",SUMIFS(Timesheet!$E$5:$E$1004,Timesheet!$B$5:$B$1004,P24,Timesheet!$K$5:$K$1004,$Q$3))</f>
        <v/>
      </c>
      <c r="R24" s="39">
        <f>IF(P24="","",SUMIFS(Timesheet!$H$5:$H$1004,Timesheet!$B$5:$B$1004,P24,Timesheet!$K$5:$K$1004,$Q$3))</f>
        <v/>
      </c>
      <c r="S24" s="39">
        <f>IF(P24="","",SUMIFS(Timesheet!$J$5:$J$1004,Timesheet!$B$5:$B$1004,P24,Timesheet!$K$5:$K$1004,$Q$3))</f>
        <v/>
      </c>
      <c r="T24" s="28">
        <f>IF(P24="","",MAX(0,Q24-40))</f>
        <v/>
      </c>
    </row>
    <row r="25">
      <c r="A25" s="40" t="n"/>
      <c r="B25" s="35" t="n"/>
      <c r="C25" s="35" t="n"/>
      <c r="D25" s="35" t="n"/>
      <c r="E25" s="61" t="n"/>
      <c r="F25" s="37" t="n"/>
      <c r="G25" s="39">
        <f>IF(B25="","",IF(F25&lt;&gt;"",F25,IFERROR(VLOOKUP(B25,'Vendors &amp; Crew'!$A$5:$D$34,3,FALSE),0)))</f>
        <v/>
      </c>
      <c r="H25" s="39">
        <f>IF(B25="","",E25*G25*(1+Settings!$B$18))</f>
        <v/>
      </c>
      <c r="I25" s="39">
        <f>IF(B25="","",IFERROR(VLOOKUP(B25,'Vendors &amp; Crew'!$A$5:$D$34,4,FALSE),0))</f>
        <v/>
      </c>
      <c r="J25" s="39">
        <f>IF(B25="","",E25*I25)</f>
        <v/>
      </c>
      <c r="K25" s="59">
        <f>IF(A25="","",A25-WEEKDAY(A25,2)+7)</f>
        <v/>
      </c>
      <c r="L25" s="9">
        <f>IF(B25="","",IF(D25="","Labor",IFERROR(VLOOKUP(D25,Settings!$E$5:$G$28,3,FALSE),"Labor")))</f>
        <v/>
      </c>
      <c r="M25" s="9">
        <f>IF(B25="","",IF(COUNTIF('Vendors &amp; Crew'!$A$5:$A$34,B25)=0,"Worker not in Crew table",IF(C25="","Missing Job ID",IF(COUNTIF(Jobs!$A$5:$A$44,C25)=0,"Unknown Job ID",IF(E25="","Missing hours",IF(A25="","Missing date",""))))))</f>
        <v/>
      </c>
      <c r="N25" s="35" t="n"/>
      <c r="P25" s="9">
        <f>IF('Vendors &amp; Crew'!$A$25="","",'Vendors &amp; Crew'!$A$25)</f>
        <v/>
      </c>
      <c r="Q25" s="28">
        <f>IF(P25="","",SUMIFS(Timesheet!$E$5:$E$1004,Timesheet!$B$5:$B$1004,P25,Timesheet!$K$5:$K$1004,$Q$3))</f>
        <v/>
      </c>
      <c r="R25" s="39">
        <f>IF(P25="","",SUMIFS(Timesheet!$H$5:$H$1004,Timesheet!$B$5:$B$1004,P25,Timesheet!$K$5:$K$1004,$Q$3))</f>
        <v/>
      </c>
      <c r="S25" s="39">
        <f>IF(P25="","",SUMIFS(Timesheet!$J$5:$J$1004,Timesheet!$B$5:$B$1004,P25,Timesheet!$K$5:$K$1004,$Q$3))</f>
        <v/>
      </c>
      <c r="T25" s="28">
        <f>IF(P25="","",MAX(0,Q25-40))</f>
        <v/>
      </c>
    </row>
    <row r="26">
      <c r="A26" s="40" t="n"/>
      <c r="B26" s="35" t="n"/>
      <c r="C26" s="35" t="n"/>
      <c r="D26" s="35" t="n"/>
      <c r="E26" s="61" t="n"/>
      <c r="F26" s="37" t="n"/>
      <c r="G26" s="39">
        <f>IF(B26="","",IF(F26&lt;&gt;"",F26,IFERROR(VLOOKUP(B26,'Vendors &amp; Crew'!$A$5:$D$34,3,FALSE),0)))</f>
        <v/>
      </c>
      <c r="H26" s="39">
        <f>IF(B26="","",E26*G26*(1+Settings!$B$18))</f>
        <v/>
      </c>
      <c r="I26" s="39">
        <f>IF(B26="","",IFERROR(VLOOKUP(B26,'Vendors &amp; Crew'!$A$5:$D$34,4,FALSE),0))</f>
        <v/>
      </c>
      <c r="J26" s="39">
        <f>IF(B26="","",E26*I26)</f>
        <v/>
      </c>
      <c r="K26" s="59">
        <f>IF(A26="","",A26-WEEKDAY(A26,2)+7)</f>
        <v/>
      </c>
      <c r="L26" s="9">
        <f>IF(B26="","",IF(D26="","Labor",IFERROR(VLOOKUP(D26,Settings!$E$5:$G$28,3,FALSE),"Labor")))</f>
        <v/>
      </c>
      <c r="M26" s="9">
        <f>IF(B26="","",IF(COUNTIF('Vendors &amp; Crew'!$A$5:$A$34,B26)=0,"Worker not in Crew table",IF(C26="","Missing Job ID",IF(COUNTIF(Jobs!$A$5:$A$44,C26)=0,"Unknown Job ID",IF(E26="","Missing hours",IF(A26="","Missing date",""))))))</f>
        <v/>
      </c>
      <c r="N26" s="35" t="n"/>
      <c r="P26" s="9">
        <f>IF('Vendors &amp; Crew'!$A$26="","",'Vendors &amp; Crew'!$A$26)</f>
        <v/>
      </c>
      <c r="Q26" s="28">
        <f>IF(P26="","",SUMIFS(Timesheet!$E$5:$E$1004,Timesheet!$B$5:$B$1004,P26,Timesheet!$K$5:$K$1004,$Q$3))</f>
        <v/>
      </c>
      <c r="R26" s="39">
        <f>IF(P26="","",SUMIFS(Timesheet!$H$5:$H$1004,Timesheet!$B$5:$B$1004,P26,Timesheet!$K$5:$K$1004,$Q$3))</f>
        <v/>
      </c>
      <c r="S26" s="39">
        <f>IF(P26="","",SUMIFS(Timesheet!$J$5:$J$1004,Timesheet!$B$5:$B$1004,P26,Timesheet!$K$5:$K$1004,$Q$3))</f>
        <v/>
      </c>
      <c r="T26" s="28">
        <f>IF(P26="","",MAX(0,Q26-40))</f>
        <v/>
      </c>
    </row>
    <row r="27">
      <c r="A27" s="40" t="n"/>
      <c r="B27" s="35" t="n"/>
      <c r="C27" s="35" t="n"/>
      <c r="D27" s="35" t="n"/>
      <c r="E27" s="61" t="n"/>
      <c r="F27" s="37" t="n"/>
      <c r="G27" s="39">
        <f>IF(B27="","",IF(F27&lt;&gt;"",F27,IFERROR(VLOOKUP(B27,'Vendors &amp; Crew'!$A$5:$D$34,3,FALSE),0)))</f>
        <v/>
      </c>
      <c r="H27" s="39">
        <f>IF(B27="","",E27*G27*(1+Settings!$B$18))</f>
        <v/>
      </c>
      <c r="I27" s="39">
        <f>IF(B27="","",IFERROR(VLOOKUP(B27,'Vendors &amp; Crew'!$A$5:$D$34,4,FALSE),0))</f>
        <v/>
      </c>
      <c r="J27" s="39">
        <f>IF(B27="","",E27*I27)</f>
        <v/>
      </c>
      <c r="K27" s="59">
        <f>IF(A27="","",A27-WEEKDAY(A27,2)+7)</f>
        <v/>
      </c>
      <c r="L27" s="9">
        <f>IF(B27="","",IF(D27="","Labor",IFERROR(VLOOKUP(D27,Settings!$E$5:$G$28,3,FALSE),"Labor")))</f>
        <v/>
      </c>
      <c r="M27" s="9">
        <f>IF(B27="","",IF(COUNTIF('Vendors &amp; Crew'!$A$5:$A$34,B27)=0,"Worker not in Crew table",IF(C27="","Missing Job ID",IF(COUNTIF(Jobs!$A$5:$A$44,C27)=0,"Unknown Job ID",IF(E27="","Missing hours",IF(A27="","Missing date",""))))))</f>
        <v/>
      </c>
      <c r="N27" s="35" t="n"/>
      <c r="P27" s="9">
        <f>IF('Vendors &amp; Crew'!$A$27="","",'Vendors &amp; Crew'!$A$27)</f>
        <v/>
      </c>
      <c r="Q27" s="28">
        <f>IF(P27="","",SUMIFS(Timesheet!$E$5:$E$1004,Timesheet!$B$5:$B$1004,P27,Timesheet!$K$5:$K$1004,$Q$3))</f>
        <v/>
      </c>
      <c r="R27" s="39">
        <f>IF(P27="","",SUMIFS(Timesheet!$H$5:$H$1004,Timesheet!$B$5:$B$1004,P27,Timesheet!$K$5:$K$1004,$Q$3))</f>
        <v/>
      </c>
      <c r="S27" s="39">
        <f>IF(P27="","",SUMIFS(Timesheet!$J$5:$J$1004,Timesheet!$B$5:$B$1004,P27,Timesheet!$K$5:$K$1004,$Q$3))</f>
        <v/>
      </c>
      <c r="T27" s="28">
        <f>IF(P27="","",MAX(0,Q27-40))</f>
        <v/>
      </c>
    </row>
    <row r="28">
      <c r="A28" s="40" t="n"/>
      <c r="B28" s="35" t="n"/>
      <c r="C28" s="35" t="n"/>
      <c r="D28" s="35" t="n"/>
      <c r="E28" s="61" t="n"/>
      <c r="F28" s="37" t="n"/>
      <c r="G28" s="39">
        <f>IF(B28="","",IF(F28&lt;&gt;"",F28,IFERROR(VLOOKUP(B28,'Vendors &amp; Crew'!$A$5:$D$34,3,FALSE),0)))</f>
        <v/>
      </c>
      <c r="H28" s="39">
        <f>IF(B28="","",E28*G28*(1+Settings!$B$18))</f>
        <v/>
      </c>
      <c r="I28" s="39">
        <f>IF(B28="","",IFERROR(VLOOKUP(B28,'Vendors &amp; Crew'!$A$5:$D$34,4,FALSE),0))</f>
        <v/>
      </c>
      <c r="J28" s="39">
        <f>IF(B28="","",E28*I28)</f>
        <v/>
      </c>
      <c r="K28" s="59">
        <f>IF(A28="","",A28-WEEKDAY(A28,2)+7)</f>
        <v/>
      </c>
      <c r="L28" s="9">
        <f>IF(B28="","",IF(D28="","Labor",IFERROR(VLOOKUP(D28,Settings!$E$5:$G$28,3,FALSE),"Labor")))</f>
        <v/>
      </c>
      <c r="M28" s="9">
        <f>IF(B28="","",IF(COUNTIF('Vendors &amp; Crew'!$A$5:$A$34,B28)=0,"Worker not in Crew table",IF(C28="","Missing Job ID",IF(COUNTIF(Jobs!$A$5:$A$44,C28)=0,"Unknown Job ID",IF(E28="","Missing hours",IF(A28="","Missing date",""))))))</f>
        <v/>
      </c>
      <c r="N28" s="35" t="n"/>
      <c r="P28" s="9">
        <f>IF('Vendors &amp; Crew'!$A$28="","",'Vendors &amp; Crew'!$A$28)</f>
        <v/>
      </c>
      <c r="Q28" s="28">
        <f>IF(P28="","",SUMIFS(Timesheet!$E$5:$E$1004,Timesheet!$B$5:$B$1004,P28,Timesheet!$K$5:$K$1004,$Q$3))</f>
        <v/>
      </c>
      <c r="R28" s="39">
        <f>IF(P28="","",SUMIFS(Timesheet!$H$5:$H$1004,Timesheet!$B$5:$B$1004,P28,Timesheet!$K$5:$K$1004,$Q$3))</f>
        <v/>
      </c>
      <c r="S28" s="39">
        <f>IF(P28="","",SUMIFS(Timesheet!$J$5:$J$1004,Timesheet!$B$5:$B$1004,P28,Timesheet!$K$5:$K$1004,$Q$3))</f>
        <v/>
      </c>
      <c r="T28" s="28">
        <f>IF(P28="","",MAX(0,Q28-40))</f>
        <v/>
      </c>
    </row>
    <row r="29">
      <c r="A29" s="40" t="n"/>
      <c r="B29" s="35" t="n"/>
      <c r="C29" s="35" t="n"/>
      <c r="D29" s="35" t="n"/>
      <c r="E29" s="61" t="n"/>
      <c r="F29" s="37" t="n"/>
      <c r="G29" s="39">
        <f>IF(B29="","",IF(F29&lt;&gt;"",F29,IFERROR(VLOOKUP(B29,'Vendors &amp; Crew'!$A$5:$D$34,3,FALSE),0)))</f>
        <v/>
      </c>
      <c r="H29" s="39">
        <f>IF(B29="","",E29*G29*(1+Settings!$B$18))</f>
        <v/>
      </c>
      <c r="I29" s="39">
        <f>IF(B29="","",IFERROR(VLOOKUP(B29,'Vendors &amp; Crew'!$A$5:$D$34,4,FALSE),0))</f>
        <v/>
      </c>
      <c r="J29" s="39">
        <f>IF(B29="","",E29*I29)</f>
        <v/>
      </c>
      <c r="K29" s="59">
        <f>IF(A29="","",A29-WEEKDAY(A29,2)+7)</f>
        <v/>
      </c>
      <c r="L29" s="9">
        <f>IF(B29="","",IF(D29="","Labor",IFERROR(VLOOKUP(D29,Settings!$E$5:$G$28,3,FALSE),"Labor")))</f>
        <v/>
      </c>
      <c r="M29" s="9">
        <f>IF(B29="","",IF(COUNTIF('Vendors &amp; Crew'!$A$5:$A$34,B29)=0,"Worker not in Crew table",IF(C29="","Missing Job ID",IF(COUNTIF(Jobs!$A$5:$A$44,C29)=0,"Unknown Job ID",IF(E29="","Missing hours",IF(A29="","Missing date",""))))))</f>
        <v/>
      </c>
      <c r="N29" s="35" t="n"/>
      <c r="P29" s="9">
        <f>IF('Vendors &amp; Crew'!$A$29="","",'Vendors &amp; Crew'!$A$29)</f>
        <v/>
      </c>
      <c r="Q29" s="28">
        <f>IF(P29="","",SUMIFS(Timesheet!$E$5:$E$1004,Timesheet!$B$5:$B$1004,P29,Timesheet!$K$5:$K$1004,$Q$3))</f>
        <v/>
      </c>
      <c r="R29" s="39">
        <f>IF(P29="","",SUMIFS(Timesheet!$H$5:$H$1004,Timesheet!$B$5:$B$1004,P29,Timesheet!$K$5:$K$1004,$Q$3))</f>
        <v/>
      </c>
      <c r="S29" s="39">
        <f>IF(P29="","",SUMIFS(Timesheet!$J$5:$J$1004,Timesheet!$B$5:$B$1004,P29,Timesheet!$K$5:$K$1004,$Q$3))</f>
        <v/>
      </c>
      <c r="T29" s="28">
        <f>IF(P29="","",MAX(0,Q29-40))</f>
        <v/>
      </c>
    </row>
    <row r="30">
      <c r="A30" s="40" t="n"/>
      <c r="B30" s="35" t="n"/>
      <c r="C30" s="35" t="n"/>
      <c r="D30" s="35" t="n"/>
      <c r="E30" s="61" t="n"/>
      <c r="F30" s="37" t="n"/>
      <c r="G30" s="39">
        <f>IF(B30="","",IF(F30&lt;&gt;"",F30,IFERROR(VLOOKUP(B30,'Vendors &amp; Crew'!$A$5:$D$34,3,FALSE),0)))</f>
        <v/>
      </c>
      <c r="H30" s="39">
        <f>IF(B30="","",E30*G30*(1+Settings!$B$18))</f>
        <v/>
      </c>
      <c r="I30" s="39">
        <f>IF(B30="","",IFERROR(VLOOKUP(B30,'Vendors &amp; Crew'!$A$5:$D$34,4,FALSE),0))</f>
        <v/>
      </c>
      <c r="J30" s="39">
        <f>IF(B30="","",E30*I30)</f>
        <v/>
      </c>
      <c r="K30" s="59">
        <f>IF(A30="","",A30-WEEKDAY(A30,2)+7)</f>
        <v/>
      </c>
      <c r="L30" s="9">
        <f>IF(B30="","",IF(D30="","Labor",IFERROR(VLOOKUP(D30,Settings!$E$5:$G$28,3,FALSE),"Labor")))</f>
        <v/>
      </c>
      <c r="M30" s="9">
        <f>IF(B30="","",IF(COUNTIF('Vendors &amp; Crew'!$A$5:$A$34,B30)=0,"Worker not in Crew table",IF(C30="","Missing Job ID",IF(COUNTIF(Jobs!$A$5:$A$44,C30)=0,"Unknown Job ID",IF(E30="","Missing hours",IF(A30="","Missing date",""))))))</f>
        <v/>
      </c>
      <c r="N30" s="35" t="n"/>
      <c r="P30" s="9">
        <f>IF('Vendors &amp; Crew'!$A$30="","",'Vendors &amp; Crew'!$A$30)</f>
        <v/>
      </c>
      <c r="Q30" s="28">
        <f>IF(P30="","",SUMIFS(Timesheet!$E$5:$E$1004,Timesheet!$B$5:$B$1004,P30,Timesheet!$K$5:$K$1004,$Q$3))</f>
        <v/>
      </c>
      <c r="R30" s="39">
        <f>IF(P30="","",SUMIFS(Timesheet!$H$5:$H$1004,Timesheet!$B$5:$B$1004,P30,Timesheet!$K$5:$K$1004,$Q$3))</f>
        <v/>
      </c>
      <c r="S30" s="39">
        <f>IF(P30="","",SUMIFS(Timesheet!$J$5:$J$1004,Timesheet!$B$5:$B$1004,P30,Timesheet!$K$5:$K$1004,$Q$3))</f>
        <v/>
      </c>
      <c r="T30" s="28">
        <f>IF(P30="","",MAX(0,Q30-40))</f>
        <v/>
      </c>
    </row>
    <row r="31">
      <c r="A31" s="40" t="n"/>
      <c r="B31" s="35" t="n"/>
      <c r="C31" s="35" t="n"/>
      <c r="D31" s="35" t="n"/>
      <c r="E31" s="61" t="n"/>
      <c r="F31" s="37" t="n"/>
      <c r="G31" s="39">
        <f>IF(B31="","",IF(F31&lt;&gt;"",F31,IFERROR(VLOOKUP(B31,'Vendors &amp; Crew'!$A$5:$D$34,3,FALSE),0)))</f>
        <v/>
      </c>
      <c r="H31" s="39">
        <f>IF(B31="","",E31*G31*(1+Settings!$B$18))</f>
        <v/>
      </c>
      <c r="I31" s="39">
        <f>IF(B31="","",IFERROR(VLOOKUP(B31,'Vendors &amp; Crew'!$A$5:$D$34,4,FALSE),0))</f>
        <v/>
      </c>
      <c r="J31" s="39">
        <f>IF(B31="","",E31*I31)</f>
        <v/>
      </c>
      <c r="K31" s="59">
        <f>IF(A31="","",A31-WEEKDAY(A31,2)+7)</f>
        <v/>
      </c>
      <c r="L31" s="9">
        <f>IF(B31="","",IF(D31="","Labor",IFERROR(VLOOKUP(D31,Settings!$E$5:$G$28,3,FALSE),"Labor")))</f>
        <v/>
      </c>
      <c r="M31" s="9">
        <f>IF(B31="","",IF(COUNTIF('Vendors &amp; Crew'!$A$5:$A$34,B31)=0,"Worker not in Crew table",IF(C31="","Missing Job ID",IF(COUNTIF(Jobs!$A$5:$A$44,C31)=0,"Unknown Job ID",IF(E31="","Missing hours",IF(A31="","Missing date",""))))))</f>
        <v/>
      </c>
      <c r="N31" s="35" t="n"/>
      <c r="P31" s="9">
        <f>IF('Vendors &amp; Crew'!$A$31="","",'Vendors &amp; Crew'!$A$31)</f>
        <v/>
      </c>
      <c r="Q31" s="28">
        <f>IF(P31="","",SUMIFS(Timesheet!$E$5:$E$1004,Timesheet!$B$5:$B$1004,P31,Timesheet!$K$5:$K$1004,$Q$3))</f>
        <v/>
      </c>
      <c r="R31" s="39">
        <f>IF(P31="","",SUMIFS(Timesheet!$H$5:$H$1004,Timesheet!$B$5:$B$1004,P31,Timesheet!$K$5:$K$1004,$Q$3))</f>
        <v/>
      </c>
      <c r="S31" s="39">
        <f>IF(P31="","",SUMIFS(Timesheet!$J$5:$J$1004,Timesheet!$B$5:$B$1004,P31,Timesheet!$K$5:$K$1004,$Q$3))</f>
        <v/>
      </c>
      <c r="T31" s="28">
        <f>IF(P31="","",MAX(0,Q31-40))</f>
        <v/>
      </c>
    </row>
    <row r="32">
      <c r="A32" s="40" t="n"/>
      <c r="B32" s="35" t="n"/>
      <c r="C32" s="35" t="n"/>
      <c r="D32" s="35" t="n"/>
      <c r="E32" s="61" t="n"/>
      <c r="F32" s="37" t="n"/>
      <c r="G32" s="39">
        <f>IF(B32="","",IF(F32&lt;&gt;"",F32,IFERROR(VLOOKUP(B32,'Vendors &amp; Crew'!$A$5:$D$34,3,FALSE),0)))</f>
        <v/>
      </c>
      <c r="H32" s="39">
        <f>IF(B32="","",E32*G32*(1+Settings!$B$18))</f>
        <v/>
      </c>
      <c r="I32" s="39">
        <f>IF(B32="","",IFERROR(VLOOKUP(B32,'Vendors &amp; Crew'!$A$5:$D$34,4,FALSE),0))</f>
        <v/>
      </c>
      <c r="J32" s="39">
        <f>IF(B32="","",E32*I32)</f>
        <v/>
      </c>
      <c r="K32" s="59">
        <f>IF(A32="","",A32-WEEKDAY(A32,2)+7)</f>
        <v/>
      </c>
      <c r="L32" s="9">
        <f>IF(B32="","",IF(D32="","Labor",IFERROR(VLOOKUP(D32,Settings!$E$5:$G$28,3,FALSE),"Labor")))</f>
        <v/>
      </c>
      <c r="M32" s="9">
        <f>IF(B32="","",IF(COUNTIF('Vendors &amp; Crew'!$A$5:$A$34,B32)=0,"Worker not in Crew table",IF(C32="","Missing Job ID",IF(COUNTIF(Jobs!$A$5:$A$44,C32)=0,"Unknown Job ID",IF(E32="","Missing hours",IF(A32="","Missing date",""))))))</f>
        <v/>
      </c>
      <c r="N32" s="35" t="n"/>
      <c r="P32" s="9">
        <f>IF('Vendors &amp; Crew'!$A$32="","",'Vendors &amp; Crew'!$A$32)</f>
        <v/>
      </c>
      <c r="Q32" s="28">
        <f>IF(P32="","",SUMIFS(Timesheet!$E$5:$E$1004,Timesheet!$B$5:$B$1004,P32,Timesheet!$K$5:$K$1004,$Q$3))</f>
        <v/>
      </c>
      <c r="R32" s="39">
        <f>IF(P32="","",SUMIFS(Timesheet!$H$5:$H$1004,Timesheet!$B$5:$B$1004,P32,Timesheet!$K$5:$K$1004,$Q$3))</f>
        <v/>
      </c>
      <c r="S32" s="39">
        <f>IF(P32="","",SUMIFS(Timesheet!$J$5:$J$1004,Timesheet!$B$5:$B$1004,P32,Timesheet!$K$5:$K$1004,$Q$3))</f>
        <v/>
      </c>
      <c r="T32" s="28">
        <f>IF(P32="","",MAX(0,Q32-40))</f>
        <v/>
      </c>
    </row>
    <row r="33">
      <c r="A33" s="40" t="n"/>
      <c r="B33" s="35" t="n"/>
      <c r="C33" s="35" t="n"/>
      <c r="D33" s="35" t="n"/>
      <c r="E33" s="61" t="n"/>
      <c r="F33" s="37" t="n"/>
      <c r="G33" s="39">
        <f>IF(B33="","",IF(F33&lt;&gt;"",F33,IFERROR(VLOOKUP(B33,'Vendors &amp; Crew'!$A$5:$D$34,3,FALSE),0)))</f>
        <v/>
      </c>
      <c r="H33" s="39">
        <f>IF(B33="","",E33*G33*(1+Settings!$B$18))</f>
        <v/>
      </c>
      <c r="I33" s="39">
        <f>IF(B33="","",IFERROR(VLOOKUP(B33,'Vendors &amp; Crew'!$A$5:$D$34,4,FALSE),0))</f>
        <v/>
      </c>
      <c r="J33" s="39">
        <f>IF(B33="","",E33*I33)</f>
        <v/>
      </c>
      <c r="K33" s="59">
        <f>IF(A33="","",A33-WEEKDAY(A33,2)+7)</f>
        <v/>
      </c>
      <c r="L33" s="9">
        <f>IF(B33="","",IF(D33="","Labor",IFERROR(VLOOKUP(D33,Settings!$E$5:$G$28,3,FALSE),"Labor")))</f>
        <v/>
      </c>
      <c r="M33" s="9">
        <f>IF(B33="","",IF(COUNTIF('Vendors &amp; Crew'!$A$5:$A$34,B33)=0,"Worker not in Crew table",IF(C33="","Missing Job ID",IF(COUNTIF(Jobs!$A$5:$A$44,C33)=0,"Unknown Job ID",IF(E33="","Missing hours",IF(A33="","Missing date",""))))))</f>
        <v/>
      </c>
      <c r="N33" s="35" t="n"/>
      <c r="P33" s="9">
        <f>IF('Vendors &amp; Crew'!$A$33="","",'Vendors &amp; Crew'!$A$33)</f>
        <v/>
      </c>
      <c r="Q33" s="28">
        <f>IF(P33="","",SUMIFS(Timesheet!$E$5:$E$1004,Timesheet!$B$5:$B$1004,P33,Timesheet!$K$5:$K$1004,$Q$3))</f>
        <v/>
      </c>
      <c r="R33" s="39">
        <f>IF(P33="","",SUMIFS(Timesheet!$H$5:$H$1004,Timesheet!$B$5:$B$1004,P33,Timesheet!$K$5:$K$1004,$Q$3))</f>
        <v/>
      </c>
      <c r="S33" s="39">
        <f>IF(P33="","",SUMIFS(Timesheet!$J$5:$J$1004,Timesheet!$B$5:$B$1004,P33,Timesheet!$K$5:$K$1004,$Q$3))</f>
        <v/>
      </c>
      <c r="T33" s="28">
        <f>IF(P33="","",MAX(0,Q33-40))</f>
        <v/>
      </c>
    </row>
    <row r="34">
      <c r="A34" s="40" t="n"/>
      <c r="B34" s="35" t="n"/>
      <c r="C34" s="35" t="n"/>
      <c r="D34" s="35" t="n"/>
      <c r="E34" s="61" t="n"/>
      <c r="F34" s="37" t="n"/>
      <c r="G34" s="39">
        <f>IF(B34="","",IF(F34&lt;&gt;"",F34,IFERROR(VLOOKUP(B34,'Vendors &amp; Crew'!$A$5:$D$34,3,FALSE),0)))</f>
        <v/>
      </c>
      <c r="H34" s="39">
        <f>IF(B34="","",E34*G34*(1+Settings!$B$18))</f>
        <v/>
      </c>
      <c r="I34" s="39">
        <f>IF(B34="","",IFERROR(VLOOKUP(B34,'Vendors &amp; Crew'!$A$5:$D$34,4,FALSE),0))</f>
        <v/>
      </c>
      <c r="J34" s="39">
        <f>IF(B34="","",E34*I34)</f>
        <v/>
      </c>
      <c r="K34" s="59">
        <f>IF(A34="","",A34-WEEKDAY(A34,2)+7)</f>
        <v/>
      </c>
      <c r="L34" s="9">
        <f>IF(B34="","",IF(D34="","Labor",IFERROR(VLOOKUP(D34,Settings!$E$5:$G$28,3,FALSE),"Labor")))</f>
        <v/>
      </c>
      <c r="M34" s="9">
        <f>IF(B34="","",IF(COUNTIF('Vendors &amp; Crew'!$A$5:$A$34,B34)=0,"Worker not in Crew table",IF(C34="","Missing Job ID",IF(COUNTIF(Jobs!$A$5:$A$44,C34)=0,"Unknown Job ID",IF(E34="","Missing hours",IF(A34="","Missing date",""))))))</f>
        <v/>
      </c>
      <c r="N34" s="35" t="n"/>
      <c r="P34" s="9">
        <f>IF('Vendors &amp; Crew'!$A$34="","",'Vendors &amp; Crew'!$A$34)</f>
        <v/>
      </c>
      <c r="Q34" s="28">
        <f>IF(P34="","",SUMIFS(Timesheet!$E$5:$E$1004,Timesheet!$B$5:$B$1004,P34,Timesheet!$K$5:$K$1004,$Q$3))</f>
        <v/>
      </c>
      <c r="R34" s="39">
        <f>IF(P34="","",SUMIFS(Timesheet!$H$5:$H$1004,Timesheet!$B$5:$B$1004,P34,Timesheet!$K$5:$K$1004,$Q$3))</f>
        <v/>
      </c>
      <c r="S34" s="39">
        <f>IF(P34="","",SUMIFS(Timesheet!$J$5:$J$1004,Timesheet!$B$5:$B$1004,P34,Timesheet!$K$5:$K$1004,$Q$3))</f>
        <v/>
      </c>
      <c r="T34" s="28">
        <f>IF(P34="","",MAX(0,Q34-40))</f>
        <v/>
      </c>
    </row>
    <row r="35">
      <c r="A35" s="40" t="n"/>
      <c r="B35" s="35" t="n"/>
      <c r="C35" s="35" t="n"/>
      <c r="D35" s="35" t="n"/>
      <c r="E35" s="61" t="n"/>
      <c r="F35" s="37" t="n"/>
      <c r="G35" s="39">
        <f>IF(B35="","",IF(F35&lt;&gt;"",F35,IFERROR(VLOOKUP(B35,'Vendors &amp; Crew'!$A$5:$D$34,3,FALSE),0)))</f>
        <v/>
      </c>
      <c r="H35" s="39">
        <f>IF(B35="","",E35*G35*(1+Settings!$B$18))</f>
        <v/>
      </c>
      <c r="I35" s="39">
        <f>IF(B35="","",IFERROR(VLOOKUP(B35,'Vendors &amp; Crew'!$A$5:$D$34,4,FALSE),0))</f>
        <v/>
      </c>
      <c r="J35" s="39">
        <f>IF(B35="","",E35*I35)</f>
        <v/>
      </c>
      <c r="K35" s="59">
        <f>IF(A35="","",A35-WEEKDAY(A35,2)+7)</f>
        <v/>
      </c>
      <c r="L35" s="9">
        <f>IF(B35="","",IF(D35="","Labor",IFERROR(VLOOKUP(D35,Settings!$E$5:$G$28,3,FALSE),"Labor")))</f>
        <v/>
      </c>
      <c r="M35" s="9">
        <f>IF(B35="","",IF(COUNTIF('Vendors &amp; Crew'!$A$5:$A$34,B35)=0,"Worker not in Crew table",IF(C35="","Missing Job ID",IF(COUNTIF(Jobs!$A$5:$A$44,C35)=0,"Unknown Job ID",IF(E35="","Missing hours",IF(A35="","Missing date",""))))))</f>
        <v/>
      </c>
      <c r="N35" s="35" t="n"/>
      <c r="P35" s="31" t="inlineStr">
        <is>
          <t>TOTAL</t>
        </is>
      </c>
      <c r="Q35" s="33">
        <f>SUM(Q5:Q34)</f>
        <v/>
      </c>
      <c r="R35" s="41">
        <f>SUM(R5:R34)</f>
        <v/>
      </c>
      <c r="S35" s="41">
        <f>SUM(S5:S34)</f>
        <v/>
      </c>
      <c r="T35" s="33">
        <f>SUM(T5:T34)</f>
        <v/>
      </c>
    </row>
    <row r="36">
      <c r="A36" s="40" t="n"/>
      <c r="B36" s="35" t="n"/>
      <c r="C36" s="35" t="n"/>
      <c r="D36" s="35" t="n"/>
      <c r="E36" s="61" t="n"/>
      <c r="F36" s="37" t="n"/>
      <c r="G36" s="39">
        <f>IF(B36="","",IF(F36&lt;&gt;"",F36,IFERROR(VLOOKUP(B36,'Vendors &amp; Crew'!$A$5:$D$34,3,FALSE),0)))</f>
        <v/>
      </c>
      <c r="H36" s="39">
        <f>IF(B36="","",E36*G36*(1+Settings!$B$18))</f>
        <v/>
      </c>
      <c r="I36" s="39">
        <f>IF(B36="","",IFERROR(VLOOKUP(B36,'Vendors &amp; Crew'!$A$5:$D$34,4,FALSE),0))</f>
        <v/>
      </c>
      <c r="J36" s="39">
        <f>IF(B36="","",E36*I36)</f>
        <v/>
      </c>
      <c r="K36" s="59">
        <f>IF(A36="","",A36-WEEKDAY(A36,2)+7)</f>
        <v/>
      </c>
      <c r="L36" s="9">
        <f>IF(B36="","",IF(D36="","Labor",IFERROR(VLOOKUP(D36,Settings!$E$5:$G$28,3,FALSE),"Labor")))</f>
        <v/>
      </c>
      <c r="M36" s="9">
        <f>IF(B36="","",IF(COUNTIF('Vendors &amp; Crew'!$A$5:$A$34,B36)=0,"Worker not in Crew table",IF(C36="","Missing Job ID",IF(COUNTIF(Jobs!$A$5:$A$44,C36)=0,"Unknown Job ID",IF(E36="","Missing hours",IF(A36="","Missing date",""))))))</f>
        <v/>
      </c>
      <c r="N36" s="35" t="n"/>
    </row>
    <row r="37">
      <c r="A37" s="40" t="n"/>
      <c r="B37" s="35" t="n"/>
      <c r="C37" s="35" t="n"/>
      <c r="D37" s="35" t="n"/>
      <c r="E37" s="61" t="n"/>
      <c r="F37" s="37" t="n"/>
      <c r="G37" s="39">
        <f>IF(B37="","",IF(F37&lt;&gt;"",F37,IFERROR(VLOOKUP(B37,'Vendors &amp; Crew'!$A$5:$D$34,3,FALSE),0)))</f>
        <v/>
      </c>
      <c r="H37" s="39">
        <f>IF(B37="","",E37*G37*(1+Settings!$B$18))</f>
        <v/>
      </c>
      <c r="I37" s="39">
        <f>IF(B37="","",IFERROR(VLOOKUP(B37,'Vendors &amp; Crew'!$A$5:$D$34,4,FALSE),0))</f>
        <v/>
      </c>
      <c r="J37" s="39">
        <f>IF(B37="","",E37*I37)</f>
        <v/>
      </c>
      <c r="K37" s="59">
        <f>IF(A37="","",A37-WEEKDAY(A37,2)+7)</f>
        <v/>
      </c>
      <c r="L37" s="9">
        <f>IF(B37="","",IF(D37="","Labor",IFERROR(VLOOKUP(D37,Settings!$E$5:$G$28,3,FALSE),"Labor")))</f>
        <v/>
      </c>
      <c r="M37" s="9">
        <f>IF(B37="","",IF(COUNTIF('Vendors &amp; Crew'!$A$5:$A$34,B37)=0,"Worker not in Crew table",IF(C37="","Missing Job ID",IF(COUNTIF(Jobs!$A$5:$A$44,C37)=0,"Unknown Job ID",IF(E37="","Missing hours",IF(A37="","Missing date",""))))))</f>
        <v/>
      </c>
      <c r="N37" s="35" t="n"/>
    </row>
    <row r="38">
      <c r="A38" s="40" t="n"/>
      <c r="B38" s="35" t="n"/>
      <c r="C38" s="35" t="n"/>
      <c r="D38" s="35" t="n"/>
      <c r="E38" s="61" t="n"/>
      <c r="F38" s="37" t="n"/>
      <c r="G38" s="39">
        <f>IF(B38="","",IF(F38&lt;&gt;"",F38,IFERROR(VLOOKUP(B38,'Vendors &amp; Crew'!$A$5:$D$34,3,FALSE),0)))</f>
        <v/>
      </c>
      <c r="H38" s="39">
        <f>IF(B38="","",E38*G38*(1+Settings!$B$18))</f>
        <v/>
      </c>
      <c r="I38" s="39">
        <f>IF(B38="","",IFERROR(VLOOKUP(B38,'Vendors &amp; Crew'!$A$5:$D$34,4,FALSE),0))</f>
        <v/>
      </c>
      <c r="J38" s="39">
        <f>IF(B38="","",E38*I38)</f>
        <v/>
      </c>
      <c r="K38" s="59">
        <f>IF(A38="","",A38-WEEKDAY(A38,2)+7)</f>
        <v/>
      </c>
      <c r="L38" s="9">
        <f>IF(B38="","",IF(D38="","Labor",IFERROR(VLOOKUP(D38,Settings!$E$5:$G$28,3,FALSE),"Labor")))</f>
        <v/>
      </c>
      <c r="M38" s="9">
        <f>IF(B38="","",IF(COUNTIF('Vendors &amp; Crew'!$A$5:$A$34,B38)=0,"Worker not in Crew table",IF(C38="","Missing Job ID",IF(COUNTIF(Jobs!$A$5:$A$44,C38)=0,"Unknown Job ID",IF(E38="","Missing hours",IF(A38="","Missing date",""))))))</f>
        <v/>
      </c>
      <c r="N38" s="35" t="n"/>
    </row>
    <row r="39">
      <c r="A39" s="40" t="n"/>
      <c r="B39" s="35" t="n"/>
      <c r="C39" s="35" t="n"/>
      <c r="D39" s="35" t="n"/>
      <c r="E39" s="61" t="n"/>
      <c r="F39" s="37" t="n"/>
      <c r="G39" s="39">
        <f>IF(B39="","",IF(F39&lt;&gt;"",F39,IFERROR(VLOOKUP(B39,'Vendors &amp; Crew'!$A$5:$D$34,3,FALSE),0)))</f>
        <v/>
      </c>
      <c r="H39" s="39">
        <f>IF(B39="","",E39*G39*(1+Settings!$B$18))</f>
        <v/>
      </c>
      <c r="I39" s="39">
        <f>IF(B39="","",IFERROR(VLOOKUP(B39,'Vendors &amp; Crew'!$A$5:$D$34,4,FALSE),0))</f>
        <v/>
      </c>
      <c r="J39" s="39">
        <f>IF(B39="","",E39*I39)</f>
        <v/>
      </c>
      <c r="K39" s="59">
        <f>IF(A39="","",A39-WEEKDAY(A39,2)+7)</f>
        <v/>
      </c>
      <c r="L39" s="9">
        <f>IF(B39="","",IF(D39="","Labor",IFERROR(VLOOKUP(D39,Settings!$E$5:$G$28,3,FALSE),"Labor")))</f>
        <v/>
      </c>
      <c r="M39" s="9">
        <f>IF(B39="","",IF(COUNTIF('Vendors &amp; Crew'!$A$5:$A$34,B39)=0,"Worker not in Crew table",IF(C39="","Missing Job ID",IF(COUNTIF(Jobs!$A$5:$A$44,C39)=0,"Unknown Job ID",IF(E39="","Missing hours",IF(A39="","Missing date",""))))))</f>
        <v/>
      </c>
      <c r="N39" s="35" t="n"/>
    </row>
    <row r="40">
      <c r="A40" s="40" t="n"/>
      <c r="B40" s="35" t="n"/>
      <c r="C40" s="35" t="n"/>
      <c r="D40" s="35" t="n"/>
      <c r="E40" s="61" t="n"/>
      <c r="F40" s="37" t="n"/>
      <c r="G40" s="39">
        <f>IF(B40="","",IF(F40&lt;&gt;"",F40,IFERROR(VLOOKUP(B40,'Vendors &amp; Crew'!$A$5:$D$34,3,FALSE),0)))</f>
        <v/>
      </c>
      <c r="H40" s="39">
        <f>IF(B40="","",E40*G40*(1+Settings!$B$18))</f>
        <v/>
      </c>
      <c r="I40" s="39">
        <f>IF(B40="","",IFERROR(VLOOKUP(B40,'Vendors &amp; Crew'!$A$5:$D$34,4,FALSE),0))</f>
        <v/>
      </c>
      <c r="J40" s="39">
        <f>IF(B40="","",E40*I40)</f>
        <v/>
      </c>
      <c r="K40" s="59">
        <f>IF(A40="","",A40-WEEKDAY(A40,2)+7)</f>
        <v/>
      </c>
      <c r="L40" s="9">
        <f>IF(B40="","",IF(D40="","Labor",IFERROR(VLOOKUP(D40,Settings!$E$5:$G$28,3,FALSE),"Labor")))</f>
        <v/>
      </c>
      <c r="M40" s="9">
        <f>IF(B40="","",IF(COUNTIF('Vendors &amp; Crew'!$A$5:$A$34,B40)=0,"Worker not in Crew table",IF(C40="","Missing Job ID",IF(COUNTIF(Jobs!$A$5:$A$44,C40)=0,"Unknown Job ID",IF(E40="","Missing hours",IF(A40="","Missing date",""))))))</f>
        <v/>
      </c>
      <c r="N40" s="35" t="n"/>
    </row>
    <row r="41">
      <c r="A41" s="40" t="n"/>
      <c r="B41" s="35" t="n"/>
      <c r="C41" s="35" t="n"/>
      <c r="D41" s="35" t="n"/>
      <c r="E41" s="61" t="n"/>
      <c r="F41" s="37" t="n"/>
      <c r="G41" s="39">
        <f>IF(B41="","",IF(F41&lt;&gt;"",F41,IFERROR(VLOOKUP(B41,'Vendors &amp; Crew'!$A$5:$D$34,3,FALSE),0)))</f>
        <v/>
      </c>
      <c r="H41" s="39">
        <f>IF(B41="","",E41*G41*(1+Settings!$B$18))</f>
        <v/>
      </c>
      <c r="I41" s="39">
        <f>IF(B41="","",IFERROR(VLOOKUP(B41,'Vendors &amp; Crew'!$A$5:$D$34,4,FALSE),0))</f>
        <v/>
      </c>
      <c r="J41" s="39">
        <f>IF(B41="","",E41*I41)</f>
        <v/>
      </c>
      <c r="K41" s="59">
        <f>IF(A41="","",A41-WEEKDAY(A41,2)+7)</f>
        <v/>
      </c>
      <c r="L41" s="9">
        <f>IF(B41="","",IF(D41="","Labor",IFERROR(VLOOKUP(D41,Settings!$E$5:$G$28,3,FALSE),"Labor")))</f>
        <v/>
      </c>
      <c r="M41" s="9">
        <f>IF(B41="","",IF(COUNTIF('Vendors &amp; Crew'!$A$5:$A$34,B41)=0,"Worker not in Crew table",IF(C41="","Missing Job ID",IF(COUNTIF(Jobs!$A$5:$A$44,C41)=0,"Unknown Job ID",IF(E41="","Missing hours",IF(A41="","Missing date",""))))))</f>
        <v/>
      </c>
      <c r="N41" s="35" t="n"/>
    </row>
    <row r="42">
      <c r="A42" s="40" t="n"/>
      <c r="B42" s="35" t="n"/>
      <c r="C42" s="35" t="n"/>
      <c r="D42" s="35" t="n"/>
      <c r="E42" s="61" t="n"/>
      <c r="F42" s="37" t="n"/>
      <c r="G42" s="39">
        <f>IF(B42="","",IF(F42&lt;&gt;"",F42,IFERROR(VLOOKUP(B42,'Vendors &amp; Crew'!$A$5:$D$34,3,FALSE),0)))</f>
        <v/>
      </c>
      <c r="H42" s="39">
        <f>IF(B42="","",E42*G42*(1+Settings!$B$18))</f>
        <v/>
      </c>
      <c r="I42" s="39">
        <f>IF(B42="","",IFERROR(VLOOKUP(B42,'Vendors &amp; Crew'!$A$5:$D$34,4,FALSE),0))</f>
        <v/>
      </c>
      <c r="J42" s="39">
        <f>IF(B42="","",E42*I42)</f>
        <v/>
      </c>
      <c r="K42" s="59">
        <f>IF(A42="","",A42-WEEKDAY(A42,2)+7)</f>
        <v/>
      </c>
      <c r="L42" s="9">
        <f>IF(B42="","",IF(D42="","Labor",IFERROR(VLOOKUP(D42,Settings!$E$5:$G$28,3,FALSE),"Labor")))</f>
        <v/>
      </c>
      <c r="M42" s="9">
        <f>IF(B42="","",IF(COUNTIF('Vendors &amp; Crew'!$A$5:$A$34,B42)=0,"Worker not in Crew table",IF(C42="","Missing Job ID",IF(COUNTIF(Jobs!$A$5:$A$44,C42)=0,"Unknown Job ID",IF(E42="","Missing hours",IF(A42="","Missing date",""))))))</f>
        <v/>
      </c>
      <c r="N42" s="35" t="n"/>
    </row>
    <row r="43">
      <c r="A43" s="40" t="n"/>
      <c r="B43" s="35" t="n"/>
      <c r="C43" s="35" t="n"/>
      <c r="D43" s="35" t="n"/>
      <c r="E43" s="61" t="n"/>
      <c r="F43" s="37" t="n"/>
      <c r="G43" s="39">
        <f>IF(B43="","",IF(F43&lt;&gt;"",F43,IFERROR(VLOOKUP(B43,'Vendors &amp; Crew'!$A$5:$D$34,3,FALSE),0)))</f>
        <v/>
      </c>
      <c r="H43" s="39">
        <f>IF(B43="","",E43*G43*(1+Settings!$B$18))</f>
        <v/>
      </c>
      <c r="I43" s="39">
        <f>IF(B43="","",IFERROR(VLOOKUP(B43,'Vendors &amp; Crew'!$A$5:$D$34,4,FALSE),0))</f>
        <v/>
      </c>
      <c r="J43" s="39">
        <f>IF(B43="","",E43*I43)</f>
        <v/>
      </c>
      <c r="K43" s="59">
        <f>IF(A43="","",A43-WEEKDAY(A43,2)+7)</f>
        <v/>
      </c>
      <c r="L43" s="9">
        <f>IF(B43="","",IF(D43="","Labor",IFERROR(VLOOKUP(D43,Settings!$E$5:$G$28,3,FALSE),"Labor")))</f>
        <v/>
      </c>
      <c r="M43" s="9">
        <f>IF(B43="","",IF(COUNTIF('Vendors &amp; Crew'!$A$5:$A$34,B43)=0,"Worker not in Crew table",IF(C43="","Missing Job ID",IF(COUNTIF(Jobs!$A$5:$A$44,C43)=0,"Unknown Job ID",IF(E43="","Missing hours",IF(A43="","Missing date",""))))))</f>
        <v/>
      </c>
      <c r="N43" s="35" t="n"/>
    </row>
    <row r="44">
      <c r="A44" s="40" t="n"/>
      <c r="B44" s="35" t="n"/>
      <c r="C44" s="35" t="n"/>
      <c r="D44" s="35" t="n"/>
      <c r="E44" s="61" t="n"/>
      <c r="F44" s="37" t="n"/>
      <c r="G44" s="39">
        <f>IF(B44="","",IF(F44&lt;&gt;"",F44,IFERROR(VLOOKUP(B44,'Vendors &amp; Crew'!$A$5:$D$34,3,FALSE),0)))</f>
        <v/>
      </c>
      <c r="H44" s="39">
        <f>IF(B44="","",E44*G44*(1+Settings!$B$18))</f>
        <v/>
      </c>
      <c r="I44" s="39">
        <f>IF(B44="","",IFERROR(VLOOKUP(B44,'Vendors &amp; Crew'!$A$5:$D$34,4,FALSE),0))</f>
        <v/>
      </c>
      <c r="J44" s="39">
        <f>IF(B44="","",E44*I44)</f>
        <v/>
      </c>
      <c r="K44" s="59">
        <f>IF(A44="","",A44-WEEKDAY(A44,2)+7)</f>
        <v/>
      </c>
      <c r="L44" s="9">
        <f>IF(B44="","",IF(D44="","Labor",IFERROR(VLOOKUP(D44,Settings!$E$5:$G$28,3,FALSE),"Labor")))</f>
        <v/>
      </c>
      <c r="M44" s="9">
        <f>IF(B44="","",IF(COUNTIF('Vendors &amp; Crew'!$A$5:$A$34,B44)=0,"Worker not in Crew table",IF(C44="","Missing Job ID",IF(COUNTIF(Jobs!$A$5:$A$44,C44)=0,"Unknown Job ID",IF(E44="","Missing hours",IF(A44="","Missing date",""))))))</f>
        <v/>
      </c>
      <c r="N44" s="35" t="n"/>
    </row>
    <row r="45">
      <c r="A45" s="40" t="n"/>
      <c r="B45" s="35" t="n"/>
      <c r="C45" s="35" t="n"/>
      <c r="D45" s="35" t="n"/>
      <c r="E45" s="61" t="n"/>
      <c r="F45" s="37" t="n"/>
      <c r="G45" s="39">
        <f>IF(B45="","",IF(F45&lt;&gt;"",F45,IFERROR(VLOOKUP(B45,'Vendors &amp; Crew'!$A$5:$D$34,3,FALSE),0)))</f>
        <v/>
      </c>
      <c r="H45" s="39">
        <f>IF(B45="","",E45*G45*(1+Settings!$B$18))</f>
        <v/>
      </c>
      <c r="I45" s="39">
        <f>IF(B45="","",IFERROR(VLOOKUP(B45,'Vendors &amp; Crew'!$A$5:$D$34,4,FALSE),0))</f>
        <v/>
      </c>
      <c r="J45" s="39">
        <f>IF(B45="","",E45*I45)</f>
        <v/>
      </c>
      <c r="K45" s="59">
        <f>IF(A45="","",A45-WEEKDAY(A45,2)+7)</f>
        <v/>
      </c>
      <c r="L45" s="9">
        <f>IF(B45="","",IF(D45="","Labor",IFERROR(VLOOKUP(D45,Settings!$E$5:$G$28,3,FALSE),"Labor")))</f>
        <v/>
      </c>
      <c r="M45" s="9">
        <f>IF(B45="","",IF(COUNTIF('Vendors &amp; Crew'!$A$5:$A$34,B45)=0,"Worker not in Crew table",IF(C45="","Missing Job ID",IF(COUNTIF(Jobs!$A$5:$A$44,C45)=0,"Unknown Job ID",IF(E45="","Missing hours",IF(A45="","Missing date",""))))))</f>
        <v/>
      </c>
      <c r="N45" s="35" t="n"/>
    </row>
    <row r="46">
      <c r="A46" s="40" t="n"/>
      <c r="B46" s="35" t="n"/>
      <c r="C46" s="35" t="n"/>
      <c r="D46" s="35" t="n"/>
      <c r="E46" s="61" t="n"/>
      <c r="F46" s="37" t="n"/>
      <c r="G46" s="39">
        <f>IF(B46="","",IF(F46&lt;&gt;"",F46,IFERROR(VLOOKUP(B46,'Vendors &amp; Crew'!$A$5:$D$34,3,FALSE),0)))</f>
        <v/>
      </c>
      <c r="H46" s="39">
        <f>IF(B46="","",E46*G46*(1+Settings!$B$18))</f>
        <v/>
      </c>
      <c r="I46" s="39">
        <f>IF(B46="","",IFERROR(VLOOKUP(B46,'Vendors &amp; Crew'!$A$5:$D$34,4,FALSE),0))</f>
        <v/>
      </c>
      <c r="J46" s="39">
        <f>IF(B46="","",E46*I46)</f>
        <v/>
      </c>
      <c r="K46" s="59">
        <f>IF(A46="","",A46-WEEKDAY(A46,2)+7)</f>
        <v/>
      </c>
      <c r="L46" s="9">
        <f>IF(B46="","",IF(D46="","Labor",IFERROR(VLOOKUP(D46,Settings!$E$5:$G$28,3,FALSE),"Labor")))</f>
        <v/>
      </c>
      <c r="M46" s="9">
        <f>IF(B46="","",IF(COUNTIF('Vendors &amp; Crew'!$A$5:$A$34,B46)=0,"Worker not in Crew table",IF(C46="","Missing Job ID",IF(COUNTIF(Jobs!$A$5:$A$44,C46)=0,"Unknown Job ID",IF(E46="","Missing hours",IF(A46="","Missing date",""))))))</f>
        <v/>
      </c>
      <c r="N46" s="35" t="n"/>
    </row>
    <row r="47">
      <c r="A47" s="40" t="n"/>
      <c r="B47" s="35" t="n"/>
      <c r="C47" s="35" t="n"/>
      <c r="D47" s="35" t="n"/>
      <c r="E47" s="61" t="n"/>
      <c r="F47" s="37" t="n"/>
      <c r="G47" s="39">
        <f>IF(B47="","",IF(F47&lt;&gt;"",F47,IFERROR(VLOOKUP(B47,'Vendors &amp; Crew'!$A$5:$D$34,3,FALSE),0)))</f>
        <v/>
      </c>
      <c r="H47" s="39">
        <f>IF(B47="","",E47*G47*(1+Settings!$B$18))</f>
        <v/>
      </c>
      <c r="I47" s="39">
        <f>IF(B47="","",IFERROR(VLOOKUP(B47,'Vendors &amp; Crew'!$A$5:$D$34,4,FALSE),0))</f>
        <v/>
      </c>
      <c r="J47" s="39">
        <f>IF(B47="","",E47*I47)</f>
        <v/>
      </c>
      <c r="K47" s="59">
        <f>IF(A47="","",A47-WEEKDAY(A47,2)+7)</f>
        <v/>
      </c>
      <c r="L47" s="9">
        <f>IF(B47="","",IF(D47="","Labor",IFERROR(VLOOKUP(D47,Settings!$E$5:$G$28,3,FALSE),"Labor")))</f>
        <v/>
      </c>
      <c r="M47" s="9">
        <f>IF(B47="","",IF(COUNTIF('Vendors &amp; Crew'!$A$5:$A$34,B47)=0,"Worker not in Crew table",IF(C47="","Missing Job ID",IF(COUNTIF(Jobs!$A$5:$A$44,C47)=0,"Unknown Job ID",IF(E47="","Missing hours",IF(A47="","Missing date",""))))))</f>
        <v/>
      </c>
      <c r="N47" s="35" t="n"/>
    </row>
    <row r="48">
      <c r="A48" s="40" t="n"/>
      <c r="B48" s="35" t="n"/>
      <c r="C48" s="35" t="n"/>
      <c r="D48" s="35" t="n"/>
      <c r="E48" s="61" t="n"/>
      <c r="F48" s="37" t="n"/>
      <c r="G48" s="39">
        <f>IF(B48="","",IF(F48&lt;&gt;"",F48,IFERROR(VLOOKUP(B48,'Vendors &amp; Crew'!$A$5:$D$34,3,FALSE),0)))</f>
        <v/>
      </c>
      <c r="H48" s="39">
        <f>IF(B48="","",E48*G48*(1+Settings!$B$18))</f>
        <v/>
      </c>
      <c r="I48" s="39">
        <f>IF(B48="","",IFERROR(VLOOKUP(B48,'Vendors &amp; Crew'!$A$5:$D$34,4,FALSE),0))</f>
        <v/>
      </c>
      <c r="J48" s="39">
        <f>IF(B48="","",E48*I48)</f>
        <v/>
      </c>
      <c r="K48" s="59">
        <f>IF(A48="","",A48-WEEKDAY(A48,2)+7)</f>
        <v/>
      </c>
      <c r="L48" s="9">
        <f>IF(B48="","",IF(D48="","Labor",IFERROR(VLOOKUP(D48,Settings!$E$5:$G$28,3,FALSE),"Labor")))</f>
        <v/>
      </c>
      <c r="M48" s="9">
        <f>IF(B48="","",IF(COUNTIF('Vendors &amp; Crew'!$A$5:$A$34,B48)=0,"Worker not in Crew table",IF(C48="","Missing Job ID",IF(COUNTIF(Jobs!$A$5:$A$44,C48)=0,"Unknown Job ID",IF(E48="","Missing hours",IF(A48="","Missing date",""))))))</f>
        <v/>
      </c>
      <c r="N48" s="35" t="n"/>
    </row>
    <row r="49">
      <c r="A49" s="40" t="n"/>
      <c r="B49" s="35" t="n"/>
      <c r="C49" s="35" t="n"/>
      <c r="D49" s="35" t="n"/>
      <c r="E49" s="61" t="n"/>
      <c r="F49" s="37" t="n"/>
      <c r="G49" s="39">
        <f>IF(B49="","",IF(F49&lt;&gt;"",F49,IFERROR(VLOOKUP(B49,'Vendors &amp; Crew'!$A$5:$D$34,3,FALSE),0)))</f>
        <v/>
      </c>
      <c r="H49" s="39">
        <f>IF(B49="","",E49*G49*(1+Settings!$B$18))</f>
        <v/>
      </c>
      <c r="I49" s="39">
        <f>IF(B49="","",IFERROR(VLOOKUP(B49,'Vendors &amp; Crew'!$A$5:$D$34,4,FALSE),0))</f>
        <v/>
      </c>
      <c r="J49" s="39">
        <f>IF(B49="","",E49*I49)</f>
        <v/>
      </c>
      <c r="K49" s="59">
        <f>IF(A49="","",A49-WEEKDAY(A49,2)+7)</f>
        <v/>
      </c>
      <c r="L49" s="9">
        <f>IF(B49="","",IF(D49="","Labor",IFERROR(VLOOKUP(D49,Settings!$E$5:$G$28,3,FALSE),"Labor")))</f>
        <v/>
      </c>
      <c r="M49" s="9">
        <f>IF(B49="","",IF(COUNTIF('Vendors &amp; Crew'!$A$5:$A$34,B49)=0,"Worker not in Crew table",IF(C49="","Missing Job ID",IF(COUNTIF(Jobs!$A$5:$A$44,C49)=0,"Unknown Job ID",IF(E49="","Missing hours",IF(A49="","Missing date",""))))))</f>
        <v/>
      </c>
      <c r="N49" s="35" t="n"/>
    </row>
    <row r="50">
      <c r="A50" s="40" t="n"/>
      <c r="B50" s="35" t="n"/>
      <c r="C50" s="35" t="n"/>
      <c r="D50" s="35" t="n"/>
      <c r="E50" s="61" t="n"/>
      <c r="F50" s="37" t="n"/>
      <c r="G50" s="39">
        <f>IF(B50="","",IF(F50&lt;&gt;"",F50,IFERROR(VLOOKUP(B50,'Vendors &amp; Crew'!$A$5:$D$34,3,FALSE),0)))</f>
        <v/>
      </c>
      <c r="H50" s="39">
        <f>IF(B50="","",E50*G50*(1+Settings!$B$18))</f>
        <v/>
      </c>
      <c r="I50" s="39">
        <f>IF(B50="","",IFERROR(VLOOKUP(B50,'Vendors &amp; Crew'!$A$5:$D$34,4,FALSE),0))</f>
        <v/>
      </c>
      <c r="J50" s="39">
        <f>IF(B50="","",E50*I50)</f>
        <v/>
      </c>
      <c r="K50" s="59">
        <f>IF(A50="","",A50-WEEKDAY(A50,2)+7)</f>
        <v/>
      </c>
      <c r="L50" s="9">
        <f>IF(B50="","",IF(D50="","Labor",IFERROR(VLOOKUP(D50,Settings!$E$5:$G$28,3,FALSE),"Labor")))</f>
        <v/>
      </c>
      <c r="M50" s="9">
        <f>IF(B50="","",IF(COUNTIF('Vendors &amp; Crew'!$A$5:$A$34,B50)=0,"Worker not in Crew table",IF(C50="","Missing Job ID",IF(COUNTIF(Jobs!$A$5:$A$44,C50)=0,"Unknown Job ID",IF(E50="","Missing hours",IF(A50="","Missing date",""))))))</f>
        <v/>
      </c>
      <c r="N50" s="35" t="n"/>
    </row>
    <row r="51">
      <c r="A51" s="40" t="n"/>
      <c r="B51" s="35" t="n"/>
      <c r="C51" s="35" t="n"/>
      <c r="D51" s="35" t="n"/>
      <c r="E51" s="61" t="n"/>
      <c r="F51" s="37" t="n"/>
      <c r="G51" s="39">
        <f>IF(B51="","",IF(F51&lt;&gt;"",F51,IFERROR(VLOOKUP(B51,'Vendors &amp; Crew'!$A$5:$D$34,3,FALSE),0)))</f>
        <v/>
      </c>
      <c r="H51" s="39">
        <f>IF(B51="","",E51*G51*(1+Settings!$B$18))</f>
        <v/>
      </c>
      <c r="I51" s="39">
        <f>IF(B51="","",IFERROR(VLOOKUP(B51,'Vendors &amp; Crew'!$A$5:$D$34,4,FALSE),0))</f>
        <v/>
      </c>
      <c r="J51" s="39">
        <f>IF(B51="","",E51*I51)</f>
        <v/>
      </c>
      <c r="K51" s="59">
        <f>IF(A51="","",A51-WEEKDAY(A51,2)+7)</f>
        <v/>
      </c>
      <c r="L51" s="9">
        <f>IF(B51="","",IF(D51="","Labor",IFERROR(VLOOKUP(D51,Settings!$E$5:$G$28,3,FALSE),"Labor")))</f>
        <v/>
      </c>
      <c r="M51" s="9">
        <f>IF(B51="","",IF(COUNTIF('Vendors &amp; Crew'!$A$5:$A$34,B51)=0,"Worker not in Crew table",IF(C51="","Missing Job ID",IF(COUNTIF(Jobs!$A$5:$A$44,C51)=0,"Unknown Job ID",IF(E51="","Missing hours",IF(A51="","Missing date",""))))))</f>
        <v/>
      </c>
      <c r="N51" s="35" t="n"/>
    </row>
    <row r="52">
      <c r="A52" s="40" t="n"/>
      <c r="B52" s="35" t="n"/>
      <c r="C52" s="35" t="n"/>
      <c r="D52" s="35" t="n"/>
      <c r="E52" s="61" t="n"/>
      <c r="F52" s="37" t="n"/>
      <c r="G52" s="39">
        <f>IF(B52="","",IF(F52&lt;&gt;"",F52,IFERROR(VLOOKUP(B52,'Vendors &amp; Crew'!$A$5:$D$34,3,FALSE),0)))</f>
        <v/>
      </c>
      <c r="H52" s="39">
        <f>IF(B52="","",E52*G52*(1+Settings!$B$18))</f>
        <v/>
      </c>
      <c r="I52" s="39">
        <f>IF(B52="","",IFERROR(VLOOKUP(B52,'Vendors &amp; Crew'!$A$5:$D$34,4,FALSE),0))</f>
        <v/>
      </c>
      <c r="J52" s="39">
        <f>IF(B52="","",E52*I52)</f>
        <v/>
      </c>
      <c r="K52" s="59">
        <f>IF(A52="","",A52-WEEKDAY(A52,2)+7)</f>
        <v/>
      </c>
      <c r="L52" s="9">
        <f>IF(B52="","",IF(D52="","Labor",IFERROR(VLOOKUP(D52,Settings!$E$5:$G$28,3,FALSE),"Labor")))</f>
        <v/>
      </c>
      <c r="M52" s="9">
        <f>IF(B52="","",IF(COUNTIF('Vendors &amp; Crew'!$A$5:$A$34,B52)=0,"Worker not in Crew table",IF(C52="","Missing Job ID",IF(COUNTIF(Jobs!$A$5:$A$44,C52)=0,"Unknown Job ID",IF(E52="","Missing hours",IF(A52="","Missing date",""))))))</f>
        <v/>
      </c>
      <c r="N52" s="35" t="n"/>
    </row>
    <row r="53">
      <c r="A53" s="40" t="n"/>
      <c r="B53" s="35" t="n"/>
      <c r="C53" s="35" t="n"/>
      <c r="D53" s="35" t="n"/>
      <c r="E53" s="61" t="n"/>
      <c r="F53" s="37" t="n"/>
      <c r="G53" s="39">
        <f>IF(B53="","",IF(F53&lt;&gt;"",F53,IFERROR(VLOOKUP(B53,'Vendors &amp; Crew'!$A$5:$D$34,3,FALSE),0)))</f>
        <v/>
      </c>
      <c r="H53" s="39">
        <f>IF(B53="","",E53*G53*(1+Settings!$B$18))</f>
        <v/>
      </c>
      <c r="I53" s="39">
        <f>IF(B53="","",IFERROR(VLOOKUP(B53,'Vendors &amp; Crew'!$A$5:$D$34,4,FALSE),0))</f>
        <v/>
      </c>
      <c r="J53" s="39">
        <f>IF(B53="","",E53*I53)</f>
        <v/>
      </c>
      <c r="K53" s="59">
        <f>IF(A53="","",A53-WEEKDAY(A53,2)+7)</f>
        <v/>
      </c>
      <c r="L53" s="9">
        <f>IF(B53="","",IF(D53="","Labor",IFERROR(VLOOKUP(D53,Settings!$E$5:$G$28,3,FALSE),"Labor")))</f>
        <v/>
      </c>
      <c r="M53" s="9">
        <f>IF(B53="","",IF(COUNTIF('Vendors &amp; Crew'!$A$5:$A$34,B53)=0,"Worker not in Crew table",IF(C53="","Missing Job ID",IF(COUNTIF(Jobs!$A$5:$A$44,C53)=0,"Unknown Job ID",IF(E53="","Missing hours",IF(A53="","Missing date",""))))))</f>
        <v/>
      </c>
      <c r="N53" s="35" t="n"/>
    </row>
    <row r="54">
      <c r="A54" s="40" t="n"/>
      <c r="B54" s="35" t="n"/>
      <c r="C54" s="35" t="n"/>
      <c r="D54" s="35" t="n"/>
      <c r="E54" s="61" t="n"/>
      <c r="F54" s="37" t="n"/>
      <c r="G54" s="39">
        <f>IF(B54="","",IF(F54&lt;&gt;"",F54,IFERROR(VLOOKUP(B54,'Vendors &amp; Crew'!$A$5:$D$34,3,FALSE),0)))</f>
        <v/>
      </c>
      <c r="H54" s="39">
        <f>IF(B54="","",E54*G54*(1+Settings!$B$18))</f>
        <v/>
      </c>
      <c r="I54" s="39">
        <f>IF(B54="","",IFERROR(VLOOKUP(B54,'Vendors &amp; Crew'!$A$5:$D$34,4,FALSE),0))</f>
        <v/>
      </c>
      <c r="J54" s="39">
        <f>IF(B54="","",E54*I54)</f>
        <v/>
      </c>
      <c r="K54" s="59">
        <f>IF(A54="","",A54-WEEKDAY(A54,2)+7)</f>
        <v/>
      </c>
      <c r="L54" s="9">
        <f>IF(B54="","",IF(D54="","Labor",IFERROR(VLOOKUP(D54,Settings!$E$5:$G$28,3,FALSE),"Labor")))</f>
        <v/>
      </c>
      <c r="M54" s="9">
        <f>IF(B54="","",IF(COUNTIF('Vendors &amp; Crew'!$A$5:$A$34,B54)=0,"Worker not in Crew table",IF(C54="","Missing Job ID",IF(COUNTIF(Jobs!$A$5:$A$44,C54)=0,"Unknown Job ID",IF(E54="","Missing hours",IF(A54="","Missing date",""))))))</f>
        <v/>
      </c>
      <c r="N54" s="35" t="n"/>
    </row>
    <row r="55">
      <c r="A55" s="40" t="n"/>
      <c r="B55" s="35" t="n"/>
      <c r="C55" s="35" t="n"/>
      <c r="D55" s="35" t="n"/>
      <c r="E55" s="61" t="n"/>
      <c r="F55" s="37" t="n"/>
      <c r="G55" s="39">
        <f>IF(B55="","",IF(F55&lt;&gt;"",F55,IFERROR(VLOOKUP(B55,'Vendors &amp; Crew'!$A$5:$D$34,3,FALSE),0)))</f>
        <v/>
      </c>
      <c r="H55" s="39">
        <f>IF(B55="","",E55*G55*(1+Settings!$B$18))</f>
        <v/>
      </c>
      <c r="I55" s="39">
        <f>IF(B55="","",IFERROR(VLOOKUP(B55,'Vendors &amp; Crew'!$A$5:$D$34,4,FALSE),0))</f>
        <v/>
      </c>
      <c r="J55" s="39">
        <f>IF(B55="","",E55*I55)</f>
        <v/>
      </c>
      <c r="K55" s="59">
        <f>IF(A55="","",A55-WEEKDAY(A55,2)+7)</f>
        <v/>
      </c>
      <c r="L55" s="9">
        <f>IF(B55="","",IF(D55="","Labor",IFERROR(VLOOKUP(D55,Settings!$E$5:$G$28,3,FALSE),"Labor")))</f>
        <v/>
      </c>
      <c r="M55" s="9">
        <f>IF(B55="","",IF(COUNTIF('Vendors &amp; Crew'!$A$5:$A$34,B55)=0,"Worker not in Crew table",IF(C55="","Missing Job ID",IF(COUNTIF(Jobs!$A$5:$A$44,C55)=0,"Unknown Job ID",IF(E55="","Missing hours",IF(A55="","Missing date",""))))))</f>
        <v/>
      </c>
      <c r="N55" s="35" t="n"/>
    </row>
    <row r="56">
      <c r="A56" s="40" t="n"/>
      <c r="B56" s="35" t="n"/>
      <c r="C56" s="35" t="n"/>
      <c r="D56" s="35" t="n"/>
      <c r="E56" s="61" t="n"/>
      <c r="F56" s="37" t="n"/>
      <c r="G56" s="39">
        <f>IF(B56="","",IF(F56&lt;&gt;"",F56,IFERROR(VLOOKUP(B56,'Vendors &amp; Crew'!$A$5:$D$34,3,FALSE),0)))</f>
        <v/>
      </c>
      <c r="H56" s="39">
        <f>IF(B56="","",E56*G56*(1+Settings!$B$18))</f>
        <v/>
      </c>
      <c r="I56" s="39">
        <f>IF(B56="","",IFERROR(VLOOKUP(B56,'Vendors &amp; Crew'!$A$5:$D$34,4,FALSE),0))</f>
        <v/>
      </c>
      <c r="J56" s="39">
        <f>IF(B56="","",E56*I56)</f>
        <v/>
      </c>
      <c r="K56" s="59">
        <f>IF(A56="","",A56-WEEKDAY(A56,2)+7)</f>
        <v/>
      </c>
      <c r="L56" s="9">
        <f>IF(B56="","",IF(D56="","Labor",IFERROR(VLOOKUP(D56,Settings!$E$5:$G$28,3,FALSE),"Labor")))</f>
        <v/>
      </c>
      <c r="M56" s="9">
        <f>IF(B56="","",IF(COUNTIF('Vendors &amp; Crew'!$A$5:$A$34,B56)=0,"Worker not in Crew table",IF(C56="","Missing Job ID",IF(COUNTIF(Jobs!$A$5:$A$44,C56)=0,"Unknown Job ID",IF(E56="","Missing hours",IF(A56="","Missing date",""))))))</f>
        <v/>
      </c>
      <c r="N56" s="35" t="n"/>
    </row>
    <row r="57">
      <c r="A57" s="40" t="n"/>
      <c r="B57" s="35" t="n"/>
      <c r="C57" s="35" t="n"/>
      <c r="D57" s="35" t="n"/>
      <c r="E57" s="61" t="n"/>
      <c r="F57" s="37" t="n"/>
      <c r="G57" s="39">
        <f>IF(B57="","",IF(F57&lt;&gt;"",F57,IFERROR(VLOOKUP(B57,'Vendors &amp; Crew'!$A$5:$D$34,3,FALSE),0)))</f>
        <v/>
      </c>
      <c r="H57" s="39">
        <f>IF(B57="","",E57*G57*(1+Settings!$B$18))</f>
        <v/>
      </c>
      <c r="I57" s="39">
        <f>IF(B57="","",IFERROR(VLOOKUP(B57,'Vendors &amp; Crew'!$A$5:$D$34,4,FALSE),0))</f>
        <v/>
      </c>
      <c r="J57" s="39">
        <f>IF(B57="","",E57*I57)</f>
        <v/>
      </c>
      <c r="K57" s="59">
        <f>IF(A57="","",A57-WEEKDAY(A57,2)+7)</f>
        <v/>
      </c>
      <c r="L57" s="9">
        <f>IF(B57="","",IF(D57="","Labor",IFERROR(VLOOKUP(D57,Settings!$E$5:$G$28,3,FALSE),"Labor")))</f>
        <v/>
      </c>
      <c r="M57" s="9">
        <f>IF(B57="","",IF(COUNTIF('Vendors &amp; Crew'!$A$5:$A$34,B57)=0,"Worker not in Crew table",IF(C57="","Missing Job ID",IF(COUNTIF(Jobs!$A$5:$A$44,C57)=0,"Unknown Job ID",IF(E57="","Missing hours",IF(A57="","Missing date",""))))))</f>
        <v/>
      </c>
      <c r="N57" s="35" t="n"/>
    </row>
    <row r="58">
      <c r="A58" s="40" t="n"/>
      <c r="B58" s="35" t="n"/>
      <c r="C58" s="35" t="n"/>
      <c r="D58" s="35" t="n"/>
      <c r="E58" s="61" t="n"/>
      <c r="F58" s="37" t="n"/>
      <c r="G58" s="39">
        <f>IF(B58="","",IF(F58&lt;&gt;"",F58,IFERROR(VLOOKUP(B58,'Vendors &amp; Crew'!$A$5:$D$34,3,FALSE),0)))</f>
        <v/>
      </c>
      <c r="H58" s="39">
        <f>IF(B58="","",E58*G58*(1+Settings!$B$18))</f>
        <v/>
      </c>
      <c r="I58" s="39">
        <f>IF(B58="","",IFERROR(VLOOKUP(B58,'Vendors &amp; Crew'!$A$5:$D$34,4,FALSE),0))</f>
        <v/>
      </c>
      <c r="J58" s="39">
        <f>IF(B58="","",E58*I58)</f>
        <v/>
      </c>
      <c r="K58" s="59">
        <f>IF(A58="","",A58-WEEKDAY(A58,2)+7)</f>
        <v/>
      </c>
      <c r="L58" s="9">
        <f>IF(B58="","",IF(D58="","Labor",IFERROR(VLOOKUP(D58,Settings!$E$5:$G$28,3,FALSE),"Labor")))</f>
        <v/>
      </c>
      <c r="M58" s="9">
        <f>IF(B58="","",IF(COUNTIF('Vendors &amp; Crew'!$A$5:$A$34,B58)=0,"Worker not in Crew table",IF(C58="","Missing Job ID",IF(COUNTIF(Jobs!$A$5:$A$44,C58)=0,"Unknown Job ID",IF(E58="","Missing hours",IF(A58="","Missing date",""))))))</f>
        <v/>
      </c>
      <c r="N58" s="35" t="n"/>
    </row>
    <row r="59">
      <c r="A59" s="40" t="n"/>
      <c r="B59" s="35" t="n"/>
      <c r="C59" s="35" t="n"/>
      <c r="D59" s="35" t="n"/>
      <c r="E59" s="61" t="n"/>
      <c r="F59" s="37" t="n"/>
      <c r="G59" s="39">
        <f>IF(B59="","",IF(F59&lt;&gt;"",F59,IFERROR(VLOOKUP(B59,'Vendors &amp; Crew'!$A$5:$D$34,3,FALSE),0)))</f>
        <v/>
      </c>
      <c r="H59" s="39">
        <f>IF(B59="","",E59*G59*(1+Settings!$B$18))</f>
        <v/>
      </c>
      <c r="I59" s="39">
        <f>IF(B59="","",IFERROR(VLOOKUP(B59,'Vendors &amp; Crew'!$A$5:$D$34,4,FALSE),0))</f>
        <v/>
      </c>
      <c r="J59" s="39">
        <f>IF(B59="","",E59*I59)</f>
        <v/>
      </c>
      <c r="K59" s="59">
        <f>IF(A59="","",A59-WEEKDAY(A59,2)+7)</f>
        <v/>
      </c>
      <c r="L59" s="9">
        <f>IF(B59="","",IF(D59="","Labor",IFERROR(VLOOKUP(D59,Settings!$E$5:$G$28,3,FALSE),"Labor")))</f>
        <v/>
      </c>
      <c r="M59" s="9">
        <f>IF(B59="","",IF(COUNTIF('Vendors &amp; Crew'!$A$5:$A$34,B59)=0,"Worker not in Crew table",IF(C59="","Missing Job ID",IF(COUNTIF(Jobs!$A$5:$A$44,C59)=0,"Unknown Job ID",IF(E59="","Missing hours",IF(A59="","Missing date",""))))))</f>
        <v/>
      </c>
      <c r="N59" s="35" t="n"/>
    </row>
    <row r="60">
      <c r="A60" s="40" t="n"/>
      <c r="B60" s="35" t="n"/>
      <c r="C60" s="35" t="n"/>
      <c r="D60" s="35" t="n"/>
      <c r="E60" s="61" t="n"/>
      <c r="F60" s="37" t="n"/>
      <c r="G60" s="39">
        <f>IF(B60="","",IF(F60&lt;&gt;"",F60,IFERROR(VLOOKUP(B60,'Vendors &amp; Crew'!$A$5:$D$34,3,FALSE),0)))</f>
        <v/>
      </c>
      <c r="H60" s="39">
        <f>IF(B60="","",E60*G60*(1+Settings!$B$18))</f>
        <v/>
      </c>
      <c r="I60" s="39">
        <f>IF(B60="","",IFERROR(VLOOKUP(B60,'Vendors &amp; Crew'!$A$5:$D$34,4,FALSE),0))</f>
        <v/>
      </c>
      <c r="J60" s="39">
        <f>IF(B60="","",E60*I60)</f>
        <v/>
      </c>
      <c r="K60" s="59">
        <f>IF(A60="","",A60-WEEKDAY(A60,2)+7)</f>
        <v/>
      </c>
      <c r="L60" s="9">
        <f>IF(B60="","",IF(D60="","Labor",IFERROR(VLOOKUP(D60,Settings!$E$5:$G$28,3,FALSE),"Labor")))</f>
        <v/>
      </c>
      <c r="M60" s="9">
        <f>IF(B60="","",IF(COUNTIF('Vendors &amp; Crew'!$A$5:$A$34,B60)=0,"Worker not in Crew table",IF(C60="","Missing Job ID",IF(COUNTIF(Jobs!$A$5:$A$44,C60)=0,"Unknown Job ID",IF(E60="","Missing hours",IF(A60="","Missing date",""))))))</f>
        <v/>
      </c>
      <c r="N60" s="35" t="n"/>
    </row>
    <row r="61">
      <c r="A61" s="40" t="n"/>
      <c r="B61" s="35" t="n"/>
      <c r="C61" s="35" t="n"/>
      <c r="D61" s="35" t="n"/>
      <c r="E61" s="61" t="n"/>
      <c r="F61" s="37" t="n"/>
      <c r="G61" s="39">
        <f>IF(B61="","",IF(F61&lt;&gt;"",F61,IFERROR(VLOOKUP(B61,'Vendors &amp; Crew'!$A$5:$D$34,3,FALSE),0)))</f>
        <v/>
      </c>
      <c r="H61" s="39">
        <f>IF(B61="","",E61*G61*(1+Settings!$B$18))</f>
        <v/>
      </c>
      <c r="I61" s="39">
        <f>IF(B61="","",IFERROR(VLOOKUP(B61,'Vendors &amp; Crew'!$A$5:$D$34,4,FALSE),0))</f>
        <v/>
      </c>
      <c r="J61" s="39">
        <f>IF(B61="","",E61*I61)</f>
        <v/>
      </c>
      <c r="K61" s="59">
        <f>IF(A61="","",A61-WEEKDAY(A61,2)+7)</f>
        <v/>
      </c>
      <c r="L61" s="9">
        <f>IF(B61="","",IF(D61="","Labor",IFERROR(VLOOKUP(D61,Settings!$E$5:$G$28,3,FALSE),"Labor")))</f>
        <v/>
      </c>
      <c r="M61" s="9">
        <f>IF(B61="","",IF(COUNTIF('Vendors &amp; Crew'!$A$5:$A$34,B61)=0,"Worker not in Crew table",IF(C61="","Missing Job ID",IF(COUNTIF(Jobs!$A$5:$A$44,C61)=0,"Unknown Job ID",IF(E61="","Missing hours",IF(A61="","Missing date",""))))))</f>
        <v/>
      </c>
      <c r="N61" s="35" t="n"/>
    </row>
    <row r="62">
      <c r="A62" s="40" t="n"/>
      <c r="B62" s="35" t="n"/>
      <c r="C62" s="35" t="n"/>
      <c r="D62" s="35" t="n"/>
      <c r="E62" s="61" t="n"/>
      <c r="F62" s="37" t="n"/>
      <c r="G62" s="39">
        <f>IF(B62="","",IF(F62&lt;&gt;"",F62,IFERROR(VLOOKUP(B62,'Vendors &amp; Crew'!$A$5:$D$34,3,FALSE),0)))</f>
        <v/>
      </c>
      <c r="H62" s="39">
        <f>IF(B62="","",E62*G62*(1+Settings!$B$18))</f>
        <v/>
      </c>
      <c r="I62" s="39">
        <f>IF(B62="","",IFERROR(VLOOKUP(B62,'Vendors &amp; Crew'!$A$5:$D$34,4,FALSE),0))</f>
        <v/>
      </c>
      <c r="J62" s="39">
        <f>IF(B62="","",E62*I62)</f>
        <v/>
      </c>
      <c r="K62" s="59">
        <f>IF(A62="","",A62-WEEKDAY(A62,2)+7)</f>
        <v/>
      </c>
      <c r="L62" s="9">
        <f>IF(B62="","",IF(D62="","Labor",IFERROR(VLOOKUP(D62,Settings!$E$5:$G$28,3,FALSE),"Labor")))</f>
        <v/>
      </c>
      <c r="M62" s="9">
        <f>IF(B62="","",IF(COUNTIF('Vendors &amp; Crew'!$A$5:$A$34,B62)=0,"Worker not in Crew table",IF(C62="","Missing Job ID",IF(COUNTIF(Jobs!$A$5:$A$44,C62)=0,"Unknown Job ID",IF(E62="","Missing hours",IF(A62="","Missing date",""))))))</f>
        <v/>
      </c>
      <c r="N62" s="35" t="n"/>
    </row>
    <row r="63">
      <c r="A63" s="40" t="n"/>
      <c r="B63" s="35" t="n"/>
      <c r="C63" s="35" t="n"/>
      <c r="D63" s="35" t="n"/>
      <c r="E63" s="61" t="n"/>
      <c r="F63" s="37" t="n"/>
      <c r="G63" s="39">
        <f>IF(B63="","",IF(F63&lt;&gt;"",F63,IFERROR(VLOOKUP(B63,'Vendors &amp; Crew'!$A$5:$D$34,3,FALSE),0)))</f>
        <v/>
      </c>
      <c r="H63" s="39">
        <f>IF(B63="","",E63*G63*(1+Settings!$B$18))</f>
        <v/>
      </c>
      <c r="I63" s="39">
        <f>IF(B63="","",IFERROR(VLOOKUP(B63,'Vendors &amp; Crew'!$A$5:$D$34,4,FALSE),0))</f>
        <v/>
      </c>
      <c r="J63" s="39">
        <f>IF(B63="","",E63*I63)</f>
        <v/>
      </c>
      <c r="K63" s="59">
        <f>IF(A63="","",A63-WEEKDAY(A63,2)+7)</f>
        <v/>
      </c>
      <c r="L63" s="9">
        <f>IF(B63="","",IF(D63="","Labor",IFERROR(VLOOKUP(D63,Settings!$E$5:$G$28,3,FALSE),"Labor")))</f>
        <v/>
      </c>
      <c r="M63" s="9">
        <f>IF(B63="","",IF(COUNTIF('Vendors &amp; Crew'!$A$5:$A$34,B63)=0,"Worker not in Crew table",IF(C63="","Missing Job ID",IF(COUNTIF(Jobs!$A$5:$A$44,C63)=0,"Unknown Job ID",IF(E63="","Missing hours",IF(A63="","Missing date",""))))))</f>
        <v/>
      </c>
      <c r="N63" s="35" t="n"/>
    </row>
    <row r="64">
      <c r="A64" s="40" t="n"/>
      <c r="B64" s="35" t="n"/>
      <c r="C64" s="35" t="n"/>
      <c r="D64" s="35" t="n"/>
      <c r="E64" s="61" t="n"/>
      <c r="F64" s="37" t="n"/>
      <c r="G64" s="39">
        <f>IF(B64="","",IF(F64&lt;&gt;"",F64,IFERROR(VLOOKUP(B64,'Vendors &amp; Crew'!$A$5:$D$34,3,FALSE),0)))</f>
        <v/>
      </c>
      <c r="H64" s="39">
        <f>IF(B64="","",E64*G64*(1+Settings!$B$18))</f>
        <v/>
      </c>
      <c r="I64" s="39">
        <f>IF(B64="","",IFERROR(VLOOKUP(B64,'Vendors &amp; Crew'!$A$5:$D$34,4,FALSE),0))</f>
        <v/>
      </c>
      <c r="J64" s="39">
        <f>IF(B64="","",E64*I64)</f>
        <v/>
      </c>
      <c r="K64" s="59">
        <f>IF(A64="","",A64-WEEKDAY(A64,2)+7)</f>
        <v/>
      </c>
      <c r="L64" s="9">
        <f>IF(B64="","",IF(D64="","Labor",IFERROR(VLOOKUP(D64,Settings!$E$5:$G$28,3,FALSE),"Labor")))</f>
        <v/>
      </c>
      <c r="M64" s="9">
        <f>IF(B64="","",IF(COUNTIF('Vendors &amp; Crew'!$A$5:$A$34,B64)=0,"Worker not in Crew table",IF(C64="","Missing Job ID",IF(COUNTIF(Jobs!$A$5:$A$44,C64)=0,"Unknown Job ID",IF(E64="","Missing hours",IF(A64="","Missing date",""))))))</f>
        <v/>
      </c>
      <c r="N64" s="35" t="n"/>
    </row>
    <row r="65">
      <c r="A65" s="40" t="n"/>
      <c r="B65" s="35" t="n"/>
      <c r="C65" s="35" t="n"/>
      <c r="D65" s="35" t="n"/>
      <c r="E65" s="61" t="n"/>
      <c r="F65" s="37" t="n"/>
      <c r="G65" s="39">
        <f>IF(B65="","",IF(F65&lt;&gt;"",F65,IFERROR(VLOOKUP(B65,'Vendors &amp; Crew'!$A$5:$D$34,3,FALSE),0)))</f>
        <v/>
      </c>
      <c r="H65" s="39">
        <f>IF(B65="","",E65*G65*(1+Settings!$B$18))</f>
        <v/>
      </c>
      <c r="I65" s="39">
        <f>IF(B65="","",IFERROR(VLOOKUP(B65,'Vendors &amp; Crew'!$A$5:$D$34,4,FALSE),0))</f>
        <v/>
      </c>
      <c r="J65" s="39">
        <f>IF(B65="","",E65*I65)</f>
        <v/>
      </c>
      <c r="K65" s="59">
        <f>IF(A65="","",A65-WEEKDAY(A65,2)+7)</f>
        <v/>
      </c>
      <c r="L65" s="9">
        <f>IF(B65="","",IF(D65="","Labor",IFERROR(VLOOKUP(D65,Settings!$E$5:$G$28,3,FALSE),"Labor")))</f>
        <v/>
      </c>
      <c r="M65" s="9">
        <f>IF(B65="","",IF(COUNTIF('Vendors &amp; Crew'!$A$5:$A$34,B65)=0,"Worker not in Crew table",IF(C65="","Missing Job ID",IF(COUNTIF(Jobs!$A$5:$A$44,C65)=0,"Unknown Job ID",IF(E65="","Missing hours",IF(A65="","Missing date",""))))))</f>
        <v/>
      </c>
      <c r="N65" s="35" t="n"/>
    </row>
    <row r="66">
      <c r="A66" s="40" t="n"/>
      <c r="B66" s="35" t="n"/>
      <c r="C66" s="35" t="n"/>
      <c r="D66" s="35" t="n"/>
      <c r="E66" s="61" t="n"/>
      <c r="F66" s="37" t="n"/>
      <c r="G66" s="39">
        <f>IF(B66="","",IF(F66&lt;&gt;"",F66,IFERROR(VLOOKUP(B66,'Vendors &amp; Crew'!$A$5:$D$34,3,FALSE),0)))</f>
        <v/>
      </c>
      <c r="H66" s="39">
        <f>IF(B66="","",E66*G66*(1+Settings!$B$18))</f>
        <v/>
      </c>
      <c r="I66" s="39">
        <f>IF(B66="","",IFERROR(VLOOKUP(B66,'Vendors &amp; Crew'!$A$5:$D$34,4,FALSE),0))</f>
        <v/>
      </c>
      <c r="J66" s="39">
        <f>IF(B66="","",E66*I66)</f>
        <v/>
      </c>
      <c r="K66" s="59">
        <f>IF(A66="","",A66-WEEKDAY(A66,2)+7)</f>
        <v/>
      </c>
      <c r="L66" s="9">
        <f>IF(B66="","",IF(D66="","Labor",IFERROR(VLOOKUP(D66,Settings!$E$5:$G$28,3,FALSE),"Labor")))</f>
        <v/>
      </c>
      <c r="M66" s="9">
        <f>IF(B66="","",IF(COUNTIF('Vendors &amp; Crew'!$A$5:$A$34,B66)=0,"Worker not in Crew table",IF(C66="","Missing Job ID",IF(COUNTIF(Jobs!$A$5:$A$44,C66)=0,"Unknown Job ID",IF(E66="","Missing hours",IF(A66="","Missing date",""))))))</f>
        <v/>
      </c>
      <c r="N66" s="35" t="n"/>
    </row>
    <row r="67">
      <c r="A67" s="40" t="n"/>
      <c r="B67" s="35" t="n"/>
      <c r="C67" s="35" t="n"/>
      <c r="D67" s="35" t="n"/>
      <c r="E67" s="61" t="n"/>
      <c r="F67" s="37" t="n"/>
      <c r="G67" s="39">
        <f>IF(B67="","",IF(F67&lt;&gt;"",F67,IFERROR(VLOOKUP(B67,'Vendors &amp; Crew'!$A$5:$D$34,3,FALSE),0)))</f>
        <v/>
      </c>
      <c r="H67" s="39">
        <f>IF(B67="","",E67*G67*(1+Settings!$B$18))</f>
        <v/>
      </c>
      <c r="I67" s="39">
        <f>IF(B67="","",IFERROR(VLOOKUP(B67,'Vendors &amp; Crew'!$A$5:$D$34,4,FALSE),0))</f>
        <v/>
      </c>
      <c r="J67" s="39">
        <f>IF(B67="","",E67*I67)</f>
        <v/>
      </c>
      <c r="K67" s="59">
        <f>IF(A67="","",A67-WEEKDAY(A67,2)+7)</f>
        <v/>
      </c>
      <c r="L67" s="9">
        <f>IF(B67="","",IF(D67="","Labor",IFERROR(VLOOKUP(D67,Settings!$E$5:$G$28,3,FALSE),"Labor")))</f>
        <v/>
      </c>
      <c r="M67" s="9">
        <f>IF(B67="","",IF(COUNTIF('Vendors &amp; Crew'!$A$5:$A$34,B67)=0,"Worker not in Crew table",IF(C67="","Missing Job ID",IF(COUNTIF(Jobs!$A$5:$A$44,C67)=0,"Unknown Job ID",IF(E67="","Missing hours",IF(A67="","Missing date",""))))))</f>
        <v/>
      </c>
      <c r="N67" s="35" t="n"/>
    </row>
    <row r="68">
      <c r="A68" s="40" t="n"/>
      <c r="B68" s="35" t="n"/>
      <c r="C68" s="35" t="n"/>
      <c r="D68" s="35" t="n"/>
      <c r="E68" s="61" t="n"/>
      <c r="F68" s="37" t="n"/>
      <c r="G68" s="39">
        <f>IF(B68="","",IF(F68&lt;&gt;"",F68,IFERROR(VLOOKUP(B68,'Vendors &amp; Crew'!$A$5:$D$34,3,FALSE),0)))</f>
        <v/>
      </c>
      <c r="H68" s="39">
        <f>IF(B68="","",E68*G68*(1+Settings!$B$18))</f>
        <v/>
      </c>
      <c r="I68" s="39">
        <f>IF(B68="","",IFERROR(VLOOKUP(B68,'Vendors &amp; Crew'!$A$5:$D$34,4,FALSE),0))</f>
        <v/>
      </c>
      <c r="J68" s="39">
        <f>IF(B68="","",E68*I68)</f>
        <v/>
      </c>
      <c r="K68" s="59">
        <f>IF(A68="","",A68-WEEKDAY(A68,2)+7)</f>
        <v/>
      </c>
      <c r="L68" s="9">
        <f>IF(B68="","",IF(D68="","Labor",IFERROR(VLOOKUP(D68,Settings!$E$5:$G$28,3,FALSE),"Labor")))</f>
        <v/>
      </c>
      <c r="M68" s="9">
        <f>IF(B68="","",IF(COUNTIF('Vendors &amp; Crew'!$A$5:$A$34,B68)=0,"Worker not in Crew table",IF(C68="","Missing Job ID",IF(COUNTIF(Jobs!$A$5:$A$44,C68)=0,"Unknown Job ID",IF(E68="","Missing hours",IF(A68="","Missing date",""))))))</f>
        <v/>
      </c>
      <c r="N68" s="35" t="n"/>
    </row>
    <row r="69">
      <c r="A69" s="40" t="n"/>
      <c r="B69" s="35" t="n"/>
      <c r="C69" s="35" t="n"/>
      <c r="D69" s="35" t="n"/>
      <c r="E69" s="61" t="n"/>
      <c r="F69" s="37" t="n"/>
      <c r="G69" s="39">
        <f>IF(B69="","",IF(F69&lt;&gt;"",F69,IFERROR(VLOOKUP(B69,'Vendors &amp; Crew'!$A$5:$D$34,3,FALSE),0)))</f>
        <v/>
      </c>
      <c r="H69" s="39">
        <f>IF(B69="","",E69*G69*(1+Settings!$B$18))</f>
        <v/>
      </c>
      <c r="I69" s="39">
        <f>IF(B69="","",IFERROR(VLOOKUP(B69,'Vendors &amp; Crew'!$A$5:$D$34,4,FALSE),0))</f>
        <v/>
      </c>
      <c r="J69" s="39">
        <f>IF(B69="","",E69*I69)</f>
        <v/>
      </c>
      <c r="K69" s="59">
        <f>IF(A69="","",A69-WEEKDAY(A69,2)+7)</f>
        <v/>
      </c>
      <c r="L69" s="9">
        <f>IF(B69="","",IF(D69="","Labor",IFERROR(VLOOKUP(D69,Settings!$E$5:$G$28,3,FALSE),"Labor")))</f>
        <v/>
      </c>
      <c r="M69" s="9">
        <f>IF(B69="","",IF(COUNTIF('Vendors &amp; Crew'!$A$5:$A$34,B69)=0,"Worker not in Crew table",IF(C69="","Missing Job ID",IF(COUNTIF(Jobs!$A$5:$A$44,C69)=0,"Unknown Job ID",IF(E69="","Missing hours",IF(A69="","Missing date",""))))))</f>
        <v/>
      </c>
      <c r="N69" s="35" t="n"/>
    </row>
    <row r="70">
      <c r="A70" s="40" t="n"/>
      <c r="B70" s="35" t="n"/>
      <c r="C70" s="35" t="n"/>
      <c r="D70" s="35" t="n"/>
      <c r="E70" s="61" t="n"/>
      <c r="F70" s="37" t="n"/>
      <c r="G70" s="39">
        <f>IF(B70="","",IF(F70&lt;&gt;"",F70,IFERROR(VLOOKUP(B70,'Vendors &amp; Crew'!$A$5:$D$34,3,FALSE),0)))</f>
        <v/>
      </c>
      <c r="H70" s="39">
        <f>IF(B70="","",E70*G70*(1+Settings!$B$18))</f>
        <v/>
      </c>
      <c r="I70" s="39">
        <f>IF(B70="","",IFERROR(VLOOKUP(B70,'Vendors &amp; Crew'!$A$5:$D$34,4,FALSE),0))</f>
        <v/>
      </c>
      <c r="J70" s="39">
        <f>IF(B70="","",E70*I70)</f>
        <v/>
      </c>
      <c r="K70" s="59">
        <f>IF(A70="","",A70-WEEKDAY(A70,2)+7)</f>
        <v/>
      </c>
      <c r="L70" s="9">
        <f>IF(B70="","",IF(D70="","Labor",IFERROR(VLOOKUP(D70,Settings!$E$5:$G$28,3,FALSE),"Labor")))</f>
        <v/>
      </c>
      <c r="M70" s="9">
        <f>IF(B70="","",IF(COUNTIF('Vendors &amp; Crew'!$A$5:$A$34,B70)=0,"Worker not in Crew table",IF(C70="","Missing Job ID",IF(COUNTIF(Jobs!$A$5:$A$44,C70)=0,"Unknown Job ID",IF(E70="","Missing hours",IF(A70="","Missing date",""))))))</f>
        <v/>
      </c>
      <c r="N70" s="35" t="n"/>
    </row>
    <row r="71">
      <c r="A71" s="40" t="n"/>
      <c r="B71" s="35" t="n"/>
      <c r="C71" s="35" t="n"/>
      <c r="D71" s="35" t="n"/>
      <c r="E71" s="61" t="n"/>
      <c r="F71" s="37" t="n"/>
      <c r="G71" s="39">
        <f>IF(B71="","",IF(F71&lt;&gt;"",F71,IFERROR(VLOOKUP(B71,'Vendors &amp; Crew'!$A$5:$D$34,3,FALSE),0)))</f>
        <v/>
      </c>
      <c r="H71" s="39">
        <f>IF(B71="","",E71*G71*(1+Settings!$B$18))</f>
        <v/>
      </c>
      <c r="I71" s="39">
        <f>IF(B71="","",IFERROR(VLOOKUP(B71,'Vendors &amp; Crew'!$A$5:$D$34,4,FALSE),0))</f>
        <v/>
      </c>
      <c r="J71" s="39">
        <f>IF(B71="","",E71*I71)</f>
        <v/>
      </c>
      <c r="K71" s="59">
        <f>IF(A71="","",A71-WEEKDAY(A71,2)+7)</f>
        <v/>
      </c>
      <c r="L71" s="9">
        <f>IF(B71="","",IF(D71="","Labor",IFERROR(VLOOKUP(D71,Settings!$E$5:$G$28,3,FALSE),"Labor")))</f>
        <v/>
      </c>
      <c r="M71" s="9">
        <f>IF(B71="","",IF(COUNTIF('Vendors &amp; Crew'!$A$5:$A$34,B71)=0,"Worker not in Crew table",IF(C71="","Missing Job ID",IF(COUNTIF(Jobs!$A$5:$A$44,C71)=0,"Unknown Job ID",IF(E71="","Missing hours",IF(A71="","Missing date",""))))))</f>
        <v/>
      </c>
      <c r="N71" s="35" t="n"/>
    </row>
    <row r="72">
      <c r="A72" s="40" t="n"/>
      <c r="B72" s="35" t="n"/>
      <c r="C72" s="35" t="n"/>
      <c r="D72" s="35" t="n"/>
      <c r="E72" s="61" t="n"/>
      <c r="F72" s="37" t="n"/>
      <c r="G72" s="39">
        <f>IF(B72="","",IF(F72&lt;&gt;"",F72,IFERROR(VLOOKUP(B72,'Vendors &amp; Crew'!$A$5:$D$34,3,FALSE),0)))</f>
        <v/>
      </c>
      <c r="H72" s="39">
        <f>IF(B72="","",E72*G72*(1+Settings!$B$18))</f>
        <v/>
      </c>
      <c r="I72" s="39">
        <f>IF(B72="","",IFERROR(VLOOKUP(B72,'Vendors &amp; Crew'!$A$5:$D$34,4,FALSE),0))</f>
        <v/>
      </c>
      <c r="J72" s="39">
        <f>IF(B72="","",E72*I72)</f>
        <v/>
      </c>
      <c r="K72" s="59">
        <f>IF(A72="","",A72-WEEKDAY(A72,2)+7)</f>
        <v/>
      </c>
      <c r="L72" s="9">
        <f>IF(B72="","",IF(D72="","Labor",IFERROR(VLOOKUP(D72,Settings!$E$5:$G$28,3,FALSE),"Labor")))</f>
        <v/>
      </c>
      <c r="M72" s="9">
        <f>IF(B72="","",IF(COUNTIF('Vendors &amp; Crew'!$A$5:$A$34,B72)=0,"Worker not in Crew table",IF(C72="","Missing Job ID",IF(COUNTIF(Jobs!$A$5:$A$44,C72)=0,"Unknown Job ID",IF(E72="","Missing hours",IF(A72="","Missing date",""))))))</f>
        <v/>
      </c>
      <c r="N72" s="35" t="n"/>
    </row>
    <row r="73">
      <c r="A73" s="40" t="n"/>
      <c r="B73" s="35" t="n"/>
      <c r="C73" s="35" t="n"/>
      <c r="D73" s="35" t="n"/>
      <c r="E73" s="61" t="n"/>
      <c r="F73" s="37" t="n"/>
      <c r="G73" s="39">
        <f>IF(B73="","",IF(F73&lt;&gt;"",F73,IFERROR(VLOOKUP(B73,'Vendors &amp; Crew'!$A$5:$D$34,3,FALSE),0)))</f>
        <v/>
      </c>
      <c r="H73" s="39">
        <f>IF(B73="","",E73*G73*(1+Settings!$B$18))</f>
        <v/>
      </c>
      <c r="I73" s="39">
        <f>IF(B73="","",IFERROR(VLOOKUP(B73,'Vendors &amp; Crew'!$A$5:$D$34,4,FALSE),0))</f>
        <v/>
      </c>
      <c r="J73" s="39">
        <f>IF(B73="","",E73*I73)</f>
        <v/>
      </c>
      <c r="K73" s="59">
        <f>IF(A73="","",A73-WEEKDAY(A73,2)+7)</f>
        <v/>
      </c>
      <c r="L73" s="9">
        <f>IF(B73="","",IF(D73="","Labor",IFERROR(VLOOKUP(D73,Settings!$E$5:$G$28,3,FALSE),"Labor")))</f>
        <v/>
      </c>
      <c r="M73" s="9">
        <f>IF(B73="","",IF(COUNTIF('Vendors &amp; Crew'!$A$5:$A$34,B73)=0,"Worker not in Crew table",IF(C73="","Missing Job ID",IF(COUNTIF(Jobs!$A$5:$A$44,C73)=0,"Unknown Job ID",IF(E73="","Missing hours",IF(A73="","Missing date",""))))))</f>
        <v/>
      </c>
      <c r="N73" s="35" t="n"/>
    </row>
    <row r="74">
      <c r="A74" s="40" t="n"/>
      <c r="B74" s="35" t="n"/>
      <c r="C74" s="35" t="n"/>
      <c r="D74" s="35" t="n"/>
      <c r="E74" s="61" t="n"/>
      <c r="F74" s="37" t="n"/>
      <c r="G74" s="39">
        <f>IF(B74="","",IF(F74&lt;&gt;"",F74,IFERROR(VLOOKUP(B74,'Vendors &amp; Crew'!$A$5:$D$34,3,FALSE),0)))</f>
        <v/>
      </c>
      <c r="H74" s="39">
        <f>IF(B74="","",E74*G74*(1+Settings!$B$18))</f>
        <v/>
      </c>
      <c r="I74" s="39">
        <f>IF(B74="","",IFERROR(VLOOKUP(B74,'Vendors &amp; Crew'!$A$5:$D$34,4,FALSE),0))</f>
        <v/>
      </c>
      <c r="J74" s="39">
        <f>IF(B74="","",E74*I74)</f>
        <v/>
      </c>
      <c r="K74" s="59">
        <f>IF(A74="","",A74-WEEKDAY(A74,2)+7)</f>
        <v/>
      </c>
      <c r="L74" s="9">
        <f>IF(B74="","",IF(D74="","Labor",IFERROR(VLOOKUP(D74,Settings!$E$5:$G$28,3,FALSE),"Labor")))</f>
        <v/>
      </c>
      <c r="M74" s="9">
        <f>IF(B74="","",IF(COUNTIF('Vendors &amp; Crew'!$A$5:$A$34,B74)=0,"Worker not in Crew table",IF(C74="","Missing Job ID",IF(COUNTIF(Jobs!$A$5:$A$44,C74)=0,"Unknown Job ID",IF(E74="","Missing hours",IF(A74="","Missing date",""))))))</f>
        <v/>
      </c>
      <c r="N74" s="35" t="n"/>
    </row>
    <row r="75">
      <c r="A75" s="40" t="n"/>
      <c r="B75" s="35" t="n"/>
      <c r="C75" s="35" t="n"/>
      <c r="D75" s="35" t="n"/>
      <c r="E75" s="61" t="n"/>
      <c r="F75" s="37" t="n"/>
      <c r="G75" s="39">
        <f>IF(B75="","",IF(F75&lt;&gt;"",F75,IFERROR(VLOOKUP(B75,'Vendors &amp; Crew'!$A$5:$D$34,3,FALSE),0)))</f>
        <v/>
      </c>
      <c r="H75" s="39">
        <f>IF(B75="","",E75*G75*(1+Settings!$B$18))</f>
        <v/>
      </c>
      <c r="I75" s="39">
        <f>IF(B75="","",IFERROR(VLOOKUP(B75,'Vendors &amp; Crew'!$A$5:$D$34,4,FALSE),0))</f>
        <v/>
      </c>
      <c r="J75" s="39">
        <f>IF(B75="","",E75*I75)</f>
        <v/>
      </c>
      <c r="K75" s="59">
        <f>IF(A75="","",A75-WEEKDAY(A75,2)+7)</f>
        <v/>
      </c>
      <c r="L75" s="9">
        <f>IF(B75="","",IF(D75="","Labor",IFERROR(VLOOKUP(D75,Settings!$E$5:$G$28,3,FALSE),"Labor")))</f>
        <v/>
      </c>
      <c r="M75" s="9">
        <f>IF(B75="","",IF(COUNTIF('Vendors &amp; Crew'!$A$5:$A$34,B75)=0,"Worker not in Crew table",IF(C75="","Missing Job ID",IF(COUNTIF(Jobs!$A$5:$A$44,C75)=0,"Unknown Job ID",IF(E75="","Missing hours",IF(A75="","Missing date",""))))))</f>
        <v/>
      </c>
      <c r="N75" s="35" t="n"/>
    </row>
    <row r="76">
      <c r="A76" s="40" t="n"/>
      <c r="B76" s="35" t="n"/>
      <c r="C76" s="35" t="n"/>
      <c r="D76" s="35" t="n"/>
      <c r="E76" s="61" t="n"/>
      <c r="F76" s="37" t="n"/>
      <c r="G76" s="39">
        <f>IF(B76="","",IF(F76&lt;&gt;"",F76,IFERROR(VLOOKUP(B76,'Vendors &amp; Crew'!$A$5:$D$34,3,FALSE),0)))</f>
        <v/>
      </c>
      <c r="H76" s="39">
        <f>IF(B76="","",E76*G76*(1+Settings!$B$18))</f>
        <v/>
      </c>
      <c r="I76" s="39">
        <f>IF(B76="","",IFERROR(VLOOKUP(B76,'Vendors &amp; Crew'!$A$5:$D$34,4,FALSE),0))</f>
        <v/>
      </c>
      <c r="J76" s="39">
        <f>IF(B76="","",E76*I76)</f>
        <v/>
      </c>
      <c r="K76" s="59">
        <f>IF(A76="","",A76-WEEKDAY(A76,2)+7)</f>
        <v/>
      </c>
      <c r="L76" s="9">
        <f>IF(B76="","",IF(D76="","Labor",IFERROR(VLOOKUP(D76,Settings!$E$5:$G$28,3,FALSE),"Labor")))</f>
        <v/>
      </c>
      <c r="M76" s="9">
        <f>IF(B76="","",IF(COUNTIF('Vendors &amp; Crew'!$A$5:$A$34,B76)=0,"Worker not in Crew table",IF(C76="","Missing Job ID",IF(COUNTIF(Jobs!$A$5:$A$44,C76)=0,"Unknown Job ID",IF(E76="","Missing hours",IF(A76="","Missing date",""))))))</f>
        <v/>
      </c>
      <c r="N76" s="35" t="n"/>
    </row>
    <row r="77">
      <c r="A77" s="40" t="n"/>
      <c r="B77" s="35" t="n"/>
      <c r="C77" s="35" t="n"/>
      <c r="D77" s="35" t="n"/>
      <c r="E77" s="61" t="n"/>
      <c r="F77" s="37" t="n"/>
      <c r="G77" s="39">
        <f>IF(B77="","",IF(F77&lt;&gt;"",F77,IFERROR(VLOOKUP(B77,'Vendors &amp; Crew'!$A$5:$D$34,3,FALSE),0)))</f>
        <v/>
      </c>
      <c r="H77" s="39">
        <f>IF(B77="","",E77*G77*(1+Settings!$B$18))</f>
        <v/>
      </c>
      <c r="I77" s="39">
        <f>IF(B77="","",IFERROR(VLOOKUP(B77,'Vendors &amp; Crew'!$A$5:$D$34,4,FALSE),0))</f>
        <v/>
      </c>
      <c r="J77" s="39">
        <f>IF(B77="","",E77*I77)</f>
        <v/>
      </c>
      <c r="K77" s="59">
        <f>IF(A77="","",A77-WEEKDAY(A77,2)+7)</f>
        <v/>
      </c>
      <c r="L77" s="9">
        <f>IF(B77="","",IF(D77="","Labor",IFERROR(VLOOKUP(D77,Settings!$E$5:$G$28,3,FALSE),"Labor")))</f>
        <v/>
      </c>
      <c r="M77" s="9">
        <f>IF(B77="","",IF(COUNTIF('Vendors &amp; Crew'!$A$5:$A$34,B77)=0,"Worker not in Crew table",IF(C77="","Missing Job ID",IF(COUNTIF(Jobs!$A$5:$A$44,C77)=0,"Unknown Job ID",IF(E77="","Missing hours",IF(A77="","Missing date",""))))))</f>
        <v/>
      </c>
      <c r="N77" s="35" t="n"/>
    </row>
    <row r="78">
      <c r="A78" s="40" t="n"/>
      <c r="B78" s="35" t="n"/>
      <c r="C78" s="35" t="n"/>
      <c r="D78" s="35" t="n"/>
      <c r="E78" s="61" t="n"/>
      <c r="F78" s="37" t="n"/>
      <c r="G78" s="39">
        <f>IF(B78="","",IF(F78&lt;&gt;"",F78,IFERROR(VLOOKUP(B78,'Vendors &amp; Crew'!$A$5:$D$34,3,FALSE),0)))</f>
        <v/>
      </c>
      <c r="H78" s="39">
        <f>IF(B78="","",E78*G78*(1+Settings!$B$18))</f>
        <v/>
      </c>
      <c r="I78" s="39">
        <f>IF(B78="","",IFERROR(VLOOKUP(B78,'Vendors &amp; Crew'!$A$5:$D$34,4,FALSE),0))</f>
        <v/>
      </c>
      <c r="J78" s="39">
        <f>IF(B78="","",E78*I78)</f>
        <v/>
      </c>
      <c r="K78" s="59">
        <f>IF(A78="","",A78-WEEKDAY(A78,2)+7)</f>
        <v/>
      </c>
      <c r="L78" s="9">
        <f>IF(B78="","",IF(D78="","Labor",IFERROR(VLOOKUP(D78,Settings!$E$5:$G$28,3,FALSE),"Labor")))</f>
        <v/>
      </c>
      <c r="M78" s="9">
        <f>IF(B78="","",IF(COUNTIF('Vendors &amp; Crew'!$A$5:$A$34,B78)=0,"Worker not in Crew table",IF(C78="","Missing Job ID",IF(COUNTIF(Jobs!$A$5:$A$44,C78)=0,"Unknown Job ID",IF(E78="","Missing hours",IF(A78="","Missing date",""))))))</f>
        <v/>
      </c>
      <c r="N78" s="35" t="n"/>
    </row>
    <row r="79">
      <c r="A79" s="40" t="n"/>
      <c r="B79" s="35" t="n"/>
      <c r="C79" s="35" t="n"/>
      <c r="D79" s="35" t="n"/>
      <c r="E79" s="61" t="n"/>
      <c r="F79" s="37" t="n"/>
      <c r="G79" s="39">
        <f>IF(B79="","",IF(F79&lt;&gt;"",F79,IFERROR(VLOOKUP(B79,'Vendors &amp; Crew'!$A$5:$D$34,3,FALSE),0)))</f>
        <v/>
      </c>
      <c r="H79" s="39">
        <f>IF(B79="","",E79*G79*(1+Settings!$B$18))</f>
        <v/>
      </c>
      <c r="I79" s="39">
        <f>IF(B79="","",IFERROR(VLOOKUP(B79,'Vendors &amp; Crew'!$A$5:$D$34,4,FALSE),0))</f>
        <v/>
      </c>
      <c r="J79" s="39">
        <f>IF(B79="","",E79*I79)</f>
        <v/>
      </c>
      <c r="K79" s="59">
        <f>IF(A79="","",A79-WEEKDAY(A79,2)+7)</f>
        <v/>
      </c>
      <c r="L79" s="9">
        <f>IF(B79="","",IF(D79="","Labor",IFERROR(VLOOKUP(D79,Settings!$E$5:$G$28,3,FALSE),"Labor")))</f>
        <v/>
      </c>
      <c r="M79" s="9">
        <f>IF(B79="","",IF(COUNTIF('Vendors &amp; Crew'!$A$5:$A$34,B79)=0,"Worker not in Crew table",IF(C79="","Missing Job ID",IF(COUNTIF(Jobs!$A$5:$A$44,C79)=0,"Unknown Job ID",IF(E79="","Missing hours",IF(A79="","Missing date",""))))))</f>
        <v/>
      </c>
      <c r="N79" s="35" t="n"/>
    </row>
    <row r="80">
      <c r="A80" s="40" t="n"/>
      <c r="B80" s="35" t="n"/>
      <c r="C80" s="35" t="n"/>
      <c r="D80" s="35" t="n"/>
      <c r="E80" s="61" t="n"/>
      <c r="F80" s="37" t="n"/>
      <c r="G80" s="39">
        <f>IF(B80="","",IF(F80&lt;&gt;"",F80,IFERROR(VLOOKUP(B80,'Vendors &amp; Crew'!$A$5:$D$34,3,FALSE),0)))</f>
        <v/>
      </c>
      <c r="H80" s="39">
        <f>IF(B80="","",E80*G80*(1+Settings!$B$18))</f>
        <v/>
      </c>
      <c r="I80" s="39">
        <f>IF(B80="","",IFERROR(VLOOKUP(B80,'Vendors &amp; Crew'!$A$5:$D$34,4,FALSE),0))</f>
        <v/>
      </c>
      <c r="J80" s="39">
        <f>IF(B80="","",E80*I80)</f>
        <v/>
      </c>
      <c r="K80" s="59">
        <f>IF(A80="","",A80-WEEKDAY(A80,2)+7)</f>
        <v/>
      </c>
      <c r="L80" s="9">
        <f>IF(B80="","",IF(D80="","Labor",IFERROR(VLOOKUP(D80,Settings!$E$5:$G$28,3,FALSE),"Labor")))</f>
        <v/>
      </c>
      <c r="M80" s="9">
        <f>IF(B80="","",IF(COUNTIF('Vendors &amp; Crew'!$A$5:$A$34,B80)=0,"Worker not in Crew table",IF(C80="","Missing Job ID",IF(COUNTIF(Jobs!$A$5:$A$44,C80)=0,"Unknown Job ID",IF(E80="","Missing hours",IF(A80="","Missing date",""))))))</f>
        <v/>
      </c>
      <c r="N80" s="35" t="n"/>
    </row>
    <row r="81">
      <c r="A81" s="40" t="n"/>
      <c r="B81" s="35" t="n"/>
      <c r="C81" s="35" t="n"/>
      <c r="D81" s="35" t="n"/>
      <c r="E81" s="61" t="n"/>
      <c r="F81" s="37" t="n"/>
      <c r="G81" s="39">
        <f>IF(B81="","",IF(F81&lt;&gt;"",F81,IFERROR(VLOOKUP(B81,'Vendors &amp; Crew'!$A$5:$D$34,3,FALSE),0)))</f>
        <v/>
      </c>
      <c r="H81" s="39">
        <f>IF(B81="","",E81*G81*(1+Settings!$B$18))</f>
        <v/>
      </c>
      <c r="I81" s="39">
        <f>IF(B81="","",IFERROR(VLOOKUP(B81,'Vendors &amp; Crew'!$A$5:$D$34,4,FALSE),0))</f>
        <v/>
      </c>
      <c r="J81" s="39">
        <f>IF(B81="","",E81*I81)</f>
        <v/>
      </c>
      <c r="K81" s="59">
        <f>IF(A81="","",A81-WEEKDAY(A81,2)+7)</f>
        <v/>
      </c>
      <c r="L81" s="9">
        <f>IF(B81="","",IF(D81="","Labor",IFERROR(VLOOKUP(D81,Settings!$E$5:$G$28,3,FALSE),"Labor")))</f>
        <v/>
      </c>
      <c r="M81" s="9">
        <f>IF(B81="","",IF(COUNTIF('Vendors &amp; Crew'!$A$5:$A$34,B81)=0,"Worker not in Crew table",IF(C81="","Missing Job ID",IF(COUNTIF(Jobs!$A$5:$A$44,C81)=0,"Unknown Job ID",IF(E81="","Missing hours",IF(A81="","Missing date",""))))))</f>
        <v/>
      </c>
      <c r="N81" s="35" t="n"/>
    </row>
    <row r="82">
      <c r="A82" s="40" t="n"/>
      <c r="B82" s="35" t="n"/>
      <c r="C82" s="35" t="n"/>
      <c r="D82" s="35" t="n"/>
      <c r="E82" s="61" t="n"/>
      <c r="F82" s="37" t="n"/>
      <c r="G82" s="39">
        <f>IF(B82="","",IF(F82&lt;&gt;"",F82,IFERROR(VLOOKUP(B82,'Vendors &amp; Crew'!$A$5:$D$34,3,FALSE),0)))</f>
        <v/>
      </c>
      <c r="H82" s="39">
        <f>IF(B82="","",E82*G82*(1+Settings!$B$18))</f>
        <v/>
      </c>
      <c r="I82" s="39">
        <f>IF(B82="","",IFERROR(VLOOKUP(B82,'Vendors &amp; Crew'!$A$5:$D$34,4,FALSE),0))</f>
        <v/>
      </c>
      <c r="J82" s="39">
        <f>IF(B82="","",E82*I82)</f>
        <v/>
      </c>
      <c r="K82" s="59">
        <f>IF(A82="","",A82-WEEKDAY(A82,2)+7)</f>
        <v/>
      </c>
      <c r="L82" s="9">
        <f>IF(B82="","",IF(D82="","Labor",IFERROR(VLOOKUP(D82,Settings!$E$5:$G$28,3,FALSE),"Labor")))</f>
        <v/>
      </c>
      <c r="M82" s="9">
        <f>IF(B82="","",IF(COUNTIF('Vendors &amp; Crew'!$A$5:$A$34,B82)=0,"Worker not in Crew table",IF(C82="","Missing Job ID",IF(COUNTIF(Jobs!$A$5:$A$44,C82)=0,"Unknown Job ID",IF(E82="","Missing hours",IF(A82="","Missing date",""))))))</f>
        <v/>
      </c>
      <c r="N82" s="35" t="n"/>
    </row>
    <row r="83">
      <c r="A83" s="40" t="n"/>
      <c r="B83" s="35" t="n"/>
      <c r="C83" s="35" t="n"/>
      <c r="D83" s="35" t="n"/>
      <c r="E83" s="61" t="n"/>
      <c r="F83" s="37" t="n"/>
      <c r="G83" s="39">
        <f>IF(B83="","",IF(F83&lt;&gt;"",F83,IFERROR(VLOOKUP(B83,'Vendors &amp; Crew'!$A$5:$D$34,3,FALSE),0)))</f>
        <v/>
      </c>
      <c r="H83" s="39">
        <f>IF(B83="","",E83*G83*(1+Settings!$B$18))</f>
        <v/>
      </c>
      <c r="I83" s="39">
        <f>IF(B83="","",IFERROR(VLOOKUP(B83,'Vendors &amp; Crew'!$A$5:$D$34,4,FALSE),0))</f>
        <v/>
      </c>
      <c r="J83" s="39">
        <f>IF(B83="","",E83*I83)</f>
        <v/>
      </c>
      <c r="K83" s="59">
        <f>IF(A83="","",A83-WEEKDAY(A83,2)+7)</f>
        <v/>
      </c>
      <c r="L83" s="9">
        <f>IF(B83="","",IF(D83="","Labor",IFERROR(VLOOKUP(D83,Settings!$E$5:$G$28,3,FALSE),"Labor")))</f>
        <v/>
      </c>
      <c r="M83" s="9">
        <f>IF(B83="","",IF(COUNTIF('Vendors &amp; Crew'!$A$5:$A$34,B83)=0,"Worker not in Crew table",IF(C83="","Missing Job ID",IF(COUNTIF(Jobs!$A$5:$A$44,C83)=0,"Unknown Job ID",IF(E83="","Missing hours",IF(A83="","Missing date",""))))))</f>
        <v/>
      </c>
      <c r="N83" s="35" t="n"/>
    </row>
    <row r="84">
      <c r="A84" s="40" t="n"/>
      <c r="B84" s="35" t="n"/>
      <c r="C84" s="35" t="n"/>
      <c r="D84" s="35" t="n"/>
      <c r="E84" s="61" t="n"/>
      <c r="F84" s="37" t="n"/>
      <c r="G84" s="39">
        <f>IF(B84="","",IF(F84&lt;&gt;"",F84,IFERROR(VLOOKUP(B84,'Vendors &amp; Crew'!$A$5:$D$34,3,FALSE),0)))</f>
        <v/>
      </c>
      <c r="H84" s="39">
        <f>IF(B84="","",E84*G84*(1+Settings!$B$18))</f>
        <v/>
      </c>
      <c r="I84" s="39">
        <f>IF(B84="","",IFERROR(VLOOKUP(B84,'Vendors &amp; Crew'!$A$5:$D$34,4,FALSE),0))</f>
        <v/>
      </c>
      <c r="J84" s="39">
        <f>IF(B84="","",E84*I84)</f>
        <v/>
      </c>
      <c r="K84" s="59">
        <f>IF(A84="","",A84-WEEKDAY(A84,2)+7)</f>
        <v/>
      </c>
      <c r="L84" s="9">
        <f>IF(B84="","",IF(D84="","Labor",IFERROR(VLOOKUP(D84,Settings!$E$5:$G$28,3,FALSE),"Labor")))</f>
        <v/>
      </c>
      <c r="M84" s="9">
        <f>IF(B84="","",IF(COUNTIF('Vendors &amp; Crew'!$A$5:$A$34,B84)=0,"Worker not in Crew table",IF(C84="","Missing Job ID",IF(COUNTIF(Jobs!$A$5:$A$44,C84)=0,"Unknown Job ID",IF(E84="","Missing hours",IF(A84="","Missing date",""))))))</f>
        <v/>
      </c>
      <c r="N84" s="35" t="n"/>
    </row>
    <row r="85">
      <c r="A85" s="40" t="n"/>
      <c r="B85" s="35" t="n"/>
      <c r="C85" s="35" t="n"/>
      <c r="D85" s="35" t="n"/>
      <c r="E85" s="61" t="n"/>
      <c r="F85" s="37" t="n"/>
      <c r="G85" s="39">
        <f>IF(B85="","",IF(F85&lt;&gt;"",F85,IFERROR(VLOOKUP(B85,'Vendors &amp; Crew'!$A$5:$D$34,3,FALSE),0)))</f>
        <v/>
      </c>
      <c r="H85" s="39">
        <f>IF(B85="","",E85*G85*(1+Settings!$B$18))</f>
        <v/>
      </c>
      <c r="I85" s="39">
        <f>IF(B85="","",IFERROR(VLOOKUP(B85,'Vendors &amp; Crew'!$A$5:$D$34,4,FALSE),0))</f>
        <v/>
      </c>
      <c r="J85" s="39">
        <f>IF(B85="","",E85*I85)</f>
        <v/>
      </c>
      <c r="K85" s="59">
        <f>IF(A85="","",A85-WEEKDAY(A85,2)+7)</f>
        <v/>
      </c>
      <c r="L85" s="9">
        <f>IF(B85="","",IF(D85="","Labor",IFERROR(VLOOKUP(D85,Settings!$E$5:$G$28,3,FALSE),"Labor")))</f>
        <v/>
      </c>
      <c r="M85" s="9">
        <f>IF(B85="","",IF(COUNTIF('Vendors &amp; Crew'!$A$5:$A$34,B85)=0,"Worker not in Crew table",IF(C85="","Missing Job ID",IF(COUNTIF(Jobs!$A$5:$A$44,C85)=0,"Unknown Job ID",IF(E85="","Missing hours",IF(A85="","Missing date",""))))))</f>
        <v/>
      </c>
      <c r="N85" s="35" t="n"/>
    </row>
    <row r="86">
      <c r="A86" s="40" t="n"/>
      <c r="B86" s="35" t="n"/>
      <c r="C86" s="35" t="n"/>
      <c r="D86" s="35" t="n"/>
      <c r="E86" s="61" t="n"/>
      <c r="F86" s="37" t="n"/>
      <c r="G86" s="39">
        <f>IF(B86="","",IF(F86&lt;&gt;"",F86,IFERROR(VLOOKUP(B86,'Vendors &amp; Crew'!$A$5:$D$34,3,FALSE),0)))</f>
        <v/>
      </c>
      <c r="H86" s="39">
        <f>IF(B86="","",E86*G86*(1+Settings!$B$18))</f>
        <v/>
      </c>
      <c r="I86" s="39">
        <f>IF(B86="","",IFERROR(VLOOKUP(B86,'Vendors &amp; Crew'!$A$5:$D$34,4,FALSE),0))</f>
        <v/>
      </c>
      <c r="J86" s="39">
        <f>IF(B86="","",E86*I86)</f>
        <v/>
      </c>
      <c r="K86" s="59">
        <f>IF(A86="","",A86-WEEKDAY(A86,2)+7)</f>
        <v/>
      </c>
      <c r="L86" s="9">
        <f>IF(B86="","",IF(D86="","Labor",IFERROR(VLOOKUP(D86,Settings!$E$5:$G$28,3,FALSE),"Labor")))</f>
        <v/>
      </c>
      <c r="M86" s="9">
        <f>IF(B86="","",IF(COUNTIF('Vendors &amp; Crew'!$A$5:$A$34,B86)=0,"Worker not in Crew table",IF(C86="","Missing Job ID",IF(COUNTIF(Jobs!$A$5:$A$44,C86)=0,"Unknown Job ID",IF(E86="","Missing hours",IF(A86="","Missing date",""))))))</f>
        <v/>
      </c>
      <c r="N86" s="35" t="n"/>
    </row>
    <row r="87">
      <c r="A87" s="40" t="n"/>
      <c r="B87" s="35" t="n"/>
      <c r="C87" s="35" t="n"/>
      <c r="D87" s="35" t="n"/>
      <c r="E87" s="61" t="n"/>
      <c r="F87" s="37" t="n"/>
      <c r="G87" s="39">
        <f>IF(B87="","",IF(F87&lt;&gt;"",F87,IFERROR(VLOOKUP(B87,'Vendors &amp; Crew'!$A$5:$D$34,3,FALSE),0)))</f>
        <v/>
      </c>
      <c r="H87" s="39">
        <f>IF(B87="","",E87*G87*(1+Settings!$B$18))</f>
        <v/>
      </c>
      <c r="I87" s="39">
        <f>IF(B87="","",IFERROR(VLOOKUP(B87,'Vendors &amp; Crew'!$A$5:$D$34,4,FALSE),0))</f>
        <v/>
      </c>
      <c r="J87" s="39">
        <f>IF(B87="","",E87*I87)</f>
        <v/>
      </c>
      <c r="K87" s="59">
        <f>IF(A87="","",A87-WEEKDAY(A87,2)+7)</f>
        <v/>
      </c>
      <c r="L87" s="9">
        <f>IF(B87="","",IF(D87="","Labor",IFERROR(VLOOKUP(D87,Settings!$E$5:$G$28,3,FALSE),"Labor")))</f>
        <v/>
      </c>
      <c r="M87" s="9">
        <f>IF(B87="","",IF(COUNTIF('Vendors &amp; Crew'!$A$5:$A$34,B87)=0,"Worker not in Crew table",IF(C87="","Missing Job ID",IF(COUNTIF(Jobs!$A$5:$A$44,C87)=0,"Unknown Job ID",IF(E87="","Missing hours",IF(A87="","Missing date",""))))))</f>
        <v/>
      </c>
      <c r="N87" s="35" t="n"/>
    </row>
    <row r="88">
      <c r="A88" s="40" t="n"/>
      <c r="B88" s="35" t="n"/>
      <c r="C88" s="35" t="n"/>
      <c r="D88" s="35" t="n"/>
      <c r="E88" s="61" t="n"/>
      <c r="F88" s="37" t="n"/>
      <c r="G88" s="39">
        <f>IF(B88="","",IF(F88&lt;&gt;"",F88,IFERROR(VLOOKUP(B88,'Vendors &amp; Crew'!$A$5:$D$34,3,FALSE),0)))</f>
        <v/>
      </c>
      <c r="H88" s="39">
        <f>IF(B88="","",E88*G88*(1+Settings!$B$18))</f>
        <v/>
      </c>
      <c r="I88" s="39">
        <f>IF(B88="","",IFERROR(VLOOKUP(B88,'Vendors &amp; Crew'!$A$5:$D$34,4,FALSE),0))</f>
        <v/>
      </c>
      <c r="J88" s="39">
        <f>IF(B88="","",E88*I88)</f>
        <v/>
      </c>
      <c r="K88" s="59">
        <f>IF(A88="","",A88-WEEKDAY(A88,2)+7)</f>
        <v/>
      </c>
      <c r="L88" s="9">
        <f>IF(B88="","",IF(D88="","Labor",IFERROR(VLOOKUP(D88,Settings!$E$5:$G$28,3,FALSE),"Labor")))</f>
        <v/>
      </c>
      <c r="M88" s="9">
        <f>IF(B88="","",IF(COUNTIF('Vendors &amp; Crew'!$A$5:$A$34,B88)=0,"Worker not in Crew table",IF(C88="","Missing Job ID",IF(COUNTIF(Jobs!$A$5:$A$44,C88)=0,"Unknown Job ID",IF(E88="","Missing hours",IF(A88="","Missing date",""))))))</f>
        <v/>
      </c>
      <c r="N88" s="35" t="n"/>
    </row>
    <row r="89">
      <c r="A89" s="40" t="n"/>
      <c r="B89" s="35" t="n"/>
      <c r="C89" s="35" t="n"/>
      <c r="D89" s="35" t="n"/>
      <c r="E89" s="61" t="n"/>
      <c r="F89" s="37" t="n"/>
      <c r="G89" s="39">
        <f>IF(B89="","",IF(F89&lt;&gt;"",F89,IFERROR(VLOOKUP(B89,'Vendors &amp; Crew'!$A$5:$D$34,3,FALSE),0)))</f>
        <v/>
      </c>
      <c r="H89" s="39">
        <f>IF(B89="","",E89*G89*(1+Settings!$B$18))</f>
        <v/>
      </c>
      <c r="I89" s="39">
        <f>IF(B89="","",IFERROR(VLOOKUP(B89,'Vendors &amp; Crew'!$A$5:$D$34,4,FALSE),0))</f>
        <v/>
      </c>
      <c r="J89" s="39">
        <f>IF(B89="","",E89*I89)</f>
        <v/>
      </c>
      <c r="K89" s="59">
        <f>IF(A89="","",A89-WEEKDAY(A89,2)+7)</f>
        <v/>
      </c>
      <c r="L89" s="9">
        <f>IF(B89="","",IF(D89="","Labor",IFERROR(VLOOKUP(D89,Settings!$E$5:$G$28,3,FALSE),"Labor")))</f>
        <v/>
      </c>
      <c r="M89" s="9">
        <f>IF(B89="","",IF(COUNTIF('Vendors &amp; Crew'!$A$5:$A$34,B89)=0,"Worker not in Crew table",IF(C89="","Missing Job ID",IF(COUNTIF(Jobs!$A$5:$A$44,C89)=0,"Unknown Job ID",IF(E89="","Missing hours",IF(A89="","Missing date",""))))))</f>
        <v/>
      </c>
      <c r="N89" s="35" t="n"/>
    </row>
    <row r="90">
      <c r="A90" s="40" t="n"/>
      <c r="B90" s="35" t="n"/>
      <c r="C90" s="35" t="n"/>
      <c r="D90" s="35" t="n"/>
      <c r="E90" s="61" t="n"/>
      <c r="F90" s="37" t="n"/>
      <c r="G90" s="39">
        <f>IF(B90="","",IF(F90&lt;&gt;"",F90,IFERROR(VLOOKUP(B90,'Vendors &amp; Crew'!$A$5:$D$34,3,FALSE),0)))</f>
        <v/>
      </c>
      <c r="H90" s="39">
        <f>IF(B90="","",E90*G90*(1+Settings!$B$18))</f>
        <v/>
      </c>
      <c r="I90" s="39">
        <f>IF(B90="","",IFERROR(VLOOKUP(B90,'Vendors &amp; Crew'!$A$5:$D$34,4,FALSE),0))</f>
        <v/>
      </c>
      <c r="J90" s="39">
        <f>IF(B90="","",E90*I90)</f>
        <v/>
      </c>
      <c r="K90" s="59">
        <f>IF(A90="","",A90-WEEKDAY(A90,2)+7)</f>
        <v/>
      </c>
      <c r="L90" s="9">
        <f>IF(B90="","",IF(D90="","Labor",IFERROR(VLOOKUP(D90,Settings!$E$5:$G$28,3,FALSE),"Labor")))</f>
        <v/>
      </c>
      <c r="M90" s="9">
        <f>IF(B90="","",IF(COUNTIF('Vendors &amp; Crew'!$A$5:$A$34,B90)=0,"Worker not in Crew table",IF(C90="","Missing Job ID",IF(COUNTIF(Jobs!$A$5:$A$44,C90)=0,"Unknown Job ID",IF(E90="","Missing hours",IF(A90="","Missing date",""))))))</f>
        <v/>
      </c>
      <c r="N90" s="35" t="n"/>
    </row>
    <row r="91">
      <c r="A91" s="40" t="n"/>
      <c r="B91" s="35" t="n"/>
      <c r="C91" s="35" t="n"/>
      <c r="D91" s="35" t="n"/>
      <c r="E91" s="61" t="n"/>
      <c r="F91" s="37" t="n"/>
      <c r="G91" s="39">
        <f>IF(B91="","",IF(F91&lt;&gt;"",F91,IFERROR(VLOOKUP(B91,'Vendors &amp; Crew'!$A$5:$D$34,3,FALSE),0)))</f>
        <v/>
      </c>
      <c r="H91" s="39">
        <f>IF(B91="","",E91*G91*(1+Settings!$B$18))</f>
        <v/>
      </c>
      <c r="I91" s="39">
        <f>IF(B91="","",IFERROR(VLOOKUP(B91,'Vendors &amp; Crew'!$A$5:$D$34,4,FALSE),0))</f>
        <v/>
      </c>
      <c r="J91" s="39">
        <f>IF(B91="","",E91*I91)</f>
        <v/>
      </c>
      <c r="K91" s="59">
        <f>IF(A91="","",A91-WEEKDAY(A91,2)+7)</f>
        <v/>
      </c>
      <c r="L91" s="9">
        <f>IF(B91="","",IF(D91="","Labor",IFERROR(VLOOKUP(D91,Settings!$E$5:$G$28,3,FALSE),"Labor")))</f>
        <v/>
      </c>
      <c r="M91" s="9">
        <f>IF(B91="","",IF(COUNTIF('Vendors &amp; Crew'!$A$5:$A$34,B91)=0,"Worker not in Crew table",IF(C91="","Missing Job ID",IF(COUNTIF(Jobs!$A$5:$A$44,C91)=0,"Unknown Job ID",IF(E91="","Missing hours",IF(A91="","Missing date",""))))))</f>
        <v/>
      </c>
      <c r="N91" s="35" t="n"/>
    </row>
    <row r="92">
      <c r="A92" s="40" t="n"/>
      <c r="B92" s="35" t="n"/>
      <c r="C92" s="35" t="n"/>
      <c r="D92" s="35" t="n"/>
      <c r="E92" s="61" t="n"/>
      <c r="F92" s="37" t="n"/>
      <c r="G92" s="39">
        <f>IF(B92="","",IF(F92&lt;&gt;"",F92,IFERROR(VLOOKUP(B92,'Vendors &amp; Crew'!$A$5:$D$34,3,FALSE),0)))</f>
        <v/>
      </c>
      <c r="H92" s="39">
        <f>IF(B92="","",E92*G92*(1+Settings!$B$18))</f>
        <v/>
      </c>
      <c r="I92" s="39">
        <f>IF(B92="","",IFERROR(VLOOKUP(B92,'Vendors &amp; Crew'!$A$5:$D$34,4,FALSE),0))</f>
        <v/>
      </c>
      <c r="J92" s="39">
        <f>IF(B92="","",E92*I92)</f>
        <v/>
      </c>
      <c r="K92" s="59">
        <f>IF(A92="","",A92-WEEKDAY(A92,2)+7)</f>
        <v/>
      </c>
      <c r="L92" s="9">
        <f>IF(B92="","",IF(D92="","Labor",IFERROR(VLOOKUP(D92,Settings!$E$5:$G$28,3,FALSE),"Labor")))</f>
        <v/>
      </c>
      <c r="M92" s="9">
        <f>IF(B92="","",IF(COUNTIF('Vendors &amp; Crew'!$A$5:$A$34,B92)=0,"Worker not in Crew table",IF(C92="","Missing Job ID",IF(COUNTIF(Jobs!$A$5:$A$44,C92)=0,"Unknown Job ID",IF(E92="","Missing hours",IF(A92="","Missing date",""))))))</f>
        <v/>
      </c>
      <c r="N92" s="35" t="n"/>
    </row>
    <row r="93">
      <c r="A93" s="40" t="n"/>
      <c r="B93" s="35" t="n"/>
      <c r="C93" s="35" t="n"/>
      <c r="D93" s="35" t="n"/>
      <c r="E93" s="61" t="n"/>
      <c r="F93" s="37" t="n"/>
      <c r="G93" s="39">
        <f>IF(B93="","",IF(F93&lt;&gt;"",F93,IFERROR(VLOOKUP(B93,'Vendors &amp; Crew'!$A$5:$D$34,3,FALSE),0)))</f>
        <v/>
      </c>
      <c r="H93" s="39">
        <f>IF(B93="","",E93*G93*(1+Settings!$B$18))</f>
        <v/>
      </c>
      <c r="I93" s="39">
        <f>IF(B93="","",IFERROR(VLOOKUP(B93,'Vendors &amp; Crew'!$A$5:$D$34,4,FALSE),0))</f>
        <v/>
      </c>
      <c r="J93" s="39">
        <f>IF(B93="","",E93*I93)</f>
        <v/>
      </c>
      <c r="K93" s="59">
        <f>IF(A93="","",A93-WEEKDAY(A93,2)+7)</f>
        <v/>
      </c>
      <c r="L93" s="9">
        <f>IF(B93="","",IF(D93="","Labor",IFERROR(VLOOKUP(D93,Settings!$E$5:$G$28,3,FALSE),"Labor")))</f>
        <v/>
      </c>
      <c r="M93" s="9">
        <f>IF(B93="","",IF(COUNTIF('Vendors &amp; Crew'!$A$5:$A$34,B93)=0,"Worker not in Crew table",IF(C93="","Missing Job ID",IF(COUNTIF(Jobs!$A$5:$A$44,C93)=0,"Unknown Job ID",IF(E93="","Missing hours",IF(A93="","Missing date",""))))))</f>
        <v/>
      </c>
      <c r="N93" s="35" t="n"/>
    </row>
    <row r="94">
      <c r="A94" s="40" t="n"/>
      <c r="B94" s="35" t="n"/>
      <c r="C94" s="35" t="n"/>
      <c r="D94" s="35" t="n"/>
      <c r="E94" s="61" t="n"/>
      <c r="F94" s="37" t="n"/>
      <c r="G94" s="39">
        <f>IF(B94="","",IF(F94&lt;&gt;"",F94,IFERROR(VLOOKUP(B94,'Vendors &amp; Crew'!$A$5:$D$34,3,FALSE),0)))</f>
        <v/>
      </c>
      <c r="H94" s="39">
        <f>IF(B94="","",E94*G94*(1+Settings!$B$18))</f>
        <v/>
      </c>
      <c r="I94" s="39">
        <f>IF(B94="","",IFERROR(VLOOKUP(B94,'Vendors &amp; Crew'!$A$5:$D$34,4,FALSE),0))</f>
        <v/>
      </c>
      <c r="J94" s="39">
        <f>IF(B94="","",E94*I94)</f>
        <v/>
      </c>
      <c r="K94" s="59">
        <f>IF(A94="","",A94-WEEKDAY(A94,2)+7)</f>
        <v/>
      </c>
      <c r="L94" s="9">
        <f>IF(B94="","",IF(D94="","Labor",IFERROR(VLOOKUP(D94,Settings!$E$5:$G$28,3,FALSE),"Labor")))</f>
        <v/>
      </c>
      <c r="M94" s="9">
        <f>IF(B94="","",IF(COUNTIF('Vendors &amp; Crew'!$A$5:$A$34,B94)=0,"Worker not in Crew table",IF(C94="","Missing Job ID",IF(COUNTIF(Jobs!$A$5:$A$44,C94)=0,"Unknown Job ID",IF(E94="","Missing hours",IF(A94="","Missing date",""))))))</f>
        <v/>
      </c>
      <c r="N94" s="35" t="n"/>
    </row>
    <row r="95">
      <c r="A95" s="40" t="n"/>
      <c r="B95" s="35" t="n"/>
      <c r="C95" s="35" t="n"/>
      <c r="D95" s="35" t="n"/>
      <c r="E95" s="61" t="n"/>
      <c r="F95" s="37" t="n"/>
      <c r="G95" s="39">
        <f>IF(B95="","",IF(F95&lt;&gt;"",F95,IFERROR(VLOOKUP(B95,'Vendors &amp; Crew'!$A$5:$D$34,3,FALSE),0)))</f>
        <v/>
      </c>
      <c r="H95" s="39">
        <f>IF(B95="","",E95*G95*(1+Settings!$B$18))</f>
        <v/>
      </c>
      <c r="I95" s="39">
        <f>IF(B95="","",IFERROR(VLOOKUP(B95,'Vendors &amp; Crew'!$A$5:$D$34,4,FALSE),0))</f>
        <v/>
      </c>
      <c r="J95" s="39">
        <f>IF(B95="","",E95*I95)</f>
        <v/>
      </c>
      <c r="K95" s="59">
        <f>IF(A95="","",A95-WEEKDAY(A95,2)+7)</f>
        <v/>
      </c>
      <c r="L95" s="9">
        <f>IF(B95="","",IF(D95="","Labor",IFERROR(VLOOKUP(D95,Settings!$E$5:$G$28,3,FALSE),"Labor")))</f>
        <v/>
      </c>
      <c r="M95" s="9">
        <f>IF(B95="","",IF(COUNTIF('Vendors &amp; Crew'!$A$5:$A$34,B95)=0,"Worker not in Crew table",IF(C95="","Missing Job ID",IF(COUNTIF(Jobs!$A$5:$A$44,C95)=0,"Unknown Job ID",IF(E95="","Missing hours",IF(A95="","Missing date",""))))))</f>
        <v/>
      </c>
      <c r="N95" s="35" t="n"/>
    </row>
    <row r="96">
      <c r="A96" s="40" t="n"/>
      <c r="B96" s="35" t="n"/>
      <c r="C96" s="35" t="n"/>
      <c r="D96" s="35" t="n"/>
      <c r="E96" s="61" t="n"/>
      <c r="F96" s="37" t="n"/>
      <c r="G96" s="39">
        <f>IF(B96="","",IF(F96&lt;&gt;"",F96,IFERROR(VLOOKUP(B96,'Vendors &amp; Crew'!$A$5:$D$34,3,FALSE),0)))</f>
        <v/>
      </c>
      <c r="H96" s="39">
        <f>IF(B96="","",E96*G96*(1+Settings!$B$18))</f>
        <v/>
      </c>
      <c r="I96" s="39">
        <f>IF(B96="","",IFERROR(VLOOKUP(B96,'Vendors &amp; Crew'!$A$5:$D$34,4,FALSE),0))</f>
        <v/>
      </c>
      <c r="J96" s="39">
        <f>IF(B96="","",E96*I96)</f>
        <v/>
      </c>
      <c r="K96" s="59">
        <f>IF(A96="","",A96-WEEKDAY(A96,2)+7)</f>
        <v/>
      </c>
      <c r="L96" s="9">
        <f>IF(B96="","",IF(D96="","Labor",IFERROR(VLOOKUP(D96,Settings!$E$5:$G$28,3,FALSE),"Labor")))</f>
        <v/>
      </c>
      <c r="M96" s="9">
        <f>IF(B96="","",IF(COUNTIF('Vendors &amp; Crew'!$A$5:$A$34,B96)=0,"Worker not in Crew table",IF(C96="","Missing Job ID",IF(COUNTIF(Jobs!$A$5:$A$44,C96)=0,"Unknown Job ID",IF(E96="","Missing hours",IF(A96="","Missing date",""))))))</f>
        <v/>
      </c>
      <c r="N96" s="35" t="n"/>
    </row>
    <row r="97">
      <c r="A97" s="40" t="n"/>
      <c r="B97" s="35" t="n"/>
      <c r="C97" s="35" t="n"/>
      <c r="D97" s="35" t="n"/>
      <c r="E97" s="61" t="n"/>
      <c r="F97" s="37" t="n"/>
      <c r="G97" s="39">
        <f>IF(B97="","",IF(F97&lt;&gt;"",F97,IFERROR(VLOOKUP(B97,'Vendors &amp; Crew'!$A$5:$D$34,3,FALSE),0)))</f>
        <v/>
      </c>
      <c r="H97" s="39">
        <f>IF(B97="","",E97*G97*(1+Settings!$B$18))</f>
        <v/>
      </c>
      <c r="I97" s="39">
        <f>IF(B97="","",IFERROR(VLOOKUP(B97,'Vendors &amp; Crew'!$A$5:$D$34,4,FALSE),0))</f>
        <v/>
      </c>
      <c r="J97" s="39">
        <f>IF(B97="","",E97*I97)</f>
        <v/>
      </c>
      <c r="K97" s="59">
        <f>IF(A97="","",A97-WEEKDAY(A97,2)+7)</f>
        <v/>
      </c>
      <c r="L97" s="9">
        <f>IF(B97="","",IF(D97="","Labor",IFERROR(VLOOKUP(D97,Settings!$E$5:$G$28,3,FALSE),"Labor")))</f>
        <v/>
      </c>
      <c r="M97" s="9">
        <f>IF(B97="","",IF(COUNTIF('Vendors &amp; Crew'!$A$5:$A$34,B97)=0,"Worker not in Crew table",IF(C97="","Missing Job ID",IF(COUNTIF(Jobs!$A$5:$A$44,C97)=0,"Unknown Job ID",IF(E97="","Missing hours",IF(A97="","Missing date",""))))))</f>
        <v/>
      </c>
      <c r="N97" s="35" t="n"/>
    </row>
    <row r="98">
      <c r="A98" s="40" t="n"/>
      <c r="B98" s="35" t="n"/>
      <c r="C98" s="35" t="n"/>
      <c r="D98" s="35" t="n"/>
      <c r="E98" s="61" t="n"/>
      <c r="F98" s="37" t="n"/>
      <c r="G98" s="39">
        <f>IF(B98="","",IF(F98&lt;&gt;"",F98,IFERROR(VLOOKUP(B98,'Vendors &amp; Crew'!$A$5:$D$34,3,FALSE),0)))</f>
        <v/>
      </c>
      <c r="H98" s="39">
        <f>IF(B98="","",E98*G98*(1+Settings!$B$18))</f>
        <v/>
      </c>
      <c r="I98" s="39">
        <f>IF(B98="","",IFERROR(VLOOKUP(B98,'Vendors &amp; Crew'!$A$5:$D$34,4,FALSE),0))</f>
        <v/>
      </c>
      <c r="J98" s="39">
        <f>IF(B98="","",E98*I98)</f>
        <v/>
      </c>
      <c r="K98" s="59">
        <f>IF(A98="","",A98-WEEKDAY(A98,2)+7)</f>
        <v/>
      </c>
      <c r="L98" s="9">
        <f>IF(B98="","",IF(D98="","Labor",IFERROR(VLOOKUP(D98,Settings!$E$5:$G$28,3,FALSE),"Labor")))</f>
        <v/>
      </c>
      <c r="M98" s="9">
        <f>IF(B98="","",IF(COUNTIF('Vendors &amp; Crew'!$A$5:$A$34,B98)=0,"Worker not in Crew table",IF(C98="","Missing Job ID",IF(COUNTIF(Jobs!$A$5:$A$44,C98)=0,"Unknown Job ID",IF(E98="","Missing hours",IF(A98="","Missing date",""))))))</f>
        <v/>
      </c>
      <c r="N98" s="35" t="n"/>
    </row>
    <row r="99">
      <c r="A99" s="40" t="n"/>
      <c r="B99" s="35" t="n"/>
      <c r="C99" s="35" t="n"/>
      <c r="D99" s="35" t="n"/>
      <c r="E99" s="61" t="n"/>
      <c r="F99" s="37" t="n"/>
      <c r="G99" s="39">
        <f>IF(B99="","",IF(F99&lt;&gt;"",F99,IFERROR(VLOOKUP(B99,'Vendors &amp; Crew'!$A$5:$D$34,3,FALSE),0)))</f>
        <v/>
      </c>
      <c r="H99" s="39">
        <f>IF(B99="","",E99*G99*(1+Settings!$B$18))</f>
        <v/>
      </c>
      <c r="I99" s="39">
        <f>IF(B99="","",IFERROR(VLOOKUP(B99,'Vendors &amp; Crew'!$A$5:$D$34,4,FALSE),0))</f>
        <v/>
      </c>
      <c r="J99" s="39">
        <f>IF(B99="","",E99*I99)</f>
        <v/>
      </c>
      <c r="K99" s="59">
        <f>IF(A99="","",A99-WEEKDAY(A99,2)+7)</f>
        <v/>
      </c>
      <c r="L99" s="9">
        <f>IF(B99="","",IF(D99="","Labor",IFERROR(VLOOKUP(D99,Settings!$E$5:$G$28,3,FALSE),"Labor")))</f>
        <v/>
      </c>
      <c r="M99" s="9">
        <f>IF(B99="","",IF(COUNTIF('Vendors &amp; Crew'!$A$5:$A$34,B99)=0,"Worker not in Crew table",IF(C99="","Missing Job ID",IF(COUNTIF(Jobs!$A$5:$A$44,C99)=0,"Unknown Job ID",IF(E99="","Missing hours",IF(A99="","Missing date",""))))))</f>
        <v/>
      </c>
      <c r="N99" s="35" t="n"/>
    </row>
    <row r="100">
      <c r="A100" s="40" t="n"/>
      <c r="B100" s="35" t="n"/>
      <c r="C100" s="35" t="n"/>
      <c r="D100" s="35" t="n"/>
      <c r="E100" s="61" t="n"/>
      <c r="F100" s="37" t="n"/>
      <c r="G100" s="39">
        <f>IF(B100="","",IF(F100&lt;&gt;"",F100,IFERROR(VLOOKUP(B100,'Vendors &amp; Crew'!$A$5:$D$34,3,FALSE),0)))</f>
        <v/>
      </c>
      <c r="H100" s="39">
        <f>IF(B100="","",E100*G100*(1+Settings!$B$18))</f>
        <v/>
      </c>
      <c r="I100" s="39">
        <f>IF(B100="","",IFERROR(VLOOKUP(B100,'Vendors &amp; Crew'!$A$5:$D$34,4,FALSE),0))</f>
        <v/>
      </c>
      <c r="J100" s="39">
        <f>IF(B100="","",E100*I100)</f>
        <v/>
      </c>
      <c r="K100" s="59">
        <f>IF(A100="","",A100-WEEKDAY(A100,2)+7)</f>
        <v/>
      </c>
      <c r="L100" s="9">
        <f>IF(B100="","",IF(D100="","Labor",IFERROR(VLOOKUP(D100,Settings!$E$5:$G$28,3,FALSE),"Labor")))</f>
        <v/>
      </c>
      <c r="M100" s="9">
        <f>IF(B100="","",IF(COUNTIF('Vendors &amp; Crew'!$A$5:$A$34,B100)=0,"Worker not in Crew table",IF(C100="","Missing Job ID",IF(COUNTIF(Jobs!$A$5:$A$44,C100)=0,"Unknown Job ID",IF(E100="","Missing hours",IF(A100="","Missing date",""))))))</f>
        <v/>
      </c>
      <c r="N100" s="35" t="n"/>
    </row>
    <row r="101">
      <c r="A101" s="40" t="n"/>
      <c r="B101" s="35" t="n"/>
      <c r="C101" s="35" t="n"/>
      <c r="D101" s="35" t="n"/>
      <c r="E101" s="61" t="n"/>
      <c r="F101" s="37" t="n"/>
      <c r="G101" s="39">
        <f>IF(B101="","",IF(F101&lt;&gt;"",F101,IFERROR(VLOOKUP(B101,'Vendors &amp; Crew'!$A$5:$D$34,3,FALSE),0)))</f>
        <v/>
      </c>
      <c r="H101" s="39">
        <f>IF(B101="","",E101*G101*(1+Settings!$B$18))</f>
        <v/>
      </c>
      <c r="I101" s="39">
        <f>IF(B101="","",IFERROR(VLOOKUP(B101,'Vendors &amp; Crew'!$A$5:$D$34,4,FALSE),0))</f>
        <v/>
      </c>
      <c r="J101" s="39">
        <f>IF(B101="","",E101*I101)</f>
        <v/>
      </c>
      <c r="K101" s="59">
        <f>IF(A101="","",A101-WEEKDAY(A101,2)+7)</f>
        <v/>
      </c>
      <c r="L101" s="9">
        <f>IF(B101="","",IF(D101="","Labor",IFERROR(VLOOKUP(D101,Settings!$E$5:$G$28,3,FALSE),"Labor")))</f>
        <v/>
      </c>
      <c r="M101" s="9">
        <f>IF(B101="","",IF(COUNTIF('Vendors &amp; Crew'!$A$5:$A$34,B101)=0,"Worker not in Crew table",IF(C101="","Missing Job ID",IF(COUNTIF(Jobs!$A$5:$A$44,C101)=0,"Unknown Job ID",IF(E101="","Missing hours",IF(A101="","Missing date",""))))))</f>
        <v/>
      </c>
      <c r="N101" s="35" t="n"/>
    </row>
    <row r="102">
      <c r="A102" s="40" t="n"/>
      <c r="B102" s="35" t="n"/>
      <c r="C102" s="35" t="n"/>
      <c r="D102" s="35" t="n"/>
      <c r="E102" s="61" t="n"/>
      <c r="F102" s="37" t="n"/>
      <c r="G102" s="39">
        <f>IF(B102="","",IF(F102&lt;&gt;"",F102,IFERROR(VLOOKUP(B102,'Vendors &amp; Crew'!$A$5:$D$34,3,FALSE),0)))</f>
        <v/>
      </c>
      <c r="H102" s="39">
        <f>IF(B102="","",E102*G102*(1+Settings!$B$18))</f>
        <v/>
      </c>
      <c r="I102" s="39">
        <f>IF(B102="","",IFERROR(VLOOKUP(B102,'Vendors &amp; Crew'!$A$5:$D$34,4,FALSE),0))</f>
        <v/>
      </c>
      <c r="J102" s="39">
        <f>IF(B102="","",E102*I102)</f>
        <v/>
      </c>
      <c r="K102" s="59">
        <f>IF(A102="","",A102-WEEKDAY(A102,2)+7)</f>
        <v/>
      </c>
      <c r="L102" s="9">
        <f>IF(B102="","",IF(D102="","Labor",IFERROR(VLOOKUP(D102,Settings!$E$5:$G$28,3,FALSE),"Labor")))</f>
        <v/>
      </c>
      <c r="M102" s="9">
        <f>IF(B102="","",IF(COUNTIF('Vendors &amp; Crew'!$A$5:$A$34,B102)=0,"Worker not in Crew table",IF(C102="","Missing Job ID",IF(COUNTIF(Jobs!$A$5:$A$44,C102)=0,"Unknown Job ID",IF(E102="","Missing hours",IF(A102="","Missing date",""))))))</f>
        <v/>
      </c>
      <c r="N102" s="35" t="n"/>
    </row>
    <row r="103">
      <c r="A103" s="40" t="n"/>
      <c r="B103" s="35" t="n"/>
      <c r="C103" s="35" t="n"/>
      <c r="D103" s="35" t="n"/>
      <c r="E103" s="61" t="n"/>
      <c r="F103" s="37" t="n"/>
      <c r="G103" s="39">
        <f>IF(B103="","",IF(F103&lt;&gt;"",F103,IFERROR(VLOOKUP(B103,'Vendors &amp; Crew'!$A$5:$D$34,3,FALSE),0)))</f>
        <v/>
      </c>
      <c r="H103" s="39">
        <f>IF(B103="","",E103*G103*(1+Settings!$B$18))</f>
        <v/>
      </c>
      <c r="I103" s="39">
        <f>IF(B103="","",IFERROR(VLOOKUP(B103,'Vendors &amp; Crew'!$A$5:$D$34,4,FALSE),0))</f>
        <v/>
      </c>
      <c r="J103" s="39">
        <f>IF(B103="","",E103*I103)</f>
        <v/>
      </c>
      <c r="K103" s="59">
        <f>IF(A103="","",A103-WEEKDAY(A103,2)+7)</f>
        <v/>
      </c>
      <c r="L103" s="9">
        <f>IF(B103="","",IF(D103="","Labor",IFERROR(VLOOKUP(D103,Settings!$E$5:$G$28,3,FALSE),"Labor")))</f>
        <v/>
      </c>
      <c r="M103" s="9">
        <f>IF(B103="","",IF(COUNTIF('Vendors &amp; Crew'!$A$5:$A$34,B103)=0,"Worker not in Crew table",IF(C103="","Missing Job ID",IF(COUNTIF(Jobs!$A$5:$A$44,C103)=0,"Unknown Job ID",IF(E103="","Missing hours",IF(A103="","Missing date",""))))))</f>
        <v/>
      </c>
      <c r="N103" s="35" t="n"/>
    </row>
    <row r="104">
      <c r="A104" s="40" t="n"/>
      <c r="B104" s="35" t="n"/>
      <c r="C104" s="35" t="n"/>
      <c r="D104" s="35" t="n"/>
      <c r="E104" s="61" t="n"/>
      <c r="F104" s="37" t="n"/>
      <c r="G104" s="39">
        <f>IF(B104="","",IF(F104&lt;&gt;"",F104,IFERROR(VLOOKUP(B104,'Vendors &amp; Crew'!$A$5:$D$34,3,FALSE),0)))</f>
        <v/>
      </c>
      <c r="H104" s="39">
        <f>IF(B104="","",E104*G104*(1+Settings!$B$18))</f>
        <v/>
      </c>
      <c r="I104" s="39">
        <f>IF(B104="","",IFERROR(VLOOKUP(B104,'Vendors &amp; Crew'!$A$5:$D$34,4,FALSE),0))</f>
        <v/>
      </c>
      <c r="J104" s="39">
        <f>IF(B104="","",E104*I104)</f>
        <v/>
      </c>
      <c r="K104" s="59">
        <f>IF(A104="","",A104-WEEKDAY(A104,2)+7)</f>
        <v/>
      </c>
      <c r="L104" s="9">
        <f>IF(B104="","",IF(D104="","Labor",IFERROR(VLOOKUP(D104,Settings!$E$5:$G$28,3,FALSE),"Labor")))</f>
        <v/>
      </c>
      <c r="M104" s="9">
        <f>IF(B104="","",IF(COUNTIF('Vendors &amp; Crew'!$A$5:$A$34,B104)=0,"Worker not in Crew table",IF(C104="","Missing Job ID",IF(COUNTIF(Jobs!$A$5:$A$44,C104)=0,"Unknown Job ID",IF(E104="","Missing hours",IF(A104="","Missing date",""))))))</f>
        <v/>
      </c>
      <c r="N104" s="35" t="n"/>
    </row>
    <row r="105">
      <c r="A105" s="40" t="n"/>
      <c r="B105" s="35" t="n"/>
      <c r="C105" s="35" t="n"/>
      <c r="D105" s="35" t="n"/>
      <c r="E105" s="61" t="n"/>
      <c r="F105" s="37" t="n"/>
      <c r="G105" s="39">
        <f>IF(B105="","",IF(F105&lt;&gt;"",F105,IFERROR(VLOOKUP(B105,'Vendors &amp; Crew'!$A$5:$D$34,3,FALSE),0)))</f>
        <v/>
      </c>
      <c r="H105" s="39">
        <f>IF(B105="","",E105*G105*(1+Settings!$B$18))</f>
        <v/>
      </c>
      <c r="I105" s="39">
        <f>IF(B105="","",IFERROR(VLOOKUP(B105,'Vendors &amp; Crew'!$A$5:$D$34,4,FALSE),0))</f>
        <v/>
      </c>
      <c r="J105" s="39">
        <f>IF(B105="","",E105*I105)</f>
        <v/>
      </c>
      <c r="K105" s="59">
        <f>IF(A105="","",A105-WEEKDAY(A105,2)+7)</f>
        <v/>
      </c>
      <c r="L105" s="9">
        <f>IF(B105="","",IF(D105="","Labor",IFERROR(VLOOKUP(D105,Settings!$E$5:$G$28,3,FALSE),"Labor")))</f>
        <v/>
      </c>
      <c r="M105" s="9">
        <f>IF(B105="","",IF(COUNTIF('Vendors &amp; Crew'!$A$5:$A$34,B105)=0,"Worker not in Crew table",IF(C105="","Missing Job ID",IF(COUNTIF(Jobs!$A$5:$A$44,C105)=0,"Unknown Job ID",IF(E105="","Missing hours",IF(A105="","Missing date",""))))))</f>
        <v/>
      </c>
      <c r="N105" s="35" t="n"/>
    </row>
    <row r="106">
      <c r="A106" s="40" t="n"/>
      <c r="B106" s="35" t="n"/>
      <c r="C106" s="35" t="n"/>
      <c r="D106" s="35" t="n"/>
      <c r="E106" s="61" t="n"/>
      <c r="F106" s="37" t="n"/>
      <c r="G106" s="39">
        <f>IF(B106="","",IF(F106&lt;&gt;"",F106,IFERROR(VLOOKUP(B106,'Vendors &amp; Crew'!$A$5:$D$34,3,FALSE),0)))</f>
        <v/>
      </c>
      <c r="H106" s="39">
        <f>IF(B106="","",E106*G106*(1+Settings!$B$18))</f>
        <v/>
      </c>
      <c r="I106" s="39">
        <f>IF(B106="","",IFERROR(VLOOKUP(B106,'Vendors &amp; Crew'!$A$5:$D$34,4,FALSE),0))</f>
        <v/>
      </c>
      <c r="J106" s="39">
        <f>IF(B106="","",E106*I106)</f>
        <v/>
      </c>
      <c r="K106" s="59">
        <f>IF(A106="","",A106-WEEKDAY(A106,2)+7)</f>
        <v/>
      </c>
      <c r="L106" s="9">
        <f>IF(B106="","",IF(D106="","Labor",IFERROR(VLOOKUP(D106,Settings!$E$5:$G$28,3,FALSE),"Labor")))</f>
        <v/>
      </c>
      <c r="M106" s="9">
        <f>IF(B106="","",IF(COUNTIF('Vendors &amp; Crew'!$A$5:$A$34,B106)=0,"Worker not in Crew table",IF(C106="","Missing Job ID",IF(COUNTIF(Jobs!$A$5:$A$44,C106)=0,"Unknown Job ID",IF(E106="","Missing hours",IF(A106="","Missing date",""))))))</f>
        <v/>
      </c>
      <c r="N106" s="35" t="n"/>
    </row>
    <row r="107">
      <c r="A107" s="40" t="n"/>
      <c r="B107" s="35" t="n"/>
      <c r="C107" s="35" t="n"/>
      <c r="D107" s="35" t="n"/>
      <c r="E107" s="61" t="n"/>
      <c r="F107" s="37" t="n"/>
      <c r="G107" s="39">
        <f>IF(B107="","",IF(F107&lt;&gt;"",F107,IFERROR(VLOOKUP(B107,'Vendors &amp; Crew'!$A$5:$D$34,3,FALSE),0)))</f>
        <v/>
      </c>
      <c r="H107" s="39">
        <f>IF(B107="","",E107*G107*(1+Settings!$B$18))</f>
        <v/>
      </c>
      <c r="I107" s="39">
        <f>IF(B107="","",IFERROR(VLOOKUP(B107,'Vendors &amp; Crew'!$A$5:$D$34,4,FALSE),0))</f>
        <v/>
      </c>
      <c r="J107" s="39">
        <f>IF(B107="","",E107*I107)</f>
        <v/>
      </c>
      <c r="K107" s="59">
        <f>IF(A107="","",A107-WEEKDAY(A107,2)+7)</f>
        <v/>
      </c>
      <c r="L107" s="9">
        <f>IF(B107="","",IF(D107="","Labor",IFERROR(VLOOKUP(D107,Settings!$E$5:$G$28,3,FALSE),"Labor")))</f>
        <v/>
      </c>
      <c r="M107" s="9">
        <f>IF(B107="","",IF(COUNTIF('Vendors &amp; Crew'!$A$5:$A$34,B107)=0,"Worker not in Crew table",IF(C107="","Missing Job ID",IF(COUNTIF(Jobs!$A$5:$A$44,C107)=0,"Unknown Job ID",IF(E107="","Missing hours",IF(A107="","Missing date",""))))))</f>
        <v/>
      </c>
      <c r="N107" s="35" t="n"/>
    </row>
    <row r="108">
      <c r="A108" s="40" t="n"/>
      <c r="B108" s="35" t="n"/>
      <c r="C108" s="35" t="n"/>
      <c r="D108" s="35" t="n"/>
      <c r="E108" s="61" t="n"/>
      <c r="F108" s="37" t="n"/>
      <c r="G108" s="39">
        <f>IF(B108="","",IF(F108&lt;&gt;"",F108,IFERROR(VLOOKUP(B108,'Vendors &amp; Crew'!$A$5:$D$34,3,FALSE),0)))</f>
        <v/>
      </c>
      <c r="H108" s="39">
        <f>IF(B108="","",E108*G108*(1+Settings!$B$18))</f>
        <v/>
      </c>
      <c r="I108" s="39">
        <f>IF(B108="","",IFERROR(VLOOKUP(B108,'Vendors &amp; Crew'!$A$5:$D$34,4,FALSE),0))</f>
        <v/>
      </c>
      <c r="J108" s="39">
        <f>IF(B108="","",E108*I108)</f>
        <v/>
      </c>
      <c r="K108" s="59">
        <f>IF(A108="","",A108-WEEKDAY(A108,2)+7)</f>
        <v/>
      </c>
      <c r="L108" s="9">
        <f>IF(B108="","",IF(D108="","Labor",IFERROR(VLOOKUP(D108,Settings!$E$5:$G$28,3,FALSE),"Labor")))</f>
        <v/>
      </c>
      <c r="M108" s="9">
        <f>IF(B108="","",IF(COUNTIF('Vendors &amp; Crew'!$A$5:$A$34,B108)=0,"Worker not in Crew table",IF(C108="","Missing Job ID",IF(COUNTIF(Jobs!$A$5:$A$44,C108)=0,"Unknown Job ID",IF(E108="","Missing hours",IF(A108="","Missing date",""))))))</f>
        <v/>
      </c>
      <c r="N108" s="35" t="n"/>
    </row>
    <row r="109">
      <c r="A109" s="40" t="n"/>
      <c r="B109" s="35" t="n"/>
      <c r="C109" s="35" t="n"/>
      <c r="D109" s="35" t="n"/>
      <c r="E109" s="61" t="n"/>
      <c r="F109" s="37" t="n"/>
      <c r="G109" s="39">
        <f>IF(B109="","",IF(F109&lt;&gt;"",F109,IFERROR(VLOOKUP(B109,'Vendors &amp; Crew'!$A$5:$D$34,3,FALSE),0)))</f>
        <v/>
      </c>
      <c r="H109" s="39">
        <f>IF(B109="","",E109*G109*(1+Settings!$B$18))</f>
        <v/>
      </c>
      <c r="I109" s="39">
        <f>IF(B109="","",IFERROR(VLOOKUP(B109,'Vendors &amp; Crew'!$A$5:$D$34,4,FALSE),0))</f>
        <v/>
      </c>
      <c r="J109" s="39">
        <f>IF(B109="","",E109*I109)</f>
        <v/>
      </c>
      <c r="K109" s="59">
        <f>IF(A109="","",A109-WEEKDAY(A109,2)+7)</f>
        <v/>
      </c>
      <c r="L109" s="9">
        <f>IF(B109="","",IF(D109="","Labor",IFERROR(VLOOKUP(D109,Settings!$E$5:$G$28,3,FALSE),"Labor")))</f>
        <v/>
      </c>
      <c r="M109" s="9">
        <f>IF(B109="","",IF(COUNTIF('Vendors &amp; Crew'!$A$5:$A$34,B109)=0,"Worker not in Crew table",IF(C109="","Missing Job ID",IF(COUNTIF(Jobs!$A$5:$A$44,C109)=0,"Unknown Job ID",IF(E109="","Missing hours",IF(A109="","Missing date",""))))))</f>
        <v/>
      </c>
      <c r="N109" s="35" t="n"/>
    </row>
    <row r="110">
      <c r="A110" s="40" t="n"/>
      <c r="B110" s="35" t="n"/>
      <c r="C110" s="35" t="n"/>
      <c r="D110" s="35" t="n"/>
      <c r="E110" s="61" t="n"/>
      <c r="F110" s="37" t="n"/>
      <c r="G110" s="39">
        <f>IF(B110="","",IF(F110&lt;&gt;"",F110,IFERROR(VLOOKUP(B110,'Vendors &amp; Crew'!$A$5:$D$34,3,FALSE),0)))</f>
        <v/>
      </c>
      <c r="H110" s="39">
        <f>IF(B110="","",E110*G110*(1+Settings!$B$18))</f>
        <v/>
      </c>
      <c r="I110" s="39">
        <f>IF(B110="","",IFERROR(VLOOKUP(B110,'Vendors &amp; Crew'!$A$5:$D$34,4,FALSE),0))</f>
        <v/>
      </c>
      <c r="J110" s="39">
        <f>IF(B110="","",E110*I110)</f>
        <v/>
      </c>
      <c r="K110" s="59">
        <f>IF(A110="","",A110-WEEKDAY(A110,2)+7)</f>
        <v/>
      </c>
      <c r="L110" s="9">
        <f>IF(B110="","",IF(D110="","Labor",IFERROR(VLOOKUP(D110,Settings!$E$5:$G$28,3,FALSE),"Labor")))</f>
        <v/>
      </c>
      <c r="M110" s="9">
        <f>IF(B110="","",IF(COUNTIF('Vendors &amp; Crew'!$A$5:$A$34,B110)=0,"Worker not in Crew table",IF(C110="","Missing Job ID",IF(COUNTIF(Jobs!$A$5:$A$44,C110)=0,"Unknown Job ID",IF(E110="","Missing hours",IF(A110="","Missing date",""))))))</f>
        <v/>
      </c>
      <c r="N110" s="35" t="n"/>
    </row>
    <row r="111">
      <c r="A111" s="40" t="n"/>
      <c r="B111" s="35" t="n"/>
      <c r="C111" s="35" t="n"/>
      <c r="D111" s="35" t="n"/>
      <c r="E111" s="61" t="n"/>
      <c r="F111" s="37" t="n"/>
      <c r="G111" s="39">
        <f>IF(B111="","",IF(F111&lt;&gt;"",F111,IFERROR(VLOOKUP(B111,'Vendors &amp; Crew'!$A$5:$D$34,3,FALSE),0)))</f>
        <v/>
      </c>
      <c r="H111" s="39">
        <f>IF(B111="","",E111*G111*(1+Settings!$B$18))</f>
        <v/>
      </c>
      <c r="I111" s="39">
        <f>IF(B111="","",IFERROR(VLOOKUP(B111,'Vendors &amp; Crew'!$A$5:$D$34,4,FALSE),0))</f>
        <v/>
      </c>
      <c r="J111" s="39">
        <f>IF(B111="","",E111*I111)</f>
        <v/>
      </c>
      <c r="K111" s="59">
        <f>IF(A111="","",A111-WEEKDAY(A111,2)+7)</f>
        <v/>
      </c>
      <c r="L111" s="9">
        <f>IF(B111="","",IF(D111="","Labor",IFERROR(VLOOKUP(D111,Settings!$E$5:$G$28,3,FALSE),"Labor")))</f>
        <v/>
      </c>
      <c r="M111" s="9">
        <f>IF(B111="","",IF(COUNTIF('Vendors &amp; Crew'!$A$5:$A$34,B111)=0,"Worker not in Crew table",IF(C111="","Missing Job ID",IF(COUNTIF(Jobs!$A$5:$A$44,C111)=0,"Unknown Job ID",IF(E111="","Missing hours",IF(A111="","Missing date",""))))))</f>
        <v/>
      </c>
      <c r="N111" s="35" t="n"/>
    </row>
    <row r="112">
      <c r="A112" s="40" t="n"/>
      <c r="B112" s="35" t="n"/>
      <c r="C112" s="35" t="n"/>
      <c r="D112" s="35" t="n"/>
      <c r="E112" s="61" t="n"/>
      <c r="F112" s="37" t="n"/>
      <c r="G112" s="39">
        <f>IF(B112="","",IF(F112&lt;&gt;"",F112,IFERROR(VLOOKUP(B112,'Vendors &amp; Crew'!$A$5:$D$34,3,FALSE),0)))</f>
        <v/>
      </c>
      <c r="H112" s="39">
        <f>IF(B112="","",E112*G112*(1+Settings!$B$18))</f>
        <v/>
      </c>
      <c r="I112" s="39">
        <f>IF(B112="","",IFERROR(VLOOKUP(B112,'Vendors &amp; Crew'!$A$5:$D$34,4,FALSE),0))</f>
        <v/>
      </c>
      <c r="J112" s="39">
        <f>IF(B112="","",E112*I112)</f>
        <v/>
      </c>
      <c r="K112" s="59">
        <f>IF(A112="","",A112-WEEKDAY(A112,2)+7)</f>
        <v/>
      </c>
      <c r="L112" s="9">
        <f>IF(B112="","",IF(D112="","Labor",IFERROR(VLOOKUP(D112,Settings!$E$5:$G$28,3,FALSE),"Labor")))</f>
        <v/>
      </c>
      <c r="M112" s="9">
        <f>IF(B112="","",IF(COUNTIF('Vendors &amp; Crew'!$A$5:$A$34,B112)=0,"Worker not in Crew table",IF(C112="","Missing Job ID",IF(COUNTIF(Jobs!$A$5:$A$44,C112)=0,"Unknown Job ID",IF(E112="","Missing hours",IF(A112="","Missing date",""))))))</f>
        <v/>
      </c>
      <c r="N112" s="35" t="n"/>
    </row>
    <row r="113">
      <c r="A113" s="40" t="n"/>
      <c r="B113" s="35" t="n"/>
      <c r="C113" s="35" t="n"/>
      <c r="D113" s="35" t="n"/>
      <c r="E113" s="61" t="n"/>
      <c r="F113" s="37" t="n"/>
      <c r="G113" s="39">
        <f>IF(B113="","",IF(F113&lt;&gt;"",F113,IFERROR(VLOOKUP(B113,'Vendors &amp; Crew'!$A$5:$D$34,3,FALSE),0)))</f>
        <v/>
      </c>
      <c r="H113" s="39">
        <f>IF(B113="","",E113*G113*(1+Settings!$B$18))</f>
        <v/>
      </c>
      <c r="I113" s="39">
        <f>IF(B113="","",IFERROR(VLOOKUP(B113,'Vendors &amp; Crew'!$A$5:$D$34,4,FALSE),0))</f>
        <v/>
      </c>
      <c r="J113" s="39">
        <f>IF(B113="","",E113*I113)</f>
        <v/>
      </c>
      <c r="K113" s="59">
        <f>IF(A113="","",A113-WEEKDAY(A113,2)+7)</f>
        <v/>
      </c>
      <c r="L113" s="9">
        <f>IF(B113="","",IF(D113="","Labor",IFERROR(VLOOKUP(D113,Settings!$E$5:$G$28,3,FALSE),"Labor")))</f>
        <v/>
      </c>
      <c r="M113" s="9">
        <f>IF(B113="","",IF(COUNTIF('Vendors &amp; Crew'!$A$5:$A$34,B113)=0,"Worker not in Crew table",IF(C113="","Missing Job ID",IF(COUNTIF(Jobs!$A$5:$A$44,C113)=0,"Unknown Job ID",IF(E113="","Missing hours",IF(A113="","Missing date",""))))))</f>
        <v/>
      </c>
      <c r="N113" s="35" t="n"/>
    </row>
    <row r="114">
      <c r="A114" s="40" t="n"/>
      <c r="B114" s="35" t="n"/>
      <c r="C114" s="35" t="n"/>
      <c r="D114" s="35" t="n"/>
      <c r="E114" s="61" t="n"/>
      <c r="F114" s="37" t="n"/>
      <c r="G114" s="39">
        <f>IF(B114="","",IF(F114&lt;&gt;"",F114,IFERROR(VLOOKUP(B114,'Vendors &amp; Crew'!$A$5:$D$34,3,FALSE),0)))</f>
        <v/>
      </c>
      <c r="H114" s="39">
        <f>IF(B114="","",E114*G114*(1+Settings!$B$18))</f>
        <v/>
      </c>
      <c r="I114" s="39">
        <f>IF(B114="","",IFERROR(VLOOKUP(B114,'Vendors &amp; Crew'!$A$5:$D$34,4,FALSE),0))</f>
        <v/>
      </c>
      <c r="J114" s="39">
        <f>IF(B114="","",E114*I114)</f>
        <v/>
      </c>
      <c r="K114" s="59">
        <f>IF(A114="","",A114-WEEKDAY(A114,2)+7)</f>
        <v/>
      </c>
      <c r="L114" s="9">
        <f>IF(B114="","",IF(D114="","Labor",IFERROR(VLOOKUP(D114,Settings!$E$5:$G$28,3,FALSE),"Labor")))</f>
        <v/>
      </c>
      <c r="M114" s="9">
        <f>IF(B114="","",IF(COUNTIF('Vendors &amp; Crew'!$A$5:$A$34,B114)=0,"Worker not in Crew table",IF(C114="","Missing Job ID",IF(COUNTIF(Jobs!$A$5:$A$44,C114)=0,"Unknown Job ID",IF(E114="","Missing hours",IF(A114="","Missing date",""))))))</f>
        <v/>
      </c>
      <c r="N114" s="35" t="n"/>
    </row>
    <row r="115">
      <c r="A115" s="40" t="n"/>
      <c r="B115" s="35" t="n"/>
      <c r="C115" s="35" t="n"/>
      <c r="D115" s="35" t="n"/>
      <c r="E115" s="61" t="n"/>
      <c r="F115" s="37" t="n"/>
      <c r="G115" s="39">
        <f>IF(B115="","",IF(F115&lt;&gt;"",F115,IFERROR(VLOOKUP(B115,'Vendors &amp; Crew'!$A$5:$D$34,3,FALSE),0)))</f>
        <v/>
      </c>
      <c r="H115" s="39">
        <f>IF(B115="","",E115*G115*(1+Settings!$B$18))</f>
        <v/>
      </c>
      <c r="I115" s="39">
        <f>IF(B115="","",IFERROR(VLOOKUP(B115,'Vendors &amp; Crew'!$A$5:$D$34,4,FALSE),0))</f>
        <v/>
      </c>
      <c r="J115" s="39">
        <f>IF(B115="","",E115*I115)</f>
        <v/>
      </c>
      <c r="K115" s="59">
        <f>IF(A115="","",A115-WEEKDAY(A115,2)+7)</f>
        <v/>
      </c>
      <c r="L115" s="9">
        <f>IF(B115="","",IF(D115="","Labor",IFERROR(VLOOKUP(D115,Settings!$E$5:$G$28,3,FALSE),"Labor")))</f>
        <v/>
      </c>
      <c r="M115" s="9">
        <f>IF(B115="","",IF(COUNTIF('Vendors &amp; Crew'!$A$5:$A$34,B115)=0,"Worker not in Crew table",IF(C115="","Missing Job ID",IF(COUNTIF(Jobs!$A$5:$A$44,C115)=0,"Unknown Job ID",IF(E115="","Missing hours",IF(A115="","Missing date",""))))))</f>
        <v/>
      </c>
      <c r="N115" s="35" t="n"/>
    </row>
    <row r="116">
      <c r="A116" s="40" t="n"/>
      <c r="B116" s="35" t="n"/>
      <c r="C116" s="35" t="n"/>
      <c r="D116" s="35" t="n"/>
      <c r="E116" s="61" t="n"/>
      <c r="F116" s="37" t="n"/>
      <c r="G116" s="39">
        <f>IF(B116="","",IF(F116&lt;&gt;"",F116,IFERROR(VLOOKUP(B116,'Vendors &amp; Crew'!$A$5:$D$34,3,FALSE),0)))</f>
        <v/>
      </c>
      <c r="H116" s="39">
        <f>IF(B116="","",E116*G116*(1+Settings!$B$18))</f>
        <v/>
      </c>
      <c r="I116" s="39">
        <f>IF(B116="","",IFERROR(VLOOKUP(B116,'Vendors &amp; Crew'!$A$5:$D$34,4,FALSE),0))</f>
        <v/>
      </c>
      <c r="J116" s="39">
        <f>IF(B116="","",E116*I116)</f>
        <v/>
      </c>
      <c r="K116" s="59">
        <f>IF(A116="","",A116-WEEKDAY(A116,2)+7)</f>
        <v/>
      </c>
      <c r="L116" s="9">
        <f>IF(B116="","",IF(D116="","Labor",IFERROR(VLOOKUP(D116,Settings!$E$5:$G$28,3,FALSE),"Labor")))</f>
        <v/>
      </c>
      <c r="M116" s="9">
        <f>IF(B116="","",IF(COUNTIF('Vendors &amp; Crew'!$A$5:$A$34,B116)=0,"Worker not in Crew table",IF(C116="","Missing Job ID",IF(COUNTIF(Jobs!$A$5:$A$44,C116)=0,"Unknown Job ID",IF(E116="","Missing hours",IF(A116="","Missing date",""))))))</f>
        <v/>
      </c>
      <c r="N116" s="35" t="n"/>
    </row>
    <row r="117">
      <c r="A117" s="40" t="n"/>
      <c r="B117" s="35" t="n"/>
      <c r="C117" s="35" t="n"/>
      <c r="D117" s="35" t="n"/>
      <c r="E117" s="61" t="n"/>
      <c r="F117" s="37" t="n"/>
      <c r="G117" s="39">
        <f>IF(B117="","",IF(F117&lt;&gt;"",F117,IFERROR(VLOOKUP(B117,'Vendors &amp; Crew'!$A$5:$D$34,3,FALSE),0)))</f>
        <v/>
      </c>
      <c r="H117" s="39">
        <f>IF(B117="","",E117*G117*(1+Settings!$B$18))</f>
        <v/>
      </c>
      <c r="I117" s="39">
        <f>IF(B117="","",IFERROR(VLOOKUP(B117,'Vendors &amp; Crew'!$A$5:$D$34,4,FALSE),0))</f>
        <v/>
      </c>
      <c r="J117" s="39">
        <f>IF(B117="","",E117*I117)</f>
        <v/>
      </c>
      <c r="K117" s="59">
        <f>IF(A117="","",A117-WEEKDAY(A117,2)+7)</f>
        <v/>
      </c>
      <c r="L117" s="9">
        <f>IF(B117="","",IF(D117="","Labor",IFERROR(VLOOKUP(D117,Settings!$E$5:$G$28,3,FALSE),"Labor")))</f>
        <v/>
      </c>
      <c r="M117" s="9">
        <f>IF(B117="","",IF(COUNTIF('Vendors &amp; Crew'!$A$5:$A$34,B117)=0,"Worker not in Crew table",IF(C117="","Missing Job ID",IF(COUNTIF(Jobs!$A$5:$A$44,C117)=0,"Unknown Job ID",IF(E117="","Missing hours",IF(A117="","Missing date",""))))))</f>
        <v/>
      </c>
      <c r="N117" s="35" t="n"/>
    </row>
    <row r="118">
      <c r="A118" s="40" t="n"/>
      <c r="B118" s="35" t="n"/>
      <c r="C118" s="35" t="n"/>
      <c r="D118" s="35" t="n"/>
      <c r="E118" s="61" t="n"/>
      <c r="F118" s="37" t="n"/>
      <c r="G118" s="39">
        <f>IF(B118="","",IF(F118&lt;&gt;"",F118,IFERROR(VLOOKUP(B118,'Vendors &amp; Crew'!$A$5:$D$34,3,FALSE),0)))</f>
        <v/>
      </c>
      <c r="H118" s="39">
        <f>IF(B118="","",E118*G118*(1+Settings!$B$18))</f>
        <v/>
      </c>
      <c r="I118" s="39">
        <f>IF(B118="","",IFERROR(VLOOKUP(B118,'Vendors &amp; Crew'!$A$5:$D$34,4,FALSE),0))</f>
        <v/>
      </c>
      <c r="J118" s="39">
        <f>IF(B118="","",E118*I118)</f>
        <v/>
      </c>
      <c r="K118" s="59">
        <f>IF(A118="","",A118-WEEKDAY(A118,2)+7)</f>
        <v/>
      </c>
      <c r="L118" s="9">
        <f>IF(B118="","",IF(D118="","Labor",IFERROR(VLOOKUP(D118,Settings!$E$5:$G$28,3,FALSE),"Labor")))</f>
        <v/>
      </c>
      <c r="M118" s="9">
        <f>IF(B118="","",IF(COUNTIF('Vendors &amp; Crew'!$A$5:$A$34,B118)=0,"Worker not in Crew table",IF(C118="","Missing Job ID",IF(COUNTIF(Jobs!$A$5:$A$44,C118)=0,"Unknown Job ID",IF(E118="","Missing hours",IF(A118="","Missing date",""))))))</f>
        <v/>
      </c>
      <c r="N118" s="35" t="n"/>
    </row>
    <row r="119">
      <c r="A119" s="40" t="n"/>
      <c r="B119" s="35" t="n"/>
      <c r="C119" s="35" t="n"/>
      <c r="D119" s="35" t="n"/>
      <c r="E119" s="61" t="n"/>
      <c r="F119" s="37" t="n"/>
      <c r="G119" s="39">
        <f>IF(B119="","",IF(F119&lt;&gt;"",F119,IFERROR(VLOOKUP(B119,'Vendors &amp; Crew'!$A$5:$D$34,3,FALSE),0)))</f>
        <v/>
      </c>
      <c r="H119" s="39">
        <f>IF(B119="","",E119*G119*(1+Settings!$B$18))</f>
        <v/>
      </c>
      <c r="I119" s="39">
        <f>IF(B119="","",IFERROR(VLOOKUP(B119,'Vendors &amp; Crew'!$A$5:$D$34,4,FALSE),0))</f>
        <v/>
      </c>
      <c r="J119" s="39">
        <f>IF(B119="","",E119*I119)</f>
        <v/>
      </c>
      <c r="K119" s="59">
        <f>IF(A119="","",A119-WEEKDAY(A119,2)+7)</f>
        <v/>
      </c>
      <c r="L119" s="9">
        <f>IF(B119="","",IF(D119="","Labor",IFERROR(VLOOKUP(D119,Settings!$E$5:$G$28,3,FALSE),"Labor")))</f>
        <v/>
      </c>
      <c r="M119" s="9">
        <f>IF(B119="","",IF(COUNTIF('Vendors &amp; Crew'!$A$5:$A$34,B119)=0,"Worker not in Crew table",IF(C119="","Missing Job ID",IF(COUNTIF(Jobs!$A$5:$A$44,C119)=0,"Unknown Job ID",IF(E119="","Missing hours",IF(A119="","Missing date",""))))))</f>
        <v/>
      </c>
      <c r="N119" s="35" t="n"/>
    </row>
    <row r="120">
      <c r="A120" s="40" t="n"/>
      <c r="B120" s="35" t="n"/>
      <c r="C120" s="35" t="n"/>
      <c r="D120" s="35" t="n"/>
      <c r="E120" s="61" t="n"/>
      <c r="F120" s="37" t="n"/>
      <c r="G120" s="39">
        <f>IF(B120="","",IF(F120&lt;&gt;"",F120,IFERROR(VLOOKUP(B120,'Vendors &amp; Crew'!$A$5:$D$34,3,FALSE),0)))</f>
        <v/>
      </c>
      <c r="H120" s="39">
        <f>IF(B120="","",E120*G120*(1+Settings!$B$18))</f>
        <v/>
      </c>
      <c r="I120" s="39">
        <f>IF(B120="","",IFERROR(VLOOKUP(B120,'Vendors &amp; Crew'!$A$5:$D$34,4,FALSE),0))</f>
        <v/>
      </c>
      <c r="J120" s="39">
        <f>IF(B120="","",E120*I120)</f>
        <v/>
      </c>
      <c r="K120" s="59">
        <f>IF(A120="","",A120-WEEKDAY(A120,2)+7)</f>
        <v/>
      </c>
      <c r="L120" s="9">
        <f>IF(B120="","",IF(D120="","Labor",IFERROR(VLOOKUP(D120,Settings!$E$5:$G$28,3,FALSE),"Labor")))</f>
        <v/>
      </c>
      <c r="M120" s="9">
        <f>IF(B120="","",IF(COUNTIF('Vendors &amp; Crew'!$A$5:$A$34,B120)=0,"Worker not in Crew table",IF(C120="","Missing Job ID",IF(COUNTIF(Jobs!$A$5:$A$44,C120)=0,"Unknown Job ID",IF(E120="","Missing hours",IF(A120="","Missing date",""))))))</f>
        <v/>
      </c>
      <c r="N120" s="35" t="n"/>
    </row>
    <row r="121">
      <c r="A121" s="40" t="n"/>
      <c r="B121" s="35" t="n"/>
      <c r="C121" s="35" t="n"/>
      <c r="D121" s="35" t="n"/>
      <c r="E121" s="61" t="n"/>
      <c r="F121" s="37" t="n"/>
      <c r="G121" s="39">
        <f>IF(B121="","",IF(F121&lt;&gt;"",F121,IFERROR(VLOOKUP(B121,'Vendors &amp; Crew'!$A$5:$D$34,3,FALSE),0)))</f>
        <v/>
      </c>
      <c r="H121" s="39">
        <f>IF(B121="","",E121*G121*(1+Settings!$B$18))</f>
        <v/>
      </c>
      <c r="I121" s="39">
        <f>IF(B121="","",IFERROR(VLOOKUP(B121,'Vendors &amp; Crew'!$A$5:$D$34,4,FALSE),0))</f>
        <v/>
      </c>
      <c r="J121" s="39">
        <f>IF(B121="","",E121*I121)</f>
        <v/>
      </c>
      <c r="K121" s="59">
        <f>IF(A121="","",A121-WEEKDAY(A121,2)+7)</f>
        <v/>
      </c>
      <c r="L121" s="9">
        <f>IF(B121="","",IF(D121="","Labor",IFERROR(VLOOKUP(D121,Settings!$E$5:$G$28,3,FALSE),"Labor")))</f>
        <v/>
      </c>
      <c r="M121" s="9">
        <f>IF(B121="","",IF(COUNTIF('Vendors &amp; Crew'!$A$5:$A$34,B121)=0,"Worker not in Crew table",IF(C121="","Missing Job ID",IF(COUNTIF(Jobs!$A$5:$A$44,C121)=0,"Unknown Job ID",IF(E121="","Missing hours",IF(A121="","Missing date",""))))))</f>
        <v/>
      </c>
      <c r="N121" s="35" t="n"/>
    </row>
    <row r="122">
      <c r="A122" s="40" t="n"/>
      <c r="B122" s="35" t="n"/>
      <c r="C122" s="35" t="n"/>
      <c r="D122" s="35" t="n"/>
      <c r="E122" s="61" t="n"/>
      <c r="F122" s="37" t="n"/>
      <c r="G122" s="39">
        <f>IF(B122="","",IF(F122&lt;&gt;"",F122,IFERROR(VLOOKUP(B122,'Vendors &amp; Crew'!$A$5:$D$34,3,FALSE),0)))</f>
        <v/>
      </c>
      <c r="H122" s="39">
        <f>IF(B122="","",E122*G122*(1+Settings!$B$18))</f>
        <v/>
      </c>
      <c r="I122" s="39">
        <f>IF(B122="","",IFERROR(VLOOKUP(B122,'Vendors &amp; Crew'!$A$5:$D$34,4,FALSE),0))</f>
        <v/>
      </c>
      <c r="J122" s="39">
        <f>IF(B122="","",E122*I122)</f>
        <v/>
      </c>
      <c r="K122" s="59">
        <f>IF(A122="","",A122-WEEKDAY(A122,2)+7)</f>
        <v/>
      </c>
      <c r="L122" s="9">
        <f>IF(B122="","",IF(D122="","Labor",IFERROR(VLOOKUP(D122,Settings!$E$5:$G$28,3,FALSE),"Labor")))</f>
        <v/>
      </c>
      <c r="M122" s="9">
        <f>IF(B122="","",IF(COUNTIF('Vendors &amp; Crew'!$A$5:$A$34,B122)=0,"Worker not in Crew table",IF(C122="","Missing Job ID",IF(COUNTIF(Jobs!$A$5:$A$44,C122)=0,"Unknown Job ID",IF(E122="","Missing hours",IF(A122="","Missing date",""))))))</f>
        <v/>
      </c>
      <c r="N122" s="35" t="n"/>
    </row>
    <row r="123">
      <c r="A123" s="40" t="n"/>
      <c r="B123" s="35" t="n"/>
      <c r="C123" s="35" t="n"/>
      <c r="D123" s="35" t="n"/>
      <c r="E123" s="61" t="n"/>
      <c r="F123" s="37" t="n"/>
      <c r="G123" s="39">
        <f>IF(B123="","",IF(F123&lt;&gt;"",F123,IFERROR(VLOOKUP(B123,'Vendors &amp; Crew'!$A$5:$D$34,3,FALSE),0)))</f>
        <v/>
      </c>
      <c r="H123" s="39">
        <f>IF(B123="","",E123*G123*(1+Settings!$B$18))</f>
        <v/>
      </c>
      <c r="I123" s="39">
        <f>IF(B123="","",IFERROR(VLOOKUP(B123,'Vendors &amp; Crew'!$A$5:$D$34,4,FALSE),0))</f>
        <v/>
      </c>
      <c r="J123" s="39">
        <f>IF(B123="","",E123*I123)</f>
        <v/>
      </c>
      <c r="K123" s="59">
        <f>IF(A123="","",A123-WEEKDAY(A123,2)+7)</f>
        <v/>
      </c>
      <c r="L123" s="9">
        <f>IF(B123="","",IF(D123="","Labor",IFERROR(VLOOKUP(D123,Settings!$E$5:$G$28,3,FALSE),"Labor")))</f>
        <v/>
      </c>
      <c r="M123" s="9">
        <f>IF(B123="","",IF(COUNTIF('Vendors &amp; Crew'!$A$5:$A$34,B123)=0,"Worker not in Crew table",IF(C123="","Missing Job ID",IF(COUNTIF(Jobs!$A$5:$A$44,C123)=0,"Unknown Job ID",IF(E123="","Missing hours",IF(A123="","Missing date",""))))))</f>
        <v/>
      </c>
      <c r="N123" s="35" t="n"/>
    </row>
    <row r="124">
      <c r="A124" s="40" t="n"/>
      <c r="B124" s="35" t="n"/>
      <c r="C124" s="35" t="n"/>
      <c r="D124" s="35" t="n"/>
      <c r="E124" s="61" t="n"/>
      <c r="F124" s="37" t="n"/>
      <c r="G124" s="39">
        <f>IF(B124="","",IF(F124&lt;&gt;"",F124,IFERROR(VLOOKUP(B124,'Vendors &amp; Crew'!$A$5:$D$34,3,FALSE),0)))</f>
        <v/>
      </c>
      <c r="H124" s="39">
        <f>IF(B124="","",E124*G124*(1+Settings!$B$18))</f>
        <v/>
      </c>
      <c r="I124" s="39">
        <f>IF(B124="","",IFERROR(VLOOKUP(B124,'Vendors &amp; Crew'!$A$5:$D$34,4,FALSE),0))</f>
        <v/>
      </c>
      <c r="J124" s="39">
        <f>IF(B124="","",E124*I124)</f>
        <v/>
      </c>
      <c r="K124" s="59">
        <f>IF(A124="","",A124-WEEKDAY(A124,2)+7)</f>
        <v/>
      </c>
      <c r="L124" s="9">
        <f>IF(B124="","",IF(D124="","Labor",IFERROR(VLOOKUP(D124,Settings!$E$5:$G$28,3,FALSE),"Labor")))</f>
        <v/>
      </c>
      <c r="M124" s="9">
        <f>IF(B124="","",IF(COUNTIF('Vendors &amp; Crew'!$A$5:$A$34,B124)=0,"Worker not in Crew table",IF(C124="","Missing Job ID",IF(COUNTIF(Jobs!$A$5:$A$44,C124)=0,"Unknown Job ID",IF(E124="","Missing hours",IF(A124="","Missing date",""))))))</f>
        <v/>
      </c>
      <c r="N124" s="35" t="n"/>
    </row>
    <row r="125">
      <c r="A125" s="40" t="n"/>
      <c r="B125" s="35" t="n"/>
      <c r="C125" s="35" t="n"/>
      <c r="D125" s="35" t="n"/>
      <c r="E125" s="61" t="n"/>
      <c r="F125" s="37" t="n"/>
      <c r="G125" s="39">
        <f>IF(B125="","",IF(F125&lt;&gt;"",F125,IFERROR(VLOOKUP(B125,'Vendors &amp; Crew'!$A$5:$D$34,3,FALSE),0)))</f>
        <v/>
      </c>
      <c r="H125" s="39">
        <f>IF(B125="","",E125*G125*(1+Settings!$B$18))</f>
        <v/>
      </c>
      <c r="I125" s="39">
        <f>IF(B125="","",IFERROR(VLOOKUP(B125,'Vendors &amp; Crew'!$A$5:$D$34,4,FALSE),0))</f>
        <v/>
      </c>
      <c r="J125" s="39">
        <f>IF(B125="","",E125*I125)</f>
        <v/>
      </c>
      <c r="K125" s="59">
        <f>IF(A125="","",A125-WEEKDAY(A125,2)+7)</f>
        <v/>
      </c>
      <c r="L125" s="9">
        <f>IF(B125="","",IF(D125="","Labor",IFERROR(VLOOKUP(D125,Settings!$E$5:$G$28,3,FALSE),"Labor")))</f>
        <v/>
      </c>
      <c r="M125" s="9">
        <f>IF(B125="","",IF(COUNTIF('Vendors &amp; Crew'!$A$5:$A$34,B125)=0,"Worker not in Crew table",IF(C125="","Missing Job ID",IF(COUNTIF(Jobs!$A$5:$A$44,C125)=0,"Unknown Job ID",IF(E125="","Missing hours",IF(A125="","Missing date",""))))))</f>
        <v/>
      </c>
      <c r="N125" s="35" t="n"/>
    </row>
    <row r="126">
      <c r="A126" s="40" t="n"/>
      <c r="B126" s="35" t="n"/>
      <c r="C126" s="35" t="n"/>
      <c r="D126" s="35" t="n"/>
      <c r="E126" s="61" t="n"/>
      <c r="F126" s="37" t="n"/>
      <c r="G126" s="39">
        <f>IF(B126="","",IF(F126&lt;&gt;"",F126,IFERROR(VLOOKUP(B126,'Vendors &amp; Crew'!$A$5:$D$34,3,FALSE),0)))</f>
        <v/>
      </c>
      <c r="H126" s="39">
        <f>IF(B126="","",E126*G126*(1+Settings!$B$18))</f>
        <v/>
      </c>
      <c r="I126" s="39">
        <f>IF(B126="","",IFERROR(VLOOKUP(B126,'Vendors &amp; Crew'!$A$5:$D$34,4,FALSE),0))</f>
        <v/>
      </c>
      <c r="J126" s="39">
        <f>IF(B126="","",E126*I126)</f>
        <v/>
      </c>
      <c r="K126" s="59">
        <f>IF(A126="","",A126-WEEKDAY(A126,2)+7)</f>
        <v/>
      </c>
      <c r="L126" s="9">
        <f>IF(B126="","",IF(D126="","Labor",IFERROR(VLOOKUP(D126,Settings!$E$5:$G$28,3,FALSE),"Labor")))</f>
        <v/>
      </c>
      <c r="M126" s="9">
        <f>IF(B126="","",IF(COUNTIF('Vendors &amp; Crew'!$A$5:$A$34,B126)=0,"Worker not in Crew table",IF(C126="","Missing Job ID",IF(COUNTIF(Jobs!$A$5:$A$44,C126)=0,"Unknown Job ID",IF(E126="","Missing hours",IF(A126="","Missing date",""))))))</f>
        <v/>
      </c>
      <c r="N126" s="35" t="n"/>
    </row>
    <row r="127">
      <c r="A127" s="40" t="n"/>
      <c r="B127" s="35" t="n"/>
      <c r="C127" s="35" t="n"/>
      <c r="D127" s="35" t="n"/>
      <c r="E127" s="61" t="n"/>
      <c r="F127" s="37" t="n"/>
      <c r="G127" s="39">
        <f>IF(B127="","",IF(F127&lt;&gt;"",F127,IFERROR(VLOOKUP(B127,'Vendors &amp; Crew'!$A$5:$D$34,3,FALSE),0)))</f>
        <v/>
      </c>
      <c r="H127" s="39">
        <f>IF(B127="","",E127*G127*(1+Settings!$B$18))</f>
        <v/>
      </c>
      <c r="I127" s="39">
        <f>IF(B127="","",IFERROR(VLOOKUP(B127,'Vendors &amp; Crew'!$A$5:$D$34,4,FALSE),0))</f>
        <v/>
      </c>
      <c r="J127" s="39">
        <f>IF(B127="","",E127*I127)</f>
        <v/>
      </c>
      <c r="K127" s="59">
        <f>IF(A127="","",A127-WEEKDAY(A127,2)+7)</f>
        <v/>
      </c>
      <c r="L127" s="9">
        <f>IF(B127="","",IF(D127="","Labor",IFERROR(VLOOKUP(D127,Settings!$E$5:$G$28,3,FALSE),"Labor")))</f>
        <v/>
      </c>
      <c r="M127" s="9">
        <f>IF(B127="","",IF(COUNTIF('Vendors &amp; Crew'!$A$5:$A$34,B127)=0,"Worker not in Crew table",IF(C127="","Missing Job ID",IF(COUNTIF(Jobs!$A$5:$A$44,C127)=0,"Unknown Job ID",IF(E127="","Missing hours",IF(A127="","Missing date",""))))))</f>
        <v/>
      </c>
      <c r="N127" s="35" t="n"/>
    </row>
    <row r="128">
      <c r="A128" s="40" t="n"/>
      <c r="B128" s="35" t="n"/>
      <c r="C128" s="35" t="n"/>
      <c r="D128" s="35" t="n"/>
      <c r="E128" s="61" t="n"/>
      <c r="F128" s="37" t="n"/>
      <c r="G128" s="39">
        <f>IF(B128="","",IF(F128&lt;&gt;"",F128,IFERROR(VLOOKUP(B128,'Vendors &amp; Crew'!$A$5:$D$34,3,FALSE),0)))</f>
        <v/>
      </c>
      <c r="H128" s="39">
        <f>IF(B128="","",E128*G128*(1+Settings!$B$18))</f>
        <v/>
      </c>
      <c r="I128" s="39">
        <f>IF(B128="","",IFERROR(VLOOKUP(B128,'Vendors &amp; Crew'!$A$5:$D$34,4,FALSE),0))</f>
        <v/>
      </c>
      <c r="J128" s="39">
        <f>IF(B128="","",E128*I128)</f>
        <v/>
      </c>
      <c r="K128" s="59">
        <f>IF(A128="","",A128-WEEKDAY(A128,2)+7)</f>
        <v/>
      </c>
      <c r="L128" s="9">
        <f>IF(B128="","",IF(D128="","Labor",IFERROR(VLOOKUP(D128,Settings!$E$5:$G$28,3,FALSE),"Labor")))</f>
        <v/>
      </c>
      <c r="M128" s="9">
        <f>IF(B128="","",IF(COUNTIF('Vendors &amp; Crew'!$A$5:$A$34,B128)=0,"Worker not in Crew table",IF(C128="","Missing Job ID",IF(COUNTIF(Jobs!$A$5:$A$44,C128)=0,"Unknown Job ID",IF(E128="","Missing hours",IF(A128="","Missing date",""))))))</f>
        <v/>
      </c>
      <c r="N128" s="35" t="n"/>
    </row>
    <row r="129">
      <c r="A129" s="40" t="n"/>
      <c r="B129" s="35" t="n"/>
      <c r="C129" s="35" t="n"/>
      <c r="D129" s="35" t="n"/>
      <c r="E129" s="61" t="n"/>
      <c r="F129" s="37" t="n"/>
      <c r="G129" s="39">
        <f>IF(B129="","",IF(F129&lt;&gt;"",F129,IFERROR(VLOOKUP(B129,'Vendors &amp; Crew'!$A$5:$D$34,3,FALSE),0)))</f>
        <v/>
      </c>
      <c r="H129" s="39">
        <f>IF(B129="","",E129*G129*(1+Settings!$B$18))</f>
        <v/>
      </c>
      <c r="I129" s="39">
        <f>IF(B129="","",IFERROR(VLOOKUP(B129,'Vendors &amp; Crew'!$A$5:$D$34,4,FALSE),0))</f>
        <v/>
      </c>
      <c r="J129" s="39">
        <f>IF(B129="","",E129*I129)</f>
        <v/>
      </c>
      <c r="K129" s="59">
        <f>IF(A129="","",A129-WEEKDAY(A129,2)+7)</f>
        <v/>
      </c>
      <c r="L129" s="9">
        <f>IF(B129="","",IF(D129="","Labor",IFERROR(VLOOKUP(D129,Settings!$E$5:$G$28,3,FALSE),"Labor")))</f>
        <v/>
      </c>
      <c r="M129" s="9">
        <f>IF(B129="","",IF(COUNTIF('Vendors &amp; Crew'!$A$5:$A$34,B129)=0,"Worker not in Crew table",IF(C129="","Missing Job ID",IF(COUNTIF(Jobs!$A$5:$A$44,C129)=0,"Unknown Job ID",IF(E129="","Missing hours",IF(A129="","Missing date",""))))))</f>
        <v/>
      </c>
      <c r="N129" s="35" t="n"/>
    </row>
    <row r="130">
      <c r="A130" s="40" t="n"/>
      <c r="B130" s="35" t="n"/>
      <c r="C130" s="35" t="n"/>
      <c r="D130" s="35" t="n"/>
      <c r="E130" s="61" t="n"/>
      <c r="F130" s="37" t="n"/>
      <c r="G130" s="39">
        <f>IF(B130="","",IF(F130&lt;&gt;"",F130,IFERROR(VLOOKUP(B130,'Vendors &amp; Crew'!$A$5:$D$34,3,FALSE),0)))</f>
        <v/>
      </c>
      <c r="H130" s="39">
        <f>IF(B130="","",E130*G130*(1+Settings!$B$18))</f>
        <v/>
      </c>
      <c r="I130" s="39">
        <f>IF(B130="","",IFERROR(VLOOKUP(B130,'Vendors &amp; Crew'!$A$5:$D$34,4,FALSE),0))</f>
        <v/>
      </c>
      <c r="J130" s="39">
        <f>IF(B130="","",E130*I130)</f>
        <v/>
      </c>
      <c r="K130" s="59">
        <f>IF(A130="","",A130-WEEKDAY(A130,2)+7)</f>
        <v/>
      </c>
      <c r="L130" s="9">
        <f>IF(B130="","",IF(D130="","Labor",IFERROR(VLOOKUP(D130,Settings!$E$5:$G$28,3,FALSE),"Labor")))</f>
        <v/>
      </c>
      <c r="M130" s="9">
        <f>IF(B130="","",IF(COUNTIF('Vendors &amp; Crew'!$A$5:$A$34,B130)=0,"Worker not in Crew table",IF(C130="","Missing Job ID",IF(COUNTIF(Jobs!$A$5:$A$44,C130)=0,"Unknown Job ID",IF(E130="","Missing hours",IF(A130="","Missing date",""))))))</f>
        <v/>
      </c>
      <c r="N130" s="35" t="n"/>
    </row>
    <row r="131">
      <c r="A131" s="40" t="n"/>
      <c r="B131" s="35" t="n"/>
      <c r="C131" s="35" t="n"/>
      <c r="D131" s="35" t="n"/>
      <c r="E131" s="61" t="n"/>
      <c r="F131" s="37" t="n"/>
      <c r="G131" s="39">
        <f>IF(B131="","",IF(F131&lt;&gt;"",F131,IFERROR(VLOOKUP(B131,'Vendors &amp; Crew'!$A$5:$D$34,3,FALSE),0)))</f>
        <v/>
      </c>
      <c r="H131" s="39">
        <f>IF(B131="","",E131*G131*(1+Settings!$B$18))</f>
        <v/>
      </c>
      <c r="I131" s="39">
        <f>IF(B131="","",IFERROR(VLOOKUP(B131,'Vendors &amp; Crew'!$A$5:$D$34,4,FALSE),0))</f>
        <v/>
      </c>
      <c r="J131" s="39">
        <f>IF(B131="","",E131*I131)</f>
        <v/>
      </c>
      <c r="K131" s="59">
        <f>IF(A131="","",A131-WEEKDAY(A131,2)+7)</f>
        <v/>
      </c>
      <c r="L131" s="9">
        <f>IF(B131="","",IF(D131="","Labor",IFERROR(VLOOKUP(D131,Settings!$E$5:$G$28,3,FALSE),"Labor")))</f>
        <v/>
      </c>
      <c r="M131" s="9">
        <f>IF(B131="","",IF(COUNTIF('Vendors &amp; Crew'!$A$5:$A$34,B131)=0,"Worker not in Crew table",IF(C131="","Missing Job ID",IF(COUNTIF(Jobs!$A$5:$A$44,C131)=0,"Unknown Job ID",IF(E131="","Missing hours",IF(A131="","Missing date",""))))))</f>
        <v/>
      </c>
      <c r="N131" s="35" t="n"/>
    </row>
    <row r="132">
      <c r="A132" s="40" t="n"/>
      <c r="B132" s="35" t="n"/>
      <c r="C132" s="35" t="n"/>
      <c r="D132" s="35" t="n"/>
      <c r="E132" s="61" t="n"/>
      <c r="F132" s="37" t="n"/>
      <c r="G132" s="39">
        <f>IF(B132="","",IF(F132&lt;&gt;"",F132,IFERROR(VLOOKUP(B132,'Vendors &amp; Crew'!$A$5:$D$34,3,FALSE),0)))</f>
        <v/>
      </c>
      <c r="H132" s="39">
        <f>IF(B132="","",E132*G132*(1+Settings!$B$18))</f>
        <v/>
      </c>
      <c r="I132" s="39">
        <f>IF(B132="","",IFERROR(VLOOKUP(B132,'Vendors &amp; Crew'!$A$5:$D$34,4,FALSE),0))</f>
        <v/>
      </c>
      <c r="J132" s="39">
        <f>IF(B132="","",E132*I132)</f>
        <v/>
      </c>
      <c r="K132" s="59">
        <f>IF(A132="","",A132-WEEKDAY(A132,2)+7)</f>
        <v/>
      </c>
      <c r="L132" s="9">
        <f>IF(B132="","",IF(D132="","Labor",IFERROR(VLOOKUP(D132,Settings!$E$5:$G$28,3,FALSE),"Labor")))</f>
        <v/>
      </c>
      <c r="M132" s="9">
        <f>IF(B132="","",IF(COUNTIF('Vendors &amp; Crew'!$A$5:$A$34,B132)=0,"Worker not in Crew table",IF(C132="","Missing Job ID",IF(COUNTIF(Jobs!$A$5:$A$44,C132)=0,"Unknown Job ID",IF(E132="","Missing hours",IF(A132="","Missing date",""))))))</f>
        <v/>
      </c>
      <c r="N132" s="35" t="n"/>
    </row>
    <row r="133">
      <c r="A133" s="40" t="n"/>
      <c r="B133" s="35" t="n"/>
      <c r="C133" s="35" t="n"/>
      <c r="D133" s="35" t="n"/>
      <c r="E133" s="61" t="n"/>
      <c r="F133" s="37" t="n"/>
      <c r="G133" s="39">
        <f>IF(B133="","",IF(F133&lt;&gt;"",F133,IFERROR(VLOOKUP(B133,'Vendors &amp; Crew'!$A$5:$D$34,3,FALSE),0)))</f>
        <v/>
      </c>
      <c r="H133" s="39">
        <f>IF(B133="","",E133*G133*(1+Settings!$B$18))</f>
        <v/>
      </c>
      <c r="I133" s="39">
        <f>IF(B133="","",IFERROR(VLOOKUP(B133,'Vendors &amp; Crew'!$A$5:$D$34,4,FALSE),0))</f>
        <v/>
      </c>
      <c r="J133" s="39">
        <f>IF(B133="","",E133*I133)</f>
        <v/>
      </c>
      <c r="K133" s="59">
        <f>IF(A133="","",A133-WEEKDAY(A133,2)+7)</f>
        <v/>
      </c>
      <c r="L133" s="9">
        <f>IF(B133="","",IF(D133="","Labor",IFERROR(VLOOKUP(D133,Settings!$E$5:$G$28,3,FALSE),"Labor")))</f>
        <v/>
      </c>
      <c r="M133" s="9">
        <f>IF(B133="","",IF(COUNTIF('Vendors &amp; Crew'!$A$5:$A$34,B133)=0,"Worker not in Crew table",IF(C133="","Missing Job ID",IF(COUNTIF(Jobs!$A$5:$A$44,C133)=0,"Unknown Job ID",IF(E133="","Missing hours",IF(A133="","Missing date",""))))))</f>
        <v/>
      </c>
      <c r="N133" s="35" t="n"/>
    </row>
    <row r="134">
      <c r="A134" s="40" t="n"/>
      <c r="B134" s="35" t="n"/>
      <c r="C134" s="35" t="n"/>
      <c r="D134" s="35" t="n"/>
      <c r="E134" s="61" t="n"/>
      <c r="F134" s="37" t="n"/>
      <c r="G134" s="39">
        <f>IF(B134="","",IF(F134&lt;&gt;"",F134,IFERROR(VLOOKUP(B134,'Vendors &amp; Crew'!$A$5:$D$34,3,FALSE),0)))</f>
        <v/>
      </c>
      <c r="H134" s="39">
        <f>IF(B134="","",E134*G134*(1+Settings!$B$18))</f>
        <v/>
      </c>
      <c r="I134" s="39">
        <f>IF(B134="","",IFERROR(VLOOKUP(B134,'Vendors &amp; Crew'!$A$5:$D$34,4,FALSE),0))</f>
        <v/>
      </c>
      <c r="J134" s="39">
        <f>IF(B134="","",E134*I134)</f>
        <v/>
      </c>
      <c r="K134" s="59">
        <f>IF(A134="","",A134-WEEKDAY(A134,2)+7)</f>
        <v/>
      </c>
      <c r="L134" s="9">
        <f>IF(B134="","",IF(D134="","Labor",IFERROR(VLOOKUP(D134,Settings!$E$5:$G$28,3,FALSE),"Labor")))</f>
        <v/>
      </c>
      <c r="M134" s="9">
        <f>IF(B134="","",IF(COUNTIF('Vendors &amp; Crew'!$A$5:$A$34,B134)=0,"Worker not in Crew table",IF(C134="","Missing Job ID",IF(COUNTIF(Jobs!$A$5:$A$44,C134)=0,"Unknown Job ID",IF(E134="","Missing hours",IF(A134="","Missing date",""))))))</f>
        <v/>
      </c>
      <c r="N134" s="35" t="n"/>
    </row>
    <row r="135">
      <c r="A135" s="40" t="n"/>
      <c r="B135" s="35" t="n"/>
      <c r="C135" s="35" t="n"/>
      <c r="D135" s="35" t="n"/>
      <c r="E135" s="61" t="n"/>
      <c r="F135" s="37" t="n"/>
      <c r="G135" s="39">
        <f>IF(B135="","",IF(F135&lt;&gt;"",F135,IFERROR(VLOOKUP(B135,'Vendors &amp; Crew'!$A$5:$D$34,3,FALSE),0)))</f>
        <v/>
      </c>
      <c r="H135" s="39">
        <f>IF(B135="","",E135*G135*(1+Settings!$B$18))</f>
        <v/>
      </c>
      <c r="I135" s="39">
        <f>IF(B135="","",IFERROR(VLOOKUP(B135,'Vendors &amp; Crew'!$A$5:$D$34,4,FALSE),0))</f>
        <v/>
      </c>
      <c r="J135" s="39">
        <f>IF(B135="","",E135*I135)</f>
        <v/>
      </c>
      <c r="K135" s="59">
        <f>IF(A135="","",A135-WEEKDAY(A135,2)+7)</f>
        <v/>
      </c>
      <c r="L135" s="9">
        <f>IF(B135="","",IF(D135="","Labor",IFERROR(VLOOKUP(D135,Settings!$E$5:$G$28,3,FALSE),"Labor")))</f>
        <v/>
      </c>
      <c r="M135" s="9">
        <f>IF(B135="","",IF(COUNTIF('Vendors &amp; Crew'!$A$5:$A$34,B135)=0,"Worker not in Crew table",IF(C135="","Missing Job ID",IF(COUNTIF(Jobs!$A$5:$A$44,C135)=0,"Unknown Job ID",IF(E135="","Missing hours",IF(A135="","Missing date",""))))))</f>
        <v/>
      </c>
      <c r="N135" s="35" t="n"/>
    </row>
    <row r="136">
      <c r="A136" s="40" t="n"/>
      <c r="B136" s="35" t="n"/>
      <c r="C136" s="35" t="n"/>
      <c r="D136" s="35" t="n"/>
      <c r="E136" s="61" t="n"/>
      <c r="F136" s="37" t="n"/>
      <c r="G136" s="39">
        <f>IF(B136="","",IF(F136&lt;&gt;"",F136,IFERROR(VLOOKUP(B136,'Vendors &amp; Crew'!$A$5:$D$34,3,FALSE),0)))</f>
        <v/>
      </c>
      <c r="H136" s="39">
        <f>IF(B136="","",E136*G136*(1+Settings!$B$18))</f>
        <v/>
      </c>
      <c r="I136" s="39">
        <f>IF(B136="","",IFERROR(VLOOKUP(B136,'Vendors &amp; Crew'!$A$5:$D$34,4,FALSE),0))</f>
        <v/>
      </c>
      <c r="J136" s="39">
        <f>IF(B136="","",E136*I136)</f>
        <v/>
      </c>
      <c r="K136" s="59">
        <f>IF(A136="","",A136-WEEKDAY(A136,2)+7)</f>
        <v/>
      </c>
      <c r="L136" s="9">
        <f>IF(B136="","",IF(D136="","Labor",IFERROR(VLOOKUP(D136,Settings!$E$5:$G$28,3,FALSE),"Labor")))</f>
        <v/>
      </c>
      <c r="M136" s="9">
        <f>IF(B136="","",IF(COUNTIF('Vendors &amp; Crew'!$A$5:$A$34,B136)=0,"Worker not in Crew table",IF(C136="","Missing Job ID",IF(COUNTIF(Jobs!$A$5:$A$44,C136)=0,"Unknown Job ID",IF(E136="","Missing hours",IF(A136="","Missing date",""))))))</f>
        <v/>
      </c>
      <c r="N136" s="35" t="n"/>
    </row>
    <row r="137">
      <c r="A137" s="40" t="n"/>
      <c r="B137" s="35" t="n"/>
      <c r="C137" s="35" t="n"/>
      <c r="D137" s="35" t="n"/>
      <c r="E137" s="61" t="n"/>
      <c r="F137" s="37" t="n"/>
      <c r="G137" s="39">
        <f>IF(B137="","",IF(F137&lt;&gt;"",F137,IFERROR(VLOOKUP(B137,'Vendors &amp; Crew'!$A$5:$D$34,3,FALSE),0)))</f>
        <v/>
      </c>
      <c r="H137" s="39">
        <f>IF(B137="","",E137*G137*(1+Settings!$B$18))</f>
        <v/>
      </c>
      <c r="I137" s="39">
        <f>IF(B137="","",IFERROR(VLOOKUP(B137,'Vendors &amp; Crew'!$A$5:$D$34,4,FALSE),0))</f>
        <v/>
      </c>
      <c r="J137" s="39">
        <f>IF(B137="","",E137*I137)</f>
        <v/>
      </c>
      <c r="K137" s="59">
        <f>IF(A137="","",A137-WEEKDAY(A137,2)+7)</f>
        <v/>
      </c>
      <c r="L137" s="9">
        <f>IF(B137="","",IF(D137="","Labor",IFERROR(VLOOKUP(D137,Settings!$E$5:$G$28,3,FALSE),"Labor")))</f>
        <v/>
      </c>
      <c r="M137" s="9">
        <f>IF(B137="","",IF(COUNTIF('Vendors &amp; Crew'!$A$5:$A$34,B137)=0,"Worker not in Crew table",IF(C137="","Missing Job ID",IF(COUNTIF(Jobs!$A$5:$A$44,C137)=0,"Unknown Job ID",IF(E137="","Missing hours",IF(A137="","Missing date",""))))))</f>
        <v/>
      </c>
      <c r="N137" s="35" t="n"/>
    </row>
    <row r="138">
      <c r="A138" s="40" t="n"/>
      <c r="B138" s="35" t="n"/>
      <c r="C138" s="35" t="n"/>
      <c r="D138" s="35" t="n"/>
      <c r="E138" s="61" t="n"/>
      <c r="F138" s="37" t="n"/>
      <c r="G138" s="39">
        <f>IF(B138="","",IF(F138&lt;&gt;"",F138,IFERROR(VLOOKUP(B138,'Vendors &amp; Crew'!$A$5:$D$34,3,FALSE),0)))</f>
        <v/>
      </c>
      <c r="H138" s="39">
        <f>IF(B138="","",E138*G138*(1+Settings!$B$18))</f>
        <v/>
      </c>
      <c r="I138" s="39">
        <f>IF(B138="","",IFERROR(VLOOKUP(B138,'Vendors &amp; Crew'!$A$5:$D$34,4,FALSE),0))</f>
        <v/>
      </c>
      <c r="J138" s="39">
        <f>IF(B138="","",E138*I138)</f>
        <v/>
      </c>
      <c r="K138" s="59">
        <f>IF(A138="","",A138-WEEKDAY(A138,2)+7)</f>
        <v/>
      </c>
      <c r="L138" s="9">
        <f>IF(B138="","",IF(D138="","Labor",IFERROR(VLOOKUP(D138,Settings!$E$5:$G$28,3,FALSE),"Labor")))</f>
        <v/>
      </c>
      <c r="M138" s="9">
        <f>IF(B138="","",IF(COUNTIF('Vendors &amp; Crew'!$A$5:$A$34,B138)=0,"Worker not in Crew table",IF(C138="","Missing Job ID",IF(COUNTIF(Jobs!$A$5:$A$44,C138)=0,"Unknown Job ID",IF(E138="","Missing hours",IF(A138="","Missing date",""))))))</f>
        <v/>
      </c>
      <c r="N138" s="35" t="n"/>
    </row>
    <row r="139">
      <c r="A139" s="40" t="n"/>
      <c r="B139" s="35" t="n"/>
      <c r="C139" s="35" t="n"/>
      <c r="D139" s="35" t="n"/>
      <c r="E139" s="61" t="n"/>
      <c r="F139" s="37" t="n"/>
      <c r="G139" s="39">
        <f>IF(B139="","",IF(F139&lt;&gt;"",F139,IFERROR(VLOOKUP(B139,'Vendors &amp; Crew'!$A$5:$D$34,3,FALSE),0)))</f>
        <v/>
      </c>
      <c r="H139" s="39">
        <f>IF(B139="","",E139*G139*(1+Settings!$B$18))</f>
        <v/>
      </c>
      <c r="I139" s="39">
        <f>IF(B139="","",IFERROR(VLOOKUP(B139,'Vendors &amp; Crew'!$A$5:$D$34,4,FALSE),0))</f>
        <v/>
      </c>
      <c r="J139" s="39">
        <f>IF(B139="","",E139*I139)</f>
        <v/>
      </c>
      <c r="K139" s="59">
        <f>IF(A139="","",A139-WEEKDAY(A139,2)+7)</f>
        <v/>
      </c>
      <c r="L139" s="9">
        <f>IF(B139="","",IF(D139="","Labor",IFERROR(VLOOKUP(D139,Settings!$E$5:$G$28,3,FALSE),"Labor")))</f>
        <v/>
      </c>
      <c r="M139" s="9">
        <f>IF(B139="","",IF(COUNTIF('Vendors &amp; Crew'!$A$5:$A$34,B139)=0,"Worker not in Crew table",IF(C139="","Missing Job ID",IF(COUNTIF(Jobs!$A$5:$A$44,C139)=0,"Unknown Job ID",IF(E139="","Missing hours",IF(A139="","Missing date",""))))))</f>
        <v/>
      </c>
      <c r="N139" s="35" t="n"/>
    </row>
    <row r="140">
      <c r="A140" s="40" t="n"/>
      <c r="B140" s="35" t="n"/>
      <c r="C140" s="35" t="n"/>
      <c r="D140" s="35" t="n"/>
      <c r="E140" s="61" t="n"/>
      <c r="F140" s="37" t="n"/>
      <c r="G140" s="39">
        <f>IF(B140="","",IF(F140&lt;&gt;"",F140,IFERROR(VLOOKUP(B140,'Vendors &amp; Crew'!$A$5:$D$34,3,FALSE),0)))</f>
        <v/>
      </c>
      <c r="H140" s="39">
        <f>IF(B140="","",E140*G140*(1+Settings!$B$18))</f>
        <v/>
      </c>
      <c r="I140" s="39">
        <f>IF(B140="","",IFERROR(VLOOKUP(B140,'Vendors &amp; Crew'!$A$5:$D$34,4,FALSE),0))</f>
        <v/>
      </c>
      <c r="J140" s="39">
        <f>IF(B140="","",E140*I140)</f>
        <v/>
      </c>
      <c r="K140" s="59">
        <f>IF(A140="","",A140-WEEKDAY(A140,2)+7)</f>
        <v/>
      </c>
      <c r="L140" s="9">
        <f>IF(B140="","",IF(D140="","Labor",IFERROR(VLOOKUP(D140,Settings!$E$5:$G$28,3,FALSE),"Labor")))</f>
        <v/>
      </c>
      <c r="M140" s="9">
        <f>IF(B140="","",IF(COUNTIF('Vendors &amp; Crew'!$A$5:$A$34,B140)=0,"Worker not in Crew table",IF(C140="","Missing Job ID",IF(COUNTIF(Jobs!$A$5:$A$44,C140)=0,"Unknown Job ID",IF(E140="","Missing hours",IF(A140="","Missing date",""))))))</f>
        <v/>
      </c>
      <c r="N140" s="35" t="n"/>
    </row>
    <row r="141">
      <c r="A141" s="40" t="n"/>
      <c r="B141" s="35" t="n"/>
      <c r="C141" s="35" t="n"/>
      <c r="D141" s="35" t="n"/>
      <c r="E141" s="61" t="n"/>
      <c r="F141" s="37" t="n"/>
      <c r="G141" s="39">
        <f>IF(B141="","",IF(F141&lt;&gt;"",F141,IFERROR(VLOOKUP(B141,'Vendors &amp; Crew'!$A$5:$D$34,3,FALSE),0)))</f>
        <v/>
      </c>
      <c r="H141" s="39">
        <f>IF(B141="","",E141*G141*(1+Settings!$B$18))</f>
        <v/>
      </c>
      <c r="I141" s="39">
        <f>IF(B141="","",IFERROR(VLOOKUP(B141,'Vendors &amp; Crew'!$A$5:$D$34,4,FALSE),0))</f>
        <v/>
      </c>
      <c r="J141" s="39">
        <f>IF(B141="","",E141*I141)</f>
        <v/>
      </c>
      <c r="K141" s="59">
        <f>IF(A141="","",A141-WEEKDAY(A141,2)+7)</f>
        <v/>
      </c>
      <c r="L141" s="9">
        <f>IF(B141="","",IF(D141="","Labor",IFERROR(VLOOKUP(D141,Settings!$E$5:$G$28,3,FALSE),"Labor")))</f>
        <v/>
      </c>
      <c r="M141" s="9">
        <f>IF(B141="","",IF(COUNTIF('Vendors &amp; Crew'!$A$5:$A$34,B141)=0,"Worker not in Crew table",IF(C141="","Missing Job ID",IF(COUNTIF(Jobs!$A$5:$A$44,C141)=0,"Unknown Job ID",IF(E141="","Missing hours",IF(A141="","Missing date",""))))))</f>
        <v/>
      </c>
      <c r="N141" s="35" t="n"/>
    </row>
    <row r="142">
      <c r="A142" s="40" t="n"/>
      <c r="B142" s="35" t="n"/>
      <c r="C142" s="35" t="n"/>
      <c r="D142" s="35" t="n"/>
      <c r="E142" s="61" t="n"/>
      <c r="F142" s="37" t="n"/>
      <c r="G142" s="39">
        <f>IF(B142="","",IF(F142&lt;&gt;"",F142,IFERROR(VLOOKUP(B142,'Vendors &amp; Crew'!$A$5:$D$34,3,FALSE),0)))</f>
        <v/>
      </c>
      <c r="H142" s="39">
        <f>IF(B142="","",E142*G142*(1+Settings!$B$18))</f>
        <v/>
      </c>
      <c r="I142" s="39">
        <f>IF(B142="","",IFERROR(VLOOKUP(B142,'Vendors &amp; Crew'!$A$5:$D$34,4,FALSE),0))</f>
        <v/>
      </c>
      <c r="J142" s="39">
        <f>IF(B142="","",E142*I142)</f>
        <v/>
      </c>
      <c r="K142" s="59">
        <f>IF(A142="","",A142-WEEKDAY(A142,2)+7)</f>
        <v/>
      </c>
      <c r="L142" s="9">
        <f>IF(B142="","",IF(D142="","Labor",IFERROR(VLOOKUP(D142,Settings!$E$5:$G$28,3,FALSE),"Labor")))</f>
        <v/>
      </c>
      <c r="M142" s="9">
        <f>IF(B142="","",IF(COUNTIF('Vendors &amp; Crew'!$A$5:$A$34,B142)=0,"Worker not in Crew table",IF(C142="","Missing Job ID",IF(COUNTIF(Jobs!$A$5:$A$44,C142)=0,"Unknown Job ID",IF(E142="","Missing hours",IF(A142="","Missing date",""))))))</f>
        <v/>
      </c>
      <c r="N142" s="35" t="n"/>
    </row>
    <row r="143">
      <c r="A143" s="40" t="n"/>
      <c r="B143" s="35" t="n"/>
      <c r="C143" s="35" t="n"/>
      <c r="D143" s="35" t="n"/>
      <c r="E143" s="61" t="n"/>
      <c r="F143" s="37" t="n"/>
      <c r="G143" s="39">
        <f>IF(B143="","",IF(F143&lt;&gt;"",F143,IFERROR(VLOOKUP(B143,'Vendors &amp; Crew'!$A$5:$D$34,3,FALSE),0)))</f>
        <v/>
      </c>
      <c r="H143" s="39">
        <f>IF(B143="","",E143*G143*(1+Settings!$B$18))</f>
        <v/>
      </c>
      <c r="I143" s="39">
        <f>IF(B143="","",IFERROR(VLOOKUP(B143,'Vendors &amp; Crew'!$A$5:$D$34,4,FALSE),0))</f>
        <v/>
      </c>
      <c r="J143" s="39">
        <f>IF(B143="","",E143*I143)</f>
        <v/>
      </c>
      <c r="K143" s="59">
        <f>IF(A143="","",A143-WEEKDAY(A143,2)+7)</f>
        <v/>
      </c>
      <c r="L143" s="9">
        <f>IF(B143="","",IF(D143="","Labor",IFERROR(VLOOKUP(D143,Settings!$E$5:$G$28,3,FALSE),"Labor")))</f>
        <v/>
      </c>
      <c r="M143" s="9">
        <f>IF(B143="","",IF(COUNTIF('Vendors &amp; Crew'!$A$5:$A$34,B143)=0,"Worker not in Crew table",IF(C143="","Missing Job ID",IF(COUNTIF(Jobs!$A$5:$A$44,C143)=0,"Unknown Job ID",IF(E143="","Missing hours",IF(A143="","Missing date",""))))))</f>
        <v/>
      </c>
      <c r="N143" s="35" t="n"/>
    </row>
    <row r="144">
      <c r="A144" s="40" t="n"/>
      <c r="B144" s="35" t="n"/>
      <c r="C144" s="35" t="n"/>
      <c r="D144" s="35" t="n"/>
      <c r="E144" s="61" t="n"/>
      <c r="F144" s="37" t="n"/>
      <c r="G144" s="39">
        <f>IF(B144="","",IF(F144&lt;&gt;"",F144,IFERROR(VLOOKUP(B144,'Vendors &amp; Crew'!$A$5:$D$34,3,FALSE),0)))</f>
        <v/>
      </c>
      <c r="H144" s="39">
        <f>IF(B144="","",E144*G144*(1+Settings!$B$18))</f>
        <v/>
      </c>
      <c r="I144" s="39">
        <f>IF(B144="","",IFERROR(VLOOKUP(B144,'Vendors &amp; Crew'!$A$5:$D$34,4,FALSE),0))</f>
        <v/>
      </c>
      <c r="J144" s="39">
        <f>IF(B144="","",E144*I144)</f>
        <v/>
      </c>
      <c r="K144" s="59">
        <f>IF(A144="","",A144-WEEKDAY(A144,2)+7)</f>
        <v/>
      </c>
      <c r="L144" s="9">
        <f>IF(B144="","",IF(D144="","Labor",IFERROR(VLOOKUP(D144,Settings!$E$5:$G$28,3,FALSE),"Labor")))</f>
        <v/>
      </c>
      <c r="M144" s="9">
        <f>IF(B144="","",IF(COUNTIF('Vendors &amp; Crew'!$A$5:$A$34,B144)=0,"Worker not in Crew table",IF(C144="","Missing Job ID",IF(COUNTIF(Jobs!$A$5:$A$44,C144)=0,"Unknown Job ID",IF(E144="","Missing hours",IF(A144="","Missing date",""))))))</f>
        <v/>
      </c>
      <c r="N144" s="35" t="n"/>
    </row>
    <row r="145">
      <c r="A145" s="40" t="n"/>
      <c r="B145" s="35" t="n"/>
      <c r="C145" s="35" t="n"/>
      <c r="D145" s="35" t="n"/>
      <c r="E145" s="61" t="n"/>
      <c r="F145" s="37" t="n"/>
      <c r="G145" s="39">
        <f>IF(B145="","",IF(F145&lt;&gt;"",F145,IFERROR(VLOOKUP(B145,'Vendors &amp; Crew'!$A$5:$D$34,3,FALSE),0)))</f>
        <v/>
      </c>
      <c r="H145" s="39">
        <f>IF(B145="","",E145*G145*(1+Settings!$B$18))</f>
        <v/>
      </c>
      <c r="I145" s="39">
        <f>IF(B145="","",IFERROR(VLOOKUP(B145,'Vendors &amp; Crew'!$A$5:$D$34,4,FALSE),0))</f>
        <v/>
      </c>
      <c r="J145" s="39">
        <f>IF(B145="","",E145*I145)</f>
        <v/>
      </c>
      <c r="K145" s="59">
        <f>IF(A145="","",A145-WEEKDAY(A145,2)+7)</f>
        <v/>
      </c>
      <c r="L145" s="9">
        <f>IF(B145="","",IF(D145="","Labor",IFERROR(VLOOKUP(D145,Settings!$E$5:$G$28,3,FALSE),"Labor")))</f>
        <v/>
      </c>
      <c r="M145" s="9">
        <f>IF(B145="","",IF(COUNTIF('Vendors &amp; Crew'!$A$5:$A$34,B145)=0,"Worker not in Crew table",IF(C145="","Missing Job ID",IF(COUNTIF(Jobs!$A$5:$A$44,C145)=0,"Unknown Job ID",IF(E145="","Missing hours",IF(A145="","Missing date",""))))))</f>
        <v/>
      </c>
      <c r="N145" s="35" t="n"/>
    </row>
    <row r="146">
      <c r="A146" s="40" t="n"/>
      <c r="B146" s="35" t="n"/>
      <c r="C146" s="35" t="n"/>
      <c r="D146" s="35" t="n"/>
      <c r="E146" s="61" t="n"/>
      <c r="F146" s="37" t="n"/>
      <c r="G146" s="39">
        <f>IF(B146="","",IF(F146&lt;&gt;"",F146,IFERROR(VLOOKUP(B146,'Vendors &amp; Crew'!$A$5:$D$34,3,FALSE),0)))</f>
        <v/>
      </c>
      <c r="H146" s="39">
        <f>IF(B146="","",E146*G146*(1+Settings!$B$18))</f>
        <v/>
      </c>
      <c r="I146" s="39">
        <f>IF(B146="","",IFERROR(VLOOKUP(B146,'Vendors &amp; Crew'!$A$5:$D$34,4,FALSE),0))</f>
        <v/>
      </c>
      <c r="J146" s="39">
        <f>IF(B146="","",E146*I146)</f>
        <v/>
      </c>
      <c r="K146" s="59">
        <f>IF(A146="","",A146-WEEKDAY(A146,2)+7)</f>
        <v/>
      </c>
      <c r="L146" s="9">
        <f>IF(B146="","",IF(D146="","Labor",IFERROR(VLOOKUP(D146,Settings!$E$5:$G$28,3,FALSE),"Labor")))</f>
        <v/>
      </c>
      <c r="M146" s="9">
        <f>IF(B146="","",IF(COUNTIF('Vendors &amp; Crew'!$A$5:$A$34,B146)=0,"Worker not in Crew table",IF(C146="","Missing Job ID",IF(COUNTIF(Jobs!$A$5:$A$44,C146)=0,"Unknown Job ID",IF(E146="","Missing hours",IF(A146="","Missing date",""))))))</f>
        <v/>
      </c>
      <c r="N146" s="35" t="n"/>
    </row>
    <row r="147">
      <c r="A147" s="40" t="n"/>
      <c r="B147" s="35" t="n"/>
      <c r="C147" s="35" t="n"/>
      <c r="D147" s="35" t="n"/>
      <c r="E147" s="61" t="n"/>
      <c r="F147" s="37" t="n"/>
      <c r="G147" s="39">
        <f>IF(B147="","",IF(F147&lt;&gt;"",F147,IFERROR(VLOOKUP(B147,'Vendors &amp; Crew'!$A$5:$D$34,3,FALSE),0)))</f>
        <v/>
      </c>
      <c r="H147" s="39">
        <f>IF(B147="","",E147*G147*(1+Settings!$B$18))</f>
        <v/>
      </c>
      <c r="I147" s="39">
        <f>IF(B147="","",IFERROR(VLOOKUP(B147,'Vendors &amp; Crew'!$A$5:$D$34,4,FALSE),0))</f>
        <v/>
      </c>
      <c r="J147" s="39">
        <f>IF(B147="","",E147*I147)</f>
        <v/>
      </c>
      <c r="K147" s="59">
        <f>IF(A147="","",A147-WEEKDAY(A147,2)+7)</f>
        <v/>
      </c>
      <c r="L147" s="9">
        <f>IF(B147="","",IF(D147="","Labor",IFERROR(VLOOKUP(D147,Settings!$E$5:$G$28,3,FALSE),"Labor")))</f>
        <v/>
      </c>
      <c r="M147" s="9">
        <f>IF(B147="","",IF(COUNTIF('Vendors &amp; Crew'!$A$5:$A$34,B147)=0,"Worker not in Crew table",IF(C147="","Missing Job ID",IF(COUNTIF(Jobs!$A$5:$A$44,C147)=0,"Unknown Job ID",IF(E147="","Missing hours",IF(A147="","Missing date",""))))))</f>
        <v/>
      </c>
      <c r="N147" s="35" t="n"/>
    </row>
    <row r="148">
      <c r="A148" s="40" t="n"/>
      <c r="B148" s="35" t="n"/>
      <c r="C148" s="35" t="n"/>
      <c r="D148" s="35" t="n"/>
      <c r="E148" s="61" t="n"/>
      <c r="F148" s="37" t="n"/>
      <c r="G148" s="39">
        <f>IF(B148="","",IF(F148&lt;&gt;"",F148,IFERROR(VLOOKUP(B148,'Vendors &amp; Crew'!$A$5:$D$34,3,FALSE),0)))</f>
        <v/>
      </c>
      <c r="H148" s="39">
        <f>IF(B148="","",E148*G148*(1+Settings!$B$18))</f>
        <v/>
      </c>
      <c r="I148" s="39">
        <f>IF(B148="","",IFERROR(VLOOKUP(B148,'Vendors &amp; Crew'!$A$5:$D$34,4,FALSE),0))</f>
        <v/>
      </c>
      <c r="J148" s="39">
        <f>IF(B148="","",E148*I148)</f>
        <v/>
      </c>
      <c r="K148" s="59">
        <f>IF(A148="","",A148-WEEKDAY(A148,2)+7)</f>
        <v/>
      </c>
      <c r="L148" s="9">
        <f>IF(B148="","",IF(D148="","Labor",IFERROR(VLOOKUP(D148,Settings!$E$5:$G$28,3,FALSE),"Labor")))</f>
        <v/>
      </c>
      <c r="M148" s="9">
        <f>IF(B148="","",IF(COUNTIF('Vendors &amp; Crew'!$A$5:$A$34,B148)=0,"Worker not in Crew table",IF(C148="","Missing Job ID",IF(COUNTIF(Jobs!$A$5:$A$44,C148)=0,"Unknown Job ID",IF(E148="","Missing hours",IF(A148="","Missing date",""))))))</f>
        <v/>
      </c>
      <c r="N148" s="35" t="n"/>
    </row>
    <row r="149">
      <c r="A149" s="40" t="n"/>
      <c r="B149" s="35" t="n"/>
      <c r="C149" s="35" t="n"/>
      <c r="D149" s="35" t="n"/>
      <c r="E149" s="61" t="n"/>
      <c r="F149" s="37" t="n"/>
      <c r="G149" s="39">
        <f>IF(B149="","",IF(F149&lt;&gt;"",F149,IFERROR(VLOOKUP(B149,'Vendors &amp; Crew'!$A$5:$D$34,3,FALSE),0)))</f>
        <v/>
      </c>
      <c r="H149" s="39">
        <f>IF(B149="","",E149*G149*(1+Settings!$B$18))</f>
        <v/>
      </c>
      <c r="I149" s="39">
        <f>IF(B149="","",IFERROR(VLOOKUP(B149,'Vendors &amp; Crew'!$A$5:$D$34,4,FALSE),0))</f>
        <v/>
      </c>
      <c r="J149" s="39">
        <f>IF(B149="","",E149*I149)</f>
        <v/>
      </c>
      <c r="K149" s="59">
        <f>IF(A149="","",A149-WEEKDAY(A149,2)+7)</f>
        <v/>
      </c>
      <c r="L149" s="9">
        <f>IF(B149="","",IF(D149="","Labor",IFERROR(VLOOKUP(D149,Settings!$E$5:$G$28,3,FALSE),"Labor")))</f>
        <v/>
      </c>
      <c r="M149" s="9">
        <f>IF(B149="","",IF(COUNTIF('Vendors &amp; Crew'!$A$5:$A$34,B149)=0,"Worker not in Crew table",IF(C149="","Missing Job ID",IF(COUNTIF(Jobs!$A$5:$A$44,C149)=0,"Unknown Job ID",IF(E149="","Missing hours",IF(A149="","Missing date",""))))))</f>
        <v/>
      </c>
      <c r="N149" s="35" t="n"/>
    </row>
    <row r="150">
      <c r="A150" s="40" t="n"/>
      <c r="B150" s="35" t="n"/>
      <c r="C150" s="35" t="n"/>
      <c r="D150" s="35" t="n"/>
      <c r="E150" s="61" t="n"/>
      <c r="F150" s="37" t="n"/>
      <c r="G150" s="39">
        <f>IF(B150="","",IF(F150&lt;&gt;"",F150,IFERROR(VLOOKUP(B150,'Vendors &amp; Crew'!$A$5:$D$34,3,FALSE),0)))</f>
        <v/>
      </c>
      <c r="H150" s="39">
        <f>IF(B150="","",E150*G150*(1+Settings!$B$18))</f>
        <v/>
      </c>
      <c r="I150" s="39">
        <f>IF(B150="","",IFERROR(VLOOKUP(B150,'Vendors &amp; Crew'!$A$5:$D$34,4,FALSE),0))</f>
        <v/>
      </c>
      <c r="J150" s="39">
        <f>IF(B150="","",E150*I150)</f>
        <v/>
      </c>
      <c r="K150" s="59">
        <f>IF(A150="","",A150-WEEKDAY(A150,2)+7)</f>
        <v/>
      </c>
      <c r="L150" s="9">
        <f>IF(B150="","",IF(D150="","Labor",IFERROR(VLOOKUP(D150,Settings!$E$5:$G$28,3,FALSE),"Labor")))</f>
        <v/>
      </c>
      <c r="M150" s="9">
        <f>IF(B150="","",IF(COUNTIF('Vendors &amp; Crew'!$A$5:$A$34,B150)=0,"Worker not in Crew table",IF(C150="","Missing Job ID",IF(COUNTIF(Jobs!$A$5:$A$44,C150)=0,"Unknown Job ID",IF(E150="","Missing hours",IF(A150="","Missing date",""))))))</f>
        <v/>
      </c>
      <c r="N150" s="35" t="n"/>
    </row>
    <row r="151">
      <c r="A151" s="40" t="n"/>
      <c r="B151" s="35" t="n"/>
      <c r="C151" s="35" t="n"/>
      <c r="D151" s="35" t="n"/>
      <c r="E151" s="61" t="n"/>
      <c r="F151" s="37" t="n"/>
      <c r="G151" s="39">
        <f>IF(B151="","",IF(F151&lt;&gt;"",F151,IFERROR(VLOOKUP(B151,'Vendors &amp; Crew'!$A$5:$D$34,3,FALSE),0)))</f>
        <v/>
      </c>
      <c r="H151" s="39">
        <f>IF(B151="","",E151*G151*(1+Settings!$B$18))</f>
        <v/>
      </c>
      <c r="I151" s="39">
        <f>IF(B151="","",IFERROR(VLOOKUP(B151,'Vendors &amp; Crew'!$A$5:$D$34,4,FALSE),0))</f>
        <v/>
      </c>
      <c r="J151" s="39">
        <f>IF(B151="","",E151*I151)</f>
        <v/>
      </c>
      <c r="K151" s="59">
        <f>IF(A151="","",A151-WEEKDAY(A151,2)+7)</f>
        <v/>
      </c>
      <c r="L151" s="9">
        <f>IF(B151="","",IF(D151="","Labor",IFERROR(VLOOKUP(D151,Settings!$E$5:$G$28,3,FALSE),"Labor")))</f>
        <v/>
      </c>
      <c r="M151" s="9">
        <f>IF(B151="","",IF(COUNTIF('Vendors &amp; Crew'!$A$5:$A$34,B151)=0,"Worker not in Crew table",IF(C151="","Missing Job ID",IF(COUNTIF(Jobs!$A$5:$A$44,C151)=0,"Unknown Job ID",IF(E151="","Missing hours",IF(A151="","Missing date",""))))))</f>
        <v/>
      </c>
      <c r="N151" s="35" t="n"/>
    </row>
    <row r="152">
      <c r="A152" s="40" t="n"/>
      <c r="B152" s="35" t="n"/>
      <c r="C152" s="35" t="n"/>
      <c r="D152" s="35" t="n"/>
      <c r="E152" s="61" t="n"/>
      <c r="F152" s="37" t="n"/>
      <c r="G152" s="39">
        <f>IF(B152="","",IF(F152&lt;&gt;"",F152,IFERROR(VLOOKUP(B152,'Vendors &amp; Crew'!$A$5:$D$34,3,FALSE),0)))</f>
        <v/>
      </c>
      <c r="H152" s="39">
        <f>IF(B152="","",E152*G152*(1+Settings!$B$18))</f>
        <v/>
      </c>
      <c r="I152" s="39">
        <f>IF(B152="","",IFERROR(VLOOKUP(B152,'Vendors &amp; Crew'!$A$5:$D$34,4,FALSE),0))</f>
        <v/>
      </c>
      <c r="J152" s="39">
        <f>IF(B152="","",E152*I152)</f>
        <v/>
      </c>
      <c r="K152" s="59">
        <f>IF(A152="","",A152-WEEKDAY(A152,2)+7)</f>
        <v/>
      </c>
      <c r="L152" s="9">
        <f>IF(B152="","",IF(D152="","Labor",IFERROR(VLOOKUP(D152,Settings!$E$5:$G$28,3,FALSE),"Labor")))</f>
        <v/>
      </c>
      <c r="M152" s="9">
        <f>IF(B152="","",IF(COUNTIF('Vendors &amp; Crew'!$A$5:$A$34,B152)=0,"Worker not in Crew table",IF(C152="","Missing Job ID",IF(COUNTIF(Jobs!$A$5:$A$44,C152)=0,"Unknown Job ID",IF(E152="","Missing hours",IF(A152="","Missing date",""))))))</f>
        <v/>
      </c>
      <c r="N152" s="35" t="n"/>
    </row>
    <row r="153">
      <c r="A153" s="40" t="n"/>
      <c r="B153" s="35" t="n"/>
      <c r="C153" s="35" t="n"/>
      <c r="D153" s="35" t="n"/>
      <c r="E153" s="61" t="n"/>
      <c r="F153" s="37" t="n"/>
      <c r="G153" s="39">
        <f>IF(B153="","",IF(F153&lt;&gt;"",F153,IFERROR(VLOOKUP(B153,'Vendors &amp; Crew'!$A$5:$D$34,3,FALSE),0)))</f>
        <v/>
      </c>
      <c r="H153" s="39">
        <f>IF(B153="","",E153*G153*(1+Settings!$B$18))</f>
        <v/>
      </c>
      <c r="I153" s="39">
        <f>IF(B153="","",IFERROR(VLOOKUP(B153,'Vendors &amp; Crew'!$A$5:$D$34,4,FALSE),0))</f>
        <v/>
      </c>
      <c r="J153" s="39">
        <f>IF(B153="","",E153*I153)</f>
        <v/>
      </c>
      <c r="K153" s="59">
        <f>IF(A153="","",A153-WEEKDAY(A153,2)+7)</f>
        <v/>
      </c>
      <c r="L153" s="9">
        <f>IF(B153="","",IF(D153="","Labor",IFERROR(VLOOKUP(D153,Settings!$E$5:$G$28,3,FALSE),"Labor")))</f>
        <v/>
      </c>
      <c r="M153" s="9">
        <f>IF(B153="","",IF(COUNTIF('Vendors &amp; Crew'!$A$5:$A$34,B153)=0,"Worker not in Crew table",IF(C153="","Missing Job ID",IF(COUNTIF(Jobs!$A$5:$A$44,C153)=0,"Unknown Job ID",IF(E153="","Missing hours",IF(A153="","Missing date",""))))))</f>
        <v/>
      </c>
      <c r="N153" s="35" t="n"/>
    </row>
    <row r="154">
      <c r="A154" s="40" t="n"/>
      <c r="B154" s="35" t="n"/>
      <c r="C154" s="35" t="n"/>
      <c r="D154" s="35" t="n"/>
      <c r="E154" s="61" t="n"/>
      <c r="F154" s="37" t="n"/>
      <c r="G154" s="39">
        <f>IF(B154="","",IF(F154&lt;&gt;"",F154,IFERROR(VLOOKUP(B154,'Vendors &amp; Crew'!$A$5:$D$34,3,FALSE),0)))</f>
        <v/>
      </c>
      <c r="H154" s="39">
        <f>IF(B154="","",E154*G154*(1+Settings!$B$18))</f>
        <v/>
      </c>
      <c r="I154" s="39">
        <f>IF(B154="","",IFERROR(VLOOKUP(B154,'Vendors &amp; Crew'!$A$5:$D$34,4,FALSE),0))</f>
        <v/>
      </c>
      <c r="J154" s="39">
        <f>IF(B154="","",E154*I154)</f>
        <v/>
      </c>
      <c r="K154" s="59">
        <f>IF(A154="","",A154-WEEKDAY(A154,2)+7)</f>
        <v/>
      </c>
      <c r="L154" s="9">
        <f>IF(B154="","",IF(D154="","Labor",IFERROR(VLOOKUP(D154,Settings!$E$5:$G$28,3,FALSE),"Labor")))</f>
        <v/>
      </c>
      <c r="M154" s="9">
        <f>IF(B154="","",IF(COUNTIF('Vendors &amp; Crew'!$A$5:$A$34,B154)=0,"Worker not in Crew table",IF(C154="","Missing Job ID",IF(COUNTIF(Jobs!$A$5:$A$44,C154)=0,"Unknown Job ID",IF(E154="","Missing hours",IF(A154="","Missing date",""))))))</f>
        <v/>
      </c>
      <c r="N154" s="35" t="n"/>
    </row>
    <row r="155">
      <c r="A155" s="40" t="n"/>
      <c r="B155" s="35" t="n"/>
      <c r="C155" s="35" t="n"/>
      <c r="D155" s="35" t="n"/>
      <c r="E155" s="61" t="n"/>
      <c r="F155" s="37" t="n"/>
      <c r="G155" s="39">
        <f>IF(B155="","",IF(F155&lt;&gt;"",F155,IFERROR(VLOOKUP(B155,'Vendors &amp; Crew'!$A$5:$D$34,3,FALSE),0)))</f>
        <v/>
      </c>
      <c r="H155" s="39">
        <f>IF(B155="","",E155*G155*(1+Settings!$B$18))</f>
        <v/>
      </c>
      <c r="I155" s="39">
        <f>IF(B155="","",IFERROR(VLOOKUP(B155,'Vendors &amp; Crew'!$A$5:$D$34,4,FALSE),0))</f>
        <v/>
      </c>
      <c r="J155" s="39">
        <f>IF(B155="","",E155*I155)</f>
        <v/>
      </c>
      <c r="K155" s="59">
        <f>IF(A155="","",A155-WEEKDAY(A155,2)+7)</f>
        <v/>
      </c>
      <c r="L155" s="9">
        <f>IF(B155="","",IF(D155="","Labor",IFERROR(VLOOKUP(D155,Settings!$E$5:$G$28,3,FALSE),"Labor")))</f>
        <v/>
      </c>
      <c r="M155" s="9">
        <f>IF(B155="","",IF(COUNTIF('Vendors &amp; Crew'!$A$5:$A$34,B155)=0,"Worker not in Crew table",IF(C155="","Missing Job ID",IF(COUNTIF(Jobs!$A$5:$A$44,C155)=0,"Unknown Job ID",IF(E155="","Missing hours",IF(A155="","Missing date",""))))))</f>
        <v/>
      </c>
      <c r="N155" s="35" t="n"/>
    </row>
    <row r="156">
      <c r="A156" s="40" t="n"/>
      <c r="B156" s="35" t="n"/>
      <c r="C156" s="35" t="n"/>
      <c r="D156" s="35" t="n"/>
      <c r="E156" s="61" t="n"/>
      <c r="F156" s="37" t="n"/>
      <c r="G156" s="39">
        <f>IF(B156="","",IF(F156&lt;&gt;"",F156,IFERROR(VLOOKUP(B156,'Vendors &amp; Crew'!$A$5:$D$34,3,FALSE),0)))</f>
        <v/>
      </c>
      <c r="H156" s="39">
        <f>IF(B156="","",E156*G156*(1+Settings!$B$18))</f>
        <v/>
      </c>
      <c r="I156" s="39">
        <f>IF(B156="","",IFERROR(VLOOKUP(B156,'Vendors &amp; Crew'!$A$5:$D$34,4,FALSE),0))</f>
        <v/>
      </c>
      <c r="J156" s="39">
        <f>IF(B156="","",E156*I156)</f>
        <v/>
      </c>
      <c r="K156" s="59">
        <f>IF(A156="","",A156-WEEKDAY(A156,2)+7)</f>
        <v/>
      </c>
      <c r="L156" s="9">
        <f>IF(B156="","",IF(D156="","Labor",IFERROR(VLOOKUP(D156,Settings!$E$5:$G$28,3,FALSE),"Labor")))</f>
        <v/>
      </c>
      <c r="M156" s="9">
        <f>IF(B156="","",IF(COUNTIF('Vendors &amp; Crew'!$A$5:$A$34,B156)=0,"Worker not in Crew table",IF(C156="","Missing Job ID",IF(COUNTIF(Jobs!$A$5:$A$44,C156)=0,"Unknown Job ID",IF(E156="","Missing hours",IF(A156="","Missing date",""))))))</f>
        <v/>
      </c>
      <c r="N156" s="35" t="n"/>
    </row>
    <row r="157">
      <c r="A157" s="40" t="n"/>
      <c r="B157" s="35" t="n"/>
      <c r="C157" s="35" t="n"/>
      <c r="D157" s="35" t="n"/>
      <c r="E157" s="61" t="n"/>
      <c r="F157" s="37" t="n"/>
      <c r="G157" s="39">
        <f>IF(B157="","",IF(F157&lt;&gt;"",F157,IFERROR(VLOOKUP(B157,'Vendors &amp; Crew'!$A$5:$D$34,3,FALSE),0)))</f>
        <v/>
      </c>
      <c r="H157" s="39">
        <f>IF(B157="","",E157*G157*(1+Settings!$B$18))</f>
        <v/>
      </c>
      <c r="I157" s="39">
        <f>IF(B157="","",IFERROR(VLOOKUP(B157,'Vendors &amp; Crew'!$A$5:$D$34,4,FALSE),0))</f>
        <v/>
      </c>
      <c r="J157" s="39">
        <f>IF(B157="","",E157*I157)</f>
        <v/>
      </c>
      <c r="K157" s="59">
        <f>IF(A157="","",A157-WEEKDAY(A157,2)+7)</f>
        <v/>
      </c>
      <c r="L157" s="9">
        <f>IF(B157="","",IF(D157="","Labor",IFERROR(VLOOKUP(D157,Settings!$E$5:$G$28,3,FALSE),"Labor")))</f>
        <v/>
      </c>
      <c r="M157" s="9">
        <f>IF(B157="","",IF(COUNTIF('Vendors &amp; Crew'!$A$5:$A$34,B157)=0,"Worker not in Crew table",IF(C157="","Missing Job ID",IF(COUNTIF(Jobs!$A$5:$A$44,C157)=0,"Unknown Job ID",IF(E157="","Missing hours",IF(A157="","Missing date",""))))))</f>
        <v/>
      </c>
      <c r="N157" s="35" t="n"/>
    </row>
    <row r="158">
      <c r="A158" s="40" t="n"/>
      <c r="B158" s="35" t="n"/>
      <c r="C158" s="35" t="n"/>
      <c r="D158" s="35" t="n"/>
      <c r="E158" s="61" t="n"/>
      <c r="F158" s="37" t="n"/>
      <c r="G158" s="39">
        <f>IF(B158="","",IF(F158&lt;&gt;"",F158,IFERROR(VLOOKUP(B158,'Vendors &amp; Crew'!$A$5:$D$34,3,FALSE),0)))</f>
        <v/>
      </c>
      <c r="H158" s="39">
        <f>IF(B158="","",E158*G158*(1+Settings!$B$18))</f>
        <v/>
      </c>
      <c r="I158" s="39">
        <f>IF(B158="","",IFERROR(VLOOKUP(B158,'Vendors &amp; Crew'!$A$5:$D$34,4,FALSE),0))</f>
        <v/>
      </c>
      <c r="J158" s="39">
        <f>IF(B158="","",E158*I158)</f>
        <v/>
      </c>
      <c r="K158" s="59">
        <f>IF(A158="","",A158-WEEKDAY(A158,2)+7)</f>
        <v/>
      </c>
      <c r="L158" s="9">
        <f>IF(B158="","",IF(D158="","Labor",IFERROR(VLOOKUP(D158,Settings!$E$5:$G$28,3,FALSE),"Labor")))</f>
        <v/>
      </c>
      <c r="M158" s="9">
        <f>IF(B158="","",IF(COUNTIF('Vendors &amp; Crew'!$A$5:$A$34,B158)=0,"Worker not in Crew table",IF(C158="","Missing Job ID",IF(COUNTIF(Jobs!$A$5:$A$44,C158)=0,"Unknown Job ID",IF(E158="","Missing hours",IF(A158="","Missing date",""))))))</f>
        <v/>
      </c>
      <c r="N158" s="35" t="n"/>
    </row>
    <row r="159">
      <c r="A159" s="40" t="n"/>
      <c r="B159" s="35" t="n"/>
      <c r="C159" s="35" t="n"/>
      <c r="D159" s="35" t="n"/>
      <c r="E159" s="61" t="n"/>
      <c r="F159" s="37" t="n"/>
      <c r="G159" s="39">
        <f>IF(B159="","",IF(F159&lt;&gt;"",F159,IFERROR(VLOOKUP(B159,'Vendors &amp; Crew'!$A$5:$D$34,3,FALSE),0)))</f>
        <v/>
      </c>
      <c r="H159" s="39">
        <f>IF(B159="","",E159*G159*(1+Settings!$B$18))</f>
        <v/>
      </c>
      <c r="I159" s="39">
        <f>IF(B159="","",IFERROR(VLOOKUP(B159,'Vendors &amp; Crew'!$A$5:$D$34,4,FALSE),0))</f>
        <v/>
      </c>
      <c r="J159" s="39">
        <f>IF(B159="","",E159*I159)</f>
        <v/>
      </c>
      <c r="K159" s="59">
        <f>IF(A159="","",A159-WEEKDAY(A159,2)+7)</f>
        <v/>
      </c>
      <c r="L159" s="9">
        <f>IF(B159="","",IF(D159="","Labor",IFERROR(VLOOKUP(D159,Settings!$E$5:$G$28,3,FALSE),"Labor")))</f>
        <v/>
      </c>
      <c r="M159" s="9">
        <f>IF(B159="","",IF(COUNTIF('Vendors &amp; Crew'!$A$5:$A$34,B159)=0,"Worker not in Crew table",IF(C159="","Missing Job ID",IF(COUNTIF(Jobs!$A$5:$A$44,C159)=0,"Unknown Job ID",IF(E159="","Missing hours",IF(A159="","Missing date",""))))))</f>
        <v/>
      </c>
      <c r="N159" s="35" t="n"/>
    </row>
    <row r="160">
      <c r="A160" s="40" t="n"/>
      <c r="B160" s="35" t="n"/>
      <c r="C160" s="35" t="n"/>
      <c r="D160" s="35" t="n"/>
      <c r="E160" s="61" t="n"/>
      <c r="F160" s="37" t="n"/>
      <c r="G160" s="39">
        <f>IF(B160="","",IF(F160&lt;&gt;"",F160,IFERROR(VLOOKUP(B160,'Vendors &amp; Crew'!$A$5:$D$34,3,FALSE),0)))</f>
        <v/>
      </c>
      <c r="H160" s="39">
        <f>IF(B160="","",E160*G160*(1+Settings!$B$18))</f>
        <v/>
      </c>
      <c r="I160" s="39">
        <f>IF(B160="","",IFERROR(VLOOKUP(B160,'Vendors &amp; Crew'!$A$5:$D$34,4,FALSE),0))</f>
        <v/>
      </c>
      <c r="J160" s="39">
        <f>IF(B160="","",E160*I160)</f>
        <v/>
      </c>
      <c r="K160" s="59">
        <f>IF(A160="","",A160-WEEKDAY(A160,2)+7)</f>
        <v/>
      </c>
      <c r="L160" s="9">
        <f>IF(B160="","",IF(D160="","Labor",IFERROR(VLOOKUP(D160,Settings!$E$5:$G$28,3,FALSE),"Labor")))</f>
        <v/>
      </c>
      <c r="M160" s="9">
        <f>IF(B160="","",IF(COUNTIF('Vendors &amp; Crew'!$A$5:$A$34,B160)=0,"Worker not in Crew table",IF(C160="","Missing Job ID",IF(COUNTIF(Jobs!$A$5:$A$44,C160)=0,"Unknown Job ID",IF(E160="","Missing hours",IF(A160="","Missing date",""))))))</f>
        <v/>
      </c>
      <c r="N160" s="35" t="n"/>
    </row>
    <row r="161">
      <c r="A161" s="40" t="n"/>
      <c r="B161" s="35" t="n"/>
      <c r="C161" s="35" t="n"/>
      <c r="D161" s="35" t="n"/>
      <c r="E161" s="61" t="n"/>
      <c r="F161" s="37" t="n"/>
      <c r="G161" s="39">
        <f>IF(B161="","",IF(F161&lt;&gt;"",F161,IFERROR(VLOOKUP(B161,'Vendors &amp; Crew'!$A$5:$D$34,3,FALSE),0)))</f>
        <v/>
      </c>
      <c r="H161" s="39">
        <f>IF(B161="","",E161*G161*(1+Settings!$B$18))</f>
        <v/>
      </c>
      <c r="I161" s="39">
        <f>IF(B161="","",IFERROR(VLOOKUP(B161,'Vendors &amp; Crew'!$A$5:$D$34,4,FALSE),0))</f>
        <v/>
      </c>
      <c r="J161" s="39">
        <f>IF(B161="","",E161*I161)</f>
        <v/>
      </c>
      <c r="K161" s="59">
        <f>IF(A161="","",A161-WEEKDAY(A161,2)+7)</f>
        <v/>
      </c>
      <c r="L161" s="9">
        <f>IF(B161="","",IF(D161="","Labor",IFERROR(VLOOKUP(D161,Settings!$E$5:$G$28,3,FALSE),"Labor")))</f>
        <v/>
      </c>
      <c r="M161" s="9">
        <f>IF(B161="","",IF(COUNTIF('Vendors &amp; Crew'!$A$5:$A$34,B161)=0,"Worker not in Crew table",IF(C161="","Missing Job ID",IF(COUNTIF(Jobs!$A$5:$A$44,C161)=0,"Unknown Job ID",IF(E161="","Missing hours",IF(A161="","Missing date",""))))))</f>
        <v/>
      </c>
      <c r="N161" s="35" t="n"/>
    </row>
    <row r="162">
      <c r="A162" s="40" t="n"/>
      <c r="B162" s="35" t="n"/>
      <c r="C162" s="35" t="n"/>
      <c r="D162" s="35" t="n"/>
      <c r="E162" s="61" t="n"/>
      <c r="F162" s="37" t="n"/>
      <c r="G162" s="39">
        <f>IF(B162="","",IF(F162&lt;&gt;"",F162,IFERROR(VLOOKUP(B162,'Vendors &amp; Crew'!$A$5:$D$34,3,FALSE),0)))</f>
        <v/>
      </c>
      <c r="H162" s="39">
        <f>IF(B162="","",E162*G162*(1+Settings!$B$18))</f>
        <v/>
      </c>
      <c r="I162" s="39">
        <f>IF(B162="","",IFERROR(VLOOKUP(B162,'Vendors &amp; Crew'!$A$5:$D$34,4,FALSE),0))</f>
        <v/>
      </c>
      <c r="J162" s="39">
        <f>IF(B162="","",E162*I162)</f>
        <v/>
      </c>
      <c r="K162" s="59">
        <f>IF(A162="","",A162-WEEKDAY(A162,2)+7)</f>
        <v/>
      </c>
      <c r="L162" s="9">
        <f>IF(B162="","",IF(D162="","Labor",IFERROR(VLOOKUP(D162,Settings!$E$5:$G$28,3,FALSE),"Labor")))</f>
        <v/>
      </c>
      <c r="M162" s="9">
        <f>IF(B162="","",IF(COUNTIF('Vendors &amp; Crew'!$A$5:$A$34,B162)=0,"Worker not in Crew table",IF(C162="","Missing Job ID",IF(COUNTIF(Jobs!$A$5:$A$44,C162)=0,"Unknown Job ID",IF(E162="","Missing hours",IF(A162="","Missing date",""))))))</f>
        <v/>
      </c>
      <c r="N162" s="35" t="n"/>
    </row>
    <row r="163">
      <c r="A163" s="40" t="n"/>
      <c r="B163" s="35" t="n"/>
      <c r="C163" s="35" t="n"/>
      <c r="D163" s="35" t="n"/>
      <c r="E163" s="61" t="n"/>
      <c r="F163" s="37" t="n"/>
      <c r="G163" s="39">
        <f>IF(B163="","",IF(F163&lt;&gt;"",F163,IFERROR(VLOOKUP(B163,'Vendors &amp; Crew'!$A$5:$D$34,3,FALSE),0)))</f>
        <v/>
      </c>
      <c r="H163" s="39">
        <f>IF(B163="","",E163*G163*(1+Settings!$B$18))</f>
        <v/>
      </c>
      <c r="I163" s="39">
        <f>IF(B163="","",IFERROR(VLOOKUP(B163,'Vendors &amp; Crew'!$A$5:$D$34,4,FALSE),0))</f>
        <v/>
      </c>
      <c r="J163" s="39">
        <f>IF(B163="","",E163*I163)</f>
        <v/>
      </c>
      <c r="K163" s="59">
        <f>IF(A163="","",A163-WEEKDAY(A163,2)+7)</f>
        <v/>
      </c>
      <c r="L163" s="9">
        <f>IF(B163="","",IF(D163="","Labor",IFERROR(VLOOKUP(D163,Settings!$E$5:$G$28,3,FALSE),"Labor")))</f>
        <v/>
      </c>
      <c r="M163" s="9">
        <f>IF(B163="","",IF(COUNTIF('Vendors &amp; Crew'!$A$5:$A$34,B163)=0,"Worker not in Crew table",IF(C163="","Missing Job ID",IF(COUNTIF(Jobs!$A$5:$A$44,C163)=0,"Unknown Job ID",IF(E163="","Missing hours",IF(A163="","Missing date",""))))))</f>
        <v/>
      </c>
      <c r="N163" s="35" t="n"/>
    </row>
    <row r="164">
      <c r="A164" s="40" t="n"/>
      <c r="B164" s="35" t="n"/>
      <c r="C164" s="35" t="n"/>
      <c r="D164" s="35" t="n"/>
      <c r="E164" s="61" t="n"/>
      <c r="F164" s="37" t="n"/>
      <c r="G164" s="39">
        <f>IF(B164="","",IF(F164&lt;&gt;"",F164,IFERROR(VLOOKUP(B164,'Vendors &amp; Crew'!$A$5:$D$34,3,FALSE),0)))</f>
        <v/>
      </c>
      <c r="H164" s="39">
        <f>IF(B164="","",E164*G164*(1+Settings!$B$18))</f>
        <v/>
      </c>
      <c r="I164" s="39">
        <f>IF(B164="","",IFERROR(VLOOKUP(B164,'Vendors &amp; Crew'!$A$5:$D$34,4,FALSE),0))</f>
        <v/>
      </c>
      <c r="J164" s="39">
        <f>IF(B164="","",E164*I164)</f>
        <v/>
      </c>
      <c r="K164" s="59">
        <f>IF(A164="","",A164-WEEKDAY(A164,2)+7)</f>
        <v/>
      </c>
      <c r="L164" s="9">
        <f>IF(B164="","",IF(D164="","Labor",IFERROR(VLOOKUP(D164,Settings!$E$5:$G$28,3,FALSE),"Labor")))</f>
        <v/>
      </c>
      <c r="M164" s="9">
        <f>IF(B164="","",IF(COUNTIF('Vendors &amp; Crew'!$A$5:$A$34,B164)=0,"Worker not in Crew table",IF(C164="","Missing Job ID",IF(COUNTIF(Jobs!$A$5:$A$44,C164)=0,"Unknown Job ID",IF(E164="","Missing hours",IF(A164="","Missing date",""))))))</f>
        <v/>
      </c>
      <c r="N164" s="35" t="n"/>
    </row>
    <row r="165">
      <c r="A165" s="40" t="n"/>
      <c r="B165" s="35" t="n"/>
      <c r="C165" s="35" t="n"/>
      <c r="D165" s="35" t="n"/>
      <c r="E165" s="61" t="n"/>
      <c r="F165" s="37" t="n"/>
      <c r="G165" s="39">
        <f>IF(B165="","",IF(F165&lt;&gt;"",F165,IFERROR(VLOOKUP(B165,'Vendors &amp; Crew'!$A$5:$D$34,3,FALSE),0)))</f>
        <v/>
      </c>
      <c r="H165" s="39">
        <f>IF(B165="","",E165*G165*(1+Settings!$B$18))</f>
        <v/>
      </c>
      <c r="I165" s="39">
        <f>IF(B165="","",IFERROR(VLOOKUP(B165,'Vendors &amp; Crew'!$A$5:$D$34,4,FALSE),0))</f>
        <v/>
      </c>
      <c r="J165" s="39">
        <f>IF(B165="","",E165*I165)</f>
        <v/>
      </c>
      <c r="K165" s="59">
        <f>IF(A165="","",A165-WEEKDAY(A165,2)+7)</f>
        <v/>
      </c>
      <c r="L165" s="9">
        <f>IF(B165="","",IF(D165="","Labor",IFERROR(VLOOKUP(D165,Settings!$E$5:$G$28,3,FALSE),"Labor")))</f>
        <v/>
      </c>
      <c r="M165" s="9">
        <f>IF(B165="","",IF(COUNTIF('Vendors &amp; Crew'!$A$5:$A$34,B165)=0,"Worker not in Crew table",IF(C165="","Missing Job ID",IF(COUNTIF(Jobs!$A$5:$A$44,C165)=0,"Unknown Job ID",IF(E165="","Missing hours",IF(A165="","Missing date",""))))))</f>
        <v/>
      </c>
      <c r="N165" s="35" t="n"/>
    </row>
    <row r="166">
      <c r="A166" s="40" t="n"/>
      <c r="B166" s="35" t="n"/>
      <c r="C166" s="35" t="n"/>
      <c r="D166" s="35" t="n"/>
      <c r="E166" s="61" t="n"/>
      <c r="F166" s="37" t="n"/>
      <c r="G166" s="39">
        <f>IF(B166="","",IF(F166&lt;&gt;"",F166,IFERROR(VLOOKUP(B166,'Vendors &amp; Crew'!$A$5:$D$34,3,FALSE),0)))</f>
        <v/>
      </c>
      <c r="H166" s="39">
        <f>IF(B166="","",E166*G166*(1+Settings!$B$18))</f>
        <v/>
      </c>
      <c r="I166" s="39">
        <f>IF(B166="","",IFERROR(VLOOKUP(B166,'Vendors &amp; Crew'!$A$5:$D$34,4,FALSE),0))</f>
        <v/>
      </c>
      <c r="J166" s="39">
        <f>IF(B166="","",E166*I166)</f>
        <v/>
      </c>
      <c r="K166" s="59">
        <f>IF(A166="","",A166-WEEKDAY(A166,2)+7)</f>
        <v/>
      </c>
      <c r="L166" s="9">
        <f>IF(B166="","",IF(D166="","Labor",IFERROR(VLOOKUP(D166,Settings!$E$5:$G$28,3,FALSE),"Labor")))</f>
        <v/>
      </c>
      <c r="M166" s="9">
        <f>IF(B166="","",IF(COUNTIF('Vendors &amp; Crew'!$A$5:$A$34,B166)=0,"Worker not in Crew table",IF(C166="","Missing Job ID",IF(COUNTIF(Jobs!$A$5:$A$44,C166)=0,"Unknown Job ID",IF(E166="","Missing hours",IF(A166="","Missing date",""))))))</f>
        <v/>
      </c>
      <c r="N166" s="35" t="n"/>
    </row>
    <row r="167">
      <c r="A167" s="40" t="n"/>
      <c r="B167" s="35" t="n"/>
      <c r="C167" s="35" t="n"/>
      <c r="D167" s="35" t="n"/>
      <c r="E167" s="61" t="n"/>
      <c r="F167" s="37" t="n"/>
      <c r="G167" s="39">
        <f>IF(B167="","",IF(F167&lt;&gt;"",F167,IFERROR(VLOOKUP(B167,'Vendors &amp; Crew'!$A$5:$D$34,3,FALSE),0)))</f>
        <v/>
      </c>
      <c r="H167" s="39">
        <f>IF(B167="","",E167*G167*(1+Settings!$B$18))</f>
        <v/>
      </c>
      <c r="I167" s="39">
        <f>IF(B167="","",IFERROR(VLOOKUP(B167,'Vendors &amp; Crew'!$A$5:$D$34,4,FALSE),0))</f>
        <v/>
      </c>
      <c r="J167" s="39">
        <f>IF(B167="","",E167*I167)</f>
        <v/>
      </c>
      <c r="K167" s="59">
        <f>IF(A167="","",A167-WEEKDAY(A167,2)+7)</f>
        <v/>
      </c>
      <c r="L167" s="9">
        <f>IF(B167="","",IF(D167="","Labor",IFERROR(VLOOKUP(D167,Settings!$E$5:$G$28,3,FALSE),"Labor")))</f>
        <v/>
      </c>
      <c r="M167" s="9">
        <f>IF(B167="","",IF(COUNTIF('Vendors &amp; Crew'!$A$5:$A$34,B167)=0,"Worker not in Crew table",IF(C167="","Missing Job ID",IF(COUNTIF(Jobs!$A$5:$A$44,C167)=0,"Unknown Job ID",IF(E167="","Missing hours",IF(A167="","Missing date",""))))))</f>
        <v/>
      </c>
      <c r="N167" s="35" t="n"/>
    </row>
    <row r="168">
      <c r="A168" s="40" t="n"/>
      <c r="B168" s="35" t="n"/>
      <c r="C168" s="35" t="n"/>
      <c r="D168" s="35" t="n"/>
      <c r="E168" s="61" t="n"/>
      <c r="F168" s="37" t="n"/>
      <c r="G168" s="39">
        <f>IF(B168="","",IF(F168&lt;&gt;"",F168,IFERROR(VLOOKUP(B168,'Vendors &amp; Crew'!$A$5:$D$34,3,FALSE),0)))</f>
        <v/>
      </c>
      <c r="H168" s="39">
        <f>IF(B168="","",E168*G168*(1+Settings!$B$18))</f>
        <v/>
      </c>
      <c r="I168" s="39">
        <f>IF(B168="","",IFERROR(VLOOKUP(B168,'Vendors &amp; Crew'!$A$5:$D$34,4,FALSE),0))</f>
        <v/>
      </c>
      <c r="J168" s="39">
        <f>IF(B168="","",E168*I168)</f>
        <v/>
      </c>
      <c r="K168" s="59">
        <f>IF(A168="","",A168-WEEKDAY(A168,2)+7)</f>
        <v/>
      </c>
      <c r="L168" s="9">
        <f>IF(B168="","",IF(D168="","Labor",IFERROR(VLOOKUP(D168,Settings!$E$5:$G$28,3,FALSE),"Labor")))</f>
        <v/>
      </c>
      <c r="M168" s="9">
        <f>IF(B168="","",IF(COUNTIF('Vendors &amp; Crew'!$A$5:$A$34,B168)=0,"Worker not in Crew table",IF(C168="","Missing Job ID",IF(COUNTIF(Jobs!$A$5:$A$44,C168)=0,"Unknown Job ID",IF(E168="","Missing hours",IF(A168="","Missing date",""))))))</f>
        <v/>
      </c>
      <c r="N168" s="35" t="n"/>
    </row>
    <row r="169">
      <c r="A169" s="40" t="n"/>
      <c r="B169" s="35" t="n"/>
      <c r="C169" s="35" t="n"/>
      <c r="D169" s="35" t="n"/>
      <c r="E169" s="61" t="n"/>
      <c r="F169" s="37" t="n"/>
      <c r="G169" s="39">
        <f>IF(B169="","",IF(F169&lt;&gt;"",F169,IFERROR(VLOOKUP(B169,'Vendors &amp; Crew'!$A$5:$D$34,3,FALSE),0)))</f>
        <v/>
      </c>
      <c r="H169" s="39">
        <f>IF(B169="","",E169*G169*(1+Settings!$B$18))</f>
        <v/>
      </c>
      <c r="I169" s="39">
        <f>IF(B169="","",IFERROR(VLOOKUP(B169,'Vendors &amp; Crew'!$A$5:$D$34,4,FALSE),0))</f>
        <v/>
      </c>
      <c r="J169" s="39">
        <f>IF(B169="","",E169*I169)</f>
        <v/>
      </c>
      <c r="K169" s="59">
        <f>IF(A169="","",A169-WEEKDAY(A169,2)+7)</f>
        <v/>
      </c>
      <c r="L169" s="9">
        <f>IF(B169="","",IF(D169="","Labor",IFERROR(VLOOKUP(D169,Settings!$E$5:$G$28,3,FALSE),"Labor")))</f>
        <v/>
      </c>
      <c r="M169" s="9">
        <f>IF(B169="","",IF(COUNTIF('Vendors &amp; Crew'!$A$5:$A$34,B169)=0,"Worker not in Crew table",IF(C169="","Missing Job ID",IF(COUNTIF(Jobs!$A$5:$A$44,C169)=0,"Unknown Job ID",IF(E169="","Missing hours",IF(A169="","Missing date",""))))))</f>
        <v/>
      </c>
      <c r="N169" s="35" t="n"/>
    </row>
    <row r="170">
      <c r="A170" s="40" t="n"/>
      <c r="B170" s="35" t="n"/>
      <c r="C170" s="35" t="n"/>
      <c r="D170" s="35" t="n"/>
      <c r="E170" s="61" t="n"/>
      <c r="F170" s="37" t="n"/>
      <c r="G170" s="39">
        <f>IF(B170="","",IF(F170&lt;&gt;"",F170,IFERROR(VLOOKUP(B170,'Vendors &amp; Crew'!$A$5:$D$34,3,FALSE),0)))</f>
        <v/>
      </c>
      <c r="H170" s="39">
        <f>IF(B170="","",E170*G170*(1+Settings!$B$18))</f>
        <v/>
      </c>
      <c r="I170" s="39">
        <f>IF(B170="","",IFERROR(VLOOKUP(B170,'Vendors &amp; Crew'!$A$5:$D$34,4,FALSE),0))</f>
        <v/>
      </c>
      <c r="J170" s="39">
        <f>IF(B170="","",E170*I170)</f>
        <v/>
      </c>
      <c r="K170" s="59">
        <f>IF(A170="","",A170-WEEKDAY(A170,2)+7)</f>
        <v/>
      </c>
      <c r="L170" s="9">
        <f>IF(B170="","",IF(D170="","Labor",IFERROR(VLOOKUP(D170,Settings!$E$5:$G$28,3,FALSE),"Labor")))</f>
        <v/>
      </c>
      <c r="M170" s="9">
        <f>IF(B170="","",IF(COUNTIF('Vendors &amp; Crew'!$A$5:$A$34,B170)=0,"Worker not in Crew table",IF(C170="","Missing Job ID",IF(COUNTIF(Jobs!$A$5:$A$44,C170)=0,"Unknown Job ID",IF(E170="","Missing hours",IF(A170="","Missing date",""))))))</f>
        <v/>
      </c>
      <c r="N170" s="35" t="n"/>
    </row>
    <row r="171">
      <c r="A171" s="40" t="n"/>
      <c r="B171" s="35" t="n"/>
      <c r="C171" s="35" t="n"/>
      <c r="D171" s="35" t="n"/>
      <c r="E171" s="61" t="n"/>
      <c r="F171" s="37" t="n"/>
      <c r="G171" s="39">
        <f>IF(B171="","",IF(F171&lt;&gt;"",F171,IFERROR(VLOOKUP(B171,'Vendors &amp; Crew'!$A$5:$D$34,3,FALSE),0)))</f>
        <v/>
      </c>
      <c r="H171" s="39">
        <f>IF(B171="","",E171*G171*(1+Settings!$B$18))</f>
        <v/>
      </c>
      <c r="I171" s="39">
        <f>IF(B171="","",IFERROR(VLOOKUP(B171,'Vendors &amp; Crew'!$A$5:$D$34,4,FALSE),0))</f>
        <v/>
      </c>
      <c r="J171" s="39">
        <f>IF(B171="","",E171*I171)</f>
        <v/>
      </c>
      <c r="K171" s="59">
        <f>IF(A171="","",A171-WEEKDAY(A171,2)+7)</f>
        <v/>
      </c>
      <c r="L171" s="9">
        <f>IF(B171="","",IF(D171="","Labor",IFERROR(VLOOKUP(D171,Settings!$E$5:$G$28,3,FALSE),"Labor")))</f>
        <v/>
      </c>
      <c r="M171" s="9">
        <f>IF(B171="","",IF(COUNTIF('Vendors &amp; Crew'!$A$5:$A$34,B171)=0,"Worker not in Crew table",IF(C171="","Missing Job ID",IF(COUNTIF(Jobs!$A$5:$A$44,C171)=0,"Unknown Job ID",IF(E171="","Missing hours",IF(A171="","Missing date",""))))))</f>
        <v/>
      </c>
      <c r="N171" s="35" t="n"/>
    </row>
    <row r="172">
      <c r="A172" s="40" t="n"/>
      <c r="B172" s="35" t="n"/>
      <c r="C172" s="35" t="n"/>
      <c r="D172" s="35" t="n"/>
      <c r="E172" s="61" t="n"/>
      <c r="F172" s="37" t="n"/>
      <c r="G172" s="39">
        <f>IF(B172="","",IF(F172&lt;&gt;"",F172,IFERROR(VLOOKUP(B172,'Vendors &amp; Crew'!$A$5:$D$34,3,FALSE),0)))</f>
        <v/>
      </c>
      <c r="H172" s="39">
        <f>IF(B172="","",E172*G172*(1+Settings!$B$18))</f>
        <v/>
      </c>
      <c r="I172" s="39">
        <f>IF(B172="","",IFERROR(VLOOKUP(B172,'Vendors &amp; Crew'!$A$5:$D$34,4,FALSE),0))</f>
        <v/>
      </c>
      <c r="J172" s="39">
        <f>IF(B172="","",E172*I172)</f>
        <v/>
      </c>
      <c r="K172" s="59">
        <f>IF(A172="","",A172-WEEKDAY(A172,2)+7)</f>
        <v/>
      </c>
      <c r="L172" s="9">
        <f>IF(B172="","",IF(D172="","Labor",IFERROR(VLOOKUP(D172,Settings!$E$5:$G$28,3,FALSE),"Labor")))</f>
        <v/>
      </c>
      <c r="M172" s="9">
        <f>IF(B172="","",IF(COUNTIF('Vendors &amp; Crew'!$A$5:$A$34,B172)=0,"Worker not in Crew table",IF(C172="","Missing Job ID",IF(COUNTIF(Jobs!$A$5:$A$44,C172)=0,"Unknown Job ID",IF(E172="","Missing hours",IF(A172="","Missing date",""))))))</f>
        <v/>
      </c>
      <c r="N172" s="35" t="n"/>
    </row>
    <row r="173">
      <c r="A173" s="40" t="n"/>
      <c r="B173" s="35" t="n"/>
      <c r="C173" s="35" t="n"/>
      <c r="D173" s="35" t="n"/>
      <c r="E173" s="61" t="n"/>
      <c r="F173" s="37" t="n"/>
      <c r="G173" s="39">
        <f>IF(B173="","",IF(F173&lt;&gt;"",F173,IFERROR(VLOOKUP(B173,'Vendors &amp; Crew'!$A$5:$D$34,3,FALSE),0)))</f>
        <v/>
      </c>
      <c r="H173" s="39">
        <f>IF(B173="","",E173*G173*(1+Settings!$B$18))</f>
        <v/>
      </c>
      <c r="I173" s="39">
        <f>IF(B173="","",IFERROR(VLOOKUP(B173,'Vendors &amp; Crew'!$A$5:$D$34,4,FALSE),0))</f>
        <v/>
      </c>
      <c r="J173" s="39">
        <f>IF(B173="","",E173*I173)</f>
        <v/>
      </c>
      <c r="K173" s="59">
        <f>IF(A173="","",A173-WEEKDAY(A173,2)+7)</f>
        <v/>
      </c>
      <c r="L173" s="9">
        <f>IF(B173="","",IF(D173="","Labor",IFERROR(VLOOKUP(D173,Settings!$E$5:$G$28,3,FALSE),"Labor")))</f>
        <v/>
      </c>
      <c r="M173" s="9">
        <f>IF(B173="","",IF(COUNTIF('Vendors &amp; Crew'!$A$5:$A$34,B173)=0,"Worker not in Crew table",IF(C173="","Missing Job ID",IF(COUNTIF(Jobs!$A$5:$A$44,C173)=0,"Unknown Job ID",IF(E173="","Missing hours",IF(A173="","Missing date",""))))))</f>
        <v/>
      </c>
      <c r="N173" s="35" t="n"/>
    </row>
    <row r="174">
      <c r="A174" s="40" t="n"/>
      <c r="B174" s="35" t="n"/>
      <c r="C174" s="35" t="n"/>
      <c r="D174" s="35" t="n"/>
      <c r="E174" s="61" t="n"/>
      <c r="F174" s="37" t="n"/>
      <c r="G174" s="39">
        <f>IF(B174="","",IF(F174&lt;&gt;"",F174,IFERROR(VLOOKUP(B174,'Vendors &amp; Crew'!$A$5:$D$34,3,FALSE),0)))</f>
        <v/>
      </c>
      <c r="H174" s="39">
        <f>IF(B174="","",E174*G174*(1+Settings!$B$18))</f>
        <v/>
      </c>
      <c r="I174" s="39">
        <f>IF(B174="","",IFERROR(VLOOKUP(B174,'Vendors &amp; Crew'!$A$5:$D$34,4,FALSE),0))</f>
        <v/>
      </c>
      <c r="J174" s="39">
        <f>IF(B174="","",E174*I174)</f>
        <v/>
      </c>
      <c r="K174" s="59">
        <f>IF(A174="","",A174-WEEKDAY(A174,2)+7)</f>
        <v/>
      </c>
      <c r="L174" s="9">
        <f>IF(B174="","",IF(D174="","Labor",IFERROR(VLOOKUP(D174,Settings!$E$5:$G$28,3,FALSE),"Labor")))</f>
        <v/>
      </c>
      <c r="M174" s="9">
        <f>IF(B174="","",IF(COUNTIF('Vendors &amp; Crew'!$A$5:$A$34,B174)=0,"Worker not in Crew table",IF(C174="","Missing Job ID",IF(COUNTIF(Jobs!$A$5:$A$44,C174)=0,"Unknown Job ID",IF(E174="","Missing hours",IF(A174="","Missing date",""))))))</f>
        <v/>
      </c>
      <c r="N174" s="35" t="n"/>
    </row>
    <row r="175">
      <c r="A175" s="40" t="n"/>
      <c r="B175" s="35" t="n"/>
      <c r="C175" s="35" t="n"/>
      <c r="D175" s="35" t="n"/>
      <c r="E175" s="61" t="n"/>
      <c r="F175" s="37" t="n"/>
      <c r="G175" s="39">
        <f>IF(B175="","",IF(F175&lt;&gt;"",F175,IFERROR(VLOOKUP(B175,'Vendors &amp; Crew'!$A$5:$D$34,3,FALSE),0)))</f>
        <v/>
      </c>
      <c r="H175" s="39">
        <f>IF(B175="","",E175*G175*(1+Settings!$B$18))</f>
        <v/>
      </c>
      <c r="I175" s="39">
        <f>IF(B175="","",IFERROR(VLOOKUP(B175,'Vendors &amp; Crew'!$A$5:$D$34,4,FALSE),0))</f>
        <v/>
      </c>
      <c r="J175" s="39">
        <f>IF(B175="","",E175*I175)</f>
        <v/>
      </c>
      <c r="K175" s="59">
        <f>IF(A175="","",A175-WEEKDAY(A175,2)+7)</f>
        <v/>
      </c>
      <c r="L175" s="9">
        <f>IF(B175="","",IF(D175="","Labor",IFERROR(VLOOKUP(D175,Settings!$E$5:$G$28,3,FALSE),"Labor")))</f>
        <v/>
      </c>
      <c r="M175" s="9">
        <f>IF(B175="","",IF(COUNTIF('Vendors &amp; Crew'!$A$5:$A$34,B175)=0,"Worker not in Crew table",IF(C175="","Missing Job ID",IF(COUNTIF(Jobs!$A$5:$A$44,C175)=0,"Unknown Job ID",IF(E175="","Missing hours",IF(A175="","Missing date",""))))))</f>
        <v/>
      </c>
      <c r="N175" s="35" t="n"/>
    </row>
    <row r="176">
      <c r="A176" s="40" t="n"/>
      <c r="B176" s="35" t="n"/>
      <c r="C176" s="35" t="n"/>
      <c r="D176" s="35" t="n"/>
      <c r="E176" s="61" t="n"/>
      <c r="F176" s="37" t="n"/>
      <c r="G176" s="39">
        <f>IF(B176="","",IF(F176&lt;&gt;"",F176,IFERROR(VLOOKUP(B176,'Vendors &amp; Crew'!$A$5:$D$34,3,FALSE),0)))</f>
        <v/>
      </c>
      <c r="H176" s="39">
        <f>IF(B176="","",E176*G176*(1+Settings!$B$18))</f>
        <v/>
      </c>
      <c r="I176" s="39">
        <f>IF(B176="","",IFERROR(VLOOKUP(B176,'Vendors &amp; Crew'!$A$5:$D$34,4,FALSE),0))</f>
        <v/>
      </c>
      <c r="J176" s="39">
        <f>IF(B176="","",E176*I176)</f>
        <v/>
      </c>
      <c r="K176" s="59">
        <f>IF(A176="","",A176-WEEKDAY(A176,2)+7)</f>
        <v/>
      </c>
      <c r="L176" s="9">
        <f>IF(B176="","",IF(D176="","Labor",IFERROR(VLOOKUP(D176,Settings!$E$5:$G$28,3,FALSE),"Labor")))</f>
        <v/>
      </c>
      <c r="M176" s="9">
        <f>IF(B176="","",IF(COUNTIF('Vendors &amp; Crew'!$A$5:$A$34,B176)=0,"Worker not in Crew table",IF(C176="","Missing Job ID",IF(COUNTIF(Jobs!$A$5:$A$44,C176)=0,"Unknown Job ID",IF(E176="","Missing hours",IF(A176="","Missing date",""))))))</f>
        <v/>
      </c>
      <c r="N176" s="35" t="n"/>
    </row>
    <row r="177">
      <c r="A177" s="40" t="n"/>
      <c r="B177" s="35" t="n"/>
      <c r="C177" s="35" t="n"/>
      <c r="D177" s="35" t="n"/>
      <c r="E177" s="61" t="n"/>
      <c r="F177" s="37" t="n"/>
      <c r="G177" s="39">
        <f>IF(B177="","",IF(F177&lt;&gt;"",F177,IFERROR(VLOOKUP(B177,'Vendors &amp; Crew'!$A$5:$D$34,3,FALSE),0)))</f>
        <v/>
      </c>
      <c r="H177" s="39">
        <f>IF(B177="","",E177*G177*(1+Settings!$B$18))</f>
        <v/>
      </c>
      <c r="I177" s="39">
        <f>IF(B177="","",IFERROR(VLOOKUP(B177,'Vendors &amp; Crew'!$A$5:$D$34,4,FALSE),0))</f>
        <v/>
      </c>
      <c r="J177" s="39">
        <f>IF(B177="","",E177*I177)</f>
        <v/>
      </c>
      <c r="K177" s="59">
        <f>IF(A177="","",A177-WEEKDAY(A177,2)+7)</f>
        <v/>
      </c>
      <c r="L177" s="9">
        <f>IF(B177="","",IF(D177="","Labor",IFERROR(VLOOKUP(D177,Settings!$E$5:$G$28,3,FALSE),"Labor")))</f>
        <v/>
      </c>
      <c r="M177" s="9">
        <f>IF(B177="","",IF(COUNTIF('Vendors &amp; Crew'!$A$5:$A$34,B177)=0,"Worker not in Crew table",IF(C177="","Missing Job ID",IF(COUNTIF(Jobs!$A$5:$A$44,C177)=0,"Unknown Job ID",IF(E177="","Missing hours",IF(A177="","Missing date",""))))))</f>
        <v/>
      </c>
      <c r="N177" s="35" t="n"/>
    </row>
    <row r="178">
      <c r="A178" s="40" t="n"/>
      <c r="B178" s="35" t="n"/>
      <c r="C178" s="35" t="n"/>
      <c r="D178" s="35" t="n"/>
      <c r="E178" s="61" t="n"/>
      <c r="F178" s="37" t="n"/>
      <c r="G178" s="39">
        <f>IF(B178="","",IF(F178&lt;&gt;"",F178,IFERROR(VLOOKUP(B178,'Vendors &amp; Crew'!$A$5:$D$34,3,FALSE),0)))</f>
        <v/>
      </c>
      <c r="H178" s="39">
        <f>IF(B178="","",E178*G178*(1+Settings!$B$18))</f>
        <v/>
      </c>
      <c r="I178" s="39">
        <f>IF(B178="","",IFERROR(VLOOKUP(B178,'Vendors &amp; Crew'!$A$5:$D$34,4,FALSE),0))</f>
        <v/>
      </c>
      <c r="J178" s="39">
        <f>IF(B178="","",E178*I178)</f>
        <v/>
      </c>
      <c r="K178" s="59">
        <f>IF(A178="","",A178-WEEKDAY(A178,2)+7)</f>
        <v/>
      </c>
      <c r="L178" s="9">
        <f>IF(B178="","",IF(D178="","Labor",IFERROR(VLOOKUP(D178,Settings!$E$5:$G$28,3,FALSE),"Labor")))</f>
        <v/>
      </c>
      <c r="M178" s="9">
        <f>IF(B178="","",IF(COUNTIF('Vendors &amp; Crew'!$A$5:$A$34,B178)=0,"Worker not in Crew table",IF(C178="","Missing Job ID",IF(COUNTIF(Jobs!$A$5:$A$44,C178)=0,"Unknown Job ID",IF(E178="","Missing hours",IF(A178="","Missing date",""))))))</f>
        <v/>
      </c>
      <c r="N178" s="35" t="n"/>
    </row>
    <row r="179">
      <c r="A179" s="40" t="n"/>
      <c r="B179" s="35" t="n"/>
      <c r="C179" s="35" t="n"/>
      <c r="D179" s="35" t="n"/>
      <c r="E179" s="61" t="n"/>
      <c r="F179" s="37" t="n"/>
      <c r="G179" s="39">
        <f>IF(B179="","",IF(F179&lt;&gt;"",F179,IFERROR(VLOOKUP(B179,'Vendors &amp; Crew'!$A$5:$D$34,3,FALSE),0)))</f>
        <v/>
      </c>
      <c r="H179" s="39">
        <f>IF(B179="","",E179*G179*(1+Settings!$B$18))</f>
        <v/>
      </c>
      <c r="I179" s="39">
        <f>IF(B179="","",IFERROR(VLOOKUP(B179,'Vendors &amp; Crew'!$A$5:$D$34,4,FALSE),0))</f>
        <v/>
      </c>
      <c r="J179" s="39">
        <f>IF(B179="","",E179*I179)</f>
        <v/>
      </c>
      <c r="K179" s="59">
        <f>IF(A179="","",A179-WEEKDAY(A179,2)+7)</f>
        <v/>
      </c>
      <c r="L179" s="9">
        <f>IF(B179="","",IF(D179="","Labor",IFERROR(VLOOKUP(D179,Settings!$E$5:$G$28,3,FALSE),"Labor")))</f>
        <v/>
      </c>
      <c r="M179" s="9">
        <f>IF(B179="","",IF(COUNTIF('Vendors &amp; Crew'!$A$5:$A$34,B179)=0,"Worker not in Crew table",IF(C179="","Missing Job ID",IF(COUNTIF(Jobs!$A$5:$A$44,C179)=0,"Unknown Job ID",IF(E179="","Missing hours",IF(A179="","Missing date",""))))))</f>
        <v/>
      </c>
      <c r="N179" s="35" t="n"/>
    </row>
    <row r="180">
      <c r="A180" s="40" t="n"/>
      <c r="B180" s="35" t="n"/>
      <c r="C180" s="35" t="n"/>
      <c r="D180" s="35" t="n"/>
      <c r="E180" s="61" t="n"/>
      <c r="F180" s="37" t="n"/>
      <c r="G180" s="39">
        <f>IF(B180="","",IF(F180&lt;&gt;"",F180,IFERROR(VLOOKUP(B180,'Vendors &amp; Crew'!$A$5:$D$34,3,FALSE),0)))</f>
        <v/>
      </c>
      <c r="H180" s="39">
        <f>IF(B180="","",E180*G180*(1+Settings!$B$18))</f>
        <v/>
      </c>
      <c r="I180" s="39">
        <f>IF(B180="","",IFERROR(VLOOKUP(B180,'Vendors &amp; Crew'!$A$5:$D$34,4,FALSE),0))</f>
        <v/>
      </c>
      <c r="J180" s="39">
        <f>IF(B180="","",E180*I180)</f>
        <v/>
      </c>
      <c r="K180" s="59">
        <f>IF(A180="","",A180-WEEKDAY(A180,2)+7)</f>
        <v/>
      </c>
      <c r="L180" s="9">
        <f>IF(B180="","",IF(D180="","Labor",IFERROR(VLOOKUP(D180,Settings!$E$5:$G$28,3,FALSE),"Labor")))</f>
        <v/>
      </c>
      <c r="M180" s="9">
        <f>IF(B180="","",IF(COUNTIF('Vendors &amp; Crew'!$A$5:$A$34,B180)=0,"Worker not in Crew table",IF(C180="","Missing Job ID",IF(COUNTIF(Jobs!$A$5:$A$44,C180)=0,"Unknown Job ID",IF(E180="","Missing hours",IF(A180="","Missing date",""))))))</f>
        <v/>
      </c>
      <c r="N180" s="35" t="n"/>
    </row>
    <row r="181">
      <c r="A181" s="40" t="n"/>
      <c r="B181" s="35" t="n"/>
      <c r="C181" s="35" t="n"/>
      <c r="D181" s="35" t="n"/>
      <c r="E181" s="61" t="n"/>
      <c r="F181" s="37" t="n"/>
      <c r="G181" s="39">
        <f>IF(B181="","",IF(F181&lt;&gt;"",F181,IFERROR(VLOOKUP(B181,'Vendors &amp; Crew'!$A$5:$D$34,3,FALSE),0)))</f>
        <v/>
      </c>
      <c r="H181" s="39">
        <f>IF(B181="","",E181*G181*(1+Settings!$B$18))</f>
        <v/>
      </c>
      <c r="I181" s="39">
        <f>IF(B181="","",IFERROR(VLOOKUP(B181,'Vendors &amp; Crew'!$A$5:$D$34,4,FALSE),0))</f>
        <v/>
      </c>
      <c r="J181" s="39">
        <f>IF(B181="","",E181*I181)</f>
        <v/>
      </c>
      <c r="K181" s="59">
        <f>IF(A181="","",A181-WEEKDAY(A181,2)+7)</f>
        <v/>
      </c>
      <c r="L181" s="9">
        <f>IF(B181="","",IF(D181="","Labor",IFERROR(VLOOKUP(D181,Settings!$E$5:$G$28,3,FALSE),"Labor")))</f>
        <v/>
      </c>
      <c r="M181" s="9">
        <f>IF(B181="","",IF(COUNTIF('Vendors &amp; Crew'!$A$5:$A$34,B181)=0,"Worker not in Crew table",IF(C181="","Missing Job ID",IF(COUNTIF(Jobs!$A$5:$A$44,C181)=0,"Unknown Job ID",IF(E181="","Missing hours",IF(A181="","Missing date",""))))))</f>
        <v/>
      </c>
      <c r="N181" s="35" t="n"/>
    </row>
    <row r="182">
      <c r="A182" s="40" t="n"/>
      <c r="B182" s="35" t="n"/>
      <c r="C182" s="35" t="n"/>
      <c r="D182" s="35" t="n"/>
      <c r="E182" s="61" t="n"/>
      <c r="F182" s="37" t="n"/>
      <c r="G182" s="39">
        <f>IF(B182="","",IF(F182&lt;&gt;"",F182,IFERROR(VLOOKUP(B182,'Vendors &amp; Crew'!$A$5:$D$34,3,FALSE),0)))</f>
        <v/>
      </c>
      <c r="H182" s="39">
        <f>IF(B182="","",E182*G182*(1+Settings!$B$18))</f>
        <v/>
      </c>
      <c r="I182" s="39">
        <f>IF(B182="","",IFERROR(VLOOKUP(B182,'Vendors &amp; Crew'!$A$5:$D$34,4,FALSE),0))</f>
        <v/>
      </c>
      <c r="J182" s="39">
        <f>IF(B182="","",E182*I182)</f>
        <v/>
      </c>
      <c r="K182" s="59">
        <f>IF(A182="","",A182-WEEKDAY(A182,2)+7)</f>
        <v/>
      </c>
      <c r="L182" s="9">
        <f>IF(B182="","",IF(D182="","Labor",IFERROR(VLOOKUP(D182,Settings!$E$5:$G$28,3,FALSE),"Labor")))</f>
        <v/>
      </c>
      <c r="M182" s="9">
        <f>IF(B182="","",IF(COUNTIF('Vendors &amp; Crew'!$A$5:$A$34,B182)=0,"Worker not in Crew table",IF(C182="","Missing Job ID",IF(COUNTIF(Jobs!$A$5:$A$44,C182)=0,"Unknown Job ID",IF(E182="","Missing hours",IF(A182="","Missing date",""))))))</f>
        <v/>
      </c>
      <c r="N182" s="35" t="n"/>
    </row>
    <row r="183">
      <c r="A183" s="40" t="n"/>
      <c r="B183" s="35" t="n"/>
      <c r="C183" s="35" t="n"/>
      <c r="D183" s="35" t="n"/>
      <c r="E183" s="61" t="n"/>
      <c r="F183" s="37" t="n"/>
      <c r="G183" s="39">
        <f>IF(B183="","",IF(F183&lt;&gt;"",F183,IFERROR(VLOOKUP(B183,'Vendors &amp; Crew'!$A$5:$D$34,3,FALSE),0)))</f>
        <v/>
      </c>
      <c r="H183" s="39">
        <f>IF(B183="","",E183*G183*(1+Settings!$B$18))</f>
        <v/>
      </c>
      <c r="I183" s="39">
        <f>IF(B183="","",IFERROR(VLOOKUP(B183,'Vendors &amp; Crew'!$A$5:$D$34,4,FALSE),0))</f>
        <v/>
      </c>
      <c r="J183" s="39">
        <f>IF(B183="","",E183*I183)</f>
        <v/>
      </c>
      <c r="K183" s="59">
        <f>IF(A183="","",A183-WEEKDAY(A183,2)+7)</f>
        <v/>
      </c>
      <c r="L183" s="9">
        <f>IF(B183="","",IF(D183="","Labor",IFERROR(VLOOKUP(D183,Settings!$E$5:$G$28,3,FALSE),"Labor")))</f>
        <v/>
      </c>
      <c r="M183" s="9">
        <f>IF(B183="","",IF(COUNTIF('Vendors &amp; Crew'!$A$5:$A$34,B183)=0,"Worker not in Crew table",IF(C183="","Missing Job ID",IF(COUNTIF(Jobs!$A$5:$A$44,C183)=0,"Unknown Job ID",IF(E183="","Missing hours",IF(A183="","Missing date",""))))))</f>
        <v/>
      </c>
      <c r="N183" s="35" t="n"/>
    </row>
    <row r="184">
      <c r="A184" s="40" t="n"/>
      <c r="B184" s="35" t="n"/>
      <c r="C184" s="35" t="n"/>
      <c r="D184" s="35" t="n"/>
      <c r="E184" s="61" t="n"/>
      <c r="F184" s="37" t="n"/>
      <c r="G184" s="39">
        <f>IF(B184="","",IF(F184&lt;&gt;"",F184,IFERROR(VLOOKUP(B184,'Vendors &amp; Crew'!$A$5:$D$34,3,FALSE),0)))</f>
        <v/>
      </c>
      <c r="H184" s="39">
        <f>IF(B184="","",E184*G184*(1+Settings!$B$18))</f>
        <v/>
      </c>
      <c r="I184" s="39">
        <f>IF(B184="","",IFERROR(VLOOKUP(B184,'Vendors &amp; Crew'!$A$5:$D$34,4,FALSE),0))</f>
        <v/>
      </c>
      <c r="J184" s="39">
        <f>IF(B184="","",E184*I184)</f>
        <v/>
      </c>
      <c r="K184" s="59">
        <f>IF(A184="","",A184-WEEKDAY(A184,2)+7)</f>
        <v/>
      </c>
      <c r="L184" s="9">
        <f>IF(B184="","",IF(D184="","Labor",IFERROR(VLOOKUP(D184,Settings!$E$5:$G$28,3,FALSE),"Labor")))</f>
        <v/>
      </c>
      <c r="M184" s="9">
        <f>IF(B184="","",IF(COUNTIF('Vendors &amp; Crew'!$A$5:$A$34,B184)=0,"Worker not in Crew table",IF(C184="","Missing Job ID",IF(COUNTIF(Jobs!$A$5:$A$44,C184)=0,"Unknown Job ID",IF(E184="","Missing hours",IF(A184="","Missing date",""))))))</f>
        <v/>
      </c>
      <c r="N184" s="35" t="n"/>
    </row>
    <row r="185">
      <c r="A185" s="40" t="n"/>
      <c r="B185" s="35" t="n"/>
      <c r="C185" s="35" t="n"/>
      <c r="D185" s="35" t="n"/>
      <c r="E185" s="61" t="n"/>
      <c r="F185" s="37" t="n"/>
      <c r="G185" s="39">
        <f>IF(B185="","",IF(F185&lt;&gt;"",F185,IFERROR(VLOOKUP(B185,'Vendors &amp; Crew'!$A$5:$D$34,3,FALSE),0)))</f>
        <v/>
      </c>
      <c r="H185" s="39">
        <f>IF(B185="","",E185*G185*(1+Settings!$B$18))</f>
        <v/>
      </c>
      <c r="I185" s="39">
        <f>IF(B185="","",IFERROR(VLOOKUP(B185,'Vendors &amp; Crew'!$A$5:$D$34,4,FALSE),0))</f>
        <v/>
      </c>
      <c r="J185" s="39">
        <f>IF(B185="","",E185*I185)</f>
        <v/>
      </c>
      <c r="K185" s="59">
        <f>IF(A185="","",A185-WEEKDAY(A185,2)+7)</f>
        <v/>
      </c>
      <c r="L185" s="9">
        <f>IF(B185="","",IF(D185="","Labor",IFERROR(VLOOKUP(D185,Settings!$E$5:$G$28,3,FALSE),"Labor")))</f>
        <v/>
      </c>
      <c r="M185" s="9">
        <f>IF(B185="","",IF(COUNTIF('Vendors &amp; Crew'!$A$5:$A$34,B185)=0,"Worker not in Crew table",IF(C185="","Missing Job ID",IF(COUNTIF(Jobs!$A$5:$A$44,C185)=0,"Unknown Job ID",IF(E185="","Missing hours",IF(A185="","Missing date",""))))))</f>
        <v/>
      </c>
      <c r="N185" s="35" t="n"/>
    </row>
    <row r="186">
      <c r="A186" s="40" t="n"/>
      <c r="B186" s="35" t="n"/>
      <c r="C186" s="35" t="n"/>
      <c r="D186" s="35" t="n"/>
      <c r="E186" s="61" t="n"/>
      <c r="F186" s="37" t="n"/>
      <c r="G186" s="39">
        <f>IF(B186="","",IF(F186&lt;&gt;"",F186,IFERROR(VLOOKUP(B186,'Vendors &amp; Crew'!$A$5:$D$34,3,FALSE),0)))</f>
        <v/>
      </c>
      <c r="H186" s="39">
        <f>IF(B186="","",E186*G186*(1+Settings!$B$18))</f>
        <v/>
      </c>
      <c r="I186" s="39">
        <f>IF(B186="","",IFERROR(VLOOKUP(B186,'Vendors &amp; Crew'!$A$5:$D$34,4,FALSE),0))</f>
        <v/>
      </c>
      <c r="J186" s="39">
        <f>IF(B186="","",E186*I186)</f>
        <v/>
      </c>
      <c r="K186" s="59">
        <f>IF(A186="","",A186-WEEKDAY(A186,2)+7)</f>
        <v/>
      </c>
      <c r="L186" s="9">
        <f>IF(B186="","",IF(D186="","Labor",IFERROR(VLOOKUP(D186,Settings!$E$5:$G$28,3,FALSE),"Labor")))</f>
        <v/>
      </c>
      <c r="M186" s="9">
        <f>IF(B186="","",IF(COUNTIF('Vendors &amp; Crew'!$A$5:$A$34,B186)=0,"Worker not in Crew table",IF(C186="","Missing Job ID",IF(COUNTIF(Jobs!$A$5:$A$44,C186)=0,"Unknown Job ID",IF(E186="","Missing hours",IF(A186="","Missing date",""))))))</f>
        <v/>
      </c>
      <c r="N186" s="35" t="n"/>
    </row>
    <row r="187">
      <c r="A187" s="40" t="n"/>
      <c r="B187" s="35" t="n"/>
      <c r="C187" s="35" t="n"/>
      <c r="D187" s="35" t="n"/>
      <c r="E187" s="61" t="n"/>
      <c r="F187" s="37" t="n"/>
      <c r="G187" s="39">
        <f>IF(B187="","",IF(F187&lt;&gt;"",F187,IFERROR(VLOOKUP(B187,'Vendors &amp; Crew'!$A$5:$D$34,3,FALSE),0)))</f>
        <v/>
      </c>
      <c r="H187" s="39">
        <f>IF(B187="","",E187*G187*(1+Settings!$B$18))</f>
        <v/>
      </c>
      <c r="I187" s="39">
        <f>IF(B187="","",IFERROR(VLOOKUP(B187,'Vendors &amp; Crew'!$A$5:$D$34,4,FALSE),0))</f>
        <v/>
      </c>
      <c r="J187" s="39">
        <f>IF(B187="","",E187*I187)</f>
        <v/>
      </c>
      <c r="K187" s="59">
        <f>IF(A187="","",A187-WEEKDAY(A187,2)+7)</f>
        <v/>
      </c>
      <c r="L187" s="9">
        <f>IF(B187="","",IF(D187="","Labor",IFERROR(VLOOKUP(D187,Settings!$E$5:$G$28,3,FALSE),"Labor")))</f>
        <v/>
      </c>
      <c r="M187" s="9">
        <f>IF(B187="","",IF(COUNTIF('Vendors &amp; Crew'!$A$5:$A$34,B187)=0,"Worker not in Crew table",IF(C187="","Missing Job ID",IF(COUNTIF(Jobs!$A$5:$A$44,C187)=0,"Unknown Job ID",IF(E187="","Missing hours",IF(A187="","Missing date",""))))))</f>
        <v/>
      </c>
      <c r="N187" s="35" t="n"/>
    </row>
    <row r="188">
      <c r="A188" s="40" t="n"/>
      <c r="B188" s="35" t="n"/>
      <c r="C188" s="35" t="n"/>
      <c r="D188" s="35" t="n"/>
      <c r="E188" s="61" t="n"/>
      <c r="F188" s="37" t="n"/>
      <c r="G188" s="39">
        <f>IF(B188="","",IF(F188&lt;&gt;"",F188,IFERROR(VLOOKUP(B188,'Vendors &amp; Crew'!$A$5:$D$34,3,FALSE),0)))</f>
        <v/>
      </c>
      <c r="H188" s="39">
        <f>IF(B188="","",E188*G188*(1+Settings!$B$18))</f>
        <v/>
      </c>
      <c r="I188" s="39">
        <f>IF(B188="","",IFERROR(VLOOKUP(B188,'Vendors &amp; Crew'!$A$5:$D$34,4,FALSE),0))</f>
        <v/>
      </c>
      <c r="J188" s="39">
        <f>IF(B188="","",E188*I188)</f>
        <v/>
      </c>
      <c r="K188" s="59">
        <f>IF(A188="","",A188-WEEKDAY(A188,2)+7)</f>
        <v/>
      </c>
      <c r="L188" s="9">
        <f>IF(B188="","",IF(D188="","Labor",IFERROR(VLOOKUP(D188,Settings!$E$5:$G$28,3,FALSE),"Labor")))</f>
        <v/>
      </c>
      <c r="M188" s="9">
        <f>IF(B188="","",IF(COUNTIF('Vendors &amp; Crew'!$A$5:$A$34,B188)=0,"Worker not in Crew table",IF(C188="","Missing Job ID",IF(COUNTIF(Jobs!$A$5:$A$44,C188)=0,"Unknown Job ID",IF(E188="","Missing hours",IF(A188="","Missing date",""))))))</f>
        <v/>
      </c>
      <c r="N188" s="35" t="n"/>
    </row>
    <row r="189">
      <c r="A189" s="40" t="n"/>
      <c r="B189" s="35" t="n"/>
      <c r="C189" s="35" t="n"/>
      <c r="D189" s="35" t="n"/>
      <c r="E189" s="61" t="n"/>
      <c r="F189" s="37" t="n"/>
      <c r="G189" s="39">
        <f>IF(B189="","",IF(F189&lt;&gt;"",F189,IFERROR(VLOOKUP(B189,'Vendors &amp; Crew'!$A$5:$D$34,3,FALSE),0)))</f>
        <v/>
      </c>
      <c r="H189" s="39">
        <f>IF(B189="","",E189*G189*(1+Settings!$B$18))</f>
        <v/>
      </c>
      <c r="I189" s="39">
        <f>IF(B189="","",IFERROR(VLOOKUP(B189,'Vendors &amp; Crew'!$A$5:$D$34,4,FALSE),0))</f>
        <v/>
      </c>
      <c r="J189" s="39">
        <f>IF(B189="","",E189*I189)</f>
        <v/>
      </c>
      <c r="K189" s="59">
        <f>IF(A189="","",A189-WEEKDAY(A189,2)+7)</f>
        <v/>
      </c>
      <c r="L189" s="9">
        <f>IF(B189="","",IF(D189="","Labor",IFERROR(VLOOKUP(D189,Settings!$E$5:$G$28,3,FALSE),"Labor")))</f>
        <v/>
      </c>
      <c r="M189" s="9">
        <f>IF(B189="","",IF(COUNTIF('Vendors &amp; Crew'!$A$5:$A$34,B189)=0,"Worker not in Crew table",IF(C189="","Missing Job ID",IF(COUNTIF(Jobs!$A$5:$A$44,C189)=0,"Unknown Job ID",IF(E189="","Missing hours",IF(A189="","Missing date",""))))))</f>
        <v/>
      </c>
      <c r="N189" s="35" t="n"/>
    </row>
    <row r="190">
      <c r="A190" s="40" t="n"/>
      <c r="B190" s="35" t="n"/>
      <c r="C190" s="35" t="n"/>
      <c r="D190" s="35" t="n"/>
      <c r="E190" s="61" t="n"/>
      <c r="F190" s="37" t="n"/>
      <c r="G190" s="39">
        <f>IF(B190="","",IF(F190&lt;&gt;"",F190,IFERROR(VLOOKUP(B190,'Vendors &amp; Crew'!$A$5:$D$34,3,FALSE),0)))</f>
        <v/>
      </c>
      <c r="H190" s="39">
        <f>IF(B190="","",E190*G190*(1+Settings!$B$18))</f>
        <v/>
      </c>
      <c r="I190" s="39">
        <f>IF(B190="","",IFERROR(VLOOKUP(B190,'Vendors &amp; Crew'!$A$5:$D$34,4,FALSE),0))</f>
        <v/>
      </c>
      <c r="J190" s="39">
        <f>IF(B190="","",E190*I190)</f>
        <v/>
      </c>
      <c r="K190" s="59">
        <f>IF(A190="","",A190-WEEKDAY(A190,2)+7)</f>
        <v/>
      </c>
      <c r="L190" s="9">
        <f>IF(B190="","",IF(D190="","Labor",IFERROR(VLOOKUP(D190,Settings!$E$5:$G$28,3,FALSE),"Labor")))</f>
        <v/>
      </c>
      <c r="M190" s="9">
        <f>IF(B190="","",IF(COUNTIF('Vendors &amp; Crew'!$A$5:$A$34,B190)=0,"Worker not in Crew table",IF(C190="","Missing Job ID",IF(COUNTIF(Jobs!$A$5:$A$44,C190)=0,"Unknown Job ID",IF(E190="","Missing hours",IF(A190="","Missing date",""))))))</f>
        <v/>
      </c>
      <c r="N190" s="35" t="n"/>
    </row>
    <row r="191">
      <c r="A191" s="40" t="n"/>
      <c r="B191" s="35" t="n"/>
      <c r="C191" s="35" t="n"/>
      <c r="D191" s="35" t="n"/>
      <c r="E191" s="61" t="n"/>
      <c r="F191" s="37" t="n"/>
      <c r="G191" s="39">
        <f>IF(B191="","",IF(F191&lt;&gt;"",F191,IFERROR(VLOOKUP(B191,'Vendors &amp; Crew'!$A$5:$D$34,3,FALSE),0)))</f>
        <v/>
      </c>
      <c r="H191" s="39">
        <f>IF(B191="","",E191*G191*(1+Settings!$B$18))</f>
        <v/>
      </c>
      <c r="I191" s="39">
        <f>IF(B191="","",IFERROR(VLOOKUP(B191,'Vendors &amp; Crew'!$A$5:$D$34,4,FALSE),0))</f>
        <v/>
      </c>
      <c r="J191" s="39">
        <f>IF(B191="","",E191*I191)</f>
        <v/>
      </c>
      <c r="K191" s="59">
        <f>IF(A191="","",A191-WEEKDAY(A191,2)+7)</f>
        <v/>
      </c>
      <c r="L191" s="9">
        <f>IF(B191="","",IF(D191="","Labor",IFERROR(VLOOKUP(D191,Settings!$E$5:$G$28,3,FALSE),"Labor")))</f>
        <v/>
      </c>
      <c r="M191" s="9">
        <f>IF(B191="","",IF(COUNTIF('Vendors &amp; Crew'!$A$5:$A$34,B191)=0,"Worker not in Crew table",IF(C191="","Missing Job ID",IF(COUNTIF(Jobs!$A$5:$A$44,C191)=0,"Unknown Job ID",IF(E191="","Missing hours",IF(A191="","Missing date",""))))))</f>
        <v/>
      </c>
      <c r="N191" s="35" t="n"/>
    </row>
    <row r="192">
      <c r="A192" s="40" t="n"/>
      <c r="B192" s="35" t="n"/>
      <c r="C192" s="35" t="n"/>
      <c r="D192" s="35" t="n"/>
      <c r="E192" s="61" t="n"/>
      <c r="F192" s="37" t="n"/>
      <c r="G192" s="39">
        <f>IF(B192="","",IF(F192&lt;&gt;"",F192,IFERROR(VLOOKUP(B192,'Vendors &amp; Crew'!$A$5:$D$34,3,FALSE),0)))</f>
        <v/>
      </c>
      <c r="H192" s="39">
        <f>IF(B192="","",E192*G192*(1+Settings!$B$18))</f>
        <v/>
      </c>
      <c r="I192" s="39">
        <f>IF(B192="","",IFERROR(VLOOKUP(B192,'Vendors &amp; Crew'!$A$5:$D$34,4,FALSE),0))</f>
        <v/>
      </c>
      <c r="J192" s="39">
        <f>IF(B192="","",E192*I192)</f>
        <v/>
      </c>
      <c r="K192" s="59">
        <f>IF(A192="","",A192-WEEKDAY(A192,2)+7)</f>
        <v/>
      </c>
      <c r="L192" s="9">
        <f>IF(B192="","",IF(D192="","Labor",IFERROR(VLOOKUP(D192,Settings!$E$5:$G$28,3,FALSE),"Labor")))</f>
        <v/>
      </c>
      <c r="M192" s="9">
        <f>IF(B192="","",IF(COUNTIF('Vendors &amp; Crew'!$A$5:$A$34,B192)=0,"Worker not in Crew table",IF(C192="","Missing Job ID",IF(COUNTIF(Jobs!$A$5:$A$44,C192)=0,"Unknown Job ID",IF(E192="","Missing hours",IF(A192="","Missing date",""))))))</f>
        <v/>
      </c>
      <c r="N192" s="35" t="n"/>
    </row>
    <row r="193">
      <c r="A193" s="40" t="n"/>
      <c r="B193" s="35" t="n"/>
      <c r="C193" s="35" t="n"/>
      <c r="D193" s="35" t="n"/>
      <c r="E193" s="61" t="n"/>
      <c r="F193" s="37" t="n"/>
      <c r="G193" s="39">
        <f>IF(B193="","",IF(F193&lt;&gt;"",F193,IFERROR(VLOOKUP(B193,'Vendors &amp; Crew'!$A$5:$D$34,3,FALSE),0)))</f>
        <v/>
      </c>
      <c r="H193" s="39">
        <f>IF(B193="","",E193*G193*(1+Settings!$B$18))</f>
        <v/>
      </c>
      <c r="I193" s="39">
        <f>IF(B193="","",IFERROR(VLOOKUP(B193,'Vendors &amp; Crew'!$A$5:$D$34,4,FALSE),0))</f>
        <v/>
      </c>
      <c r="J193" s="39">
        <f>IF(B193="","",E193*I193)</f>
        <v/>
      </c>
      <c r="K193" s="59">
        <f>IF(A193="","",A193-WEEKDAY(A193,2)+7)</f>
        <v/>
      </c>
      <c r="L193" s="9">
        <f>IF(B193="","",IF(D193="","Labor",IFERROR(VLOOKUP(D193,Settings!$E$5:$G$28,3,FALSE),"Labor")))</f>
        <v/>
      </c>
      <c r="M193" s="9">
        <f>IF(B193="","",IF(COUNTIF('Vendors &amp; Crew'!$A$5:$A$34,B193)=0,"Worker not in Crew table",IF(C193="","Missing Job ID",IF(COUNTIF(Jobs!$A$5:$A$44,C193)=0,"Unknown Job ID",IF(E193="","Missing hours",IF(A193="","Missing date",""))))))</f>
        <v/>
      </c>
      <c r="N193" s="35" t="n"/>
    </row>
    <row r="194">
      <c r="A194" s="40" t="n"/>
      <c r="B194" s="35" t="n"/>
      <c r="C194" s="35" t="n"/>
      <c r="D194" s="35" t="n"/>
      <c r="E194" s="61" t="n"/>
      <c r="F194" s="37" t="n"/>
      <c r="G194" s="39">
        <f>IF(B194="","",IF(F194&lt;&gt;"",F194,IFERROR(VLOOKUP(B194,'Vendors &amp; Crew'!$A$5:$D$34,3,FALSE),0)))</f>
        <v/>
      </c>
      <c r="H194" s="39">
        <f>IF(B194="","",E194*G194*(1+Settings!$B$18))</f>
        <v/>
      </c>
      <c r="I194" s="39">
        <f>IF(B194="","",IFERROR(VLOOKUP(B194,'Vendors &amp; Crew'!$A$5:$D$34,4,FALSE),0))</f>
        <v/>
      </c>
      <c r="J194" s="39">
        <f>IF(B194="","",E194*I194)</f>
        <v/>
      </c>
      <c r="K194" s="59">
        <f>IF(A194="","",A194-WEEKDAY(A194,2)+7)</f>
        <v/>
      </c>
      <c r="L194" s="9">
        <f>IF(B194="","",IF(D194="","Labor",IFERROR(VLOOKUP(D194,Settings!$E$5:$G$28,3,FALSE),"Labor")))</f>
        <v/>
      </c>
      <c r="M194" s="9">
        <f>IF(B194="","",IF(COUNTIF('Vendors &amp; Crew'!$A$5:$A$34,B194)=0,"Worker not in Crew table",IF(C194="","Missing Job ID",IF(COUNTIF(Jobs!$A$5:$A$44,C194)=0,"Unknown Job ID",IF(E194="","Missing hours",IF(A194="","Missing date",""))))))</f>
        <v/>
      </c>
      <c r="N194" s="35" t="n"/>
    </row>
    <row r="195">
      <c r="A195" s="40" t="n"/>
      <c r="B195" s="35" t="n"/>
      <c r="C195" s="35" t="n"/>
      <c r="D195" s="35" t="n"/>
      <c r="E195" s="61" t="n"/>
      <c r="F195" s="37" t="n"/>
      <c r="G195" s="39">
        <f>IF(B195="","",IF(F195&lt;&gt;"",F195,IFERROR(VLOOKUP(B195,'Vendors &amp; Crew'!$A$5:$D$34,3,FALSE),0)))</f>
        <v/>
      </c>
      <c r="H195" s="39">
        <f>IF(B195="","",E195*G195*(1+Settings!$B$18))</f>
        <v/>
      </c>
      <c r="I195" s="39">
        <f>IF(B195="","",IFERROR(VLOOKUP(B195,'Vendors &amp; Crew'!$A$5:$D$34,4,FALSE),0))</f>
        <v/>
      </c>
      <c r="J195" s="39">
        <f>IF(B195="","",E195*I195)</f>
        <v/>
      </c>
      <c r="K195" s="59">
        <f>IF(A195="","",A195-WEEKDAY(A195,2)+7)</f>
        <v/>
      </c>
      <c r="L195" s="9">
        <f>IF(B195="","",IF(D195="","Labor",IFERROR(VLOOKUP(D195,Settings!$E$5:$G$28,3,FALSE),"Labor")))</f>
        <v/>
      </c>
      <c r="M195" s="9">
        <f>IF(B195="","",IF(COUNTIF('Vendors &amp; Crew'!$A$5:$A$34,B195)=0,"Worker not in Crew table",IF(C195="","Missing Job ID",IF(COUNTIF(Jobs!$A$5:$A$44,C195)=0,"Unknown Job ID",IF(E195="","Missing hours",IF(A195="","Missing date",""))))))</f>
        <v/>
      </c>
      <c r="N195" s="35" t="n"/>
    </row>
    <row r="196">
      <c r="A196" s="40" t="n"/>
      <c r="B196" s="35" t="n"/>
      <c r="C196" s="35" t="n"/>
      <c r="D196" s="35" t="n"/>
      <c r="E196" s="61" t="n"/>
      <c r="F196" s="37" t="n"/>
      <c r="G196" s="39">
        <f>IF(B196="","",IF(F196&lt;&gt;"",F196,IFERROR(VLOOKUP(B196,'Vendors &amp; Crew'!$A$5:$D$34,3,FALSE),0)))</f>
        <v/>
      </c>
      <c r="H196" s="39">
        <f>IF(B196="","",E196*G196*(1+Settings!$B$18))</f>
        <v/>
      </c>
      <c r="I196" s="39">
        <f>IF(B196="","",IFERROR(VLOOKUP(B196,'Vendors &amp; Crew'!$A$5:$D$34,4,FALSE),0))</f>
        <v/>
      </c>
      <c r="J196" s="39">
        <f>IF(B196="","",E196*I196)</f>
        <v/>
      </c>
      <c r="K196" s="59">
        <f>IF(A196="","",A196-WEEKDAY(A196,2)+7)</f>
        <v/>
      </c>
      <c r="L196" s="9">
        <f>IF(B196="","",IF(D196="","Labor",IFERROR(VLOOKUP(D196,Settings!$E$5:$G$28,3,FALSE),"Labor")))</f>
        <v/>
      </c>
      <c r="M196" s="9">
        <f>IF(B196="","",IF(COUNTIF('Vendors &amp; Crew'!$A$5:$A$34,B196)=0,"Worker not in Crew table",IF(C196="","Missing Job ID",IF(COUNTIF(Jobs!$A$5:$A$44,C196)=0,"Unknown Job ID",IF(E196="","Missing hours",IF(A196="","Missing date",""))))))</f>
        <v/>
      </c>
      <c r="N196" s="35" t="n"/>
    </row>
    <row r="197">
      <c r="A197" s="40" t="n"/>
      <c r="B197" s="35" t="n"/>
      <c r="C197" s="35" t="n"/>
      <c r="D197" s="35" t="n"/>
      <c r="E197" s="61" t="n"/>
      <c r="F197" s="37" t="n"/>
      <c r="G197" s="39">
        <f>IF(B197="","",IF(F197&lt;&gt;"",F197,IFERROR(VLOOKUP(B197,'Vendors &amp; Crew'!$A$5:$D$34,3,FALSE),0)))</f>
        <v/>
      </c>
      <c r="H197" s="39">
        <f>IF(B197="","",E197*G197*(1+Settings!$B$18))</f>
        <v/>
      </c>
      <c r="I197" s="39">
        <f>IF(B197="","",IFERROR(VLOOKUP(B197,'Vendors &amp; Crew'!$A$5:$D$34,4,FALSE),0))</f>
        <v/>
      </c>
      <c r="J197" s="39">
        <f>IF(B197="","",E197*I197)</f>
        <v/>
      </c>
      <c r="K197" s="59">
        <f>IF(A197="","",A197-WEEKDAY(A197,2)+7)</f>
        <v/>
      </c>
      <c r="L197" s="9">
        <f>IF(B197="","",IF(D197="","Labor",IFERROR(VLOOKUP(D197,Settings!$E$5:$G$28,3,FALSE),"Labor")))</f>
        <v/>
      </c>
      <c r="M197" s="9">
        <f>IF(B197="","",IF(COUNTIF('Vendors &amp; Crew'!$A$5:$A$34,B197)=0,"Worker not in Crew table",IF(C197="","Missing Job ID",IF(COUNTIF(Jobs!$A$5:$A$44,C197)=0,"Unknown Job ID",IF(E197="","Missing hours",IF(A197="","Missing date",""))))))</f>
        <v/>
      </c>
      <c r="N197" s="35" t="n"/>
    </row>
    <row r="198">
      <c r="A198" s="40" t="n"/>
      <c r="B198" s="35" t="n"/>
      <c r="C198" s="35" t="n"/>
      <c r="D198" s="35" t="n"/>
      <c r="E198" s="61" t="n"/>
      <c r="F198" s="37" t="n"/>
      <c r="G198" s="39">
        <f>IF(B198="","",IF(F198&lt;&gt;"",F198,IFERROR(VLOOKUP(B198,'Vendors &amp; Crew'!$A$5:$D$34,3,FALSE),0)))</f>
        <v/>
      </c>
      <c r="H198" s="39">
        <f>IF(B198="","",E198*G198*(1+Settings!$B$18))</f>
        <v/>
      </c>
      <c r="I198" s="39">
        <f>IF(B198="","",IFERROR(VLOOKUP(B198,'Vendors &amp; Crew'!$A$5:$D$34,4,FALSE),0))</f>
        <v/>
      </c>
      <c r="J198" s="39">
        <f>IF(B198="","",E198*I198)</f>
        <v/>
      </c>
      <c r="K198" s="59">
        <f>IF(A198="","",A198-WEEKDAY(A198,2)+7)</f>
        <v/>
      </c>
      <c r="L198" s="9">
        <f>IF(B198="","",IF(D198="","Labor",IFERROR(VLOOKUP(D198,Settings!$E$5:$G$28,3,FALSE),"Labor")))</f>
        <v/>
      </c>
      <c r="M198" s="9">
        <f>IF(B198="","",IF(COUNTIF('Vendors &amp; Crew'!$A$5:$A$34,B198)=0,"Worker not in Crew table",IF(C198="","Missing Job ID",IF(COUNTIF(Jobs!$A$5:$A$44,C198)=0,"Unknown Job ID",IF(E198="","Missing hours",IF(A198="","Missing date",""))))))</f>
        <v/>
      </c>
      <c r="N198" s="35" t="n"/>
    </row>
    <row r="199">
      <c r="A199" s="40" t="n"/>
      <c r="B199" s="35" t="n"/>
      <c r="C199" s="35" t="n"/>
      <c r="D199" s="35" t="n"/>
      <c r="E199" s="61" t="n"/>
      <c r="F199" s="37" t="n"/>
      <c r="G199" s="39">
        <f>IF(B199="","",IF(F199&lt;&gt;"",F199,IFERROR(VLOOKUP(B199,'Vendors &amp; Crew'!$A$5:$D$34,3,FALSE),0)))</f>
        <v/>
      </c>
      <c r="H199" s="39">
        <f>IF(B199="","",E199*G199*(1+Settings!$B$18))</f>
        <v/>
      </c>
      <c r="I199" s="39">
        <f>IF(B199="","",IFERROR(VLOOKUP(B199,'Vendors &amp; Crew'!$A$5:$D$34,4,FALSE),0))</f>
        <v/>
      </c>
      <c r="J199" s="39">
        <f>IF(B199="","",E199*I199)</f>
        <v/>
      </c>
      <c r="K199" s="59">
        <f>IF(A199="","",A199-WEEKDAY(A199,2)+7)</f>
        <v/>
      </c>
      <c r="L199" s="9">
        <f>IF(B199="","",IF(D199="","Labor",IFERROR(VLOOKUP(D199,Settings!$E$5:$G$28,3,FALSE),"Labor")))</f>
        <v/>
      </c>
      <c r="M199" s="9">
        <f>IF(B199="","",IF(COUNTIF('Vendors &amp; Crew'!$A$5:$A$34,B199)=0,"Worker not in Crew table",IF(C199="","Missing Job ID",IF(COUNTIF(Jobs!$A$5:$A$44,C199)=0,"Unknown Job ID",IF(E199="","Missing hours",IF(A199="","Missing date",""))))))</f>
        <v/>
      </c>
      <c r="N199" s="35" t="n"/>
    </row>
    <row r="200">
      <c r="A200" s="40" t="n"/>
      <c r="B200" s="35" t="n"/>
      <c r="C200" s="35" t="n"/>
      <c r="D200" s="35" t="n"/>
      <c r="E200" s="61" t="n"/>
      <c r="F200" s="37" t="n"/>
      <c r="G200" s="39">
        <f>IF(B200="","",IF(F200&lt;&gt;"",F200,IFERROR(VLOOKUP(B200,'Vendors &amp; Crew'!$A$5:$D$34,3,FALSE),0)))</f>
        <v/>
      </c>
      <c r="H200" s="39">
        <f>IF(B200="","",E200*G200*(1+Settings!$B$18))</f>
        <v/>
      </c>
      <c r="I200" s="39">
        <f>IF(B200="","",IFERROR(VLOOKUP(B200,'Vendors &amp; Crew'!$A$5:$D$34,4,FALSE),0))</f>
        <v/>
      </c>
      <c r="J200" s="39">
        <f>IF(B200="","",E200*I200)</f>
        <v/>
      </c>
      <c r="K200" s="59">
        <f>IF(A200="","",A200-WEEKDAY(A200,2)+7)</f>
        <v/>
      </c>
      <c r="L200" s="9">
        <f>IF(B200="","",IF(D200="","Labor",IFERROR(VLOOKUP(D200,Settings!$E$5:$G$28,3,FALSE),"Labor")))</f>
        <v/>
      </c>
      <c r="M200" s="9">
        <f>IF(B200="","",IF(COUNTIF('Vendors &amp; Crew'!$A$5:$A$34,B200)=0,"Worker not in Crew table",IF(C200="","Missing Job ID",IF(COUNTIF(Jobs!$A$5:$A$44,C200)=0,"Unknown Job ID",IF(E200="","Missing hours",IF(A200="","Missing date",""))))))</f>
        <v/>
      </c>
      <c r="N200" s="35" t="n"/>
    </row>
    <row r="201">
      <c r="A201" s="40" t="n"/>
      <c r="B201" s="35" t="n"/>
      <c r="C201" s="35" t="n"/>
      <c r="D201" s="35" t="n"/>
      <c r="E201" s="61" t="n"/>
      <c r="F201" s="37" t="n"/>
      <c r="G201" s="39">
        <f>IF(B201="","",IF(F201&lt;&gt;"",F201,IFERROR(VLOOKUP(B201,'Vendors &amp; Crew'!$A$5:$D$34,3,FALSE),0)))</f>
        <v/>
      </c>
      <c r="H201" s="39">
        <f>IF(B201="","",E201*G201*(1+Settings!$B$18))</f>
        <v/>
      </c>
      <c r="I201" s="39">
        <f>IF(B201="","",IFERROR(VLOOKUP(B201,'Vendors &amp; Crew'!$A$5:$D$34,4,FALSE),0))</f>
        <v/>
      </c>
      <c r="J201" s="39">
        <f>IF(B201="","",E201*I201)</f>
        <v/>
      </c>
      <c r="K201" s="59">
        <f>IF(A201="","",A201-WEEKDAY(A201,2)+7)</f>
        <v/>
      </c>
      <c r="L201" s="9">
        <f>IF(B201="","",IF(D201="","Labor",IFERROR(VLOOKUP(D201,Settings!$E$5:$G$28,3,FALSE),"Labor")))</f>
        <v/>
      </c>
      <c r="M201" s="9">
        <f>IF(B201="","",IF(COUNTIF('Vendors &amp; Crew'!$A$5:$A$34,B201)=0,"Worker not in Crew table",IF(C201="","Missing Job ID",IF(COUNTIF(Jobs!$A$5:$A$44,C201)=0,"Unknown Job ID",IF(E201="","Missing hours",IF(A201="","Missing date",""))))))</f>
        <v/>
      </c>
      <c r="N201" s="35" t="n"/>
    </row>
    <row r="202">
      <c r="A202" s="40" t="n"/>
      <c r="B202" s="35" t="n"/>
      <c r="C202" s="35" t="n"/>
      <c r="D202" s="35" t="n"/>
      <c r="E202" s="61" t="n"/>
      <c r="F202" s="37" t="n"/>
      <c r="G202" s="39">
        <f>IF(B202="","",IF(F202&lt;&gt;"",F202,IFERROR(VLOOKUP(B202,'Vendors &amp; Crew'!$A$5:$D$34,3,FALSE),0)))</f>
        <v/>
      </c>
      <c r="H202" s="39">
        <f>IF(B202="","",E202*G202*(1+Settings!$B$18))</f>
        <v/>
      </c>
      <c r="I202" s="39">
        <f>IF(B202="","",IFERROR(VLOOKUP(B202,'Vendors &amp; Crew'!$A$5:$D$34,4,FALSE),0))</f>
        <v/>
      </c>
      <c r="J202" s="39">
        <f>IF(B202="","",E202*I202)</f>
        <v/>
      </c>
      <c r="K202" s="59">
        <f>IF(A202="","",A202-WEEKDAY(A202,2)+7)</f>
        <v/>
      </c>
      <c r="L202" s="9">
        <f>IF(B202="","",IF(D202="","Labor",IFERROR(VLOOKUP(D202,Settings!$E$5:$G$28,3,FALSE),"Labor")))</f>
        <v/>
      </c>
      <c r="M202" s="9">
        <f>IF(B202="","",IF(COUNTIF('Vendors &amp; Crew'!$A$5:$A$34,B202)=0,"Worker not in Crew table",IF(C202="","Missing Job ID",IF(COUNTIF(Jobs!$A$5:$A$44,C202)=0,"Unknown Job ID",IF(E202="","Missing hours",IF(A202="","Missing date",""))))))</f>
        <v/>
      </c>
      <c r="N202" s="35" t="n"/>
    </row>
    <row r="203">
      <c r="A203" s="40" t="n"/>
      <c r="B203" s="35" t="n"/>
      <c r="C203" s="35" t="n"/>
      <c r="D203" s="35" t="n"/>
      <c r="E203" s="61" t="n"/>
      <c r="F203" s="37" t="n"/>
      <c r="G203" s="39">
        <f>IF(B203="","",IF(F203&lt;&gt;"",F203,IFERROR(VLOOKUP(B203,'Vendors &amp; Crew'!$A$5:$D$34,3,FALSE),0)))</f>
        <v/>
      </c>
      <c r="H203" s="39">
        <f>IF(B203="","",E203*G203*(1+Settings!$B$18))</f>
        <v/>
      </c>
      <c r="I203" s="39">
        <f>IF(B203="","",IFERROR(VLOOKUP(B203,'Vendors &amp; Crew'!$A$5:$D$34,4,FALSE),0))</f>
        <v/>
      </c>
      <c r="J203" s="39">
        <f>IF(B203="","",E203*I203)</f>
        <v/>
      </c>
      <c r="K203" s="59">
        <f>IF(A203="","",A203-WEEKDAY(A203,2)+7)</f>
        <v/>
      </c>
      <c r="L203" s="9">
        <f>IF(B203="","",IF(D203="","Labor",IFERROR(VLOOKUP(D203,Settings!$E$5:$G$28,3,FALSE),"Labor")))</f>
        <v/>
      </c>
      <c r="M203" s="9">
        <f>IF(B203="","",IF(COUNTIF('Vendors &amp; Crew'!$A$5:$A$34,B203)=0,"Worker not in Crew table",IF(C203="","Missing Job ID",IF(COUNTIF(Jobs!$A$5:$A$44,C203)=0,"Unknown Job ID",IF(E203="","Missing hours",IF(A203="","Missing date",""))))))</f>
        <v/>
      </c>
      <c r="N203" s="35" t="n"/>
    </row>
    <row r="204">
      <c r="A204" s="40" t="n"/>
      <c r="B204" s="35" t="n"/>
      <c r="C204" s="35" t="n"/>
      <c r="D204" s="35" t="n"/>
      <c r="E204" s="61" t="n"/>
      <c r="F204" s="37" t="n"/>
      <c r="G204" s="39">
        <f>IF(B204="","",IF(F204&lt;&gt;"",F204,IFERROR(VLOOKUP(B204,'Vendors &amp; Crew'!$A$5:$D$34,3,FALSE),0)))</f>
        <v/>
      </c>
      <c r="H204" s="39">
        <f>IF(B204="","",E204*G204*(1+Settings!$B$18))</f>
        <v/>
      </c>
      <c r="I204" s="39">
        <f>IF(B204="","",IFERROR(VLOOKUP(B204,'Vendors &amp; Crew'!$A$5:$D$34,4,FALSE),0))</f>
        <v/>
      </c>
      <c r="J204" s="39">
        <f>IF(B204="","",E204*I204)</f>
        <v/>
      </c>
      <c r="K204" s="59">
        <f>IF(A204="","",A204-WEEKDAY(A204,2)+7)</f>
        <v/>
      </c>
      <c r="L204" s="9">
        <f>IF(B204="","",IF(D204="","Labor",IFERROR(VLOOKUP(D204,Settings!$E$5:$G$28,3,FALSE),"Labor")))</f>
        <v/>
      </c>
      <c r="M204" s="9">
        <f>IF(B204="","",IF(COUNTIF('Vendors &amp; Crew'!$A$5:$A$34,B204)=0,"Worker not in Crew table",IF(C204="","Missing Job ID",IF(COUNTIF(Jobs!$A$5:$A$44,C204)=0,"Unknown Job ID",IF(E204="","Missing hours",IF(A204="","Missing date",""))))))</f>
        <v/>
      </c>
      <c r="N204" s="35" t="n"/>
    </row>
    <row r="205">
      <c r="A205" s="40" t="n"/>
      <c r="B205" s="35" t="n"/>
      <c r="C205" s="35" t="n"/>
      <c r="D205" s="35" t="n"/>
      <c r="E205" s="61" t="n"/>
      <c r="F205" s="37" t="n"/>
      <c r="G205" s="39">
        <f>IF(B205="","",IF(F205&lt;&gt;"",F205,IFERROR(VLOOKUP(B205,'Vendors &amp; Crew'!$A$5:$D$34,3,FALSE),0)))</f>
        <v/>
      </c>
      <c r="H205" s="39">
        <f>IF(B205="","",E205*G205*(1+Settings!$B$18))</f>
        <v/>
      </c>
      <c r="I205" s="39">
        <f>IF(B205="","",IFERROR(VLOOKUP(B205,'Vendors &amp; Crew'!$A$5:$D$34,4,FALSE),0))</f>
        <v/>
      </c>
      <c r="J205" s="39">
        <f>IF(B205="","",E205*I205)</f>
        <v/>
      </c>
      <c r="K205" s="59">
        <f>IF(A205="","",A205-WEEKDAY(A205,2)+7)</f>
        <v/>
      </c>
      <c r="L205" s="9">
        <f>IF(B205="","",IF(D205="","Labor",IFERROR(VLOOKUP(D205,Settings!$E$5:$G$28,3,FALSE),"Labor")))</f>
        <v/>
      </c>
      <c r="M205" s="9">
        <f>IF(B205="","",IF(COUNTIF('Vendors &amp; Crew'!$A$5:$A$34,B205)=0,"Worker not in Crew table",IF(C205="","Missing Job ID",IF(COUNTIF(Jobs!$A$5:$A$44,C205)=0,"Unknown Job ID",IF(E205="","Missing hours",IF(A205="","Missing date",""))))))</f>
        <v/>
      </c>
      <c r="N205" s="35" t="n"/>
    </row>
    <row r="206">
      <c r="A206" s="40" t="n"/>
      <c r="B206" s="35" t="n"/>
      <c r="C206" s="35" t="n"/>
      <c r="D206" s="35" t="n"/>
      <c r="E206" s="61" t="n"/>
      <c r="F206" s="37" t="n"/>
      <c r="G206" s="39">
        <f>IF(B206="","",IF(F206&lt;&gt;"",F206,IFERROR(VLOOKUP(B206,'Vendors &amp; Crew'!$A$5:$D$34,3,FALSE),0)))</f>
        <v/>
      </c>
      <c r="H206" s="39">
        <f>IF(B206="","",E206*G206*(1+Settings!$B$18))</f>
        <v/>
      </c>
      <c r="I206" s="39">
        <f>IF(B206="","",IFERROR(VLOOKUP(B206,'Vendors &amp; Crew'!$A$5:$D$34,4,FALSE),0))</f>
        <v/>
      </c>
      <c r="J206" s="39">
        <f>IF(B206="","",E206*I206)</f>
        <v/>
      </c>
      <c r="K206" s="59">
        <f>IF(A206="","",A206-WEEKDAY(A206,2)+7)</f>
        <v/>
      </c>
      <c r="L206" s="9">
        <f>IF(B206="","",IF(D206="","Labor",IFERROR(VLOOKUP(D206,Settings!$E$5:$G$28,3,FALSE),"Labor")))</f>
        <v/>
      </c>
      <c r="M206" s="9">
        <f>IF(B206="","",IF(COUNTIF('Vendors &amp; Crew'!$A$5:$A$34,B206)=0,"Worker not in Crew table",IF(C206="","Missing Job ID",IF(COUNTIF(Jobs!$A$5:$A$44,C206)=0,"Unknown Job ID",IF(E206="","Missing hours",IF(A206="","Missing date",""))))))</f>
        <v/>
      </c>
      <c r="N206" s="35" t="n"/>
    </row>
    <row r="207">
      <c r="A207" s="40" t="n"/>
      <c r="B207" s="35" t="n"/>
      <c r="C207" s="35" t="n"/>
      <c r="D207" s="35" t="n"/>
      <c r="E207" s="61" t="n"/>
      <c r="F207" s="37" t="n"/>
      <c r="G207" s="39">
        <f>IF(B207="","",IF(F207&lt;&gt;"",F207,IFERROR(VLOOKUP(B207,'Vendors &amp; Crew'!$A$5:$D$34,3,FALSE),0)))</f>
        <v/>
      </c>
      <c r="H207" s="39">
        <f>IF(B207="","",E207*G207*(1+Settings!$B$18))</f>
        <v/>
      </c>
      <c r="I207" s="39">
        <f>IF(B207="","",IFERROR(VLOOKUP(B207,'Vendors &amp; Crew'!$A$5:$D$34,4,FALSE),0))</f>
        <v/>
      </c>
      <c r="J207" s="39">
        <f>IF(B207="","",E207*I207)</f>
        <v/>
      </c>
      <c r="K207" s="59">
        <f>IF(A207="","",A207-WEEKDAY(A207,2)+7)</f>
        <v/>
      </c>
      <c r="L207" s="9">
        <f>IF(B207="","",IF(D207="","Labor",IFERROR(VLOOKUP(D207,Settings!$E$5:$G$28,3,FALSE),"Labor")))</f>
        <v/>
      </c>
      <c r="M207" s="9">
        <f>IF(B207="","",IF(COUNTIF('Vendors &amp; Crew'!$A$5:$A$34,B207)=0,"Worker not in Crew table",IF(C207="","Missing Job ID",IF(COUNTIF(Jobs!$A$5:$A$44,C207)=0,"Unknown Job ID",IF(E207="","Missing hours",IF(A207="","Missing date",""))))))</f>
        <v/>
      </c>
      <c r="N207" s="35" t="n"/>
    </row>
    <row r="208">
      <c r="A208" s="40" t="n"/>
      <c r="B208" s="35" t="n"/>
      <c r="C208" s="35" t="n"/>
      <c r="D208" s="35" t="n"/>
      <c r="E208" s="61" t="n"/>
      <c r="F208" s="37" t="n"/>
      <c r="G208" s="39">
        <f>IF(B208="","",IF(F208&lt;&gt;"",F208,IFERROR(VLOOKUP(B208,'Vendors &amp; Crew'!$A$5:$D$34,3,FALSE),0)))</f>
        <v/>
      </c>
      <c r="H208" s="39">
        <f>IF(B208="","",E208*G208*(1+Settings!$B$18))</f>
        <v/>
      </c>
      <c r="I208" s="39">
        <f>IF(B208="","",IFERROR(VLOOKUP(B208,'Vendors &amp; Crew'!$A$5:$D$34,4,FALSE),0))</f>
        <v/>
      </c>
      <c r="J208" s="39">
        <f>IF(B208="","",E208*I208)</f>
        <v/>
      </c>
      <c r="K208" s="59">
        <f>IF(A208="","",A208-WEEKDAY(A208,2)+7)</f>
        <v/>
      </c>
      <c r="L208" s="9">
        <f>IF(B208="","",IF(D208="","Labor",IFERROR(VLOOKUP(D208,Settings!$E$5:$G$28,3,FALSE),"Labor")))</f>
        <v/>
      </c>
      <c r="M208" s="9">
        <f>IF(B208="","",IF(COUNTIF('Vendors &amp; Crew'!$A$5:$A$34,B208)=0,"Worker not in Crew table",IF(C208="","Missing Job ID",IF(COUNTIF(Jobs!$A$5:$A$44,C208)=0,"Unknown Job ID",IF(E208="","Missing hours",IF(A208="","Missing date",""))))))</f>
        <v/>
      </c>
      <c r="N208" s="35" t="n"/>
    </row>
    <row r="209">
      <c r="A209" s="40" t="n"/>
      <c r="B209" s="35" t="n"/>
      <c r="C209" s="35" t="n"/>
      <c r="D209" s="35" t="n"/>
      <c r="E209" s="61" t="n"/>
      <c r="F209" s="37" t="n"/>
      <c r="G209" s="39">
        <f>IF(B209="","",IF(F209&lt;&gt;"",F209,IFERROR(VLOOKUP(B209,'Vendors &amp; Crew'!$A$5:$D$34,3,FALSE),0)))</f>
        <v/>
      </c>
      <c r="H209" s="39">
        <f>IF(B209="","",E209*G209*(1+Settings!$B$18))</f>
        <v/>
      </c>
      <c r="I209" s="39">
        <f>IF(B209="","",IFERROR(VLOOKUP(B209,'Vendors &amp; Crew'!$A$5:$D$34,4,FALSE),0))</f>
        <v/>
      </c>
      <c r="J209" s="39">
        <f>IF(B209="","",E209*I209)</f>
        <v/>
      </c>
      <c r="K209" s="59">
        <f>IF(A209="","",A209-WEEKDAY(A209,2)+7)</f>
        <v/>
      </c>
      <c r="L209" s="9">
        <f>IF(B209="","",IF(D209="","Labor",IFERROR(VLOOKUP(D209,Settings!$E$5:$G$28,3,FALSE),"Labor")))</f>
        <v/>
      </c>
      <c r="M209" s="9">
        <f>IF(B209="","",IF(COUNTIF('Vendors &amp; Crew'!$A$5:$A$34,B209)=0,"Worker not in Crew table",IF(C209="","Missing Job ID",IF(COUNTIF(Jobs!$A$5:$A$44,C209)=0,"Unknown Job ID",IF(E209="","Missing hours",IF(A209="","Missing date",""))))))</f>
        <v/>
      </c>
      <c r="N209" s="35" t="n"/>
    </row>
    <row r="210">
      <c r="A210" s="40" t="n"/>
      <c r="B210" s="35" t="n"/>
      <c r="C210" s="35" t="n"/>
      <c r="D210" s="35" t="n"/>
      <c r="E210" s="61" t="n"/>
      <c r="F210" s="37" t="n"/>
      <c r="G210" s="39">
        <f>IF(B210="","",IF(F210&lt;&gt;"",F210,IFERROR(VLOOKUP(B210,'Vendors &amp; Crew'!$A$5:$D$34,3,FALSE),0)))</f>
        <v/>
      </c>
      <c r="H210" s="39">
        <f>IF(B210="","",E210*G210*(1+Settings!$B$18))</f>
        <v/>
      </c>
      <c r="I210" s="39">
        <f>IF(B210="","",IFERROR(VLOOKUP(B210,'Vendors &amp; Crew'!$A$5:$D$34,4,FALSE),0))</f>
        <v/>
      </c>
      <c r="J210" s="39">
        <f>IF(B210="","",E210*I210)</f>
        <v/>
      </c>
      <c r="K210" s="59">
        <f>IF(A210="","",A210-WEEKDAY(A210,2)+7)</f>
        <v/>
      </c>
      <c r="L210" s="9">
        <f>IF(B210="","",IF(D210="","Labor",IFERROR(VLOOKUP(D210,Settings!$E$5:$G$28,3,FALSE),"Labor")))</f>
        <v/>
      </c>
      <c r="M210" s="9">
        <f>IF(B210="","",IF(COUNTIF('Vendors &amp; Crew'!$A$5:$A$34,B210)=0,"Worker not in Crew table",IF(C210="","Missing Job ID",IF(COUNTIF(Jobs!$A$5:$A$44,C210)=0,"Unknown Job ID",IF(E210="","Missing hours",IF(A210="","Missing date",""))))))</f>
        <v/>
      </c>
      <c r="N210" s="35" t="n"/>
    </row>
    <row r="211">
      <c r="A211" s="40" t="n"/>
      <c r="B211" s="35" t="n"/>
      <c r="C211" s="35" t="n"/>
      <c r="D211" s="35" t="n"/>
      <c r="E211" s="61" t="n"/>
      <c r="F211" s="37" t="n"/>
      <c r="G211" s="39">
        <f>IF(B211="","",IF(F211&lt;&gt;"",F211,IFERROR(VLOOKUP(B211,'Vendors &amp; Crew'!$A$5:$D$34,3,FALSE),0)))</f>
        <v/>
      </c>
      <c r="H211" s="39">
        <f>IF(B211="","",E211*G211*(1+Settings!$B$18))</f>
        <v/>
      </c>
      <c r="I211" s="39">
        <f>IF(B211="","",IFERROR(VLOOKUP(B211,'Vendors &amp; Crew'!$A$5:$D$34,4,FALSE),0))</f>
        <v/>
      </c>
      <c r="J211" s="39">
        <f>IF(B211="","",E211*I211)</f>
        <v/>
      </c>
      <c r="K211" s="59">
        <f>IF(A211="","",A211-WEEKDAY(A211,2)+7)</f>
        <v/>
      </c>
      <c r="L211" s="9">
        <f>IF(B211="","",IF(D211="","Labor",IFERROR(VLOOKUP(D211,Settings!$E$5:$G$28,3,FALSE),"Labor")))</f>
        <v/>
      </c>
      <c r="M211" s="9">
        <f>IF(B211="","",IF(COUNTIF('Vendors &amp; Crew'!$A$5:$A$34,B211)=0,"Worker not in Crew table",IF(C211="","Missing Job ID",IF(COUNTIF(Jobs!$A$5:$A$44,C211)=0,"Unknown Job ID",IF(E211="","Missing hours",IF(A211="","Missing date",""))))))</f>
        <v/>
      </c>
      <c r="N211" s="35" t="n"/>
    </row>
    <row r="212">
      <c r="A212" s="40" t="n"/>
      <c r="B212" s="35" t="n"/>
      <c r="C212" s="35" t="n"/>
      <c r="D212" s="35" t="n"/>
      <c r="E212" s="61" t="n"/>
      <c r="F212" s="37" t="n"/>
      <c r="G212" s="39">
        <f>IF(B212="","",IF(F212&lt;&gt;"",F212,IFERROR(VLOOKUP(B212,'Vendors &amp; Crew'!$A$5:$D$34,3,FALSE),0)))</f>
        <v/>
      </c>
      <c r="H212" s="39">
        <f>IF(B212="","",E212*G212*(1+Settings!$B$18))</f>
        <v/>
      </c>
      <c r="I212" s="39">
        <f>IF(B212="","",IFERROR(VLOOKUP(B212,'Vendors &amp; Crew'!$A$5:$D$34,4,FALSE),0))</f>
        <v/>
      </c>
      <c r="J212" s="39">
        <f>IF(B212="","",E212*I212)</f>
        <v/>
      </c>
      <c r="K212" s="59">
        <f>IF(A212="","",A212-WEEKDAY(A212,2)+7)</f>
        <v/>
      </c>
      <c r="L212" s="9">
        <f>IF(B212="","",IF(D212="","Labor",IFERROR(VLOOKUP(D212,Settings!$E$5:$G$28,3,FALSE),"Labor")))</f>
        <v/>
      </c>
      <c r="M212" s="9">
        <f>IF(B212="","",IF(COUNTIF('Vendors &amp; Crew'!$A$5:$A$34,B212)=0,"Worker not in Crew table",IF(C212="","Missing Job ID",IF(COUNTIF(Jobs!$A$5:$A$44,C212)=0,"Unknown Job ID",IF(E212="","Missing hours",IF(A212="","Missing date",""))))))</f>
        <v/>
      </c>
      <c r="N212" s="35" t="n"/>
    </row>
    <row r="213">
      <c r="A213" s="40" t="n"/>
      <c r="B213" s="35" t="n"/>
      <c r="C213" s="35" t="n"/>
      <c r="D213" s="35" t="n"/>
      <c r="E213" s="61" t="n"/>
      <c r="F213" s="37" t="n"/>
      <c r="G213" s="39">
        <f>IF(B213="","",IF(F213&lt;&gt;"",F213,IFERROR(VLOOKUP(B213,'Vendors &amp; Crew'!$A$5:$D$34,3,FALSE),0)))</f>
        <v/>
      </c>
      <c r="H213" s="39">
        <f>IF(B213="","",E213*G213*(1+Settings!$B$18))</f>
        <v/>
      </c>
      <c r="I213" s="39">
        <f>IF(B213="","",IFERROR(VLOOKUP(B213,'Vendors &amp; Crew'!$A$5:$D$34,4,FALSE),0))</f>
        <v/>
      </c>
      <c r="J213" s="39">
        <f>IF(B213="","",E213*I213)</f>
        <v/>
      </c>
      <c r="K213" s="59">
        <f>IF(A213="","",A213-WEEKDAY(A213,2)+7)</f>
        <v/>
      </c>
      <c r="L213" s="9">
        <f>IF(B213="","",IF(D213="","Labor",IFERROR(VLOOKUP(D213,Settings!$E$5:$G$28,3,FALSE),"Labor")))</f>
        <v/>
      </c>
      <c r="M213" s="9">
        <f>IF(B213="","",IF(COUNTIF('Vendors &amp; Crew'!$A$5:$A$34,B213)=0,"Worker not in Crew table",IF(C213="","Missing Job ID",IF(COUNTIF(Jobs!$A$5:$A$44,C213)=0,"Unknown Job ID",IF(E213="","Missing hours",IF(A213="","Missing date",""))))))</f>
        <v/>
      </c>
      <c r="N213" s="35" t="n"/>
    </row>
    <row r="214">
      <c r="A214" s="40" t="n"/>
      <c r="B214" s="35" t="n"/>
      <c r="C214" s="35" t="n"/>
      <c r="D214" s="35" t="n"/>
      <c r="E214" s="61" t="n"/>
      <c r="F214" s="37" t="n"/>
      <c r="G214" s="39">
        <f>IF(B214="","",IF(F214&lt;&gt;"",F214,IFERROR(VLOOKUP(B214,'Vendors &amp; Crew'!$A$5:$D$34,3,FALSE),0)))</f>
        <v/>
      </c>
      <c r="H214" s="39">
        <f>IF(B214="","",E214*G214*(1+Settings!$B$18))</f>
        <v/>
      </c>
      <c r="I214" s="39">
        <f>IF(B214="","",IFERROR(VLOOKUP(B214,'Vendors &amp; Crew'!$A$5:$D$34,4,FALSE),0))</f>
        <v/>
      </c>
      <c r="J214" s="39">
        <f>IF(B214="","",E214*I214)</f>
        <v/>
      </c>
      <c r="K214" s="59">
        <f>IF(A214="","",A214-WEEKDAY(A214,2)+7)</f>
        <v/>
      </c>
      <c r="L214" s="9">
        <f>IF(B214="","",IF(D214="","Labor",IFERROR(VLOOKUP(D214,Settings!$E$5:$G$28,3,FALSE),"Labor")))</f>
        <v/>
      </c>
      <c r="M214" s="9">
        <f>IF(B214="","",IF(COUNTIF('Vendors &amp; Crew'!$A$5:$A$34,B214)=0,"Worker not in Crew table",IF(C214="","Missing Job ID",IF(COUNTIF(Jobs!$A$5:$A$44,C214)=0,"Unknown Job ID",IF(E214="","Missing hours",IF(A214="","Missing date",""))))))</f>
        <v/>
      </c>
      <c r="N214" s="35" t="n"/>
    </row>
    <row r="215">
      <c r="A215" s="40" t="n"/>
      <c r="B215" s="35" t="n"/>
      <c r="C215" s="35" t="n"/>
      <c r="D215" s="35" t="n"/>
      <c r="E215" s="61" t="n"/>
      <c r="F215" s="37" t="n"/>
      <c r="G215" s="39">
        <f>IF(B215="","",IF(F215&lt;&gt;"",F215,IFERROR(VLOOKUP(B215,'Vendors &amp; Crew'!$A$5:$D$34,3,FALSE),0)))</f>
        <v/>
      </c>
      <c r="H215" s="39">
        <f>IF(B215="","",E215*G215*(1+Settings!$B$18))</f>
        <v/>
      </c>
      <c r="I215" s="39">
        <f>IF(B215="","",IFERROR(VLOOKUP(B215,'Vendors &amp; Crew'!$A$5:$D$34,4,FALSE),0))</f>
        <v/>
      </c>
      <c r="J215" s="39">
        <f>IF(B215="","",E215*I215)</f>
        <v/>
      </c>
      <c r="K215" s="59">
        <f>IF(A215="","",A215-WEEKDAY(A215,2)+7)</f>
        <v/>
      </c>
      <c r="L215" s="9">
        <f>IF(B215="","",IF(D215="","Labor",IFERROR(VLOOKUP(D215,Settings!$E$5:$G$28,3,FALSE),"Labor")))</f>
        <v/>
      </c>
      <c r="M215" s="9">
        <f>IF(B215="","",IF(COUNTIF('Vendors &amp; Crew'!$A$5:$A$34,B215)=0,"Worker not in Crew table",IF(C215="","Missing Job ID",IF(COUNTIF(Jobs!$A$5:$A$44,C215)=0,"Unknown Job ID",IF(E215="","Missing hours",IF(A215="","Missing date",""))))))</f>
        <v/>
      </c>
      <c r="N215" s="35" t="n"/>
    </row>
    <row r="216">
      <c r="A216" s="40" t="n"/>
      <c r="B216" s="35" t="n"/>
      <c r="C216" s="35" t="n"/>
      <c r="D216" s="35" t="n"/>
      <c r="E216" s="61" t="n"/>
      <c r="F216" s="37" t="n"/>
      <c r="G216" s="39">
        <f>IF(B216="","",IF(F216&lt;&gt;"",F216,IFERROR(VLOOKUP(B216,'Vendors &amp; Crew'!$A$5:$D$34,3,FALSE),0)))</f>
        <v/>
      </c>
      <c r="H216" s="39">
        <f>IF(B216="","",E216*G216*(1+Settings!$B$18))</f>
        <v/>
      </c>
      <c r="I216" s="39">
        <f>IF(B216="","",IFERROR(VLOOKUP(B216,'Vendors &amp; Crew'!$A$5:$D$34,4,FALSE),0))</f>
        <v/>
      </c>
      <c r="J216" s="39">
        <f>IF(B216="","",E216*I216)</f>
        <v/>
      </c>
      <c r="K216" s="59">
        <f>IF(A216="","",A216-WEEKDAY(A216,2)+7)</f>
        <v/>
      </c>
      <c r="L216" s="9">
        <f>IF(B216="","",IF(D216="","Labor",IFERROR(VLOOKUP(D216,Settings!$E$5:$G$28,3,FALSE),"Labor")))</f>
        <v/>
      </c>
      <c r="M216" s="9">
        <f>IF(B216="","",IF(COUNTIF('Vendors &amp; Crew'!$A$5:$A$34,B216)=0,"Worker not in Crew table",IF(C216="","Missing Job ID",IF(COUNTIF(Jobs!$A$5:$A$44,C216)=0,"Unknown Job ID",IF(E216="","Missing hours",IF(A216="","Missing date",""))))))</f>
        <v/>
      </c>
      <c r="N216" s="35" t="n"/>
    </row>
    <row r="217">
      <c r="A217" s="40" t="n"/>
      <c r="B217" s="35" t="n"/>
      <c r="C217" s="35" t="n"/>
      <c r="D217" s="35" t="n"/>
      <c r="E217" s="61" t="n"/>
      <c r="F217" s="37" t="n"/>
      <c r="G217" s="39">
        <f>IF(B217="","",IF(F217&lt;&gt;"",F217,IFERROR(VLOOKUP(B217,'Vendors &amp; Crew'!$A$5:$D$34,3,FALSE),0)))</f>
        <v/>
      </c>
      <c r="H217" s="39">
        <f>IF(B217="","",E217*G217*(1+Settings!$B$18))</f>
        <v/>
      </c>
      <c r="I217" s="39">
        <f>IF(B217="","",IFERROR(VLOOKUP(B217,'Vendors &amp; Crew'!$A$5:$D$34,4,FALSE),0))</f>
        <v/>
      </c>
      <c r="J217" s="39">
        <f>IF(B217="","",E217*I217)</f>
        <v/>
      </c>
      <c r="K217" s="59">
        <f>IF(A217="","",A217-WEEKDAY(A217,2)+7)</f>
        <v/>
      </c>
      <c r="L217" s="9">
        <f>IF(B217="","",IF(D217="","Labor",IFERROR(VLOOKUP(D217,Settings!$E$5:$G$28,3,FALSE),"Labor")))</f>
        <v/>
      </c>
      <c r="M217" s="9">
        <f>IF(B217="","",IF(COUNTIF('Vendors &amp; Crew'!$A$5:$A$34,B217)=0,"Worker not in Crew table",IF(C217="","Missing Job ID",IF(COUNTIF(Jobs!$A$5:$A$44,C217)=0,"Unknown Job ID",IF(E217="","Missing hours",IF(A217="","Missing date",""))))))</f>
        <v/>
      </c>
      <c r="N217" s="35" t="n"/>
    </row>
    <row r="218">
      <c r="A218" s="40" t="n"/>
      <c r="B218" s="35" t="n"/>
      <c r="C218" s="35" t="n"/>
      <c r="D218" s="35" t="n"/>
      <c r="E218" s="61" t="n"/>
      <c r="F218" s="37" t="n"/>
      <c r="G218" s="39">
        <f>IF(B218="","",IF(F218&lt;&gt;"",F218,IFERROR(VLOOKUP(B218,'Vendors &amp; Crew'!$A$5:$D$34,3,FALSE),0)))</f>
        <v/>
      </c>
      <c r="H218" s="39">
        <f>IF(B218="","",E218*G218*(1+Settings!$B$18))</f>
        <v/>
      </c>
      <c r="I218" s="39">
        <f>IF(B218="","",IFERROR(VLOOKUP(B218,'Vendors &amp; Crew'!$A$5:$D$34,4,FALSE),0))</f>
        <v/>
      </c>
      <c r="J218" s="39">
        <f>IF(B218="","",E218*I218)</f>
        <v/>
      </c>
      <c r="K218" s="59">
        <f>IF(A218="","",A218-WEEKDAY(A218,2)+7)</f>
        <v/>
      </c>
      <c r="L218" s="9">
        <f>IF(B218="","",IF(D218="","Labor",IFERROR(VLOOKUP(D218,Settings!$E$5:$G$28,3,FALSE),"Labor")))</f>
        <v/>
      </c>
      <c r="M218" s="9">
        <f>IF(B218="","",IF(COUNTIF('Vendors &amp; Crew'!$A$5:$A$34,B218)=0,"Worker not in Crew table",IF(C218="","Missing Job ID",IF(COUNTIF(Jobs!$A$5:$A$44,C218)=0,"Unknown Job ID",IF(E218="","Missing hours",IF(A218="","Missing date",""))))))</f>
        <v/>
      </c>
      <c r="N218" s="35" t="n"/>
    </row>
    <row r="219">
      <c r="A219" s="40" t="n"/>
      <c r="B219" s="35" t="n"/>
      <c r="C219" s="35" t="n"/>
      <c r="D219" s="35" t="n"/>
      <c r="E219" s="61" t="n"/>
      <c r="F219" s="37" t="n"/>
      <c r="G219" s="39">
        <f>IF(B219="","",IF(F219&lt;&gt;"",F219,IFERROR(VLOOKUP(B219,'Vendors &amp; Crew'!$A$5:$D$34,3,FALSE),0)))</f>
        <v/>
      </c>
      <c r="H219" s="39">
        <f>IF(B219="","",E219*G219*(1+Settings!$B$18))</f>
        <v/>
      </c>
      <c r="I219" s="39">
        <f>IF(B219="","",IFERROR(VLOOKUP(B219,'Vendors &amp; Crew'!$A$5:$D$34,4,FALSE),0))</f>
        <v/>
      </c>
      <c r="J219" s="39">
        <f>IF(B219="","",E219*I219)</f>
        <v/>
      </c>
      <c r="K219" s="59">
        <f>IF(A219="","",A219-WEEKDAY(A219,2)+7)</f>
        <v/>
      </c>
      <c r="L219" s="9">
        <f>IF(B219="","",IF(D219="","Labor",IFERROR(VLOOKUP(D219,Settings!$E$5:$G$28,3,FALSE),"Labor")))</f>
        <v/>
      </c>
      <c r="M219" s="9">
        <f>IF(B219="","",IF(COUNTIF('Vendors &amp; Crew'!$A$5:$A$34,B219)=0,"Worker not in Crew table",IF(C219="","Missing Job ID",IF(COUNTIF(Jobs!$A$5:$A$44,C219)=0,"Unknown Job ID",IF(E219="","Missing hours",IF(A219="","Missing date",""))))))</f>
        <v/>
      </c>
      <c r="N219" s="35" t="n"/>
    </row>
    <row r="220">
      <c r="A220" s="40" t="n"/>
      <c r="B220" s="35" t="n"/>
      <c r="C220" s="35" t="n"/>
      <c r="D220" s="35" t="n"/>
      <c r="E220" s="61" t="n"/>
      <c r="F220" s="37" t="n"/>
      <c r="G220" s="39">
        <f>IF(B220="","",IF(F220&lt;&gt;"",F220,IFERROR(VLOOKUP(B220,'Vendors &amp; Crew'!$A$5:$D$34,3,FALSE),0)))</f>
        <v/>
      </c>
      <c r="H220" s="39">
        <f>IF(B220="","",E220*G220*(1+Settings!$B$18))</f>
        <v/>
      </c>
      <c r="I220" s="39">
        <f>IF(B220="","",IFERROR(VLOOKUP(B220,'Vendors &amp; Crew'!$A$5:$D$34,4,FALSE),0))</f>
        <v/>
      </c>
      <c r="J220" s="39">
        <f>IF(B220="","",E220*I220)</f>
        <v/>
      </c>
      <c r="K220" s="59">
        <f>IF(A220="","",A220-WEEKDAY(A220,2)+7)</f>
        <v/>
      </c>
      <c r="L220" s="9">
        <f>IF(B220="","",IF(D220="","Labor",IFERROR(VLOOKUP(D220,Settings!$E$5:$G$28,3,FALSE),"Labor")))</f>
        <v/>
      </c>
      <c r="M220" s="9">
        <f>IF(B220="","",IF(COUNTIF('Vendors &amp; Crew'!$A$5:$A$34,B220)=0,"Worker not in Crew table",IF(C220="","Missing Job ID",IF(COUNTIF(Jobs!$A$5:$A$44,C220)=0,"Unknown Job ID",IF(E220="","Missing hours",IF(A220="","Missing date",""))))))</f>
        <v/>
      </c>
      <c r="N220" s="35" t="n"/>
    </row>
    <row r="221">
      <c r="A221" s="40" t="n"/>
      <c r="B221" s="35" t="n"/>
      <c r="C221" s="35" t="n"/>
      <c r="D221" s="35" t="n"/>
      <c r="E221" s="61" t="n"/>
      <c r="F221" s="37" t="n"/>
      <c r="G221" s="39">
        <f>IF(B221="","",IF(F221&lt;&gt;"",F221,IFERROR(VLOOKUP(B221,'Vendors &amp; Crew'!$A$5:$D$34,3,FALSE),0)))</f>
        <v/>
      </c>
      <c r="H221" s="39">
        <f>IF(B221="","",E221*G221*(1+Settings!$B$18))</f>
        <v/>
      </c>
      <c r="I221" s="39">
        <f>IF(B221="","",IFERROR(VLOOKUP(B221,'Vendors &amp; Crew'!$A$5:$D$34,4,FALSE),0))</f>
        <v/>
      </c>
      <c r="J221" s="39">
        <f>IF(B221="","",E221*I221)</f>
        <v/>
      </c>
      <c r="K221" s="59">
        <f>IF(A221="","",A221-WEEKDAY(A221,2)+7)</f>
        <v/>
      </c>
      <c r="L221" s="9">
        <f>IF(B221="","",IF(D221="","Labor",IFERROR(VLOOKUP(D221,Settings!$E$5:$G$28,3,FALSE),"Labor")))</f>
        <v/>
      </c>
      <c r="M221" s="9">
        <f>IF(B221="","",IF(COUNTIF('Vendors &amp; Crew'!$A$5:$A$34,B221)=0,"Worker not in Crew table",IF(C221="","Missing Job ID",IF(COUNTIF(Jobs!$A$5:$A$44,C221)=0,"Unknown Job ID",IF(E221="","Missing hours",IF(A221="","Missing date",""))))))</f>
        <v/>
      </c>
      <c r="N221" s="35" t="n"/>
    </row>
    <row r="222">
      <c r="A222" s="40" t="n"/>
      <c r="B222" s="35" t="n"/>
      <c r="C222" s="35" t="n"/>
      <c r="D222" s="35" t="n"/>
      <c r="E222" s="61" t="n"/>
      <c r="F222" s="37" t="n"/>
      <c r="G222" s="39">
        <f>IF(B222="","",IF(F222&lt;&gt;"",F222,IFERROR(VLOOKUP(B222,'Vendors &amp; Crew'!$A$5:$D$34,3,FALSE),0)))</f>
        <v/>
      </c>
      <c r="H222" s="39">
        <f>IF(B222="","",E222*G222*(1+Settings!$B$18))</f>
        <v/>
      </c>
      <c r="I222" s="39">
        <f>IF(B222="","",IFERROR(VLOOKUP(B222,'Vendors &amp; Crew'!$A$5:$D$34,4,FALSE),0))</f>
        <v/>
      </c>
      <c r="J222" s="39">
        <f>IF(B222="","",E222*I222)</f>
        <v/>
      </c>
      <c r="K222" s="59">
        <f>IF(A222="","",A222-WEEKDAY(A222,2)+7)</f>
        <v/>
      </c>
      <c r="L222" s="9">
        <f>IF(B222="","",IF(D222="","Labor",IFERROR(VLOOKUP(D222,Settings!$E$5:$G$28,3,FALSE),"Labor")))</f>
        <v/>
      </c>
      <c r="M222" s="9">
        <f>IF(B222="","",IF(COUNTIF('Vendors &amp; Crew'!$A$5:$A$34,B222)=0,"Worker not in Crew table",IF(C222="","Missing Job ID",IF(COUNTIF(Jobs!$A$5:$A$44,C222)=0,"Unknown Job ID",IF(E222="","Missing hours",IF(A222="","Missing date",""))))))</f>
        <v/>
      </c>
      <c r="N222" s="35" t="n"/>
    </row>
    <row r="223">
      <c r="A223" s="40" t="n"/>
      <c r="B223" s="35" t="n"/>
      <c r="C223" s="35" t="n"/>
      <c r="D223" s="35" t="n"/>
      <c r="E223" s="61" t="n"/>
      <c r="F223" s="37" t="n"/>
      <c r="G223" s="39">
        <f>IF(B223="","",IF(F223&lt;&gt;"",F223,IFERROR(VLOOKUP(B223,'Vendors &amp; Crew'!$A$5:$D$34,3,FALSE),0)))</f>
        <v/>
      </c>
      <c r="H223" s="39">
        <f>IF(B223="","",E223*G223*(1+Settings!$B$18))</f>
        <v/>
      </c>
      <c r="I223" s="39">
        <f>IF(B223="","",IFERROR(VLOOKUP(B223,'Vendors &amp; Crew'!$A$5:$D$34,4,FALSE),0))</f>
        <v/>
      </c>
      <c r="J223" s="39">
        <f>IF(B223="","",E223*I223)</f>
        <v/>
      </c>
      <c r="K223" s="59">
        <f>IF(A223="","",A223-WEEKDAY(A223,2)+7)</f>
        <v/>
      </c>
      <c r="L223" s="9">
        <f>IF(B223="","",IF(D223="","Labor",IFERROR(VLOOKUP(D223,Settings!$E$5:$G$28,3,FALSE),"Labor")))</f>
        <v/>
      </c>
      <c r="M223" s="9">
        <f>IF(B223="","",IF(COUNTIF('Vendors &amp; Crew'!$A$5:$A$34,B223)=0,"Worker not in Crew table",IF(C223="","Missing Job ID",IF(COUNTIF(Jobs!$A$5:$A$44,C223)=0,"Unknown Job ID",IF(E223="","Missing hours",IF(A223="","Missing date",""))))))</f>
        <v/>
      </c>
      <c r="N223" s="35" t="n"/>
    </row>
    <row r="224">
      <c r="A224" s="40" t="n"/>
      <c r="B224" s="35" t="n"/>
      <c r="C224" s="35" t="n"/>
      <c r="D224" s="35" t="n"/>
      <c r="E224" s="61" t="n"/>
      <c r="F224" s="37" t="n"/>
      <c r="G224" s="39">
        <f>IF(B224="","",IF(F224&lt;&gt;"",F224,IFERROR(VLOOKUP(B224,'Vendors &amp; Crew'!$A$5:$D$34,3,FALSE),0)))</f>
        <v/>
      </c>
      <c r="H224" s="39">
        <f>IF(B224="","",E224*G224*(1+Settings!$B$18))</f>
        <v/>
      </c>
      <c r="I224" s="39">
        <f>IF(B224="","",IFERROR(VLOOKUP(B224,'Vendors &amp; Crew'!$A$5:$D$34,4,FALSE),0))</f>
        <v/>
      </c>
      <c r="J224" s="39">
        <f>IF(B224="","",E224*I224)</f>
        <v/>
      </c>
      <c r="K224" s="59">
        <f>IF(A224="","",A224-WEEKDAY(A224,2)+7)</f>
        <v/>
      </c>
      <c r="L224" s="9">
        <f>IF(B224="","",IF(D224="","Labor",IFERROR(VLOOKUP(D224,Settings!$E$5:$G$28,3,FALSE),"Labor")))</f>
        <v/>
      </c>
      <c r="M224" s="9">
        <f>IF(B224="","",IF(COUNTIF('Vendors &amp; Crew'!$A$5:$A$34,B224)=0,"Worker not in Crew table",IF(C224="","Missing Job ID",IF(COUNTIF(Jobs!$A$5:$A$44,C224)=0,"Unknown Job ID",IF(E224="","Missing hours",IF(A224="","Missing date",""))))))</f>
        <v/>
      </c>
      <c r="N224" s="35" t="n"/>
    </row>
    <row r="225">
      <c r="A225" s="40" t="n"/>
      <c r="B225" s="35" t="n"/>
      <c r="C225" s="35" t="n"/>
      <c r="D225" s="35" t="n"/>
      <c r="E225" s="61" t="n"/>
      <c r="F225" s="37" t="n"/>
      <c r="G225" s="39">
        <f>IF(B225="","",IF(F225&lt;&gt;"",F225,IFERROR(VLOOKUP(B225,'Vendors &amp; Crew'!$A$5:$D$34,3,FALSE),0)))</f>
        <v/>
      </c>
      <c r="H225" s="39">
        <f>IF(B225="","",E225*G225*(1+Settings!$B$18))</f>
        <v/>
      </c>
      <c r="I225" s="39">
        <f>IF(B225="","",IFERROR(VLOOKUP(B225,'Vendors &amp; Crew'!$A$5:$D$34,4,FALSE),0))</f>
        <v/>
      </c>
      <c r="J225" s="39">
        <f>IF(B225="","",E225*I225)</f>
        <v/>
      </c>
      <c r="K225" s="59">
        <f>IF(A225="","",A225-WEEKDAY(A225,2)+7)</f>
        <v/>
      </c>
      <c r="L225" s="9">
        <f>IF(B225="","",IF(D225="","Labor",IFERROR(VLOOKUP(D225,Settings!$E$5:$G$28,3,FALSE),"Labor")))</f>
        <v/>
      </c>
      <c r="M225" s="9">
        <f>IF(B225="","",IF(COUNTIF('Vendors &amp; Crew'!$A$5:$A$34,B225)=0,"Worker not in Crew table",IF(C225="","Missing Job ID",IF(COUNTIF(Jobs!$A$5:$A$44,C225)=0,"Unknown Job ID",IF(E225="","Missing hours",IF(A225="","Missing date",""))))))</f>
        <v/>
      </c>
      <c r="N225" s="35" t="n"/>
    </row>
    <row r="226">
      <c r="A226" s="40" t="n"/>
      <c r="B226" s="35" t="n"/>
      <c r="C226" s="35" t="n"/>
      <c r="D226" s="35" t="n"/>
      <c r="E226" s="61" t="n"/>
      <c r="F226" s="37" t="n"/>
      <c r="G226" s="39">
        <f>IF(B226="","",IF(F226&lt;&gt;"",F226,IFERROR(VLOOKUP(B226,'Vendors &amp; Crew'!$A$5:$D$34,3,FALSE),0)))</f>
        <v/>
      </c>
      <c r="H226" s="39">
        <f>IF(B226="","",E226*G226*(1+Settings!$B$18))</f>
        <v/>
      </c>
      <c r="I226" s="39">
        <f>IF(B226="","",IFERROR(VLOOKUP(B226,'Vendors &amp; Crew'!$A$5:$D$34,4,FALSE),0))</f>
        <v/>
      </c>
      <c r="J226" s="39">
        <f>IF(B226="","",E226*I226)</f>
        <v/>
      </c>
      <c r="K226" s="59">
        <f>IF(A226="","",A226-WEEKDAY(A226,2)+7)</f>
        <v/>
      </c>
      <c r="L226" s="9">
        <f>IF(B226="","",IF(D226="","Labor",IFERROR(VLOOKUP(D226,Settings!$E$5:$G$28,3,FALSE),"Labor")))</f>
        <v/>
      </c>
      <c r="M226" s="9">
        <f>IF(B226="","",IF(COUNTIF('Vendors &amp; Crew'!$A$5:$A$34,B226)=0,"Worker not in Crew table",IF(C226="","Missing Job ID",IF(COUNTIF(Jobs!$A$5:$A$44,C226)=0,"Unknown Job ID",IF(E226="","Missing hours",IF(A226="","Missing date",""))))))</f>
        <v/>
      </c>
      <c r="N226" s="35" t="n"/>
    </row>
    <row r="227">
      <c r="A227" s="40" t="n"/>
      <c r="B227" s="35" t="n"/>
      <c r="C227" s="35" t="n"/>
      <c r="D227" s="35" t="n"/>
      <c r="E227" s="61" t="n"/>
      <c r="F227" s="37" t="n"/>
      <c r="G227" s="39">
        <f>IF(B227="","",IF(F227&lt;&gt;"",F227,IFERROR(VLOOKUP(B227,'Vendors &amp; Crew'!$A$5:$D$34,3,FALSE),0)))</f>
        <v/>
      </c>
      <c r="H227" s="39">
        <f>IF(B227="","",E227*G227*(1+Settings!$B$18))</f>
        <v/>
      </c>
      <c r="I227" s="39">
        <f>IF(B227="","",IFERROR(VLOOKUP(B227,'Vendors &amp; Crew'!$A$5:$D$34,4,FALSE),0))</f>
        <v/>
      </c>
      <c r="J227" s="39">
        <f>IF(B227="","",E227*I227)</f>
        <v/>
      </c>
      <c r="K227" s="59">
        <f>IF(A227="","",A227-WEEKDAY(A227,2)+7)</f>
        <v/>
      </c>
      <c r="L227" s="9">
        <f>IF(B227="","",IF(D227="","Labor",IFERROR(VLOOKUP(D227,Settings!$E$5:$G$28,3,FALSE),"Labor")))</f>
        <v/>
      </c>
      <c r="M227" s="9">
        <f>IF(B227="","",IF(COUNTIF('Vendors &amp; Crew'!$A$5:$A$34,B227)=0,"Worker not in Crew table",IF(C227="","Missing Job ID",IF(COUNTIF(Jobs!$A$5:$A$44,C227)=0,"Unknown Job ID",IF(E227="","Missing hours",IF(A227="","Missing date",""))))))</f>
        <v/>
      </c>
      <c r="N227" s="35" t="n"/>
    </row>
    <row r="228">
      <c r="A228" s="40" t="n"/>
      <c r="B228" s="35" t="n"/>
      <c r="C228" s="35" t="n"/>
      <c r="D228" s="35" t="n"/>
      <c r="E228" s="61" t="n"/>
      <c r="F228" s="37" t="n"/>
      <c r="G228" s="39">
        <f>IF(B228="","",IF(F228&lt;&gt;"",F228,IFERROR(VLOOKUP(B228,'Vendors &amp; Crew'!$A$5:$D$34,3,FALSE),0)))</f>
        <v/>
      </c>
      <c r="H228" s="39">
        <f>IF(B228="","",E228*G228*(1+Settings!$B$18))</f>
        <v/>
      </c>
      <c r="I228" s="39">
        <f>IF(B228="","",IFERROR(VLOOKUP(B228,'Vendors &amp; Crew'!$A$5:$D$34,4,FALSE),0))</f>
        <v/>
      </c>
      <c r="J228" s="39">
        <f>IF(B228="","",E228*I228)</f>
        <v/>
      </c>
      <c r="K228" s="59">
        <f>IF(A228="","",A228-WEEKDAY(A228,2)+7)</f>
        <v/>
      </c>
      <c r="L228" s="9">
        <f>IF(B228="","",IF(D228="","Labor",IFERROR(VLOOKUP(D228,Settings!$E$5:$G$28,3,FALSE),"Labor")))</f>
        <v/>
      </c>
      <c r="M228" s="9">
        <f>IF(B228="","",IF(COUNTIF('Vendors &amp; Crew'!$A$5:$A$34,B228)=0,"Worker not in Crew table",IF(C228="","Missing Job ID",IF(COUNTIF(Jobs!$A$5:$A$44,C228)=0,"Unknown Job ID",IF(E228="","Missing hours",IF(A228="","Missing date",""))))))</f>
        <v/>
      </c>
      <c r="N228" s="35" t="n"/>
    </row>
    <row r="229">
      <c r="A229" s="40" t="n"/>
      <c r="B229" s="35" t="n"/>
      <c r="C229" s="35" t="n"/>
      <c r="D229" s="35" t="n"/>
      <c r="E229" s="61" t="n"/>
      <c r="F229" s="37" t="n"/>
      <c r="G229" s="39">
        <f>IF(B229="","",IF(F229&lt;&gt;"",F229,IFERROR(VLOOKUP(B229,'Vendors &amp; Crew'!$A$5:$D$34,3,FALSE),0)))</f>
        <v/>
      </c>
      <c r="H229" s="39">
        <f>IF(B229="","",E229*G229*(1+Settings!$B$18))</f>
        <v/>
      </c>
      <c r="I229" s="39">
        <f>IF(B229="","",IFERROR(VLOOKUP(B229,'Vendors &amp; Crew'!$A$5:$D$34,4,FALSE),0))</f>
        <v/>
      </c>
      <c r="J229" s="39">
        <f>IF(B229="","",E229*I229)</f>
        <v/>
      </c>
      <c r="K229" s="59">
        <f>IF(A229="","",A229-WEEKDAY(A229,2)+7)</f>
        <v/>
      </c>
      <c r="L229" s="9">
        <f>IF(B229="","",IF(D229="","Labor",IFERROR(VLOOKUP(D229,Settings!$E$5:$G$28,3,FALSE),"Labor")))</f>
        <v/>
      </c>
      <c r="M229" s="9">
        <f>IF(B229="","",IF(COUNTIF('Vendors &amp; Crew'!$A$5:$A$34,B229)=0,"Worker not in Crew table",IF(C229="","Missing Job ID",IF(COUNTIF(Jobs!$A$5:$A$44,C229)=0,"Unknown Job ID",IF(E229="","Missing hours",IF(A229="","Missing date",""))))))</f>
        <v/>
      </c>
      <c r="N229" s="35" t="n"/>
    </row>
    <row r="230">
      <c r="A230" s="40" t="n"/>
      <c r="B230" s="35" t="n"/>
      <c r="C230" s="35" t="n"/>
      <c r="D230" s="35" t="n"/>
      <c r="E230" s="61" t="n"/>
      <c r="F230" s="37" t="n"/>
      <c r="G230" s="39">
        <f>IF(B230="","",IF(F230&lt;&gt;"",F230,IFERROR(VLOOKUP(B230,'Vendors &amp; Crew'!$A$5:$D$34,3,FALSE),0)))</f>
        <v/>
      </c>
      <c r="H230" s="39">
        <f>IF(B230="","",E230*G230*(1+Settings!$B$18))</f>
        <v/>
      </c>
      <c r="I230" s="39">
        <f>IF(B230="","",IFERROR(VLOOKUP(B230,'Vendors &amp; Crew'!$A$5:$D$34,4,FALSE),0))</f>
        <v/>
      </c>
      <c r="J230" s="39">
        <f>IF(B230="","",E230*I230)</f>
        <v/>
      </c>
      <c r="K230" s="59">
        <f>IF(A230="","",A230-WEEKDAY(A230,2)+7)</f>
        <v/>
      </c>
      <c r="L230" s="9">
        <f>IF(B230="","",IF(D230="","Labor",IFERROR(VLOOKUP(D230,Settings!$E$5:$G$28,3,FALSE),"Labor")))</f>
        <v/>
      </c>
      <c r="M230" s="9">
        <f>IF(B230="","",IF(COUNTIF('Vendors &amp; Crew'!$A$5:$A$34,B230)=0,"Worker not in Crew table",IF(C230="","Missing Job ID",IF(COUNTIF(Jobs!$A$5:$A$44,C230)=0,"Unknown Job ID",IF(E230="","Missing hours",IF(A230="","Missing date",""))))))</f>
        <v/>
      </c>
      <c r="N230" s="35" t="n"/>
    </row>
    <row r="231">
      <c r="A231" s="40" t="n"/>
      <c r="B231" s="35" t="n"/>
      <c r="C231" s="35" t="n"/>
      <c r="D231" s="35" t="n"/>
      <c r="E231" s="61" t="n"/>
      <c r="F231" s="37" t="n"/>
      <c r="G231" s="39">
        <f>IF(B231="","",IF(F231&lt;&gt;"",F231,IFERROR(VLOOKUP(B231,'Vendors &amp; Crew'!$A$5:$D$34,3,FALSE),0)))</f>
        <v/>
      </c>
      <c r="H231" s="39">
        <f>IF(B231="","",E231*G231*(1+Settings!$B$18))</f>
        <v/>
      </c>
      <c r="I231" s="39">
        <f>IF(B231="","",IFERROR(VLOOKUP(B231,'Vendors &amp; Crew'!$A$5:$D$34,4,FALSE),0))</f>
        <v/>
      </c>
      <c r="J231" s="39">
        <f>IF(B231="","",E231*I231)</f>
        <v/>
      </c>
      <c r="K231" s="59">
        <f>IF(A231="","",A231-WEEKDAY(A231,2)+7)</f>
        <v/>
      </c>
      <c r="L231" s="9">
        <f>IF(B231="","",IF(D231="","Labor",IFERROR(VLOOKUP(D231,Settings!$E$5:$G$28,3,FALSE),"Labor")))</f>
        <v/>
      </c>
      <c r="M231" s="9">
        <f>IF(B231="","",IF(COUNTIF('Vendors &amp; Crew'!$A$5:$A$34,B231)=0,"Worker not in Crew table",IF(C231="","Missing Job ID",IF(COUNTIF(Jobs!$A$5:$A$44,C231)=0,"Unknown Job ID",IF(E231="","Missing hours",IF(A231="","Missing date",""))))))</f>
        <v/>
      </c>
      <c r="N231" s="35" t="n"/>
    </row>
    <row r="232">
      <c r="A232" s="40" t="n"/>
      <c r="B232" s="35" t="n"/>
      <c r="C232" s="35" t="n"/>
      <c r="D232" s="35" t="n"/>
      <c r="E232" s="61" t="n"/>
      <c r="F232" s="37" t="n"/>
      <c r="G232" s="39">
        <f>IF(B232="","",IF(F232&lt;&gt;"",F232,IFERROR(VLOOKUP(B232,'Vendors &amp; Crew'!$A$5:$D$34,3,FALSE),0)))</f>
        <v/>
      </c>
      <c r="H232" s="39">
        <f>IF(B232="","",E232*G232*(1+Settings!$B$18))</f>
        <v/>
      </c>
      <c r="I232" s="39">
        <f>IF(B232="","",IFERROR(VLOOKUP(B232,'Vendors &amp; Crew'!$A$5:$D$34,4,FALSE),0))</f>
        <v/>
      </c>
      <c r="J232" s="39">
        <f>IF(B232="","",E232*I232)</f>
        <v/>
      </c>
      <c r="K232" s="59">
        <f>IF(A232="","",A232-WEEKDAY(A232,2)+7)</f>
        <v/>
      </c>
      <c r="L232" s="9">
        <f>IF(B232="","",IF(D232="","Labor",IFERROR(VLOOKUP(D232,Settings!$E$5:$G$28,3,FALSE),"Labor")))</f>
        <v/>
      </c>
      <c r="M232" s="9">
        <f>IF(B232="","",IF(COUNTIF('Vendors &amp; Crew'!$A$5:$A$34,B232)=0,"Worker not in Crew table",IF(C232="","Missing Job ID",IF(COUNTIF(Jobs!$A$5:$A$44,C232)=0,"Unknown Job ID",IF(E232="","Missing hours",IF(A232="","Missing date",""))))))</f>
        <v/>
      </c>
      <c r="N232" s="35" t="n"/>
    </row>
    <row r="233">
      <c r="A233" s="40" t="n"/>
      <c r="B233" s="35" t="n"/>
      <c r="C233" s="35" t="n"/>
      <c r="D233" s="35" t="n"/>
      <c r="E233" s="61" t="n"/>
      <c r="F233" s="37" t="n"/>
      <c r="G233" s="39">
        <f>IF(B233="","",IF(F233&lt;&gt;"",F233,IFERROR(VLOOKUP(B233,'Vendors &amp; Crew'!$A$5:$D$34,3,FALSE),0)))</f>
        <v/>
      </c>
      <c r="H233" s="39">
        <f>IF(B233="","",E233*G233*(1+Settings!$B$18))</f>
        <v/>
      </c>
      <c r="I233" s="39">
        <f>IF(B233="","",IFERROR(VLOOKUP(B233,'Vendors &amp; Crew'!$A$5:$D$34,4,FALSE),0))</f>
        <v/>
      </c>
      <c r="J233" s="39">
        <f>IF(B233="","",E233*I233)</f>
        <v/>
      </c>
      <c r="K233" s="59">
        <f>IF(A233="","",A233-WEEKDAY(A233,2)+7)</f>
        <v/>
      </c>
      <c r="L233" s="9">
        <f>IF(B233="","",IF(D233="","Labor",IFERROR(VLOOKUP(D233,Settings!$E$5:$G$28,3,FALSE),"Labor")))</f>
        <v/>
      </c>
      <c r="M233" s="9">
        <f>IF(B233="","",IF(COUNTIF('Vendors &amp; Crew'!$A$5:$A$34,B233)=0,"Worker not in Crew table",IF(C233="","Missing Job ID",IF(COUNTIF(Jobs!$A$5:$A$44,C233)=0,"Unknown Job ID",IF(E233="","Missing hours",IF(A233="","Missing date",""))))))</f>
        <v/>
      </c>
      <c r="N233" s="35" t="n"/>
    </row>
    <row r="234">
      <c r="A234" s="40" t="n"/>
      <c r="B234" s="35" t="n"/>
      <c r="C234" s="35" t="n"/>
      <c r="D234" s="35" t="n"/>
      <c r="E234" s="61" t="n"/>
      <c r="F234" s="37" t="n"/>
      <c r="G234" s="39">
        <f>IF(B234="","",IF(F234&lt;&gt;"",F234,IFERROR(VLOOKUP(B234,'Vendors &amp; Crew'!$A$5:$D$34,3,FALSE),0)))</f>
        <v/>
      </c>
      <c r="H234" s="39">
        <f>IF(B234="","",E234*G234*(1+Settings!$B$18))</f>
        <v/>
      </c>
      <c r="I234" s="39">
        <f>IF(B234="","",IFERROR(VLOOKUP(B234,'Vendors &amp; Crew'!$A$5:$D$34,4,FALSE),0))</f>
        <v/>
      </c>
      <c r="J234" s="39">
        <f>IF(B234="","",E234*I234)</f>
        <v/>
      </c>
      <c r="K234" s="59">
        <f>IF(A234="","",A234-WEEKDAY(A234,2)+7)</f>
        <v/>
      </c>
      <c r="L234" s="9">
        <f>IF(B234="","",IF(D234="","Labor",IFERROR(VLOOKUP(D234,Settings!$E$5:$G$28,3,FALSE),"Labor")))</f>
        <v/>
      </c>
      <c r="M234" s="9">
        <f>IF(B234="","",IF(COUNTIF('Vendors &amp; Crew'!$A$5:$A$34,B234)=0,"Worker not in Crew table",IF(C234="","Missing Job ID",IF(COUNTIF(Jobs!$A$5:$A$44,C234)=0,"Unknown Job ID",IF(E234="","Missing hours",IF(A234="","Missing date",""))))))</f>
        <v/>
      </c>
      <c r="N234" s="35" t="n"/>
    </row>
    <row r="235">
      <c r="A235" s="40" t="n"/>
      <c r="B235" s="35" t="n"/>
      <c r="C235" s="35" t="n"/>
      <c r="D235" s="35" t="n"/>
      <c r="E235" s="61" t="n"/>
      <c r="F235" s="37" t="n"/>
      <c r="G235" s="39">
        <f>IF(B235="","",IF(F235&lt;&gt;"",F235,IFERROR(VLOOKUP(B235,'Vendors &amp; Crew'!$A$5:$D$34,3,FALSE),0)))</f>
        <v/>
      </c>
      <c r="H235" s="39">
        <f>IF(B235="","",E235*G235*(1+Settings!$B$18))</f>
        <v/>
      </c>
      <c r="I235" s="39">
        <f>IF(B235="","",IFERROR(VLOOKUP(B235,'Vendors &amp; Crew'!$A$5:$D$34,4,FALSE),0))</f>
        <v/>
      </c>
      <c r="J235" s="39">
        <f>IF(B235="","",E235*I235)</f>
        <v/>
      </c>
      <c r="K235" s="59">
        <f>IF(A235="","",A235-WEEKDAY(A235,2)+7)</f>
        <v/>
      </c>
      <c r="L235" s="9">
        <f>IF(B235="","",IF(D235="","Labor",IFERROR(VLOOKUP(D235,Settings!$E$5:$G$28,3,FALSE),"Labor")))</f>
        <v/>
      </c>
      <c r="M235" s="9">
        <f>IF(B235="","",IF(COUNTIF('Vendors &amp; Crew'!$A$5:$A$34,B235)=0,"Worker not in Crew table",IF(C235="","Missing Job ID",IF(COUNTIF(Jobs!$A$5:$A$44,C235)=0,"Unknown Job ID",IF(E235="","Missing hours",IF(A235="","Missing date",""))))))</f>
        <v/>
      </c>
      <c r="N235" s="35" t="n"/>
    </row>
    <row r="236">
      <c r="A236" s="40" t="n"/>
      <c r="B236" s="35" t="n"/>
      <c r="C236" s="35" t="n"/>
      <c r="D236" s="35" t="n"/>
      <c r="E236" s="61" t="n"/>
      <c r="F236" s="37" t="n"/>
      <c r="G236" s="39">
        <f>IF(B236="","",IF(F236&lt;&gt;"",F236,IFERROR(VLOOKUP(B236,'Vendors &amp; Crew'!$A$5:$D$34,3,FALSE),0)))</f>
        <v/>
      </c>
      <c r="H236" s="39">
        <f>IF(B236="","",E236*G236*(1+Settings!$B$18))</f>
        <v/>
      </c>
      <c r="I236" s="39">
        <f>IF(B236="","",IFERROR(VLOOKUP(B236,'Vendors &amp; Crew'!$A$5:$D$34,4,FALSE),0))</f>
        <v/>
      </c>
      <c r="J236" s="39">
        <f>IF(B236="","",E236*I236)</f>
        <v/>
      </c>
      <c r="K236" s="59">
        <f>IF(A236="","",A236-WEEKDAY(A236,2)+7)</f>
        <v/>
      </c>
      <c r="L236" s="9">
        <f>IF(B236="","",IF(D236="","Labor",IFERROR(VLOOKUP(D236,Settings!$E$5:$G$28,3,FALSE),"Labor")))</f>
        <v/>
      </c>
      <c r="M236" s="9">
        <f>IF(B236="","",IF(COUNTIF('Vendors &amp; Crew'!$A$5:$A$34,B236)=0,"Worker not in Crew table",IF(C236="","Missing Job ID",IF(COUNTIF(Jobs!$A$5:$A$44,C236)=0,"Unknown Job ID",IF(E236="","Missing hours",IF(A236="","Missing date",""))))))</f>
        <v/>
      </c>
      <c r="N236" s="35" t="n"/>
    </row>
    <row r="237">
      <c r="A237" s="40" t="n"/>
      <c r="B237" s="35" t="n"/>
      <c r="C237" s="35" t="n"/>
      <c r="D237" s="35" t="n"/>
      <c r="E237" s="61" t="n"/>
      <c r="F237" s="37" t="n"/>
      <c r="G237" s="39">
        <f>IF(B237="","",IF(F237&lt;&gt;"",F237,IFERROR(VLOOKUP(B237,'Vendors &amp; Crew'!$A$5:$D$34,3,FALSE),0)))</f>
        <v/>
      </c>
      <c r="H237" s="39">
        <f>IF(B237="","",E237*G237*(1+Settings!$B$18))</f>
        <v/>
      </c>
      <c r="I237" s="39">
        <f>IF(B237="","",IFERROR(VLOOKUP(B237,'Vendors &amp; Crew'!$A$5:$D$34,4,FALSE),0))</f>
        <v/>
      </c>
      <c r="J237" s="39">
        <f>IF(B237="","",E237*I237)</f>
        <v/>
      </c>
      <c r="K237" s="59">
        <f>IF(A237="","",A237-WEEKDAY(A237,2)+7)</f>
        <v/>
      </c>
      <c r="L237" s="9">
        <f>IF(B237="","",IF(D237="","Labor",IFERROR(VLOOKUP(D237,Settings!$E$5:$G$28,3,FALSE),"Labor")))</f>
        <v/>
      </c>
      <c r="M237" s="9">
        <f>IF(B237="","",IF(COUNTIF('Vendors &amp; Crew'!$A$5:$A$34,B237)=0,"Worker not in Crew table",IF(C237="","Missing Job ID",IF(COUNTIF(Jobs!$A$5:$A$44,C237)=0,"Unknown Job ID",IF(E237="","Missing hours",IF(A237="","Missing date",""))))))</f>
        <v/>
      </c>
      <c r="N237" s="35" t="n"/>
    </row>
    <row r="238">
      <c r="A238" s="40" t="n"/>
      <c r="B238" s="35" t="n"/>
      <c r="C238" s="35" t="n"/>
      <c r="D238" s="35" t="n"/>
      <c r="E238" s="61" t="n"/>
      <c r="F238" s="37" t="n"/>
      <c r="G238" s="39">
        <f>IF(B238="","",IF(F238&lt;&gt;"",F238,IFERROR(VLOOKUP(B238,'Vendors &amp; Crew'!$A$5:$D$34,3,FALSE),0)))</f>
        <v/>
      </c>
      <c r="H238" s="39">
        <f>IF(B238="","",E238*G238*(1+Settings!$B$18))</f>
        <v/>
      </c>
      <c r="I238" s="39">
        <f>IF(B238="","",IFERROR(VLOOKUP(B238,'Vendors &amp; Crew'!$A$5:$D$34,4,FALSE),0))</f>
        <v/>
      </c>
      <c r="J238" s="39">
        <f>IF(B238="","",E238*I238)</f>
        <v/>
      </c>
      <c r="K238" s="59">
        <f>IF(A238="","",A238-WEEKDAY(A238,2)+7)</f>
        <v/>
      </c>
      <c r="L238" s="9">
        <f>IF(B238="","",IF(D238="","Labor",IFERROR(VLOOKUP(D238,Settings!$E$5:$G$28,3,FALSE),"Labor")))</f>
        <v/>
      </c>
      <c r="M238" s="9">
        <f>IF(B238="","",IF(COUNTIF('Vendors &amp; Crew'!$A$5:$A$34,B238)=0,"Worker not in Crew table",IF(C238="","Missing Job ID",IF(COUNTIF(Jobs!$A$5:$A$44,C238)=0,"Unknown Job ID",IF(E238="","Missing hours",IF(A238="","Missing date",""))))))</f>
        <v/>
      </c>
      <c r="N238" s="35" t="n"/>
    </row>
    <row r="239">
      <c r="A239" s="40" t="n"/>
      <c r="B239" s="35" t="n"/>
      <c r="C239" s="35" t="n"/>
      <c r="D239" s="35" t="n"/>
      <c r="E239" s="61" t="n"/>
      <c r="F239" s="37" t="n"/>
      <c r="G239" s="39">
        <f>IF(B239="","",IF(F239&lt;&gt;"",F239,IFERROR(VLOOKUP(B239,'Vendors &amp; Crew'!$A$5:$D$34,3,FALSE),0)))</f>
        <v/>
      </c>
      <c r="H239" s="39">
        <f>IF(B239="","",E239*G239*(1+Settings!$B$18))</f>
        <v/>
      </c>
      <c r="I239" s="39">
        <f>IF(B239="","",IFERROR(VLOOKUP(B239,'Vendors &amp; Crew'!$A$5:$D$34,4,FALSE),0))</f>
        <v/>
      </c>
      <c r="J239" s="39">
        <f>IF(B239="","",E239*I239)</f>
        <v/>
      </c>
      <c r="K239" s="59">
        <f>IF(A239="","",A239-WEEKDAY(A239,2)+7)</f>
        <v/>
      </c>
      <c r="L239" s="9">
        <f>IF(B239="","",IF(D239="","Labor",IFERROR(VLOOKUP(D239,Settings!$E$5:$G$28,3,FALSE),"Labor")))</f>
        <v/>
      </c>
      <c r="M239" s="9">
        <f>IF(B239="","",IF(COUNTIF('Vendors &amp; Crew'!$A$5:$A$34,B239)=0,"Worker not in Crew table",IF(C239="","Missing Job ID",IF(COUNTIF(Jobs!$A$5:$A$44,C239)=0,"Unknown Job ID",IF(E239="","Missing hours",IF(A239="","Missing date",""))))))</f>
        <v/>
      </c>
      <c r="N239" s="35" t="n"/>
    </row>
    <row r="240">
      <c r="A240" s="40" t="n"/>
      <c r="B240" s="35" t="n"/>
      <c r="C240" s="35" t="n"/>
      <c r="D240" s="35" t="n"/>
      <c r="E240" s="61" t="n"/>
      <c r="F240" s="37" t="n"/>
      <c r="G240" s="39">
        <f>IF(B240="","",IF(F240&lt;&gt;"",F240,IFERROR(VLOOKUP(B240,'Vendors &amp; Crew'!$A$5:$D$34,3,FALSE),0)))</f>
        <v/>
      </c>
      <c r="H240" s="39">
        <f>IF(B240="","",E240*G240*(1+Settings!$B$18))</f>
        <v/>
      </c>
      <c r="I240" s="39">
        <f>IF(B240="","",IFERROR(VLOOKUP(B240,'Vendors &amp; Crew'!$A$5:$D$34,4,FALSE),0))</f>
        <v/>
      </c>
      <c r="J240" s="39">
        <f>IF(B240="","",E240*I240)</f>
        <v/>
      </c>
      <c r="K240" s="59">
        <f>IF(A240="","",A240-WEEKDAY(A240,2)+7)</f>
        <v/>
      </c>
      <c r="L240" s="9">
        <f>IF(B240="","",IF(D240="","Labor",IFERROR(VLOOKUP(D240,Settings!$E$5:$G$28,3,FALSE),"Labor")))</f>
        <v/>
      </c>
      <c r="M240" s="9">
        <f>IF(B240="","",IF(COUNTIF('Vendors &amp; Crew'!$A$5:$A$34,B240)=0,"Worker not in Crew table",IF(C240="","Missing Job ID",IF(COUNTIF(Jobs!$A$5:$A$44,C240)=0,"Unknown Job ID",IF(E240="","Missing hours",IF(A240="","Missing date",""))))))</f>
        <v/>
      </c>
      <c r="N240" s="35" t="n"/>
    </row>
    <row r="241">
      <c r="A241" s="40" t="n"/>
      <c r="B241" s="35" t="n"/>
      <c r="C241" s="35" t="n"/>
      <c r="D241" s="35" t="n"/>
      <c r="E241" s="61" t="n"/>
      <c r="F241" s="37" t="n"/>
      <c r="G241" s="39">
        <f>IF(B241="","",IF(F241&lt;&gt;"",F241,IFERROR(VLOOKUP(B241,'Vendors &amp; Crew'!$A$5:$D$34,3,FALSE),0)))</f>
        <v/>
      </c>
      <c r="H241" s="39">
        <f>IF(B241="","",E241*G241*(1+Settings!$B$18))</f>
        <v/>
      </c>
      <c r="I241" s="39">
        <f>IF(B241="","",IFERROR(VLOOKUP(B241,'Vendors &amp; Crew'!$A$5:$D$34,4,FALSE),0))</f>
        <v/>
      </c>
      <c r="J241" s="39">
        <f>IF(B241="","",E241*I241)</f>
        <v/>
      </c>
      <c r="K241" s="59">
        <f>IF(A241="","",A241-WEEKDAY(A241,2)+7)</f>
        <v/>
      </c>
      <c r="L241" s="9">
        <f>IF(B241="","",IF(D241="","Labor",IFERROR(VLOOKUP(D241,Settings!$E$5:$G$28,3,FALSE),"Labor")))</f>
        <v/>
      </c>
      <c r="M241" s="9">
        <f>IF(B241="","",IF(COUNTIF('Vendors &amp; Crew'!$A$5:$A$34,B241)=0,"Worker not in Crew table",IF(C241="","Missing Job ID",IF(COUNTIF(Jobs!$A$5:$A$44,C241)=0,"Unknown Job ID",IF(E241="","Missing hours",IF(A241="","Missing date",""))))))</f>
        <v/>
      </c>
      <c r="N241" s="35" t="n"/>
    </row>
    <row r="242">
      <c r="A242" s="40" t="n"/>
      <c r="B242" s="35" t="n"/>
      <c r="C242" s="35" t="n"/>
      <c r="D242" s="35" t="n"/>
      <c r="E242" s="61" t="n"/>
      <c r="F242" s="37" t="n"/>
      <c r="G242" s="39">
        <f>IF(B242="","",IF(F242&lt;&gt;"",F242,IFERROR(VLOOKUP(B242,'Vendors &amp; Crew'!$A$5:$D$34,3,FALSE),0)))</f>
        <v/>
      </c>
      <c r="H242" s="39">
        <f>IF(B242="","",E242*G242*(1+Settings!$B$18))</f>
        <v/>
      </c>
      <c r="I242" s="39">
        <f>IF(B242="","",IFERROR(VLOOKUP(B242,'Vendors &amp; Crew'!$A$5:$D$34,4,FALSE),0))</f>
        <v/>
      </c>
      <c r="J242" s="39">
        <f>IF(B242="","",E242*I242)</f>
        <v/>
      </c>
      <c r="K242" s="59">
        <f>IF(A242="","",A242-WEEKDAY(A242,2)+7)</f>
        <v/>
      </c>
      <c r="L242" s="9">
        <f>IF(B242="","",IF(D242="","Labor",IFERROR(VLOOKUP(D242,Settings!$E$5:$G$28,3,FALSE),"Labor")))</f>
        <v/>
      </c>
      <c r="M242" s="9">
        <f>IF(B242="","",IF(COUNTIF('Vendors &amp; Crew'!$A$5:$A$34,B242)=0,"Worker not in Crew table",IF(C242="","Missing Job ID",IF(COUNTIF(Jobs!$A$5:$A$44,C242)=0,"Unknown Job ID",IF(E242="","Missing hours",IF(A242="","Missing date",""))))))</f>
        <v/>
      </c>
      <c r="N242" s="35" t="n"/>
    </row>
    <row r="243">
      <c r="A243" s="40" t="n"/>
      <c r="B243" s="35" t="n"/>
      <c r="C243" s="35" t="n"/>
      <c r="D243" s="35" t="n"/>
      <c r="E243" s="61" t="n"/>
      <c r="F243" s="37" t="n"/>
      <c r="G243" s="39">
        <f>IF(B243="","",IF(F243&lt;&gt;"",F243,IFERROR(VLOOKUP(B243,'Vendors &amp; Crew'!$A$5:$D$34,3,FALSE),0)))</f>
        <v/>
      </c>
      <c r="H243" s="39">
        <f>IF(B243="","",E243*G243*(1+Settings!$B$18))</f>
        <v/>
      </c>
      <c r="I243" s="39">
        <f>IF(B243="","",IFERROR(VLOOKUP(B243,'Vendors &amp; Crew'!$A$5:$D$34,4,FALSE),0))</f>
        <v/>
      </c>
      <c r="J243" s="39">
        <f>IF(B243="","",E243*I243)</f>
        <v/>
      </c>
      <c r="K243" s="59">
        <f>IF(A243="","",A243-WEEKDAY(A243,2)+7)</f>
        <v/>
      </c>
      <c r="L243" s="9">
        <f>IF(B243="","",IF(D243="","Labor",IFERROR(VLOOKUP(D243,Settings!$E$5:$G$28,3,FALSE),"Labor")))</f>
        <v/>
      </c>
      <c r="M243" s="9">
        <f>IF(B243="","",IF(COUNTIF('Vendors &amp; Crew'!$A$5:$A$34,B243)=0,"Worker not in Crew table",IF(C243="","Missing Job ID",IF(COUNTIF(Jobs!$A$5:$A$44,C243)=0,"Unknown Job ID",IF(E243="","Missing hours",IF(A243="","Missing date",""))))))</f>
        <v/>
      </c>
      <c r="N243" s="35" t="n"/>
    </row>
    <row r="244">
      <c r="A244" s="40" t="n"/>
      <c r="B244" s="35" t="n"/>
      <c r="C244" s="35" t="n"/>
      <c r="D244" s="35" t="n"/>
      <c r="E244" s="61" t="n"/>
      <c r="F244" s="37" t="n"/>
      <c r="G244" s="39">
        <f>IF(B244="","",IF(F244&lt;&gt;"",F244,IFERROR(VLOOKUP(B244,'Vendors &amp; Crew'!$A$5:$D$34,3,FALSE),0)))</f>
        <v/>
      </c>
      <c r="H244" s="39">
        <f>IF(B244="","",E244*G244*(1+Settings!$B$18))</f>
        <v/>
      </c>
      <c r="I244" s="39">
        <f>IF(B244="","",IFERROR(VLOOKUP(B244,'Vendors &amp; Crew'!$A$5:$D$34,4,FALSE),0))</f>
        <v/>
      </c>
      <c r="J244" s="39">
        <f>IF(B244="","",E244*I244)</f>
        <v/>
      </c>
      <c r="K244" s="59">
        <f>IF(A244="","",A244-WEEKDAY(A244,2)+7)</f>
        <v/>
      </c>
      <c r="L244" s="9">
        <f>IF(B244="","",IF(D244="","Labor",IFERROR(VLOOKUP(D244,Settings!$E$5:$G$28,3,FALSE),"Labor")))</f>
        <v/>
      </c>
      <c r="M244" s="9">
        <f>IF(B244="","",IF(COUNTIF('Vendors &amp; Crew'!$A$5:$A$34,B244)=0,"Worker not in Crew table",IF(C244="","Missing Job ID",IF(COUNTIF(Jobs!$A$5:$A$44,C244)=0,"Unknown Job ID",IF(E244="","Missing hours",IF(A244="","Missing date",""))))))</f>
        <v/>
      </c>
      <c r="N244" s="35" t="n"/>
    </row>
    <row r="245">
      <c r="A245" s="40" t="n"/>
      <c r="B245" s="35" t="n"/>
      <c r="C245" s="35" t="n"/>
      <c r="D245" s="35" t="n"/>
      <c r="E245" s="61" t="n"/>
      <c r="F245" s="37" t="n"/>
      <c r="G245" s="39">
        <f>IF(B245="","",IF(F245&lt;&gt;"",F245,IFERROR(VLOOKUP(B245,'Vendors &amp; Crew'!$A$5:$D$34,3,FALSE),0)))</f>
        <v/>
      </c>
      <c r="H245" s="39">
        <f>IF(B245="","",E245*G245*(1+Settings!$B$18))</f>
        <v/>
      </c>
      <c r="I245" s="39">
        <f>IF(B245="","",IFERROR(VLOOKUP(B245,'Vendors &amp; Crew'!$A$5:$D$34,4,FALSE),0))</f>
        <v/>
      </c>
      <c r="J245" s="39">
        <f>IF(B245="","",E245*I245)</f>
        <v/>
      </c>
      <c r="K245" s="59">
        <f>IF(A245="","",A245-WEEKDAY(A245,2)+7)</f>
        <v/>
      </c>
      <c r="L245" s="9">
        <f>IF(B245="","",IF(D245="","Labor",IFERROR(VLOOKUP(D245,Settings!$E$5:$G$28,3,FALSE),"Labor")))</f>
        <v/>
      </c>
      <c r="M245" s="9">
        <f>IF(B245="","",IF(COUNTIF('Vendors &amp; Crew'!$A$5:$A$34,B245)=0,"Worker not in Crew table",IF(C245="","Missing Job ID",IF(COUNTIF(Jobs!$A$5:$A$44,C245)=0,"Unknown Job ID",IF(E245="","Missing hours",IF(A245="","Missing date",""))))))</f>
        <v/>
      </c>
      <c r="N245" s="35" t="n"/>
    </row>
    <row r="246">
      <c r="A246" s="40" t="n"/>
      <c r="B246" s="35" t="n"/>
      <c r="C246" s="35" t="n"/>
      <c r="D246" s="35" t="n"/>
      <c r="E246" s="61" t="n"/>
      <c r="F246" s="37" t="n"/>
      <c r="G246" s="39">
        <f>IF(B246="","",IF(F246&lt;&gt;"",F246,IFERROR(VLOOKUP(B246,'Vendors &amp; Crew'!$A$5:$D$34,3,FALSE),0)))</f>
        <v/>
      </c>
      <c r="H246" s="39">
        <f>IF(B246="","",E246*G246*(1+Settings!$B$18))</f>
        <v/>
      </c>
      <c r="I246" s="39">
        <f>IF(B246="","",IFERROR(VLOOKUP(B246,'Vendors &amp; Crew'!$A$5:$D$34,4,FALSE),0))</f>
        <v/>
      </c>
      <c r="J246" s="39">
        <f>IF(B246="","",E246*I246)</f>
        <v/>
      </c>
      <c r="K246" s="59">
        <f>IF(A246="","",A246-WEEKDAY(A246,2)+7)</f>
        <v/>
      </c>
      <c r="L246" s="9">
        <f>IF(B246="","",IF(D246="","Labor",IFERROR(VLOOKUP(D246,Settings!$E$5:$G$28,3,FALSE),"Labor")))</f>
        <v/>
      </c>
      <c r="M246" s="9">
        <f>IF(B246="","",IF(COUNTIF('Vendors &amp; Crew'!$A$5:$A$34,B246)=0,"Worker not in Crew table",IF(C246="","Missing Job ID",IF(COUNTIF(Jobs!$A$5:$A$44,C246)=0,"Unknown Job ID",IF(E246="","Missing hours",IF(A246="","Missing date",""))))))</f>
        <v/>
      </c>
      <c r="N246" s="35" t="n"/>
    </row>
    <row r="247">
      <c r="A247" s="40" t="n"/>
      <c r="B247" s="35" t="n"/>
      <c r="C247" s="35" t="n"/>
      <c r="D247" s="35" t="n"/>
      <c r="E247" s="61" t="n"/>
      <c r="F247" s="37" t="n"/>
      <c r="G247" s="39">
        <f>IF(B247="","",IF(F247&lt;&gt;"",F247,IFERROR(VLOOKUP(B247,'Vendors &amp; Crew'!$A$5:$D$34,3,FALSE),0)))</f>
        <v/>
      </c>
      <c r="H247" s="39">
        <f>IF(B247="","",E247*G247*(1+Settings!$B$18))</f>
        <v/>
      </c>
      <c r="I247" s="39">
        <f>IF(B247="","",IFERROR(VLOOKUP(B247,'Vendors &amp; Crew'!$A$5:$D$34,4,FALSE),0))</f>
        <v/>
      </c>
      <c r="J247" s="39">
        <f>IF(B247="","",E247*I247)</f>
        <v/>
      </c>
      <c r="K247" s="59">
        <f>IF(A247="","",A247-WEEKDAY(A247,2)+7)</f>
        <v/>
      </c>
      <c r="L247" s="9">
        <f>IF(B247="","",IF(D247="","Labor",IFERROR(VLOOKUP(D247,Settings!$E$5:$G$28,3,FALSE),"Labor")))</f>
        <v/>
      </c>
      <c r="M247" s="9">
        <f>IF(B247="","",IF(COUNTIF('Vendors &amp; Crew'!$A$5:$A$34,B247)=0,"Worker not in Crew table",IF(C247="","Missing Job ID",IF(COUNTIF(Jobs!$A$5:$A$44,C247)=0,"Unknown Job ID",IF(E247="","Missing hours",IF(A247="","Missing date",""))))))</f>
        <v/>
      </c>
      <c r="N247" s="35" t="n"/>
    </row>
    <row r="248">
      <c r="A248" s="40" t="n"/>
      <c r="B248" s="35" t="n"/>
      <c r="C248" s="35" t="n"/>
      <c r="D248" s="35" t="n"/>
      <c r="E248" s="61" t="n"/>
      <c r="F248" s="37" t="n"/>
      <c r="G248" s="39">
        <f>IF(B248="","",IF(F248&lt;&gt;"",F248,IFERROR(VLOOKUP(B248,'Vendors &amp; Crew'!$A$5:$D$34,3,FALSE),0)))</f>
        <v/>
      </c>
      <c r="H248" s="39">
        <f>IF(B248="","",E248*G248*(1+Settings!$B$18))</f>
        <v/>
      </c>
      <c r="I248" s="39">
        <f>IF(B248="","",IFERROR(VLOOKUP(B248,'Vendors &amp; Crew'!$A$5:$D$34,4,FALSE),0))</f>
        <v/>
      </c>
      <c r="J248" s="39">
        <f>IF(B248="","",E248*I248)</f>
        <v/>
      </c>
      <c r="K248" s="59">
        <f>IF(A248="","",A248-WEEKDAY(A248,2)+7)</f>
        <v/>
      </c>
      <c r="L248" s="9">
        <f>IF(B248="","",IF(D248="","Labor",IFERROR(VLOOKUP(D248,Settings!$E$5:$G$28,3,FALSE),"Labor")))</f>
        <v/>
      </c>
      <c r="M248" s="9">
        <f>IF(B248="","",IF(COUNTIF('Vendors &amp; Crew'!$A$5:$A$34,B248)=0,"Worker not in Crew table",IF(C248="","Missing Job ID",IF(COUNTIF(Jobs!$A$5:$A$44,C248)=0,"Unknown Job ID",IF(E248="","Missing hours",IF(A248="","Missing date",""))))))</f>
        <v/>
      </c>
      <c r="N248" s="35" t="n"/>
    </row>
    <row r="249">
      <c r="A249" s="40" t="n"/>
      <c r="B249" s="35" t="n"/>
      <c r="C249" s="35" t="n"/>
      <c r="D249" s="35" t="n"/>
      <c r="E249" s="61" t="n"/>
      <c r="F249" s="37" t="n"/>
      <c r="G249" s="39">
        <f>IF(B249="","",IF(F249&lt;&gt;"",F249,IFERROR(VLOOKUP(B249,'Vendors &amp; Crew'!$A$5:$D$34,3,FALSE),0)))</f>
        <v/>
      </c>
      <c r="H249" s="39">
        <f>IF(B249="","",E249*G249*(1+Settings!$B$18))</f>
        <v/>
      </c>
      <c r="I249" s="39">
        <f>IF(B249="","",IFERROR(VLOOKUP(B249,'Vendors &amp; Crew'!$A$5:$D$34,4,FALSE),0))</f>
        <v/>
      </c>
      <c r="J249" s="39">
        <f>IF(B249="","",E249*I249)</f>
        <v/>
      </c>
      <c r="K249" s="59">
        <f>IF(A249="","",A249-WEEKDAY(A249,2)+7)</f>
        <v/>
      </c>
      <c r="L249" s="9">
        <f>IF(B249="","",IF(D249="","Labor",IFERROR(VLOOKUP(D249,Settings!$E$5:$G$28,3,FALSE),"Labor")))</f>
        <v/>
      </c>
      <c r="M249" s="9">
        <f>IF(B249="","",IF(COUNTIF('Vendors &amp; Crew'!$A$5:$A$34,B249)=0,"Worker not in Crew table",IF(C249="","Missing Job ID",IF(COUNTIF(Jobs!$A$5:$A$44,C249)=0,"Unknown Job ID",IF(E249="","Missing hours",IF(A249="","Missing date",""))))))</f>
        <v/>
      </c>
      <c r="N249" s="35" t="n"/>
    </row>
    <row r="250">
      <c r="A250" s="40" t="n"/>
      <c r="B250" s="35" t="n"/>
      <c r="C250" s="35" t="n"/>
      <c r="D250" s="35" t="n"/>
      <c r="E250" s="61" t="n"/>
      <c r="F250" s="37" t="n"/>
      <c r="G250" s="39">
        <f>IF(B250="","",IF(F250&lt;&gt;"",F250,IFERROR(VLOOKUP(B250,'Vendors &amp; Crew'!$A$5:$D$34,3,FALSE),0)))</f>
        <v/>
      </c>
      <c r="H250" s="39">
        <f>IF(B250="","",E250*G250*(1+Settings!$B$18))</f>
        <v/>
      </c>
      <c r="I250" s="39">
        <f>IF(B250="","",IFERROR(VLOOKUP(B250,'Vendors &amp; Crew'!$A$5:$D$34,4,FALSE),0))</f>
        <v/>
      </c>
      <c r="J250" s="39">
        <f>IF(B250="","",E250*I250)</f>
        <v/>
      </c>
      <c r="K250" s="59">
        <f>IF(A250="","",A250-WEEKDAY(A250,2)+7)</f>
        <v/>
      </c>
      <c r="L250" s="9">
        <f>IF(B250="","",IF(D250="","Labor",IFERROR(VLOOKUP(D250,Settings!$E$5:$G$28,3,FALSE),"Labor")))</f>
        <v/>
      </c>
      <c r="M250" s="9">
        <f>IF(B250="","",IF(COUNTIF('Vendors &amp; Crew'!$A$5:$A$34,B250)=0,"Worker not in Crew table",IF(C250="","Missing Job ID",IF(COUNTIF(Jobs!$A$5:$A$44,C250)=0,"Unknown Job ID",IF(E250="","Missing hours",IF(A250="","Missing date",""))))))</f>
        <v/>
      </c>
      <c r="N250" s="35" t="n"/>
    </row>
    <row r="251">
      <c r="A251" s="40" t="n"/>
      <c r="B251" s="35" t="n"/>
      <c r="C251" s="35" t="n"/>
      <c r="D251" s="35" t="n"/>
      <c r="E251" s="61" t="n"/>
      <c r="F251" s="37" t="n"/>
      <c r="G251" s="39">
        <f>IF(B251="","",IF(F251&lt;&gt;"",F251,IFERROR(VLOOKUP(B251,'Vendors &amp; Crew'!$A$5:$D$34,3,FALSE),0)))</f>
        <v/>
      </c>
      <c r="H251" s="39">
        <f>IF(B251="","",E251*G251*(1+Settings!$B$18))</f>
        <v/>
      </c>
      <c r="I251" s="39">
        <f>IF(B251="","",IFERROR(VLOOKUP(B251,'Vendors &amp; Crew'!$A$5:$D$34,4,FALSE),0))</f>
        <v/>
      </c>
      <c r="J251" s="39">
        <f>IF(B251="","",E251*I251)</f>
        <v/>
      </c>
      <c r="K251" s="59">
        <f>IF(A251="","",A251-WEEKDAY(A251,2)+7)</f>
        <v/>
      </c>
      <c r="L251" s="9">
        <f>IF(B251="","",IF(D251="","Labor",IFERROR(VLOOKUP(D251,Settings!$E$5:$G$28,3,FALSE),"Labor")))</f>
        <v/>
      </c>
      <c r="M251" s="9">
        <f>IF(B251="","",IF(COUNTIF('Vendors &amp; Crew'!$A$5:$A$34,B251)=0,"Worker not in Crew table",IF(C251="","Missing Job ID",IF(COUNTIF(Jobs!$A$5:$A$44,C251)=0,"Unknown Job ID",IF(E251="","Missing hours",IF(A251="","Missing date",""))))))</f>
        <v/>
      </c>
      <c r="N251" s="35" t="n"/>
    </row>
    <row r="252">
      <c r="A252" s="40" t="n"/>
      <c r="B252" s="35" t="n"/>
      <c r="C252" s="35" t="n"/>
      <c r="D252" s="35" t="n"/>
      <c r="E252" s="61" t="n"/>
      <c r="F252" s="37" t="n"/>
      <c r="G252" s="39">
        <f>IF(B252="","",IF(F252&lt;&gt;"",F252,IFERROR(VLOOKUP(B252,'Vendors &amp; Crew'!$A$5:$D$34,3,FALSE),0)))</f>
        <v/>
      </c>
      <c r="H252" s="39">
        <f>IF(B252="","",E252*G252*(1+Settings!$B$18))</f>
        <v/>
      </c>
      <c r="I252" s="39">
        <f>IF(B252="","",IFERROR(VLOOKUP(B252,'Vendors &amp; Crew'!$A$5:$D$34,4,FALSE),0))</f>
        <v/>
      </c>
      <c r="J252" s="39">
        <f>IF(B252="","",E252*I252)</f>
        <v/>
      </c>
      <c r="K252" s="59">
        <f>IF(A252="","",A252-WEEKDAY(A252,2)+7)</f>
        <v/>
      </c>
      <c r="L252" s="9">
        <f>IF(B252="","",IF(D252="","Labor",IFERROR(VLOOKUP(D252,Settings!$E$5:$G$28,3,FALSE),"Labor")))</f>
        <v/>
      </c>
      <c r="M252" s="9">
        <f>IF(B252="","",IF(COUNTIF('Vendors &amp; Crew'!$A$5:$A$34,B252)=0,"Worker not in Crew table",IF(C252="","Missing Job ID",IF(COUNTIF(Jobs!$A$5:$A$44,C252)=0,"Unknown Job ID",IF(E252="","Missing hours",IF(A252="","Missing date",""))))))</f>
        <v/>
      </c>
      <c r="N252" s="35" t="n"/>
    </row>
    <row r="253">
      <c r="A253" s="40" t="n"/>
      <c r="B253" s="35" t="n"/>
      <c r="C253" s="35" t="n"/>
      <c r="D253" s="35" t="n"/>
      <c r="E253" s="61" t="n"/>
      <c r="F253" s="37" t="n"/>
      <c r="G253" s="39">
        <f>IF(B253="","",IF(F253&lt;&gt;"",F253,IFERROR(VLOOKUP(B253,'Vendors &amp; Crew'!$A$5:$D$34,3,FALSE),0)))</f>
        <v/>
      </c>
      <c r="H253" s="39">
        <f>IF(B253="","",E253*G253*(1+Settings!$B$18))</f>
        <v/>
      </c>
      <c r="I253" s="39">
        <f>IF(B253="","",IFERROR(VLOOKUP(B253,'Vendors &amp; Crew'!$A$5:$D$34,4,FALSE),0))</f>
        <v/>
      </c>
      <c r="J253" s="39">
        <f>IF(B253="","",E253*I253)</f>
        <v/>
      </c>
      <c r="K253" s="59">
        <f>IF(A253="","",A253-WEEKDAY(A253,2)+7)</f>
        <v/>
      </c>
      <c r="L253" s="9">
        <f>IF(B253="","",IF(D253="","Labor",IFERROR(VLOOKUP(D253,Settings!$E$5:$G$28,3,FALSE),"Labor")))</f>
        <v/>
      </c>
      <c r="M253" s="9">
        <f>IF(B253="","",IF(COUNTIF('Vendors &amp; Crew'!$A$5:$A$34,B253)=0,"Worker not in Crew table",IF(C253="","Missing Job ID",IF(COUNTIF(Jobs!$A$5:$A$44,C253)=0,"Unknown Job ID",IF(E253="","Missing hours",IF(A253="","Missing date",""))))))</f>
        <v/>
      </c>
      <c r="N253" s="35" t="n"/>
    </row>
    <row r="254">
      <c r="A254" s="40" t="n"/>
      <c r="B254" s="35" t="n"/>
      <c r="C254" s="35" t="n"/>
      <c r="D254" s="35" t="n"/>
      <c r="E254" s="61" t="n"/>
      <c r="F254" s="37" t="n"/>
      <c r="G254" s="39">
        <f>IF(B254="","",IF(F254&lt;&gt;"",F254,IFERROR(VLOOKUP(B254,'Vendors &amp; Crew'!$A$5:$D$34,3,FALSE),0)))</f>
        <v/>
      </c>
      <c r="H254" s="39">
        <f>IF(B254="","",E254*G254*(1+Settings!$B$18))</f>
        <v/>
      </c>
      <c r="I254" s="39">
        <f>IF(B254="","",IFERROR(VLOOKUP(B254,'Vendors &amp; Crew'!$A$5:$D$34,4,FALSE),0))</f>
        <v/>
      </c>
      <c r="J254" s="39">
        <f>IF(B254="","",E254*I254)</f>
        <v/>
      </c>
      <c r="K254" s="59">
        <f>IF(A254="","",A254-WEEKDAY(A254,2)+7)</f>
        <v/>
      </c>
      <c r="L254" s="9">
        <f>IF(B254="","",IF(D254="","Labor",IFERROR(VLOOKUP(D254,Settings!$E$5:$G$28,3,FALSE),"Labor")))</f>
        <v/>
      </c>
      <c r="M254" s="9">
        <f>IF(B254="","",IF(COUNTIF('Vendors &amp; Crew'!$A$5:$A$34,B254)=0,"Worker not in Crew table",IF(C254="","Missing Job ID",IF(COUNTIF(Jobs!$A$5:$A$44,C254)=0,"Unknown Job ID",IF(E254="","Missing hours",IF(A254="","Missing date",""))))))</f>
        <v/>
      </c>
      <c r="N254" s="35" t="n"/>
    </row>
    <row r="255">
      <c r="A255" s="40" t="n"/>
      <c r="B255" s="35" t="n"/>
      <c r="C255" s="35" t="n"/>
      <c r="D255" s="35" t="n"/>
      <c r="E255" s="61" t="n"/>
      <c r="F255" s="37" t="n"/>
      <c r="G255" s="39">
        <f>IF(B255="","",IF(F255&lt;&gt;"",F255,IFERROR(VLOOKUP(B255,'Vendors &amp; Crew'!$A$5:$D$34,3,FALSE),0)))</f>
        <v/>
      </c>
      <c r="H255" s="39">
        <f>IF(B255="","",E255*G255*(1+Settings!$B$18))</f>
        <v/>
      </c>
      <c r="I255" s="39">
        <f>IF(B255="","",IFERROR(VLOOKUP(B255,'Vendors &amp; Crew'!$A$5:$D$34,4,FALSE),0))</f>
        <v/>
      </c>
      <c r="J255" s="39">
        <f>IF(B255="","",E255*I255)</f>
        <v/>
      </c>
      <c r="K255" s="59">
        <f>IF(A255="","",A255-WEEKDAY(A255,2)+7)</f>
        <v/>
      </c>
      <c r="L255" s="9">
        <f>IF(B255="","",IF(D255="","Labor",IFERROR(VLOOKUP(D255,Settings!$E$5:$G$28,3,FALSE),"Labor")))</f>
        <v/>
      </c>
      <c r="M255" s="9">
        <f>IF(B255="","",IF(COUNTIF('Vendors &amp; Crew'!$A$5:$A$34,B255)=0,"Worker not in Crew table",IF(C255="","Missing Job ID",IF(COUNTIF(Jobs!$A$5:$A$44,C255)=0,"Unknown Job ID",IF(E255="","Missing hours",IF(A255="","Missing date",""))))))</f>
        <v/>
      </c>
      <c r="N255" s="35" t="n"/>
    </row>
    <row r="256">
      <c r="A256" s="40" t="n"/>
      <c r="B256" s="35" t="n"/>
      <c r="C256" s="35" t="n"/>
      <c r="D256" s="35" t="n"/>
      <c r="E256" s="61" t="n"/>
      <c r="F256" s="37" t="n"/>
      <c r="G256" s="39">
        <f>IF(B256="","",IF(F256&lt;&gt;"",F256,IFERROR(VLOOKUP(B256,'Vendors &amp; Crew'!$A$5:$D$34,3,FALSE),0)))</f>
        <v/>
      </c>
      <c r="H256" s="39">
        <f>IF(B256="","",E256*G256*(1+Settings!$B$18))</f>
        <v/>
      </c>
      <c r="I256" s="39">
        <f>IF(B256="","",IFERROR(VLOOKUP(B256,'Vendors &amp; Crew'!$A$5:$D$34,4,FALSE),0))</f>
        <v/>
      </c>
      <c r="J256" s="39">
        <f>IF(B256="","",E256*I256)</f>
        <v/>
      </c>
      <c r="K256" s="59">
        <f>IF(A256="","",A256-WEEKDAY(A256,2)+7)</f>
        <v/>
      </c>
      <c r="L256" s="9">
        <f>IF(B256="","",IF(D256="","Labor",IFERROR(VLOOKUP(D256,Settings!$E$5:$G$28,3,FALSE),"Labor")))</f>
        <v/>
      </c>
      <c r="M256" s="9">
        <f>IF(B256="","",IF(COUNTIF('Vendors &amp; Crew'!$A$5:$A$34,B256)=0,"Worker not in Crew table",IF(C256="","Missing Job ID",IF(COUNTIF(Jobs!$A$5:$A$44,C256)=0,"Unknown Job ID",IF(E256="","Missing hours",IF(A256="","Missing date",""))))))</f>
        <v/>
      </c>
      <c r="N256" s="35" t="n"/>
    </row>
    <row r="257">
      <c r="A257" s="40" t="n"/>
      <c r="B257" s="35" t="n"/>
      <c r="C257" s="35" t="n"/>
      <c r="D257" s="35" t="n"/>
      <c r="E257" s="61" t="n"/>
      <c r="F257" s="37" t="n"/>
      <c r="G257" s="39">
        <f>IF(B257="","",IF(F257&lt;&gt;"",F257,IFERROR(VLOOKUP(B257,'Vendors &amp; Crew'!$A$5:$D$34,3,FALSE),0)))</f>
        <v/>
      </c>
      <c r="H257" s="39">
        <f>IF(B257="","",E257*G257*(1+Settings!$B$18))</f>
        <v/>
      </c>
      <c r="I257" s="39">
        <f>IF(B257="","",IFERROR(VLOOKUP(B257,'Vendors &amp; Crew'!$A$5:$D$34,4,FALSE),0))</f>
        <v/>
      </c>
      <c r="J257" s="39">
        <f>IF(B257="","",E257*I257)</f>
        <v/>
      </c>
      <c r="K257" s="59">
        <f>IF(A257="","",A257-WEEKDAY(A257,2)+7)</f>
        <v/>
      </c>
      <c r="L257" s="9">
        <f>IF(B257="","",IF(D257="","Labor",IFERROR(VLOOKUP(D257,Settings!$E$5:$G$28,3,FALSE),"Labor")))</f>
        <v/>
      </c>
      <c r="M257" s="9">
        <f>IF(B257="","",IF(COUNTIF('Vendors &amp; Crew'!$A$5:$A$34,B257)=0,"Worker not in Crew table",IF(C257="","Missing Job ID",IF(COUNTIF(Jobs!$A$5:$A$44,C257)=0,"Unknown Job ID",IF(E257="","Missing hours",IF(A257="","Missing date",""))))))</f>
        <v/>
      </c>
      <c r="N257" s="35" t="n"/>
    </row>
    <row r="258">
      <c r="A258" s="40" t="n"/>
      <c r="B258" s="35" t="n"/>
      <c r="C258" s="35" t="n"/>
      <c r="D258" s="35" t="n"/>
      <c r="E258" s="61" t="n"/>
      <c r="F258" s="37" t="n"/>
      <c r="G258" s="39">
        <f>IF(B258="","",IF(F258&lt;&gt;"",F258,IFERROR(VLOOKUP(B258,'Vendors &amp; Crew'!$A$5:$D$34,3,FALSE),0)))</f>
        <v/>
      </c>
      <c r="H258" s="39">
        <f>IF(B258="","",E258*G258*(1+Settings!$B$18))</f>
        <v/>
      </c>
      <c r="I258" s="39">
        <f>IF(B258="","",IFERROR(VLOOKUP(B258,'Vendors &amp; Crew'!$A$5:$D$34,4,FALSE),0))</f>
        <v/>
      </c>
      <c r="J258" s="39">
        <f>IF(B258="","",E258*I258)</f>
        <v/>
      </c>
      <c r="K258" s="59">
        <f>IF(A258="","",A258-WEEKDAY(A258,2)+7)</f>
        <v/>
      </c>
      <c r="L258" s="9">
        <f>IF(B258="","",IF(D258="","Labor",IFERROR(VLOOKUP(D258,Settings!$E$5:$G$28,3,FALSE),"Labor")))</f>
        <v/>
      </c>
      <c r="M258" s="9">
        <f>IF(B258="","",IF(COUNTIF('Vendors &amp; Crew'!$A$5:$A$34,B258)=0,"Worker not in Crew table",IF(C258="","Missing Job ID",IF(COUNTIF(Jobs!$A$5:$A$44,C258)=0,"Unknown Job ID",IF(E258="","Missing hours",IF(A258="","Missing date",""))))))</f>
        <v/>
      </c>
      <c r="N258" s="35" t="n"/>
    </row>
    <row r="259">
      <c r="A259" s="40" t="n"/>
      <c r="B259" s="35" t="n"/>
      <c r="C259" s="35" t="n"/>
      <c r="D259" s="35" t="n"/>
      <c r="E259" s="61" t="n"/>
      <c r="F259" s="37" t="n"/>
      <c r="G259" s="39">
        <f>IF(B259="","",IF(F259&lt;&gt;"",F259,IFERROR(VLOOKUP(B259,'Vendors &amp; Crew'!$A$5:$D$34,3,FALSE),0)))</f>
        <v/>
      </c>
      <c r="H259" s="39">
        <f>IF(B259="","",E259*G259*(1+Settings!$B$18))</f>
        <v/>
      </c>
      <c r="I259" s="39">
        <f>IF(B259="","",IFERROR(VLOOKUP(B259,'Vendors &amp; Crew'!$A$5:$D$34,4,FALSE),0))</f>
        <v/>
      </c>
      <c r="J259" s="39">
        <f>IF(B259="","",E259*I259)</f>
        <v/>
      </c>
      <c r="K259" s="59">
        <f>IF(A259="","",A259-WEEKDAY(A259,2)+7)</f>
        <v/>
      </c>
      <c r="L259" s="9">
        <f>IF(B259="","",IF(D259="","Labor",IFERROR(VLOOKUP(D259,Settings!$E$5:$G$28,3,FALSE),"Labor")))</f>
        <v/>
      </c>
      <c r="M259" s="9">
        <f>IF(B259="","",IF(COUNTIF('Vendors &amp; Crew'!$A$5:$A$34,B259)=0,"Worker not in Crew table",IF(C259="","Missing Job ID",IF(COUNTIF(Jobs!$A$5:$A$44,C259)=0,"Unknown Job ID",IF(E259="","Missing hours",IF(A259="","Missing date",""))))))</f>
        <v/>
      </c>
      <c r="N259" s="35" t="n"/>
    </row>
    <row r="260">
      <c r="A260" s="40" t="n"/>
      <c r="B260" s="35" t="n"/>
      <c r="C260" s="35" t="n"/>
      <c r="D260" s="35" t="n"/>
      <c r="E260" s="61" t="n"/>
      <c r="F260" s="37" t="n"/>
      <c r="G260" s="39">
        <f>IF(B260="","",IF(F260&lt;&gt;"",F260,IFERROR(VLOOKUP(B260,'Vendors &amp; Crew'!$A$5:$D$34,3,FALSE),0)))</f>
        <v/>
      </c>
      <c r="H260" s="39">
        <f>IF(B260="","",E260*G260*(1+Settings!$B$18))</f>
        <v/>
      </c>
      <c r="I260" s="39">
        <f>IF(B260="","",IFERROR(VLOOKUP(B260,'Vendors &amp; Crew'!$A$5:$D$34,4,FALSE),0))</f>
        <v/>
      </c>
      <c r="J260" s="39">
        <f>IF(B260="","",E260*I260)</f>
        <v/>
      </c>
      <c r="K260" s="59">
        <f>IF(A260="","",A260-WEEKDAY(A260,2)+7)</f>
        <v/>
      </c>
      <c r="L260" s="9">
        <f>IF(B260="","",IF(D260="","Labor",IFERROR(VLOOKUP(D260,Settings!$E$5:$G$28,3,FALSE),"Labor")))</f>
        <v/>
      </c>
      <c r="M260" s="9">
        <f>IF(B260="","",IF(COUNTIF('Vendors &amp; Crew'!$A$5:$A$34,B260)=0,"Worker not in Crew table",IF(C260="","Missing Job ID",IF(COUNTIF(Jobs!$A$5:$A$44,C260)=0,"Unknown Job ID",IF(E260="","Missing hours",IF(A260="","Missing date",""))))))</f>
        <v/>
      </c>
      <c r="N260" s="35" t="n"/>
    </row>
    <row r="261">
      <c r="A261" s="40" t="n"/>
      <c r="B261" s="35" t="n"/>
      <c r="C261" s="35" t="n"/>
      <c r="D261" s="35" t="n"/>
      <c r="E261" s="61" t="n"/>
      <c r="F261" s="37" t="n"/>
      <c r="G261" s="39">
        <f>IF(B261="","",IF(F261&lt;&gt;"",F261,IFERROR(VLOOKUP(B261,'Vendors &amp; Crew'!$A$5:$D$34,3,FALSE),0)))</f>
        <v/>
      </c>
      <c r="H261" s="39">
        <f>IF(B261="","",E261*G261*(1+Settings!$B$18))</f>
        <v/>
      </c>
      <c r="I261" s="39">
        <f>IF(B261="","",IFERROR(VLOOKUP(B261,'Vendors &amp; Crew'!$A$5:$D$34,4,FALSE),0))</f>
        <v/>
      </c>
      <c r="J261" s="39">
        <f>IF(B261="","",E261*I261)</f>
        <v/>
      </c>
      <c r="K261" s="59">
        <f>IF(A261="","",A261-WEEKDAY(A261,2)+7)</f>
        <v/>
      </c>
      <c r="L261" s="9">
        <f>IF(B261="","",IF(D261="","Labor",IFERROR(VLOOKUP(D261,Settings!$E$5:$G$28,3,FALSE),"Labor")))</f>
        <v/>
      </c>
      <c r="M261" s="9">
        <f>IF(B261="","",IF(COUNTIF('Vendors &amp; Crew'!$A$5:$A$34,B261)=0,"Worker not in Crew table",IF(C261="","Missing Job ID",IF(COUNTIF(Jobs!$A$5:$A$44,C261)=0,"Unknown Job ID",IF(E261="","Missing hours",IF(A261="","Missing date",""))))))</f>
        <v/>
      </c>
      <c r="N261" s="35" t="n"/>
    </row>
    <row r="262">
      <c r="A262" s="40" t="n"/>
      <c r="B262" s="35" t="n"/>
      <c r="C262" s="35" t="n"/>
      <c r="D262" s="35" t="n"/>
      <c r="E262" s="61" t="n"/>
      <c r="F262" s="37" t="n"/>
      <c r="G262" s="39">
        <f>IF(B262="","",IF(F262&lt;&gt;"",F262,IFERROR(VLOOKUP(B262,'Vendors &amp; Crew'!$A$5:$D$34,3,FALSE),0)))</f>
        <v/>
      </c>
      <c r="H262" s="39">
        <f>IF(B262="","",E262*G262*(1+Settings!$B$18))</f>
        <v/>
      </c>
      <c r="I262" s="39">
        <f>IF(B262="","",IFERROR(VLOOKUP(B262,'Vendors &amp; Crew'!$A$5:$D$34,4,FALSE),0))</f>
        <v/>
      </c>
      <c r="J262" s="39">
        <f>IF(B262="","",E262*I262)</f>
        <v/>
      </c>
      <c r="K262" s="59">
        <f>IF(A262="","",A262-WEEKDAY(A262,2)+7)</f>
        <v/>
      </c>
      <c r="L262" s="9">
        <f>IF(B262="","",IF(D262="","Labor",IFERROR(VLOOKUP(D262,Settings!$E$5:$G$28,3,FALSE),"Labor")))</f>
        <v/>
      </c>
      <c r="M262" s="9">
        <f>IF(B262="","",IF(COUNTIF('Vendors &amp; Crew'!$A$5:$A$34,B262)=0,"Worker not in Crew table",IF(C262="","Missing Job ID",IF(COUNTIF(Jobs!$A$5:$A$44,C262)=0,"Unknown Job ID",IF(E262="","Missing hours",IF(A262="","Missing date",""))))))</f>
        <v/>
      </c>
      <c r="N262" s="35" t="n"/>
    </row>
    <row r="263">
      <c r="A263" s="40" t="n"/>
      <c r="B263" s="35" t="n"/>
      <c r="C263" s="35" t="n"/>
      <c r="D263" s="35" t="n"/>
      <c r="E263" s="61" t="n"/>
      <c r="F263" s="37" t="n"/>
      <c r="G263" s="39">
        <f>IF(B263="","",IF(F263&lt;&gt;"",F263,IFERROR(VLOOKUP(B263,'Vendors &amp; Crew'!$A$5:$D$34,3,FALSE),0)))</f>
        <v/>
      </c>
      <c r="H263" s="39">
        <f>IF(B263="","",E263*G263*(1+Settings!$B$18))</f>
        <v/>
      </c>
      <c r="I263" s="39">
        <f>IF(B263="","",IFERROR(VLOOKUP(B263,'Vendors &amp; Crew'!$A$5:$D$34,4,FALSE),0))</f>
        <v/>
      </c>
      <c r="J263" s="39">
        <f>IF(B263="","",E263*I263)</f>
        <v/>
      </c>
      <c r="K263" s="59">
        <f>IF(A263="","",A263-WEEKDAY(A263,2)+7)</f>
        <v/>
      </c>
      <c r="L263" s="9">
        <f>IF(B263="","",IF(D263="","Labor",IFERROR(VLOOKUP(D263,Settings!$E$5:$G$28,3,FALSE),"Labor")))</f>
        <v/>
      </c>
      <c r="M263" s="9">
        <f>IF(B263="","",IF(COUNTIF('Vendors &amp; Crew'!$A$5:$A$34,B263)=0,"Worker not in Crew table",IF(C263="","Missing Job ID",IF(COUNTIF(Jobs!$A$5:$A$44,C263)=0,"Unknown Job ID",IF(E263="","Missing hours",IF(A263="","Missing date",""))))))</f>
        <v/>
      </c>
      <c r="N263" s="35" t="n"/>
    </row>
    <row r="264">
      <c r="A264" s="40" t="n"/>
      <c r="B264" s="35" t="n"/>
      <c r="C264" s="35" t="n"/>
      <c r="D264" s="35" t="n"/>
      <c r="E264" s="61" t="n"/>
      <c r="F264" s="37" t="n"/>
      <c r="G264" s="39">
        <f>IF(B264="","",IF(F264&lt;&gt;"",F264,IFERROR(VLOOKUP(B264,'Vendors &amp; Crew'!$A$5:$D$34,3,FALSE),0)))</f>
        <v/>
      </c>
      <c r="H264" s="39">
        <f>IF(B264="","",E264*G264*(1+Settings!$B$18))</f>
        <v/>
      </c>
      <c r="I264" s="39">
        <f>IF(B264="","",IFERROR(VLOOKUP(B264,'Vendors &amp; Crew'!$A$5:$D$34,4,FALSE),0))</f>
        <v/>
      </c>
      <c r="J264" s="39">
        <f>IF(B264="","",E264*I264)</f>
        <v/>
      </c>
      <c r="K264" s="59">
        <f>IF(A264="","",A264-WEEKDAY(A264,2)+7)</f>
        <v/>
      </c>
      <c r="L264" s="9">
        <f>IF(B264="","",IF(D264="","Labor",IFERROR(VLOOKUP(D264,Settings!$E$5:$G$28,3,FALSE),"Labor")))</f>
        <v/>
      </c>
      <c r="M264" s="9">
        <f>IF(B264="","",IF(COUNTIF('Vendors &amp; Crew'!$A$5:$A$34,B264)=0,"Worker not in Crew table",IF(C264="","Missing Job ID",IF(COUNTIF(Jobs!$A$5:$A$44,C264)=0,"Unknown Job ID",IF(E264="","Missing hours",IF(A264="","Missing date",""))))))</f>
        <v/>
      </c>
      <c r="N264" s="35" t="n"/>
    </row>
    <row r="265">
      <c r="A265" s="40" t="n"/>
      <c r="B265" s="35" t="n"/>
      <c r="C265" s="35" t="n"/>
      <c r="D265" s="35" t="n"/>
      <c r="E265" s="61" t="n"/>
      <c r="F265" s="37" t="n"/>
      <c r="G265" s="39">
        <f>IF(B265="","",IF(F265&lt;&gt;"",F265,IFERROR(VLOOKUP(B265,'Vendors &amp; Crew'!$A$5:$D$34,3,FALSE),0)))</f>
        <v/>
      </c>
      <c r="H265" s="39">
        <f>IF(B265="","",E265*G265*(1+Settings!$B$18))</f>
        <v/>
      </c>
      <c r="I265" s="39">
        <f>IF(B265="","",IFERROR(VLOOKUP(B265,'Vendors &amp; Crew'!$A$5:$D$34,4,FALSE),0))</f>
        <v/>
      </c>
      <c r="J265" s="39">
        <f>IF(B265="","",E265*I265)</f>
        <v/>
      </c>
      <c r="K265" s="59">
        <f>IF(A265="","",A265-WEEKDAY(A265,2)+7)</f>
        <v/>
      </c>
      <c r="L265" s="9">
        <f>IF(B265="","",IF(D265="","Labor",IFERROR(VLOOKUP(D265,Settings!$E$5:$G$28,3,FALSE),"Labor")))</f>
        <v/>
      </c>
      <c r="M265" s="9">
        <f>IF(B265="","",IF(COUNTIF('Vendors &amp; Crew'!$A$5:$A$34,B265)=0,"Worker not in Crew table",IF(C265="","Missing Job ID",IF(COUNTIF(Jobs!$A$5:$A$44,C265)=0,"Unknown Job ID",IF(E265="","Missing hours",IF(A265="","Missing date",""))))))</f>
        <v/>
      </c>
      <c r="N265" s="35" t="n"/>
    </row>
    <row r="266">
      <c r="A266" s="40" t="n"/>
      <c r="B266" s="35" t="n"/>
      <c r="C266" s="35" t="n"/>
      <c r="D266" s="35" t="n"/>
      <c r="E266" s="61" t="n"/>
      <c r="F266" s="37" t="n"/>
      <c r="G266" s="39">
        <f>IF(B266="","",IF(F266&lt;&gt;"",F266,IFERROR(VLOOKUP(B266,'Vendors &amp; Crew'!$A$5:$D$34,3,FALSE),0)))</f>
        <v/>
      </c>
      <c r="H266" s="39">
        <f>IF(B266="","",E266*G266*(1+Settings!$B$18))</f>
        <v/>
      </c>
      <c r="I266" s="39">
        <f>IF(B266="","",IFERROR(VLOOKUP(B266,'Vendors &amp; Crew'!$A$5:$D$34,4,FALSE),0))</f>
        <v/>
      </c>
      <c r="J266" s="39">
        <f>IF(B266="","",E266*I266)</f>
        <v/>
      </c>
      <c r="K266" s="59">
        <f>IF(A266="","",A266-WEEKDAY(A266,2)+7)</f>
        <v/>
      </c>
      <c r="L266" s="9">
        <f>IF(B266="","",IF(D266="","Labor",IFERROR(VLOOKUP(D266,Settings!$E$5:$G$28,3,FALSE),"Labor")))</f>
        <v/>
      </c>
      <c r="M266" s="9">
        <f>IF(B266="","",IF(COUNTIF('Vendors &amp; Crew'!$A$5:$A$34,B266)=0,"Worker not in Crew table",IF(C266="","Missing Job ID",IF(COUNTIF(Jobs!$A$5:$A$44,C266)=0,"Unknown Job ID",IF(E266="","Missing hours",IF(A266="","Missing date",""))))))</f>
        <v/>
      </c>
      <c r="N266" s="35" t="n"/>
    </row>
    <row r="267">
      <c r="A267" s="40" t="n"/>
      <c r="B267" s="35" t="n"/>
      <c r="C267" s="35" t="n"/>
      <c r="D267" s="35" t="n"/>
      <c r="E267" s="61" t="n"/>
      <c r="F267" s="37" t="n"/>
      <c r="G267" s="39">
        <f>IF(B267="","",IF(F267&lt;&gt;"",F267,IFERROR(VLOOKUP(B267,'Vendors &amp; Crew'!$A$5:$D$34,3,FALSE),0)))</f>
        <v/>
      </c>
      <c r="H267" s="39">
        <f>IF(B267="","",E267*G267*(1+Settings!$B$18))</f>
        <v/>
      </c>
      <c r="I267" s="39">
        <f>IF(B267="","",IFERROR(VLOOKUP(B267,'Vendors &amp; Crew'!$A$5:$D$34,4,FALSE),0))</f>
        <v/>
      </c>
      <c r="J267" s="39">
        <f>IF(B267="","",E267*I267)</f>
        <v/>
      </c>
      <c r="K267" s="59">
        <f>IF(A267="","",A267-WEEKDAY(A267,2)+7)</f>
        <v/>
      </c>
      <c r="L267" s="9">
        <f>IF(B267="","",IF(D267="","Labor",IFERROR(VLOOKUP(D267,Settings!$E$5:$G$28,3,FALSE),"Labor")))</f>
        <v/>
      </c>
      <c r="M267" s="9">
        <f>IF(B267="","",IF(COUNTIF('Vendors &amp; Crew'!$A$5:$A$34,B267)=0,"Worker not in Crew table",IF(C267="","Missing Job ID",IF(COUNTIF(Jobs!$A$5:$A$44,C267)=0,"Unknown Job ID",IF(E267="","Missing hours",IF(A267="","Missing date",""))))))</f>
        <v/>
      </c>
      <c r="N267" s="35" t="n"/>
    </row>
    <row r="268">
      <c r="A268" s="40" t="n"/>
      <c r="B268" s="35" t="n"/>
      <c r="C268" s="35" t="n"/>
      <c r="D268" s="35" t="n"/>
      <c r="E268" s="61" t="n"/>
      <c r="F268" s="37" t="n"/>
      <c r="G268" s="39">
        <f>IF(B268="","",IF(F268&lt;&gt;"",F268,IFERROR(VLOOKUP(B268,'Vendors &amp; Crew'!$A$5:$D$34,3,FALSE),0)))</f>
        <v/>
      </c>
      <c r="H268" s="39">
        <f>IF(B268="","",E268*G268*(1+Settings!$B$18))</f>
        <v/>
      </c>
      <c r="I268" s="39">
        <f>IF(B268="","",IFERROR(VLOOKUP(B268,'Vendors &amp; Crew'!$A$5:$D$34,4,FALSE),0))</f>
        <v/>
      </c>
      <c r="J268" s="39">
        <f>IF(B268="","",E268*I268)</f>
        <v/>
      </c>
      <c r="K268" s="59">
        <f>IF(A268="","",A268-WEEKDAY(A268,2)+7)</f>
        <v/>
      </c>
      <c r="L268" s="9">
        <f>IF(B268="","",IF(D268="","Labor",IFERROR(VLOOKUP(D268,Settings!$E$5:$G$28,3,FALSE),"Labor")))</f>
        <v/>
      </c>
      <c r="M268" s="9">
        <f>IF(B268="","",IF(COUNTIF('Vendors &amp; Crew'!$A$5:$A$34,B268)=0,"Worker not in Crew table",IF(C268="","Missing Job ID",IF(COUNTIF(Jobs!$A$5:$A$44,C268)=0,"Unknown Job ID",IF(E268="","Missing hours",IF(A268="","Missing date",""))))))</f>
        <v/>
      </c>
      <c r="N268" s="35" t="n"/>
    </row>
    <row r="269">
      <c r="A269" s="40" t="n"/>
      <c r="B269" s="35" t="n"/>
      <c r="C269" s="35" t="n"/>
      <c r="D269" s="35" t="n"/>
      <c r="E269" s="61" t="n"/>
      <c r="F269" s="37" t="n"/>
      <c r="G269" s="39">
        <f>IF(B269="","",IF(F269&lt;&gt;"",F269,IFERROR(VLOOKUP(B269,'Vendors &amp; Crew'!$A$5:$D$34,3,FALSE),0)))</f>
        <v/>
      </c>
      <c r="H269" s="39">
        <f>IF(B269="","",E269*G269*(1+Settings!$B$18))</f>
        <v/>
      </c>
      <c r="I269" s="39">
        <f>IF(B269="","",IFERROR(VLOOKUP(B269,'Vendors &amp; Crew'!$A$5:$D$34,4,FALSE),0))</f>
        <v/>
      </c>
      <c r="J269" s="39">
        <f>IF(B269="","",E269*I269)</f>
        <v/>
      </c>
      <c r="K269" s="59">
        <f>IF(A269="","",A269-WEEKDAY(A269,2)+7)</f>
        <v/>
      </c>
      <c r="L269" s="9">
        <f>IF(B269="","",IF(D269="","Labor",IFERROR(VLOOKUP(D269,Settings!$E$5:$G$28,3,FALSE),"Labor")))</f>
        <v/>
      </c>
      <c r="M269" s="9">
        <f>IF(B269="","",IF(COUNTIF('Vendors &amp; Crew'!$A$5:$A$34,B269)=0,"Worker not in Crew table",IF(C269="","Missing Job ID",IF(COUNTIF(Jobs!$A$5:$A$44,C269)=0,"Unknown Job ID",IF(E269="","Missing hours",IF(A269="","Missing date",""))))))</f>
        <v/>
      </c>
      <c r="N269" s="35" t="n"/>
    </row>
    <row r="270">
      <c r="A270" s="40" t="n"/>
      <c r="B270" s="35" t="n"/>
      <c r="C270" s="35" t="n"/>
      <c r="D270" s="35" t="n"/>
      <c r="E270" s="61" t="n"/>
      <c r="F270" s="37" t="n"/>
      <c r="G270" s="39">
        <f>IF(B270="","",IF(F270&lt;&gt;"",F270,IFERROR(VLOOKUP(B270,'Vendors &amp; Crew'!$A$5:$D$34,3,FALSE),0)))</f>
        <v/>
      </c>
      <c r="H270" s="39">
        <f>IF(B270="","",E270*G270*(1+Settings!$B$18))</f>
        <v/>
      </c>
      <c r="I270" s="39">
        <f>IF(B270="","",IFERROR(VLOOKUP(B270,'Vendors &amp; Crew'!$A$5:$D$34,4,FALSE),0))</f>
        <v/>
      </c>
      <c r="J270" s="39">
        <f>IF(B270="","",E270*I270)</f>
        <v/>
      </c>
      <c r="K270" s="59">
        <f>IF(A270="","",A270-WEEKDAY(A270,2)+7)</f>
        <v/>
      </c>
      <c r="L270" s="9">
        <f>IF(B270="","",IF(D270="","Labor",IFERROR(VLOOKUP(D270,Settings!$E$5:$G$28,3,FALSE),"Labor")))</f>
        <v/>
      </c>
      <c r="M270" s="9">
        <f>IF(B270="","",IF(COUNTIF('Vendors &amp; Crew'!$A$5:$A$34,B270)=0,"Worker not in Crew table",IF(C270="","Missing Job ID",IF(COUNTIF(Jobs!$A$5:$A$44,C270)=0,"Unknown Job ID",IF(E270="","Missing hours",IF(A270="","Missing date",""))))))</f>
        <v/>
      </c>
      <c r="N270" s="35" t="n"/>
    </row>
    <row r="271">
      <c r="A271" s="40" t="n"/>
      <c r="B271" s="35" t="n"/>
      <c r="C271" s="35" t="n"/>
      <c r="D271" s="35" t="n"/>
      <c r="E271" s="61" t="n"/>
      <c r="F271" s="37" t="n"/>
      <c r="G271" s="39">
        <f>IF(B271="","",IF(F271&lt;&gt;"",F271,IFERROR(VLOOKUP(B271,'Vendors &amp; Crew'!$A$5:$D$34,3,FALSE),0)))</f>
        <v/>
      </c>
      <c r="H271" s="39">
        <f>IF(B271="","",E271*G271*(1+Settings!$B$18))</f>
        <v/>
      </c>
      <c r="I271" s="39">
        <f>IF(B271="","",IFERROR(VLOOKUP(B271,'Vendors &amp; Crew'!$A$5:$D$34,4,FALSE),0))</f>
        <v/>
      </c>
      <c r="J271" s="39">
        <f>IF(B271="","",E271*I271)</f>
        <v/>
      </c>
      <c r="K271" s="59">
        <f>IF(A271="","",A271-WEEKDAY(A271,2)+7)</f>
        <v/>
      </c>
      <c r="L271" s="9">
        <f>IF(B271="","",IF(D271="","Labor",IFERROR(VLOOKUP(D271,Settings!$E$5:$G$28,3,FALSE),"Labor")))</f>
        <v/>
      </c>
      <c r="M271" s="9">
        <f>IF(B271="","",IF(COUNTIF('Vendors &amp; Crew'!$A$5:$A$34,B271)=0,"Worker not in Crew table",IF(C271="","Missing Job ID",IF(COUNTIF(Jobs!$A$5:$A$44,C271)=0,"Unknown Job ID",IF(E271="","Missing hours",IF(A271="","Missing date",""))))))</f>
        <v/>
      </c>
      <c r="N271" s="35" t="n"/>
    </row>
    <row r="272">
      <c r="A272" s="40" t="n"/>
      <c r="B272" s="35" t="n"/>
      <c r="C272" s="35" t="n"/>
      <c r="D272" s="35" t="n"/>
      <c r="E272" s="61" t="n"/>
      <c r="F272" s="37" t="n"/>
      <c r="G272" s="39">
        <f>IF(B272="","",IF(F272&lt;&gt;"",F272,IFERROR(VLOOKUP(B272,'Vendors &amp; Crew'!$A$5:$D$34,3,FALSE),0)))</f>
        <v/>
      </c>
      <c r="H272" s="39">
        <f>IF(B272="","",E272*G272*(1+Settings!$B$18))</f>
        <v/>
      </c>
      <c r="I272" s="39">
        <f>IF(B272="","",IFERROR(VLOOKUP(B272,'Vendors &amp; Crew'!$A$5:$D$34,4,FALSE),0))</f>
        <v/>
      </c>
      <c r="J272" s="39">
        <f>IF(B272="","",E272*I272)</f>
        <v/>
      </c>
      <c r="K272" s="59">
        <f>IF(A272="","",A272-WEEKDAY(A272,2)+7)</f>
        <v/>
      </c>
      <c r="L272" s="9">
        <f>IF(B272="","",IF(D272="","Labor",IFERROR(VLOOKUP(D272,Settings!$E$5:$G$28,3,FALSE),"Labor")))</f>
        <v/>
      </c>
      <c r="M272" s="9">
        <f>IF(B272="","",IF(COUNTIF('Vendors &amp; Crew'!$A$5:$A$34,B272)=0,"Worker not in Crew table",IF(C272="","Missing Job ID",IF(COUNTIF(Jobs!$A$5:$A$44,C272)=0,"Unknown Job ID",IF(E272="","Missing hours",IF(A272="","Missing date",""))))))</f>
        <v/>
      </c>
      <c r="N272" s="35" t="n"/>
    </row>
    <row r="273">
      <c r="A273" s="40" t="n"/>
      <c r="B273" s="35" t="n"/>
      <c r="C273" s="35" t="n"/>
      <c r="D273" s="35" t="n"/>
      <c r="E273" s="61" t="n"/>
      <c r="F273" s="37" t="n"/>
      <c r="G273" s="39">
        <f>IF(B273="","",IF(F273&lt;&gt;"",F273,IFERROR(VLOOKUP(B273,'Vendors &amp; Crew'!$A$5:$D$34,3,FALSE),0)))</f>
        <v/>
      </c>
      <c r="H273" s="39">
        <f>IF(B273="","",E273*G273*(1+Settings!$B$18))</f>
        <v/>
      </c>
      <c r="I273" s="39">
        <f>IF(B273="","",IFERROR(VLOOKUP(B273,'Vendors &amp; Crew'!$A$5:$D$34,4,FALSE),0))</f>
        <v/>
      </c>
      <c r="J273" s="39">
        <f>IF(B273="","",E273*I273)</f>
        <v/>
      </c>
      <c r="K273" s="59">
        <f>IF(A273="","",A273-WEEKDAY(A273,2)+7)</f>
        <v/>
      </c>
      <c r="L273" s="9">
        <f>IF(B273="","",IF(D273="","Labor",IFERROR(VLOOKUP(D273,Settings!$E$5:$G$28,3,FALSE),"Labor")))</f>
        <v/>
      </c>
      <c r="M273" s="9">
        <f>IF(B273="","",IF(COUNTIF('Vendors &amp; Crew'!$A$5:$A$34,B273)=0,"Worker not in Crew table",IF(C273="","Missing Job ID",IF(COUNTIF(Jobs!$A$5:$A$44,C273)=0,"Unknown Job ID",IF(E273="","Missing hours",IF(A273="","Missing date",""))))))</f>
        <v/>
      </c>
      <c r="N273" s="35" t="n"/>
    </row>
    <row r="274">
      <c r="A274" s="40" t="n"/>
      <c r="B274" s="35" t="n"/>
      <c r="C274" s="35" t="n"/>
      <c r="D274" s="35" t="n"/>
      <c r="E274" s="61" t="n"/>
      <c r="F274" s="37" t="n"/>
      <c r="G274" s="39">
        <f>IF(B274="","",IF(F274&lt;&gt;"",F274,IFERROR(VLOOKUP(B274,'Vendors &amp; Crew'!$A$5:$D$34,3,FALSE),0)))</f>
        <v/>
      </c>
      <c r="H274" s="39">
        <f>IF(B274="","",E274*G274*(1+Settings!$B$18))</f>
        <v/>
      </c>
      <c r="I274" s="39">
        <f>IF(B274="","",IFERROR(VLOOKUP(B274,'Vendors &amp; Crew'!$A$5:$D$34,4,FALSE),0))</f>
        <v/>
      </c>
      <c r="J274" s="39">
        <f>IF(B274="","",E274*I274)</f>
        <v/>
      </c>
      <c r="K274" s="59">
        <f>IF(A274="","",A274-WEEKDAY(A274,2)+7)</f>
        <v/>
      </c>
      <c r="L274" s="9">
        <f>IF(B274="","",IF(D274="","Labor",IFERROR(VLOOKUP(D274,Settings!$E$5:$G$28,3,FALSE),"Labor")))</f>
        <v/>
      </c>
      <c r="M274" s="9">
        <f>IF(B274="","",IF(COUNTIF('Vendors &amp; Crew'!$A$5:$A$34,B274)=0,"Worker not in Crew table",IF(C274="","Missing Job ID",IF(COUNTIF(Jobs!$A$5:$A$44,C274)=0,"Unknown Job ID",IF(E274="","Missing hours",IF(A274="","Missing date",""))))))</f>
        <v/>
      </c>
      <c r="N274" s="35" t="n"/>
    </row>
    <row r="275">
      <c r="A275" s="40" t="n"/>
      <c r="B275" s="35" t="n"/>
      <c r="C275" s="35" t="n"/>
      <c r="D275" s="35" t="n"/>
      <c r="E275" s="61" t="n"/>
      <c r="F275" s="37" t="n"/>
      <c r="G275" s="39">
        <f>IF(B275="","",IF(F275&lt;&gt;"",F275,IFERROR(VLOOKUP(B275,'Vendors &amp; Crew'!$A$5:$D$34,3,FALSE),0)))</f>
        <v/>
      </c>
      <c r="H275" s="39">
        <f>IF(B275="","",E275*G275*(1+Settings!$B$18))</f>
        <v/>
      </c>
      <c r="I275" s="39">
        <f>IF(B275="","",IFERROR(VLOOKUP(B275,'Vendors &amp; Crew'!$A$5:$D$34,4,FALSE),0))</f>
        <v/>
      </c>
      <c r="J275" s="39">
        <f>IF(B275="","",E275*I275)</f>
        <v/>
      </c>
      <c r="K275" s="59">
        <f>IF(A275="","",A275-WEEKDAY(A275,2)+7)</f>
        <v/>
      </c>
      <c r="L275" s="9">
        <f>IF(B275="","",IF(D275="","Labor",IFERROR(VLOOKUP(D275,Settings!$E$5:$G$28,3,FALSE),"Labor")))</f>
        <v/>
      </c>
      <c r="M275" s="9">
        <f>IF(B275="","",IF(COUNTIF('Vendors &amp; Crew'!$A$5:$A$34,B275)=0,"Worker not in Crew table",IF(C275="","Missing Job ID",IF(COUNTIF(Jobs!$A$5:$A$44,C275)=0,"Unknown Job ID",IF(E275="","Missing hours",IF(A275="","Missing date",""))))))</f>
        <v/>
      </c>
      <c r="N275" s="35" t="n"/>
    </row>
    <row r="276">
      <c r="A276" s="40" t="n"/>
      <c r="B276" s="35" t="n"/>
      <c r="C276" s="35" t="n"/>
      <c r="D276" s="35" t="n"/>
      <c r="E276" s="61" t="n"/>
      <c r="F276" s="37" t="n"/>
      <c r="G276" s="39">
        <f>IF(B276="","",IF(F276&lt;&gt;"",F276,IFERROR(VLOOKUP(B276,'Vendors &amp; Crew'!$A$5:$D$34,3,FALSE),0)))</f>
        <v/>
      </c>
      <c r="H276" s="39">
        <f>IF(B276="","",E276*G276*(1+Settings!$B$18))</f>
        <v/>
      </c>
      <c r="I276" s="39">
        <f>IF(B276="","",IFERROR(VLOOKUP(B276,'Vendors &amp; Crew'!$A$5:$D$34,4,FALSE),0))</f>
        <v/>
      </c>
      <c r="J276" s="39">
        <f>IF(B276="","",E276*I276)</f>
        <v/>
      </c>
      <c r="K276" s="59">
        <f>IF(A276="","",A276-WEEKDAY(A276,2)+7)</f>
        <v/>
      </c>
      <c r="L276" s="9">
        <f>IF(B276="","",IF(D276="","Labor",IFERROR(VLOOKUP(D276,Settings!$E$5:$G$28,3,FALSE),"Labor")))</f>
        <v/>
      </c>
      <c r="M276" s="9">
        <f>IF(B276="","",IF(COUNTIF('Vendors &amp; Crew'!$A$5:$A$34,B276)=0,"Worker not in Crew table",IF(C276="","Missing Job ID",IF(COUNTIF(Jobs!$A$5:$A$44,C276)=0,"Unknown Job ID",IF(E276="","Missing hours",IF(A276="","Missing date",""))))))</f>
        <v/>
      </c>
      <c r="N276" s="35" t="n"/>
    </row>
    <row r="277">
      <c r="A277" s="40" t="n"/>
      <c r="B277" s="35" t="n"/>
      <c r="C277" s="35" t="n"/>
      <c r="D277" s="35" t="n"/>
      <c r="E277" s="61" t="n"/>
      <c r="F277" s="37" t="n"/>
      <c r="G277" s="39">
        <f>IF(B277="","",IF(F277&lt;&gt;"",F277,IFERROR(VLOOKUP(B277,'Vendors &amp; Crew'!$A$5:$D$34,3,FALSE),0)))</f>
        <v/>
      </c>
      <c r="H277" s="39">
        <f>IF(B277="","",E277*G277*(1+Settings!$B$18))</f>
        <v/>
      </c>
      <c r="I277" s="39">
        <f>IF(B277="","",IFERROR(VLOOKUP(B277,'Vendors &amp; Crew'!$A$5:$D$34,4,FALSE),0))</f>
        <v/>
      </c>
      <c r="J277" s="39">
        <f>IF(B277="","",E277*I277)</f>
        <v/>
      </c>
      <c r="K277" s="59">
        <f>IF(A277="","",A277-WEEKDAY(A277,2)+7)</f>
        <v/>
      </c>
      <c r="L277" s="9">
        <f>IF(B277="","",IF(D277="","Labor",IFERROR(VLOOKUP(D277,Settings!$E$5:$G$28,3,FALSE),"Labor")))</f>
        <v/>
      </c>
      <c r="M277" s="9">
        <f>IF(B277="","",IF(COUNTIF('Vendors &amp; Crew'!$A$5:$A$34,B277)=0,"Worker not in Crew table",IF(C277="","Missing Job ID",IF(COUNTIF(Jobs!$A$5:$A$44,C277)=0,"Unknown Job ID",IF(E277="","Missing hours",IF(A277="","Missing date",""))))))</f>
        <v/>
      </c>
      <c r="N277" s="35" t="n"/>
    </row>
    <row r="278">
      <c r="A278" s="40" t="n"/>
      <c r="B278" s="35" t="n"/>
      <c r="C278" s="35" t="n"/>
      <c r="D278" s="35" t="n"/>
      <c r="E278" s="61" t="n"/>
      <c r="F278" s="37" t="n"/>
      <c r="G278" s="39">
        <f>IF(B278="","",IF(F278&lt;&gt;"",F278,IFERROR(VLOOKUP(B278,'Vendors &amp; Crew'!$A$5:$D$34,3,FALSE),0)))</f>
        <v/>
      </c>
      <c r="H278" s="39">
        <f>IF(B278="","",E278*G278*(1+Settings!$B$18))</f>
        <v/>
      </c>
      <c r="I278" s="39">
        <f>IF(B278="","",IFERROR(VLOOKUP(B278,'Vendors &amp; Crew'!$A$5:$D$34,4,FALSE),0))</f>
        <v/>
      </c>
      <c r="J278" s="39">
        <f>IF(B278="","",E278*I278)</f>
        <v/>
      </c>
      <c r="K278" s="59">
        <f>IF(A278="","",A278-WEEKDAY(A278,2)+7)</f>
        <v/>
      </c>
      <c r="L278" s="9">
        <f>IF(B278="","",IF(D278="","Labor",IFERROR(VLOOKUP(D278,Settings!$E$5:$G$28,3,FALSE),"Labor")))</f>
        <v/>
      </c>
      <c r="M278" s="9">
        <f>IF(B278="","",IF(COUNTIF('Vendors &amp; Crew'!$A$5:$A$34,B278)=0,"Worker not in Crew table",IF(C278="","Missing Job ID",IF(COUNTIF(Jobs!$A$5:$A$44,C278)=0,"Unknown Job ID",IF(E278="","Missing hours",IF(A278="","Missing date",""))))))</f>
        <v/>
      </c>
      <c r="N278" s="35" t="n"/>
    </row>
    <row r="279">
      <c r="A279" s="40" t="n"/>
      <c r="B279" s="35" t="n"/>
      <c r="C279" s="35" t="n"/>
      <c r="D279" s="35" t="n"/>
      <c r="E279" s="61" t="n"/>
      <c r="F279" s="37" t="n"/>
      <c r="G279" s="39">
        <f>IF(B279="","",IF(F279&lt;&gt;"",F279,IFERROR(VLOOKUP(B279,'Vendors &amp; Crew'!$A$5:$D$34,3,FALSE),0)))</f>
        <v/>
      </c>
      <c r="H279" s="39">
        <f>IF(B279="","",E279*G279*(1+Settings!$B$18))</f>
        <v/>
      </c>
      <c r="I279" s="39">
        <f>IF(B279="","",IFERROR(VLOOKUP(B279,'Vendors &amp; Crew'!$A$5:$D$34,4,FALSE),0))</f>
        <v/>
      </c>
      <c r="J279" s="39">
        <f>IF(B279="","",E279*I279)</f>
        <v/>
      </c>
      <c r="K279" s="59">
        <f>IF(A279="","",A279-WEEKDAY(A279,2)+7)</f>
        <v/>
      </c>
      <c r="L279" s="9">
        <f>IF(B279="","",IF(D279="","Labor",IFERROR(VLOOKUP(D279,Settings!$E$5:$G$28,3,FALSE),"Labor")))</f>
        <v/>
      </c>
      <c r="M279" s="9">
        <f>IF(B279="","",IF(COUNTIF('Vendors &amp; Crew'!$A$5:$A$34,B279)=0,"Worker not in Crew table",IF(C279="","Missing Job ID",IF(COUNTIF(Jobs!$A$5:$A$44,C279)=0,"Unknown Job ID",IF(E279="","Missing hours",IF(A279="","Missing date",""))))))</f>
        <v/>
      </c>
      <c r="N279" s="35" t="n"/>
    </row>
    <row r="280">
      <c r="A280" s="40" t="n"/>
      <c r="B280" s="35" t="n"/>
      <c r="C280" s="35" t="n"/>
      <c r="D280" s="35" t="n"/>
      <c r="E280" s="61" t="n"/>
      <c r="F280" s="37" t="n"/>
      <c r="G280" s="39">
        <f>IF(B280="","",IF(F280&lt;&gt;"",F280,IFERROR(VLOOKUP(B280,'Vendors &amp; Crew'!$A$5:$D$34,3,FALSE),0)))</f>
        <v/>
      </c>
      <c r="H280" s="39">
        <f>IF(B280="","",E280*G280*(1+Settings!$B$18))</f>
        <v/>
      </c>
      <c r="I280" s="39">
        <f>IF(B280="","",IFERROR(VLOOKUP(B280,'Vendors &amp; Crew'!$A$5:$D$34,4,FALSE),0))</f>
        <v/>
      </c>
      <c r="J280" s="39">
        <f>IF(B280="","",E280*I280)</f>
        <v/>
      </c>
      <c r="K280" s="59">
        <f>IF(A280="","",A280-WEEKDAY(A280,2)+7)</f>
        <v/>
      </c>
      <c r="L280" s="9">
        <f>IF(B280="","",IF(D280="","Labor",IFERROR(VLOOKUP(D280,Settings!$E$5:$G$28,3,FALSE),"Labor")))</f>
        <v/>
      </c>
      <c r="M280" s="9">
        <f>IF(B280="","",IF(COUNTIF('Vendors &amp; Crew'!$A$5:$A$34,B280)=0,"Worker not in Crew table",IF(C280="","Missing Job ID",IF(COUNTIF(Jobs!$A$5:$A$44,C280)=0,"Unknown Job ID",IF(E280="","Missing hours",IF(A280="","Missing date",""))))))</f>
        <v/>
      </c>
      <c r="N280" s="35" t="n"/>
    </row>
    <row r="281">
      <c r="A281" s="40" t="n"/>
      <c r="B281" s="35" t="n"/>
      <c r="C281" s="35" t="n"/>
      <c r="D281" s="35" t="n"/>
      <c r="E281" s="61" t="n"/>
      <c r="F281" s="37" t="n"/>
      <c r="G281" s="39">
        <f>IF(B281="","",IF(F281&lt;&gt;"",F281,IFERROR(VLOOKUP(B281,'Vendors &amp; Crew'!$A$5:$D$34,3,FALSE),0)))</f>
        <v/>
      </c>
      <c r="H281" s="39">
        <f>IF(B281="","",E281*G281*(1+Settings!$B$18))</f>
        <v/>
      </c>
      <c r="I281" s="39">
        <f>IF(B281="","",IFERROR(VLOOKUP(B281,'Vendors &amp; Crew'!$A$5:$D$34,4,FALSE),0))</f>
        <v/>
      </c>
      <c r="J281" s="39">
        <f>IF(B281="","",E281*I281)</f>
        <v/>
      </c>
      <c r="K281" s="59">
        <f>IF(A281="","",A281-WEEKDAY(A281,2)+7)</f>
        <v/>
      </c>
      <c r="L281" s="9">
        <f>IF(B281="","",IF(D281="","Labor",IFERROR(VLOOKUP(D281,Settings!$E$5:$G$28,3,FALSE),"Labor")))</f>
        <v/>
      </c>
      <c r="M281" s="9">
        <f>IF(B281="","",IF(COUNTIF('Vendors &amp; Crew'!$A$5:$A$34,B281)=0,"Worker not in Crew table",IF(C281="","Missing Job ID",IF(COUNTIF(Jobs!$A$5:$A$44,C281)=0,"Unknown Job ID",IF(E281="","Missing hours",IF(A281="","Missing date",""))))))</f>
        <v/>
      </c>
      <c r="N281" s="35" t="n"/>
    </row>
    <row r="282">
      <c r="A282" s="40" t="n"/>
      <c r="B282" s="35" t="n"/>
      <c r="C282" s="35" t="n"/>
      <c r="D282" s="35" t="n"/>
      <c r="E282" s="61" t="n"/>
      <c r="F282" s="37" t="n"/>
      <c r="G282" s="39">
        <f>IF(B282="","",IF(F282&lt;&gt;"",F282,IFERROR(VLOOKUP(B282,'Vendors &amp; Crew'!$A$5:$D$34,3,FALSE),0)))</f>
        <v/>
      </c>
      <c r="H282" s="39">
        <f>IF(B282="","",E282*G282*(1+Settings!$B$18))</f>
        <v/>
      </c>
      <c r="I282" s="39">
        <f>IF(B282="","",IFERROR(VLOOKUP(B282,'Vendors &amp; Crew'!$A$5:$D$34,4,FALSE),0))</f>
        <v/>
      </c>
      <c r="J282" s="39">
        <f>IF(B282="","",E282*I282)</f>
        <v/>
      </c>
      <c r="K282" s="59">
        <f>IF(A282="","",A282-WEEKDAY(A282,2)+7)</f>
        <v/>
      </c>
      <c r="L282" s="9">
        <f>IF(B282="","",IF(D282="","Labor",IFERROR(VLOOKUP(D282,Settings!$E$5:$G$28,3,FALSE),"Labor")))</f>
        <v/>
      </c>
      <c r="M282" s="9">
        <f>IF(B282="","",IF(COUNTIF('Vendors &amp; Crew'!$A$5:$A$34,B282)=0,"Worker not in Crew table",IF(C282="","Missing Job ID",IF(COUNTIF(Jobs!$A$5:$A$44,C282)=0,"Unknown Job ID",IF(E282="","Missing hours",IF(A282="","Missing date",""))))))</f>
        <v/>
      </c>
      <c r="N282" s="35" t="n"/>
    </row>
    <row r="283">
      <c r="A283" s="40" t="n"/>
      <c r="B283" s="35" t="n"/>
      <c r="C283" s="35" t="n"/>
      <c r="D283" s="35" t="n"/>
      <c r="E283" s="61" t="n"/>
      <c r="F283" s="37" t="n"/>
      <c r="G283" s="39">
        <f>IF(B283="","",IF(F283&lt;&gt;"",F283,IFERROR(VLOOKUP(B283,'Vendors &amp; Crew'!$A$5:$D$34,3,FALSE),0)))</f>
        <v/>
      </c>
      <c r="H283" s="39">
        <f>IF(B283="","",E283*G283*(1+Settings!$B$18))</f>
        <v/>
      </c>
      <c r="I283" s="39">
        <f>IF(B283="","",IFERROR(VLOOKUP(B283,'Vendors &amp; Crew'!$A$5:$D$34,4,FALSE),0))</f>
        <v/>
      </c>
      <c r="J283" s="39">
        <f>IF(B283="","",E283*I283)</f>
        <v/>
      </c>
      <c r="K283" s="59">
        <f>IF(A283="","",A283-WEEKDAY(A283,2)+7)</f>
        <v/>
      </c>
      <c r="L283" s="9">
        <f>IF(B283="","",IF(D283="","Labor",IFERROR(VLOOKUP(D283,Settings!$E$5:$G$28,3,FALSE),"Labor")))</f>
        <v/>
      </c>
      <c r="M283" s="9">
        <f>IF(B283="","",IF(COUNTIF('Vendors &amp; Crew'!$A$5:$A$34,B283)=0,"Worker not in Crew table",IF(C283="","Missing Job ID",IF(COUNTIF(Jobs!$A$5:$A$44,C283)=0,"Unknown Job ID",IF(E283="","Missing hours",IF(A283="","Missing date",""))))))</f>
        <v/>
      </c>
      <c r="N283" s="35" t="n"/>
    </row>
    <row r="284">
      <c r="A284" s="40" t="n"/>
      <c r="B284" s="35" t="n"/>
      <c r="C284" s="35" t="n"/>
      <c r="D284" s="35" t="n"/>
      <c r="E284" s="61" t="n"/>
      <c r="F284" s="37" t="n"/>
      <c r="G284" s="39">
        <f>IF(B284="","",IF(F284&lt;&gt;"",F284,IFERROR(VLOOKUP(B284,'Vendors &amp; Crew'!$A$5:$D$34,3,FALSE),0)))</f>
        <v/>
      </c>
      <c r="H284" s="39">
        <f>IF(B284="","",E284*G284*(1+Settings!$B$18))</f>
        <v/>
      </c>
      <c r="I284" s="39">
        <f>IF(B284="","",IFERROR(VLOOKUP(B284,'Vendors &amp; Crew'!$A$5:$D$34,4,FALSE),0))</f>
        <v/>
      </c>
      <c r="J284" s="39">
        <f>IF(B284="","",E284*I284)</f>
        <v/>
      </c>
      <c r="K284" s="59">
        <f>IF(A284="","",A284-WEEKDAY(A284,2)+7)</f>
        <v/>
      </c>
      <c r="L284" s="9">
        <f>IF(B284="","",IF(D284="","Labor",IFERROR(VLOOKUP(D284,Settings!$E$5:$G$28,3,FALSE),"Labor")))</f>
        <v/>
      </c>
      <c r="M284" s="9">
        <f>IF(B284="","",IF(COUNTIF('Vendors &amp; Crew'!$A$5:$A$34,B284)=0,"Worker not in Crew table",IF(C284="","Missing Job ID",IF(COUNTIF(Jobs!$A$5:$A$44,C284)=0,"Unknown Job ID",IF(E284="","Missing hours",IF(A284="","Missing date",""))))))</f>
        <v/>
      </c>
      <c r="N284" s="35" t="n"/>
    </row>
    <row r="285">
      <c r="A285" s="40" t="n"/>
      <c r="B285" s="35" t="n"/>
      <c r="C285" s="35" t="n"/>
      <c r="D285" s="35" t="n"/>
      <c r="E285" s="61" t="n"/>
      <c r="F285" s="37" t="n"/>
      <c r="G285" s="39">
        <f>IF(B285="","",IF(F285&lt;&gt;"",F285,IFERROR(VLOOKUP(B285,'Vendors &amp; Crew'!$A$5:$D$34,3,FALSE),0)))</f>
        <v/>
      </c>
      <c r="H285" s="39">
        <f>IF(B285="","",E285*G285*(1+Settings!$B$18))</f>
        <v/>
      </c>
      <c r="I285" s="39">
        <f>IF(B285="","",IFERROR(VLOOKUP(B285,'Vendors &amp; Crew'!$A$5:$D$34,4,FALSE),0))</f>
        <v/>
      </c>
      <c r="J285" s="39">
        <f>IF(B285="","",E285*I285)</f>
        <v/>
      </c>
      <c r="K285" s="59">
        <f>IF(A285="","",A285-WEEKDAY(A285,2)+7)</f>
        <v/>
      </c>
      <c r="L285" s="9">
        <f>IF(B285="","",IF(D285="","Labor",IFERROR(VLOOKUP(D285,Settings!$E$5:$G$28,3,FALSE),"Labor")))</f>
        <v/>
      </c>
      <c r="M285" s="9">
        <f>IF(B285="","",IF(COUNTIF('Vendors &amp; Crew'!$A$5:$A$34,B285)=0,"Worker not in Crew table",IF(C285="","Missing Job ID",IF(COUNTIF(Jobs!$A$5:$A$44,C285)=0,"Unknown Job ID",IF(E285="","Missing hours",IF(A285="","Missing date",""))))))</f>
        <v/>
      </c>
      <c r="N285" s="35" t="n"/>
    </row>
    <row r="286">
      <c r="A286" s="40" t="n"/>
      <c r="B286" s="35" t="n"/>
      <c r="C286" s="35" t="n"/>
      <c r="D286" s="35" t="n"/>
      <c r="E286" s="61" t="n"/>
      <c r="F286" s="37" t="n"/>
      <c r="G286" s="39">
        <f>IF(B286="","",IF(F286&lt;&gt;"",F286,IFERROR(VLOOKUP(B286,'Vendors &amp; Crew'!$A$5:$D$34,3,FALSE),0)))</f>
        <v/>
      </c>
      <c r="H286" s="39">
        <f>IF(B286="","",E286*G286*(1+Settings!$B$18))</f>
        <v/>
      </c>
      <c r="I286" s="39">
        <f>IF(B286="","",IFERROR(VLOOKUP(B286,'Vendors &amp; Crew'!$A$5:$D$34,4,FALSE),0))</f>
        <v/>
      </c>
      <c r="J286" s="39">
        <f>IF(B286="","",E286*I286)</f>
        <v/>
      </c>
      <c r="K286" s="59">
        <f>IF(A286="","",A286-WEEKDAY(A286,2)+7)</f>
        <v/>
      </c>
      <c r="L286" s="9">
        <f>IF(B286="","",IF(D286="","Labor",IFERROR(VLOOKUP(D286,Settings!$E$5:$G$28,3,FALSE),"Labor")))</f>
        <v/>
      </c>
      <c r="M286" s="9">
        <f>IF(B286="","",IF(COUNTIF('Vendors &amp; Crew'!$A$5:$A$34,B286)=0,"Worker not in Crew table",IF(C286="","Missing Job ID",IF(COUNTIF(Jobs!$A$5:$A$44,C286)=0,"Unknown Job ID",IF(E286="","Missing hours",IF(A286="","Missing date",""))))))</f>
        <v/>
      </c>
      <c r="N286" s="35" t="n"/>
    </row>
    <row r="287">
      <c r="A287" s="40" t="n"/>
      <c r="B287" s="35" t="n"/>
      <c r="C287" s="35" t="n"/>
      <c r="D287" s="35" t="n"/>
      <c r="E287" s="61" t="n"/>
      <c r="F287" s="37" t="n"/>
      <c r="G287" s="39">
        <f>IF(B287="","",IF(F287&lt;&gt;"",F287,IFERROR(VLOOKUP(B287,'Vendors &amp; Crew'!$A$5:$D$34,3,FALSE),0)))</f>
        <v/>
      </c>
      <c r="H287" s="39">
        <f>IF(B287="","",E287*G287*(1+Settings!$B$18))</f>
        <v/>
      </c>
      <c r="I287" s="39">
        <f>IF(B287="","",IFERROR(VLOOKUP(B287,'Vendors &amp; Crew'!$A$5:$D$34,4,FALSE),0))</f>
        <v/>
      </c>
      <c r="J287" s="39">
        <f>IF(B287="","",E287*I287)</f>
        <v/>
      </c>
      <c r="K287" s="59">
        <f>IF(A287="","",A287-WEEKDAY(A287,2)+7)</f>
        <v/>
      </c>
      <c r="L287" s="9">
        <f>IF(B287="","",IF(D287="","Labor",IFERROR(VLOOKUP(D287,Settings!$E$5:$G$28,3,FALSE),"Labor")))</f>
        <v/>
      </c>
      <c r="M287" s="9">
        <f>IF(B287="","",IF(COUNTIF('Vendors &amp; Crew'!$A$5:$A$34,B287)=0,"Worker not in Crew table",IF(C287="","Missing Job ID",IF(COUNTIF(Jobs!$A$5:$A$44,C287)=0,"Unknown Job ID",IF(E287="","Missing hours",IF(A287="","Missing date",""))))))</f>
        <v/>
      </c>
      <c r="N287" s="35" t="n"/>
    </row>
    <row r="288">
      <c r="A288" s="40" t="n"/>
      <c r="B288" s="35" t="n"/>
      <c r="C288" s="35" t="n"/>
      <c r="D288" s="35" t="n"/>
      <c r="E288" s="61" t="n"/>
      <c r="F288" s="37" t="n"/>
      <c r="G288" s="39">
        <f>IF(B288="","",IF(F288&lt;&gt;"",F288,IFERROR(VLOOKUP(B288,'Vendors &amp; Crew'!$A$5:$D$34,3,FALSE),0)))</f>
        <v/>
      </c>
      <c r="H288" s="39">
        <f>IF(B288="","",E288*G288*(1+Settings!$B$18))</f>
        <v/>
      </c>
      <c r="I288" s="39">
        <f>IF(B288="","",IFERROR(VLOOKUP(B288,'Vendors &amp; Crew'!$A$5:$D$34,4,FALSE),0))</f>
        <v/>
      </c>
      <c r="J288" s="39">
        <f>IF(B288="","",E288*I288)</f>
        <v/>
      </c>
      <c r="K288" s="59">
        <f>IF(A288="","",A288-WEEKDAY(A288,2)+7)</f>
        <v/>
      </c>
      <c r="L288" s="9">
        <f>IF(B288="","",IF(D288="","Labor",IFERROR(VLOOKUP(D288,Settings!$E$5:$G$28,3,FALSE),"Labor")))</f>
        <v/>
      </c>
      <c r="M288" s="9">
        <f>IF(B288="","",IF(COUNTIF('Vendors &amp; Crew'!$A$5:$A$34,B288)=0,"Worker not in Crew table",IF(C288="","Missing Job ID",IF(COUNTIF(Jobs!$A$5:$A$44,C288)=0,"Unknown Job ID",IF(E288="","Missing hours",IF(A288="","Missing date",""))))))</f>
        <v/>
      </c>
      <c r="N288" s="35" t="n"/>
    </row>
    <row r="289">
      <c r="A289" s="40" t="n"/>
      <c r="B289" s="35" t="n"/>
      <c r="C289" s="35" t="n"/>
      <c r="D289" s="35" t="n"/>
      <c r="E289" s="61" t="n"/>
      <c r="F289" s="37" t="n"/>
      <c r="G289" s="39">
        <f>IF(B289="","",IF(F289&lt;&gt;"",F289,IFERROR(VLOOKUP(B289,'Vendors &amp; Crew'!$A$5:$D$34,3,FALSE),0)))</f>
        <v/>
      </c>
      <c r="H289" s="39">
        <f>IF(B289="","",E289*G289*(1+Settings!$B$18))</f>
        <v/>
      </c>
      <c r="I289" s="39">
        <f>IF(B289="","",IFERROR(VLOOKUP(B289,'Vendors &amp; Crew'!$A$5:$D$34,4,FALSE),0))</f>
        <v/>
      </c>
      <c r="J289" s="39">
        <f>IF(B289="","",E289*I289)</f>
        <v/>
      </c>
      <c r="K289" s="59">
        <f>IF(A289="","",A289-WEEKDAY(A289,2)+7)</f>
        <v/>
      </c>
      <c r="L289" s="9">
        <f>IF(B289="","",IF(D289="","Labor",IFERROR(VLOOKUP(D289,Settings!$E$5:$G$28,3,FALSE),"Labor")))</f>
        <v/>
      </c>
      <c r="M289" s="9">
        <f>IF(B289="","",IF(COUNTIF('Vendors &amp; Crew'!$A$5:$A$34,B289)=0,"Worker not in Crew table",IF(C289="","Missing Job ID",IF(COUNTIF(Jobs!$A$5:$A$44,C289)=0,"Unknown Job ID",IF(E289="","Missing hours",IF(A289="","Missing date",""))))))</f>
        <v/>
      </c>
      <c r="N289" s="35" t="n"/>
    </row>
    <row r="290">
      <c r="A290" s="40" t="n"/>
      <c r="B290" s="35" t="n"/>
      <c r="C290" s="35" t="n"/>
      <c r="D290" s="35" t="n"/>
      <c r="E290" s="61" t="n"/>
      <c r="F290" s="37" t="n"/>
      <c r="G290" s="39">
        <f>IF(B290="","",IF(F290&lt;&gt;"",F290,IFERROR(VLOOKUP(B290,'Vendors &amp; Crew'!$A$5:$D$34,3,FALSE),0)))</f>
        <v/>
      </c>
      <c r="H290" s="39">
        <f>IF(B290="","",E290*G290*(1+Settings!$B$18))</f>
        <v/>
      </c>
      <c r="I290" s="39">
        <f>IF(B290="","",IFERROR(VLOOKUP(B290,'Vendors &amp; Crew'!$A$5:$D$34,4,FALSE),0))</f>
        <v/>
      </c>
      <c r="J290" s="39">
        <f>IF(B290="","",E290*I290)</f>
        <v/>
      </c>
      <c r="K290" s="59">
        <f>IF(A290="","",A290-WEEKDAY(A290,2)+7)</f>
        <v/>
      </c>
      <c r="L290" s="9">
        <f>IF(B290="","",IF(D290="","Labor",IFERROR(VLOOKUP(D290,Settings!$E$5:$G$28,3,FALSE),"Labor")))</f>
        <v/>
      </c>
      <c r="M290" s="9">
        <f>IF(B290="","",IF(COUNTIF('Vendors &amp; Crew'!$A$5:$A$34,B290)=0,"Worker not in Crew table",IF(C290="","Missing Job ID",IF(COUNTIF(Jobs!$A$5:$A$44,C290)=0,"Unknown Job ID",IF(E290="","Missing hours",IF(A290="","Missing date",""))))))</f>
        <v/>
      </c>
      <c r="N290" s="35" t="n"/>
    </row>
    <row r="291">
      <c r="A291" s="40" t="n"/>
      <c r="B291" s="35" t="n"/>
      <c r="C291" s="35" t="n"/>
      <c r="D291" s="35" t="n"/>
      <c r="E291" s="61" t="n"/>
      <c r="F291" s="37" t="n"/>
      <c r="G291" s="39">
        <f>IF(B291="","",IF(F291&lt;&gt;"",F291,IFERROR(VLOOKUP(B291,'Vendors &amp; Crew'!$A$5:$D$34,3,FALSE),0)))</f>
        <v/>
      </c>
      <c r="H291" s="39">
        <f>IF(B291="","",E291*G291*(1+Settings!$B$18))</f>
        <v/>
      </c>
      <c r="I291" s="39">
        <f>IF(B291="","",IFERROR(VLOOKUP(B291,'Vendors &amp; Crew'!$A$5:$D$34,4,FALSE),0))</f>
        <v/>
      </c>
      <c r="J291" s="39">
        <f>IF(B291="","",E291*I291)</f>
        <v/>
      </c>
      <c r="K291" s="59">
        <f>IF(A291="","",A291-WEEKDAY(A291,2)+7)</f>
        <v/>
      </c>
      <c r="L291" s="9">
        <f>IF(B291="","",IF(D291="","Labor",IFERROR(VLOOKUP(D291,Settings!$E$5:$G$28,3,FALSE),"Labor")))</f>
        <v/>
      </c>
      <c r="M291" s="9">
        <f>IF(B291="","",IF(COUNTIF('Vendors &amp; Crew'!$A$5:$A$34,B291)=0,"Worker not in Crew table",IF(C291="","Missing Job ID",IF(COUNTIF(Jobs!$A$5:$A$44,C291)=0,"Unknown Job ID",IF(E291="","Missing hours",IF(A291="","Missing date",""))))))</f>
        <v/>
      </c>
      <c r="N291" s="35" t="n"/>
    </row>
    <row r="292">
      <c r="A292" s="40" t="n"/>
      <c r="B292" s="35" t="n"/>
      <c r="C292" s="35" t="n"/>
      <c r="D292" s="35" t="n"/>
      <c r="E292" s="61" t="n"/>
      <c r="F292" s="37" t="n"/>
      <c r="G292" s="39">
        <f>IF(B292="","",IF(F292&lt;&gt;"",F292,IFERROR(VLOOKUP(B292,'Vendors &amp; Crew'!$A$5:$D$34,3,FALSE),0)))</f>
        <v/>
      </c>
      <c r="H292" s="39">
        <f>IF(B292="","",E292*G292*(1+Settings!$B$18))</f>
        <v/>
      </c>
      <c r="I292" s="39">
        <f>IF(B292="","",IFERROR(VLOOKUP(B292,'Vendors &amp; Crew'!$A$5:$D$34,4,FALSE),0))</f>
        <v/>
      </c>
      <c r="J292" s="39">
        <f>IF(B292="","",E292*I292)</f>
        <v/>
      </c>
      <c r="K292" s="59">
        <f>IF(A292="","",A292-WEEKDAY(A292,2)+7)</f>
        <v/>
      </c>
      <c r="L292" s="9">
        <f>IF(B292="","",IF(D292="","Labor",IFERROR(VLOOKUP(D292,Settings!$E$5:$G$28,3,FALSE),"Labor")))</f>
        <v/>
      </c>
      <c r="M292" s="9">
        <f>IF(B292="","",IF(COUNTIF('Vendors &amp; Crew'!$A$5:$A$34,B292)=0,"Worker not in Crew table",IF(C292="","Missing Job ID",IF(COUNTIF(Jobs!$A$5:$A$44,C292)=0,"Unknown Job ID",IF(E292="","Missing hours",IF(A292="","Missing date",""))))))</f>
        <v/>
      </c>
      <c r="N292" s="35" t="n"/>
    </row>
    <row r="293">
      <c r="A293" s="40" t="n"/>
      <c r="B293" s="35" t="n"/>
      <c r="C293" s="35" t="n"/>
      <c r="D293" s="35" t="n"/>
      <c r="E293" s="61" t="n"/>
      <c r="F293" s="37" t="n"/>
      <c r="G293" s="39">
        <f>IF(B293="","",IF(F293&lt;&gt;"",F293,IFERROR(VLOOKUP(B293,'Vendors &amp; Crew'!$A$5:$D$34,3,FALSE),0)))</f>
        <v/>
      </c>
      <c r="H293" s="39">
        <f>IF(B293="","",E293*G293*(1+Settings!$B$18))</f>
        <v/>
      </c>
      <c r="I293" s="39">
        <f>IF(B293="","",IFERROR(VLOOKUP(B293,'Vendors &amp; Crew'!$A$5:$D$34,4,FALSE),0))</f>
        <v/>
      </c>
      <c r="J293" s="39">
        <f>IF(B293="","",E293*I293)</f>
        <v/>
      </c>
      <c r="K293" s="59">
        <f>IF(A293="","",A293-WEEKDAY(A293,2)+7)</f>
        <v/>
      </c>
      <c r="L293" s="9">
        <f>IF(B293="","",IF(D293="","Labor",IFERROR(VLOOKUP(D293,Settings!$E$5:$G$28,3,FALSE),"Labor")))</f>
        <v/>
      </c>
      <c r="M293" s="9">
        <f>IF(B293="","",IF(COUNTIF('Vendors &amp; Crew'!$A$5:$A$34,B293)=0,"Worker not in Crew table",IF(C293="","Missing Job ID",IF(COUNTIF(Jobs!$A$5:$A$44,C293)=0,"Unknown Job ID",IF(E293="","Missing hours",IF(A293="","Missing date",""))))))</f>
        <v/>
      </c>
      <c r="N293" s="35" t="n"/>
    </row>
    <row r="294">
      <c r="A294" s="40" t="n"/>
      <c r="B294" s="35" t="n"/>
      <c r="C294" s="35" t="n"/>
      <c r="D294" s="35" t="n"/>
      <c r="E294" s="61" t="n"/>
      <c r="F294" s="37" t="n"/>
      <c r="G294" s="39">
        <f>IF(B294="","",IF(F294&lt;&gt;"",F294,IFERROR(VLOOKUP(B294,'Vendors &amp; Crew'!$A$5:$D$34,3,FALSE),0)))</f>
        <v/>
      </c>
      <c r="H294" s="39">
        <f>IF(B294="","",E294*G294*(1+Settings!$B$18))</f>
        <v/>
      </c>
      <c r="I294" s="39">
        <f>IF(B294="","",IFERROR(VLOOKUP(B294,'Vendors &amp; Crew'!$A$5:$D$34,4,FALSE),0))</f>
        <v/>
      </c>
      <c r="J294" s="39">
        <f>IF(B294="","",E294*I294)</f>
        <v/>
      </c>
      <c r="K294" s="59">
        <f>IF(A294="","",A294-WEEKDAY(A294,2)+7)</f>
        <v/>
      </c>
      <c r="L294" s="9">
        <f>IF(B294="","",IF(D294="","Labor",IFERROR(VLOOKUP(D294,Settings!$E$5:$G$28,3,FALSE),"Labor")))</f>
        <v/>
      </c>
      <c r="M294" s="9">
        <f>IF(B294="","",IF(COUNTIF('Vendors &amp; Crew'!$A$5:$A$34,B294)=0,"Worker not in Crew table",IF(C294="","Missing Job ID",IF(COUNTIF(Jobs!$A$5:$A$44,C294)=0,"Unknown Job ID",IF(E294="","Missing hours",IF(A294="","Missing date",""))))))</f>
        <v/>
      </c>
      <c r="N294" s="35" t="n"/>
    </row>
    <row r="295">
      <c r="A295" s="40" t="n"/>
      <c r="B295" s="35" t="n"/>
      <c r="C295" s="35" t="n"/>
      <c r="D295" s="35" t="n"/>
      <c r="E295" s="61" t="n"/>
      <c r="F295" s="37" t="n"/>
      <c r="G295" s="39">
        <f>IF(B295="","",IF(F295&lt;&gt;"",F295,IFERROR(VLOOKUP(B295,'Vendors &amp; Crew'!$A$5:$D$34,3,FALSE),0)))</f>
        <v/>
      </c>
      <c r="H295" s="39">
        <f>IF(B295="","",E295*G295*(1+Settings!$B$18))</f>
        <v/>
      </c>
      <c r="I295" s="39">
        <f>IF(B295="","",IFERROR(VLOOKUP(B295,'Vendors &amp; Crew'!$A$5:$D$34,4,FALSE),0))</f>
        <v/>
      </c>
      <c r="J295" s="39">
        <f>IF(B295="","",E295*I295)</f>
        <v/>
      </c>
      <c r="K295" s="59">
        <f>IF(A295="","",A295-WEEKDAY(A295,2)+7)</f>
        <v/>
      </c>
      <c r="L295" s="9">
        <f>IF(B295="","",IF(D295="","Labor",IFERROR(VLOOKUP(D295,Settings!$E$5:$G$28,3,FALSE),"Labor")))</f>
        <v/>
      </c>
      <c r="M295" s="9">
        <f>IF(B295="","",IF(COUNTIF('Vendors &amp; Crew'!$A$5:$A$34,B295)=0,"Worker not in Crew table",IF(C295="","Missing Job ID",IF(COUNTIF(Jobs!$A$5:$A$44,C295)=0,"Unknown Job ID",IF(E295="","Missing hours",IF(A295="","Missing date",""))))))</f>
        <v/>
      </c>
      <c r="N295" s="35" t="n"/>
    </row>
    <row r="296">
      <c r="A296" s="40" t="n"/>
      <c r="B296" s="35" t="n"/>
      <c r="C296" s="35" t="n"/>
      <c r="D296" s="35" t="n"/>
      <c r="E296" s="61" t="n"/>
      <c r="F296" s="37" t="n"/>
      <c r="G296" s="39">
        <f>IF(B296="","",IF(F296&lt;&gt;"",F296,IFERROR(VLOOKUP(B296,'Vendors &amp; Crew'!$A$5:$D$34,3,FALSE),0)))</f>
        <v/>
      </c>
      <c r="H296" s="39">
        <f>IF(B296="","",E296*G296*(1+Settings!$B$18))</f>
        <v/>
      </c>
      <c r="I296" s="39">
        <f>IF(B296="","",IFERROR(VLOOKUP(B296,'Vendors &amp; Crew'!$A$5:$D$34,4,FALSE),0))</f>
        <v/>
      </c>
      <c r="J296" s="39">
        <f>IF(B296="","",E296*I296)</f>
        <v/>
      </c>
      <c r="K296" s="59">
        <f>IF(A296="","",A296-WEEKDAY(A296,2)+7)</f>
        <v/>
      </c>
      <c r="L296" s="9">
        <f>IF(B296="","",IF(D296="","Labor",IFERROR(VLOOKUP(D296,Settings!$E$5:$G$28,3,FALSE),"Labor")))</f>
        <v/>
      </c>
      <c r="M296" s="9">
        <f>IF(B296="","",IF(COUNTIF('Vendors &amp; Crew'!$A$5:$A$34,B296)=0,"Worker not in Crew table",IF(C296="","Missing Job ID",IF(COUNTIF(Jobs!$A$5:$A$44,C296)=0,"Unknown Job ID",IF(E296="","Missing hours",IF(A296="","Missing date",""))))))</f>
        <v/>
      </c>
      <c r="N296" s="35" t="n"/>
    </row>
    <row r="297">
      <c r="A297" s="40" t="n"/>
      <c r="B297" s="35" t="n"/>
      <c r="C297" s="35" t="n"/>
      <c r="D297" s="35" t="n"/>
      <c r="E297" s="61" t="n"/>
      <c r="F297" s="37" t="n"/>
      <c r="G297" s="39">
        <f>IF(B297="","",IF(F297&lt;&gt;"",F297,IFERROR(VLOOKUP(B297,'Vendors &amp; Crew'!$A$5:$D$34,3,FALSE),0)))</f>
        <v/>
      </c>
      <c r="H297" s="39">
        <f>IF(B297="","",E297*G297*(1+Settings!$B$18))</f>
        <v/>
      </c>
      <c r="I297" s="39">
        <f>IF(B297="","",IFERROR(VLOOKUP(B297,'Vendors &amp; Crew'!$A$5:$D$34,4,FALSE),0))</f>
        <v/>
      </c>
      <c r="J297" s="39">
        <f>IF(B297="","",E297*I297)</f>
        <v/>
      </c>
      <c r="K297" s="59">
        <f>IF(A297="","",A297-WEEKDAY(A297,2)+7)</f>
        <v/>
      </c>
      <c r="L297" s="9">
        <f>IF(B297="","",IF(D297="","Labor",IFERROR(VLOOKUP(D297,Settings!$E$5:$G$28,3,FALSE),"Labor")))</f>
        <v/>
      </c>
      <c r="M297" s="9">
        <f>IF(B297="","",IF(COUNTIF('Vendors &amp; Crew'!$A$5:$A$34,B297)=0,"Worker not in Crew table",IF(C297="","Missing Job ID",IF(COUNTIF(Jobs!$A$5:$A$44,C297)=0,"Unknown Job ID",IF(E297="","Missing hours",IF(A297="","Missing date",""))))))</f>
        <v/>
      </c>
      <c r="N297" s="35" t="n"/>
    </row>
    <row r="298">
      <c r="A298" s="40" t="n"/>
      <c r="B298" s="35" t="n"/>
      <c r="C298" s="35" t="n"/>
      <c r="D298" s="35" t="n"/>
      <c r="E298" s="61" t="n"/>
      <c r="F298" s="37" t="n"/>
      <c r="G298" s="39">
        <f>IF(B298="","",IF(F298&lt;&gt;"",F298,IFERROR(VLOOKUP(B298,'Vendors &amp; Crew'!$A$5:$D$34,3,FALSE),0)))</f>
        <v/>
      </c>
      <c r="H298" s="39">
        <f>IF(B298="","",E298*G298*(1+Settings!$B$18))</f>
        <v/>
      </c>
      <c r="I298" s="39">
        <f>IF(B298="","",IFERROR(VLOOKUP(B298,'Vendors &amp; Crew'!$A$5:$D$34,4,FALSE),0))</f>
        <v/>
      </c>
      <c r="J298" s="39">
        <f>IF(B298="","",E298*I298)</f>
        <v/>
      </c>
      <c r="K298" s="59">
        <f>IF(A298="","",A298-WEEKDAY(A298,2)+7)</f>
        <v/>
      </c>
      <c r="L298" s="9">
        <f>IF(B298="","",IF(D298="","Labor",IFERROR(VLOOKUP(D298,Settings!$E$5:$G$28,3,FALSE),"Labor")))</f>
        <v/>
      </c>
      <c r="M298" s="9">
        <f>IF(B298="","",IF(COUNTIF('Vendors &amp; Crew'!$A$5:$A$34,B298)=0,"Worker not in Crew table",IF(C298="","Missing Job ID",IF(COUNTIF(Jobs!$A$5:$A$44,C298)=0,"Unknown Job ID",IF(E298="","Missing hours",IF(A298="","Missing date",""))))))</f>
        <v/>
      </c>
      <c r="N298" s="35" t="n"/>
    </row>
    <row r="299">
      <c r="A299" s="40" t="n"/>
      <c r="B299" s="35" t="n"/>
      <c r="C299" s="35" t="n"/>
      <c r="D299" s="35" t="n"/>
      <c r="E299" s="61" t="n"/>
      <c r="F299" s="37" t="n"/>
      <c r="G299" s="39">
        <f>IF(B299="","",IF(F299&lt;&gt;"",F299,IFERROR(VLOOKUP(B299,'Vendors &amp; Crew'!$A$5:$D$34,3,FALSE),0)))</f>
        <v/>
      </c>
      <c r="H299" s="39">
        <f>IF(B299="","",E299*G299*(1+Settings!$B$18))</f>
        <v/>
      </c>
      <c r="I299" s="39">
        <f>IF(B299="","",IFERROR(VLOOKUP(B299,'Vendors &amp; Crew'!$A$5:$D$34,4,FALSE),0))</f>
        <v/>
      </c>
      <c r="J299" s="39">
        <f>IF(B299="","",E299*I299)</f>
        <v/>
      </c>
      <c r="K299" s="59">
        <f>IF(A299="","",A299-WEEKDAY(A299,2)+7)</f>
        <v/>
      </c>
      <c r="L299" s="9">
        <f>IF(B299="","",IF(D299="","Labor",IFERROR(VLOOKUP(D299,Settings!$E$5:$G$28,3,FALSE),"Labor")))</f>
        <v/>
      </c>
      <c r="M299" s="9">
        <f>IF(B299="","",IF(COUNTIF('Vendors &amp; Crew'!$A$5:$A$34,B299)=0,"Worker not in Crew table",IF(C299="","Missing Job ID",IF(COUNTIF(Jobs!$A$5:$A$44,C299)=0,"Unknown Job ID",IF(E299="","Missing hours",IF(A299="","Missing date",""))))))</f>
        <v/>
      </c>
      <c r="N299" s="35" t="n"/>
    </row>
    <row r="300">
      <c r="A300" s="40" t="n"/>
      <c r="B300" s="35" t="n"/>
      <c r="C300" s="35" t="n"/>
      <c r="D300" s="35" t="n"/>
      <c r="E300" s="61" t="n"/>
      <c r="F300" s="37" t="n"/>
      <c r="G300" s="39">
        <f>IF(B300="","",IF(F300&lt;&gt;"",F300,IFERROR(VLOOKUP(B300,'Vendors &amp; Crew'!$A$5:$D$34,3,FALSE),0)))</f>
        <v/>
      </c>
      <c r="H300" s="39">
        <f>IF(B300="","",E300*G300*(1+Settings!$B$18))</f>
        <v/>
      </c>
      <c r="I300" s="39">
        <f>IF(B300="","",IFERROR(VLOOKUP(B300,'Vendors &amp; Crew'!$A$5:$D$34,4,FALSE),0))</f>
        <v/>
      </c>
      <c r="J300" s="39">
        <f>IF(B300="","",E300*I300)</f>
        <v/>
      </c>
      <c r="K300" s="59">
        <f>IF(A300="","",A300-WEEKDAY(A300,2)+7)</f>
        <v/>
      </c>
      <c r="L300" s="9">
        <f>IF(B300="","",IF(D300="","Labor",IFERROR(VLOOKUP(D300,Settings!$E$5:$G$28,3,FALSE),"Labor")))</f>
        <v/>
      </c>
      <c r="M300" s="9">
        <f>IF(B300="","",IF(COUNTIF('Vendors &amp; Crew'!$A$5:$A$34,B300)=0,"Worker not in Crew table",IF(C300="","Missing Job ID",IF(COUNTIF(Jobs!$A$5:$A$44,C300)=0,"Unknown Job ID",IF(E300="","Missing hours",IF(A300="","Missing date",""))))))</f>
        <v/>
      </c>
      <c r="N300" s="35" t="n"/>
    </row>
    <row r="301">
      <c r="A301" s="40" t="n"/>
      <c r="B301" s="35" t="n"/>
      <c r="C301" s="35" t="n"/>
      <c r="D301" s="35" t="n"/>
      <c r="E301" s="61" t="n"/>
      <c r="F301" s="37" t="n"/>
      <c r="G301" s="39">
        <f>IF(B301="","",IF(F301&lt;&gt;"",F301,IFERROR(VLOOKUP(B301,'Vendors &amp; Crew'!$A$5:$D$34,3,FALSE),0)))</f>
        <v/>
      </c>
      <c r="H301" s="39">
        <f>IF(B301="","",E301*G301*(1+Settings!$B$18))</f>
        <v/>
      </c>
      <c r="I301" s="39">
        <f>IF(B301="","",IFERROR(VLOOKUP(B301,'Vendors &amp; Crew'!$A$5:$D$34,4,FALSE),0))</f>
        <v/>
      </c>
      <c r="J301" s="39">
        <f>IF(B301="","",E301*I301)</f>
        <v/>
      </c>
      <c r="K301" s="59">
        <f>IF(A301="","",A301-WEEKDAY(A301,2)+7)</f>
        <v/>
      </c>
      <c r="L301" s="9">
        <f>IF(B301="","",IF(D301="","Labor",IFERROR(VLOOKUP(D301,Settings!$E$5:$G$28,3,FALSE),"Labor")))</f>
        <v/>
      </c>
      <c r="M301" s="9">
        <f>IF(B301="","",IF(COUNTIF('Vendors &amp; Crew'!$A$5:$A$34,B301)=0,"Worker not in Crew table",IF(C301="","Missing Job ID",IF(COUNTIF(Jobs!$A$5:$A$44,C301)=0,"Unknown Job ID",IF(E301="","Missing hours",IF(A301="","Missing date",""))))))</f>
        <v/>
      </c>
      <c r="N301" s="35" t="n"/>
    </row>
    <row r="302">
      <c r="A302" s="40" t="n"/>
      <c r="B302" s="35" t="n"/>
      <c r="C302" s="35" t="n"/>
      <c r="D302" s="35" t="n"/>
      <c r="E302" s="61" t="n"/>
      <c r="F302" s="37" t="n"/>
      <c r="G302" s="39">
        <f>IF(B302="","",IF(F302&lt;&gt;"",F302,IFERROR(VLOOKUP(B302,'Vendors &amp; Crew'!$A$5:$D$34,3,FALSE),0)))</f>
        <v/>
      </c>
      <c r="H302" s="39">
        <f>IF(B302="","",E302*G302*(1+Settings!$B$18))</f>
        <v/>
      </c>
      <c r="I302" s="39">
        <f>IF(B302="","",IFERROR(VLOOKUP(B302,'Vendors &amp; Crew'!$A$5:$D$34,4,FALSE),0))</f>
        <v/>
      </c>
      <c r="J302" s="39">
        <f>IF(B302="","",E302*I302)</f>
        <v/>
      </c>
      <c r="K302" s="59">
        <f>IF(A302="","",A302-WEEKDAY(A302,2)+7)</f>
        <v/>
      </c>
      <c r="L302" s="9">
        <f>IF(B302="","",IF(D302="","Labor",IFERROR(VLOOKUP(D302,Settings!$E$5:$G$28,3,FALSE),"Labor")))</f>
        <v/>
      </c>
      <c r="M302" s="9">
        <f>IF(B302="","",IF(COUNTIF('Vendors &amp; Crew'!$A$5:$A$34,B302)=0,"Worker not in Crew table",IF(C302="","Missing Job ID",IF(COUNTIF(Jobs!$A$5:$A$44,C302)=0,"Unknown Job ID",IF(E302="","Missing hours",IF(A302="","Missing date",""))))))</f>
        <v/>
      </c>
      <c r="N302" s="35" t="n"/>
    </row>
    <row r="303">
      <c r="A303" s="40" t="n"/>
      <c r="B303" s="35" t="n"/>
      <c r="C303" s="35" t="n"/>
      <c r="D303" s="35" t="n"/>
      <c r="E303" s="61" t="n"/>
      <c r="F303" s="37" t="n"/>
      <c r="G303" s="39">
        <f>IF(B303="","",IF(F303&lt;&gt;"",F303,IFERROR(VLOOKUP(B303,'Vendors &amp; Crew'!$A$5:$D$34,3,FALSE),0)))</f>
        <v/>
      </c>
      <c r="H303" s="39">
        <f>IF(B303="","",E303*G303*(1+Settings!$B$18))</f>
        <v/>
      </c>
      <c r="I303" s="39">
        <f>IF(B303="","",IFERROR(VLOOKUP(B303,'Vendors &amp; Crew'!$A$5:$D$34,4,FALSE),0))</f>
        <v/>
      </c>
      <c r="J303" s="39">
        <f>IF(B303="","",E303*I303)</f>
        <v/>
      </c>
      <c r="K303" s="59">
        <f>IF(A303="","",A303-WEEKDAY(A303,2)+7)</f>
        <v/>
      </c>
      <c r="L303" s="9">
        <f>IF(B303="","",IF(D303="","Labor",IFERROR(VLOOKUP(D303,Settings!$E$5:$G$28,3,FALSE),"Labor")))</f>
        <v/>
      </c>
      <c r="M303" s="9">
        <f>IF(B303="","",IF(COUNTIF('Vendors &amp; Crew'!$A$5:$A$34,B303)=0,"Worker not in Crew table",IF(C303="","Missing Job ID",IF(COUNTIF(Jobs!$A$5:$A$44,C303)=0,"Unknown Job ID",IF(E303="","Missing hours",IF(A303="","Missing date",""))))))</f>
        <v/>
      </c>
      <c r="N303" s="35" t="n"/>
    </row>
    <row r="304">
      <c r="A304" s="40" t="n"/>
      <c r="B304" s="35" t="n"/>
      <c r="C304" s="35" t="n"/>
      <c r="D304" s="35" t="n"/>
      <c r="E304" s="61" t="n"/>
      <c r="F304" s="37" t="n"/>
      <c r="G304" s="39">
        <f>IF(B304="","",IF(F304&lt;&gt;"",F304,IFERROR(VLOOKUP(B304,'Vendors &amp; Crew'!$A$5:$D$34,3,FALSE),0)))</f>
        <v/>
      </c>
      <c r="H304" s="39">
        <f>IF(B304="","",E304*G304*(1+Settings!$B$18))</f>
        <v/>
      </c>
      <c r="I304" s="39">
        <f>IF(B304="","",IFERROR(VLOOKUP(B304,'Vendors &amp; Crew'!$A$5:$D$34,4,FALSE),0))</f>
        <v/>
      </c>
      <c r="J304" s="39">
        <f>IF(B304="","",E304*I304)</f>
        <v/>
      </c>
      <c r="K304" s="59">
        <f>IF(A304="","",A304-WEEKDAY(A304,2)+7)</f>
        <v/>
      </c>
      <c r="L304" s="9">
        <f>IF(B304="","",IF(D304="","Labor",IFERROR(VLOOKUP(D304,Settings!$E$5:$G$28,3,FALSE),"Labor")))</f>
        <v/>
      </c>
      <c r="M304" s="9">
        <f>IF(B304="","",IF(COUNTIF('Vendors &amp; Crew'!$A$5:$A$34,B304)=0,"Worker not in Crew table",IF(C304="","Missing Job ID",IF(COUNTIF(Jobs!$A$5:$A$44,C304)=0,"Unknown Job ID",IF(E304="","Missing hours",IF(A304="","Missing date",""))))))</f>
        <v/>
      </c>
      <c r="N304" s="35" t="n"/>
    </row>
    <row r="305">
      <c r="A305" s="40" t="n"/>
      <c r="B305" s="35" t="n"/>
      <c r="C305" s="35" t="n"/>
      <c r="D305" s="35" t="n"/>
      <c r="E305" s="61" t="n"/>
      <c r="F305" s="37" t="n"/>
      <c r="G305" s="39">
        <f>IF(B305="","",IF(F305&lt;&gt;"",F305,IFERROR(VLOOKUP(B305,'Vendors &amp; Crew'!$A$5:$D$34,3,FALSE),0)))</f>
        <v/>
      </c>
      <c r="H305" s="39">
        <f>IF(B305="","",E305*G305*(1+Settings!$B$18))</f>
        <v/>
      </c>
      <c r="I305" s="39">
        <f>IF(B305="","",IFERROR(VLOOKUP(B305,'Vendors &amp; Crew'!$A$5:$D$34,4,FALSE),0))</f>
        <v/>
      </c>
      <c r="J305" s="39">
        <f>IF(B305="","",E305*I305)</f>
        <v/>
      </c>
      <c r="K305" s="59">
        <f>IF(A305="","",A305-WEEKDAY(A305,2)+7)</f>
        <v/>
      </c>
      <c r="L305" s="9">
        <f>IF(B305="","",IF(D305="","Labor",IFERROR(VLOOKUP(D305,Settings!$E$5:$G$28,3,FALSE),"Labor")))</f>
        <v/>
      </c>
      <c r="M305" s="9">
        <f>IF(B305="","",IF(COUNTIF('Vendors &amp; Crew'!$A$5:$A$34,B305)=0,"Worker not in Crew table",IF(C305="","Missing Job ID",IF(COUNTIF(Jobs!$A$5:$A$44,C305)=0,"Unknown Job ID",IF(E305="","Missing hours",IF(A305="","Missing date",""))))))</f>
        <v/>
      </c>
      <c r="N305" s="35" t="n"/>
    </row>
    <row r="306">
      <c r="A306" s="40" t="n"/>
      <c r="B306" s="35" t="n"/>
      <c r="C306" s="35" t="n"/>
      <c r="D306" s="35" t="n"/>
      <c r="E306" s="61" t="n"/>
      <c r="F306" s="37" t="n"/>
      <c r="G306" s="39">
        <f>IF(B306="","",IF(F306&lt;&gt;"",F306,IFERROR(VLOOKUP(B306,'Vendors &amp; Crew'!$A$5:$D$34,3,FALSE),0)))</f>
        <v/>
      </c>
      <c r="H306" s="39">
        <f>IF(B306="","",E306*G306*(1+Settings!$B$18))</f>
        <v/>
      </c>
      <c r="I306" s="39">
        <f>IF(B306="","",IFERROR(VLOOKUP(B306,'Vendors &amp; Crew'!$A$5:$D$34,4,FALSE),0))</f>
        <v/>
      </c>
      <c r="J306" s="39">
        <f>IF(B306="","",E306*I306)</f>
        <v/>
      </c>
      <c r="K306" s="59">
        <f>IF(A306="","",A306-WEEKDAY(A306,2)+7)</f>
        <v/>
      </c>
      <c r="L306" s="9">
        <f>IF(B306="","",IF(D306="","Labor",IFERROR(VLOOKUP(D306,Settings!$E$5:$G$28,3,FALSE),"Labor")))</f>
        <v/>
      </c>
      <c r="M306" s="9">
        <f>IF(B306="","",IF(COUNTIF('Vendors &amp; Crew'!$A$5:$A$34,B306)=0,"Worker not in Crew table",IF(C306="","Missing Job ID",IF(COUNTIF(Jobs!$A$5:$A$44,C306)=0,"Unknown Job ID",IF(E306="","Missing hours",IF(A306="","Missing date",""))))))</f>
        <v/>
      </c>
      <c r="N306" s="35" t="n"/>
    </row>
    <row r="307">
      <c r="A307" s="40" t="n"/>
      <c r="B307" s="35" t="n"/>
      <c r="C307" s="35" t="n"/>
      <c r="D307" s="35" t="n"/>
      <c r="E307" s="61" t="n"/>
      <c r="F307" s="37" t="n"/>
      <c r="G307" s="39">
        <f>IF(B307="","",IF(F307&lt;&gt;"",F307,IFERROR(VLOOKUP(B307,'Vendors &amp; Crew'!$A$5:$D$34,3,FALSE),0)))</f>
        <v/>
      </c>
      <c r="H307" s="39">
        <f>IF(B307="","",E307*G307*(1+Settings!$B$18))</f>
        <v/>
      </c>
      <c r="I307" s="39">
        <f>IF(B307="","",IFERROR(VLOOKUP(B307,'Vendors &amp; Crew'!$A$5:$D$34,4,FALSE),0))</f>
        <v/>
      </c>
      <c r="J307" s="39">
        <f>IF(B307="","",E307*I307)</f>
        <v/>
      </c>
      <c r="K307" s="59">
        <f>IF(A307="","",A307-WEEKDAY(A307,2)+7)</f>
        <v/>
      </c>
      <c r="L307" s="9">
        <f>IF(B307="","",IF(D307="","Labor",IFERROR(VLOOKUP(D307,Settings!$E$5:$G$28,3,FALSE),"Labor")))</f>
        <v/>
      </c>
      <c r="M307" s="9">
        <f>IF(B307="","",IF(COUNTIF('Vendors &amp; Crew'!$A$5:$A$34,B307)=0,"Worker not in Crew table",IF(C307="","Missing Job ID",IF(COUNTIF(Jobs!$A$5:$A$44,C307)=0,"Unknown Job ID",IF(E307="","Missing hours",IF(A307="","Missing date",""))))))</f>
        <v/>
      </c>
      <c r="N307" s="35" t="n"/>
    </row>
    <row r="308">
      <c r="A308" s="40" t="n"/>
      <c r="B308" s="35" t="n"/>
      <c r="C308" s="35" t="n"/>
      <c r="D308" s="35" t="n"/>
      <c r="E308" s="61" t="n"/>
      <c r="F308" s="37" t="n"/>
      <c r="G308" s="39">
        <f>IF(B308="","",IF(F308&lt;&gt;"",F308,IFERROR(VLOOKUP(B308,'Vendors &amp; Crew'!$A$5:$D$34,3,FALSE),0)))</f>
        <v/>
      </c>
      <c r="H308" s="39">
        <f>IF(B308="","",E308*G308*(1+Settings!$B$18))</f>
        <v/>
      </c>
      <c r="I308" s="39">
        <f>IF(B308="","",IFERROR(VLOOKUP(B308,'Vendors &amp; Crew'!$A$5:$D$34,4,FALSE),0))</f>
        <v/>
      </c>
      <c r="J308" s="39">
        <f>IF(B308="","",E308*I308)</f>
        <v/>
      </c>
      <c r="K308" s="59">
        <f>IF(A308="","",A308-WEEKDAY(A308,2)+7)</f>
        <v/>
      </c>
      <c r="L308" s="9">
        <f>IF(B308="","",IF(D308="","Labor",IFERROR(VLOOKUP(D308,Settings!$E$5:$G$28,3,FALSE),"Labor")))</f>
        <v/>
      </c>
      <c r="M308" s="9">
        <f>IF(B308="","",IF(COUNTIF('Vendors &amp; Crew'!$A$5:$A$34,B308)=0,"Worker not in Crew table",IF(C308="","Missing Job ID",IF(COUNTIF(Jobs!$A$5:$A$44,C308)=0,"Unknown Job ID",IF(E308="","Missing hours",IF(A308="","Missing date",""))))))</f>
        <v/>
      </c>
      <c r="N308" s="35" t="n"/>
    </row>
    <row r="309">
      <c r="A309" s="40" t="n"/>
      <c r="B309" s="35" t="n"/>
      <c r="C309" s="35" t="n"/>
      <c r="D309" s="35" t="n"/>
      <c r="E309" s="61" t="n"/>
      <c r="F309" s="37" t="n"/>
      <c r="G309" s="39">
        <f>IF(B309="","",IF(F309&lt;&gt;"",F309,IFERROR(VLOOKUP(B309,'Vendors &amp; Crew'!$A$5:$D$34,3,FALSE),0)))</f>
        <v/>
      </c>
      <c r="H309" s="39">
        <f>IF(B309="","",E309*G309*(1+Settings!$B$18))</f>
        <v/>
      </c>
      <c r="I309" s="39">
        <f>IF(B309="","",IFERROR(VLOOKUP(B309,'Vendors &amp; Crew'!$A$5:$D$34,4,FALSE),0))</f>
        <v/>
      </c>
      <c r="J309" s="39">
        <f>IF(B309="","",E309*I309)</f>
        <v/>
      </c>
      <c r="K309" s="59">
        <f>IF(A309="","",A309-WEEKDAY(A309,2)+7)</f>
        <v/>
      </c>
      <c r="L309" s="9">
        <f>IF(B309="","",IF(D309="","Labor",IFERROR(VLOOKUP(D309,Settings!$E$5:$G$28,3,FALSE),"Labor")))</f>
        <v/>
      </c>
      <c r="M309" s="9">
        <f>IF(B309="","",IF(COUNTIF('Vendors &amp; Crew'!$A$5:$A$34,B309)=0,"Worker not in Crew table",IF(C309="","Missing Job ID",IF(COUNTIF(Jobs!$A$5:$A$44,C309)=0,"Unknown Job ID",IF(E309="","Missing hours",IF(A309="","Missing date",""))))))</f>
        <v/>
      </c>
      <c r="N309" s="35" t="n"/>
    </row>
    <row r="310">
      <c r="A310" s="40" t="n"/>
      <c r="B310" s="35" t="n"/>
      <c r="C310" s="35" t="n"/>
      <c r="D310" s="35" t="n"/>
      <c r="E310" s="61" t="n"/>
      <c r="F310" s="37" t="n"/>
      <c r="G310" s="39">
        <f>IF(B310="","",IF(F310&lt;&gt;"",F310,IFERROR(VLOOKUP(B310,'Vendors &amp; Crew'!$A$5:$D$34,3,FALSE),0)))</f>
        <v/>
      </c>
      <c r="H310" s="39">
        <f>IF(B310="","",E310*G310*(1+Settings!$B$18))</f>
        <v/>
      </c>
      <c r="I310" s="39">
        <f>IF(B310="","",IFERROR(VLOOKUP(B310,'Vendors &amp; Crew'!$A$5:$D$34,4,FALSE),0))</f>
        <v/>
      </c>
      <c r="J310" s="39">
        <f>IF(B310="","",E310*I310)</f>
        <v/>
      </c>
      <c r="K310" s="59">
        <f>IF(A310="","",A310-WEEKDAY(A310,2)+7)</f>
        <v/>
      </c>
      <c r="L310" s="9">
        <f>IF(B310="","",IF(D310="","Labor",IFERROR(VLOOKUP(D310,Settings!$E$5:$G$28,3,FALSE),"Labor")))</f>
        <v/>
      </c>
      <c r="M310" s="9">
        <f>IF(B310="","",IF(COUNTIF('Vendors &amp; Crew'!$A$5:$A$34,B310)=0,"Worker not in Crew table",IF(C310="","Missing Job ID",IF(COUNTIF(Jobs!$A$5:$A$44,C310)=0,"Unknown Job ID",IF(E310="","Missing hours",IF(A310="","Missing date",""))))))</f>
        <v/>
      </c>
      <c r="N310" s="35" t="n"/>
    </row>
    <row r="311">
      <c r="A311" s="40" t="n"/>
      <c r="B311" s="35" t="n"/>
      <c r="C311" s="35" t="n"/>
      <c r="D311" s="35" t="n"/>
      <c r="E311" s="61" t="n"/>
      <c r="F311" s="37" t="n"/>
      <c r="G311" s="39">
        <f>IF(B311="","",IF(F311&lt;&gt;"",F311,IFERROR(VLOOKUP(B311,'Vendors &amp; Crew'!$A$5:$D$34,3,FALSE),0)))</f>
        <v/>
      </c>
      <c r="H311" s="39">
        <f>IF(B311="","",E311*G311*(1+Settings!$B$18))</f>
        <v/>
      </c>
      <c r="I311" s="39">
        <f>IF(B311="","",IFERROR(VLOOKUP(B311,'Vendors &amp; Crew'!$A$5:$D$34,4,FALSE),0))</f>
        <v/>
      </c>
      <c r="J311" s="39">
        <f>IF(B311="","",E311*I311)</f>
        <v/>
      </c>
      <c r="K311" s="59">
        <f>IF(A311="","",A311-WEEKDAY(A311,2)+7)</f>
        <v/>
      </c>
      <c r="L311" s="9">
        <f>IF(B311="","",IF(D311="","Labor",IFERROR(VLOOKUP(D311,Settings!$E$5:$G$28,3,FALSE),"Labor")))</f>
        <v/>
      </c>
      <c r="M311" s="9">
        <f>IF(B311="","",IF(COUNTIF('Vendors &amp; Crew'!$A$5:$A$34,B311)=0,"Worker not in Crew table",IF(C311="","Missing Job ID",IF(COUNTIF(Jobs!$A$5:$A$44,C311)=0,"Unknown Job ID",IF(E311="","Missing hours",IF(A311="","Missing date",""))))))</f>
        <v/>
      </c>
      <c r="N311" s="35" t="n"/>
    </row>
    <row r="312">
      <c r="A312" s="40" t="n"/>
      <c r="B312" s="35" t="n"/>
      <c r="C312" s="35" t="n"/>
      <c r="D312" s="35" t="n"/>
      <c r="E312" s="61" t="n"/>
      <c r="F312" s="37" t="n"/>
      <c r="G312" s="39">
        <f>IF(B312="","",IF(F312&lt;&gt;"",F312,IFERROR(VLOOKUP(B312,'Vendors &amp; Crew'!$A$5:$D$34,3,FALSE),0)))</f>
        <v/>
      </c>
      <c r="H312" s="39">
        <f>IF(B312="","",E312*G312*(1+Settings!$B$18))</f>
        <v/>
      </c>
      <c r="I312" s="39">
        <f>IF(B312="","",IFERROR(VLOOKUP(B312,'Vendors &amp; Crew'!$A$5:$D$34,4,FALSE),0))</f>
        <v/>
      </c>
      <c r="J312" s="39">
        <f>IF(B312="","",E312*I312)</f>
        <v/>
      </c>
      <c r="K312" s="59">
        <f>IF(A312="","",A312-WEEKDAY(A312,2)+7)</f>
        <v/>
      </c>
      <c r="L312" s="9">
        <f>IF(B312="","",IF(D312="","Labor",IFERROR(VLOOKUP(D312,Settings!$E$5:$G$28,3,FALSE),"Labor")))</f>
        <v/>
      </c>
      <c r="M312" s="9">
        <f>IF(B312="","",IF(COUNTIF('Vendors &amp; Crew'!$A$5:$A$34,B312)=0,"Worker not in Crew table",IF(C312="","Missing Job ID",IF(COUNTIF(Jobs!$A$5:$A$44,C312)=0,"Unknown Job ID",IF(E312="","Missing hours",IF(A312="","Missing date",""))))))</f>
        <v/>
      </c>
      <c r="N312" s="35" t="n"/>
    </row>
    <row r="313">
      <c r="A313" s="40" t="n"/>
      <c r="B313" s="35" t="n"/>
      <c r="C313" s="35" t="n"/>
      <c r="D313" s="35" t="n"/>
      <c r="E313" s="61" t="n"/>
      <c r="F313" s="37" t="n"/>
      <c r="G313" s="39">
        <f>IF(B313="","",IF(F313&lt;&gt;"",F313,IFERROR(VLOOKUP(B313,'Vendors &amp; Crew'!$A$5:$D$34,3,FALSE),0)))</f>
        <v/>
      </c>
      <c r="H313" s="39">
        <f>IF(B313="","",E313*G313*(1+Settings!$B$18))</f>
        <v/>
      </c>
      <c r="I313" s="39">
        <f>IF(B313="","",IFERROR(VLOOKUP(B313,'Vendors &amp; Crew'!$A$5:$D$34,4,FALSE),0))</f>
        <v/>
      </c>
      <c r="J313" s="39">
        <f>IF(B313="","",E313*I313)</f>
        <v/>
      </c>
      <c r="K313" s="59">
        <f>IF(A313="","",A313-WEEKDAY(A313,2)+7)</f>
        <v/>
      </c>
      <c r="L313" s="9">
        <f>IF(B313="","",IF(D313="","Labor",IFERROR(VLOOKUP(D313,Settings!$E$5:$G$28,3,FALSE),"Labor")))</f>
        <v/>
      </c>
      <c r="M313" s="9">
        <f>IF(B313="","",IF(COUNTIF('Vendors &amp; Crew'!$A$5:$A$34,B313)=0,"Worker not in Crew table",IF(C313="","Missing Job ID",IF(COUNTIF(Jobs!$A$5:$A$44,C313)=0,"Unknown Job ID",IF(E313="","Missing hours",IF(A313="","Missing date",""))))))</f>
        <v/>
      </c>
      <c r="N313" s="35" t="n"/>
    </row>
    <row r="314">
      <c r="A314" s="40" t="n"/>
      <c r="B314" s="35" t="n"/>
      <c r="C314" s="35" t="n"/>
      <c r="D314" s="35" t="n"/>
      <c r="E314" s="61" t="n"/>
      <c r="F314" s="37" t="n"/>
      <c r="G314" s="39">
        <f>IF(B314="","",IF(F314&lt;&gt;"",F314,IFERROR(VLOOKUP(B314,'Vendors &amp; Crew'!$A$5:$D$34,3,FALSE),0)))</f>
        <v/>
      </c>
      <c r="H314" s="39">
        <f>IF(B314="","",E314*G314*(1+Settings!$B$18))</f>
        <v/>
      </c>
      <c r="I314" s="39">
        <f>IF(B314="","",IFERROR(VLOOKUP(B314,'Vendors &amp; Crew'!$A$5:$D$34,4,FALSE),0))</f>
        <v/>
      </c>
      <c r="J314" s="39">
        <f>IF(B314="","",E314*I314)</f>
        <v/>
      </c>
      <c r="K314" s="59">
        <f>IF(A314="","",A314-WEEKDAY(A314,2)+7)</f>
        <v/>
      </c>
      <c r="L314" s="9">
        <f>IF(B314="","",IF(D314="","Labor",IFERROR(VLOOKUP(D314,Settings!$E$5:$G$28,3,FALSE),"Labor")))</f>
        <v/>
      </c>
      <c r="M314" s="9">
        <f>IF(B314="","",IF(COUNTIF('Vendors &amp; Crew'!$A$5:$A$34,B314)=0,"Worker not in Crew table",IF(C314="","Missing Job ID",IF(COUNTIF(Jobs!$A$5:$A$44,C314)=0,"Unknown Job ID",IF(E314="","Missing hours",IF(A314="","Missing date",""))))))</f>
        <v/>
      </c>
      <c r="N314" s="35" t="n"/>
    </row>
    <row r="315">
      <c r="A315" s="40" t="n"/>
      <c r="B315" s="35" t="n"/>
      <c r="C315" s="35" t="n"/>
      <c r="D315" s="35" t="n"/>
      <c r="E315" s="61" t="n"/>
      <c r="F315" s="37" t="n"/>
      <c r="G315" s="39">
        <f>IF(B315="","",IF(F315&lt;&gt;"",F315,IFERROR(VLOOKUP(B315,'Vendors &amp; Crew'!$A$5:$D$34,3,FALSE),0)))</f>
        <v/>
      </c>
      <c r="H315" s="39">
        <f>IF(B315="","",E315*G315*(1+Settings!$B$18))</f>
        <v/>
      </c>
      <c r="I315" s="39">
        <f>IF(B315="","",IFERROR(VLOOKUP(B315,'Vendors &amp; Crew'!$A$5:$D$34,4,FALSE),0))</f>
        <v/>
      </c>
      <c r="J315" s="39">
        <f>IF(B315="","",E315*I315)</f>
        <v/>
      </c>
      <c r="K315" s="59">
        <f>IF(A315="","",A315-WEEKDAY(A315,2)+7)</f>
        <v/>
      </c>
      <c r="L315" s="9">
        <f>IF(B315="","",IF(D315="","Labor",IFERROR(VLOOKUP(D315,Settings!$E$5:$G$28,3,FALSE),"Labor")))</f>
        <v/>
      </c>
      <c r="M315" s="9">
        <f>IF(B315="","",IF(COUNTIF('Vendors &amp; Crew'!$A$5:$A$34,B315)=0,"Worker not in Crew table",IF(C315="","Missing Job ID",IF(COUNTIF(Jobs!$A$5:$A$44,C315)=0,"Unknown Job ID",IF(E315="","Missing hours",IF(A315="","Missing date",""))))))</f>
        <v/>
      </c>
      <c r="N315" s="35" t="n"/>
    </row>
    <row r="316">
      <c r="A316" s="40" t="n"/>
      <c r="B316" s="35" t="n"/>
      <c r="C316" s="35" t="n"/>
      <c r="D316" s="35" t="n"/>
      <c r="E316" s="61" t="n"/>
      <c r="F316" s="37" t="n"/>
      <c r="G316" s="39">
        <f>IF(B316="","",IF(F316&lt;&gt;"",F316,IFERROR(VLOOKUP(B316,'Vendors &amp; Crew'!$A$5:$D$34,3,FALSE),0)))</f>
        <v/>
      </c>
      <c r="H316" s="39">
        <f>IF(B316="","",E316*G316*(1+Settings!$B$18))</f>
        <v/>
      </c>
      <c r="I316" s="39">
        <f>IF(B316="","",IFERROR(VLOOKUP(B316,'Vendors &amp; Crew'!$A$5:$D$34,4,FALSE),0))</f>
        <v/>
      </c>
      <c r="J316" s="39">
        <f>IF(B316="","",E316*I316)</f>
        <v/>
      </c>
      <c r="K316" s="59">
        <f>IF(A316="","",A316-WEEKDAY(A316,2)+7)</f>
        <v/>
      </c>
      <c r="L316" s="9">
        <f>IF(B316="","",IF(D316="","Labor",IFERROR(VLOOKUP(D316,Settings!$E$5:$G$28,3,FALSE),"Labor")))</f>
        <v/>
      </c>
      <c r="M316" s="9">
        <f>IF(B316="","",IF(COUNTIF('Vendors &amp; Crew'!$A$5:$A$34,B316)=0,"Worker not in Crew table",IF(C316="","Missing Job ID",IF(COUNTIF(Jobs!$A$5:$A$44,C316)=0,"Unknown Job ID",IF(E316="","Missing hours",IF(A316="","Missing date",""))))))</f>
        <v/>
      </c>
      <c r="N316" s="35" t="n"/>
    </row>
    <row r="317">
      <c r="A317" s="40" t="n"/>
      <c r="B317" s="35" t="n"/>
      <c r="C317" s="35" t="n"/>
      <c r="D317" s="35" t="n"/>
      <c r="E317" s="61" t="n"/>
      <c r="F317" s="37" t="n"/>
      <c r="G317" s="39">
        <f>IF(B317="","",IF(F317&lt;&gt;"",F317,IFERROR(VLOOKUP(B317,'Vendors &amp; Crew'!$A$5:$D$34,3,FALSE),0)))</f>
        <v/>
      </c>
      <c r="H317" s="39">
        <f>IF(B317="","",E317*G317*(1+Settings!$B$18))</f>
        <v/>
      </c>
      <c r="I317" s="39">
        <f>IF(B317="","",IFERROR(VLOOKUP(B317,'Vendors &amp; Crew'!$A$5:$D$34,4,FALSE),0))</f>
        <v/>
      </c>
      <c r="J317" s="39">
        <f>IF(B317="","",E317*I317)</f>
        <v/>
      </c>
      <c r="K317" s="59">
        <f>IF(A317="","",A317-WEEKDAY(A317,2)+7)</f>
        <v/>
      </c>
      <c r="L317" s="9">
        <f>IF(B317="","",IF(D317="","Labor",IFERROR(VLOOKUP(D317,Settings!$E$5:$G$28,3,FALSE),"Labor")))</f>
        <v/>
      </c>
      <c r="M317" s="9">
        <f>IF(B317="","",IF(COUNTIF('Vendors &amp; Crew'!$A$5:$A$34,B317)=0,"Worker not in Crew table",IF(C317="","Missing Job ID",IF(COUNTIF(Jobs!$A$5:$A$44,C317)=0,"Unknown Job ID",IF(E317="","Missing hours",IF(A317="","Missing date",""))))))</f>
        <v/>
      </c>
      <c r="N317" s="35" t="n"/>
    </row>
    <row r="318">
      <c r="A318" s="40" t="n"/>
      <c r="B318" s="35" t="n"/>
      <c r="C318" s="35" t="n"/>
      <c r="D318" s="35" t="n"/>
      <c r="E318" s="61" t="n"/>
      <c r="F318" s="37" t="n"/>
      <c r="G318" s="39">
        <f>IF(B318="","",IF(F318&lt;&gt;"",F318,IFERROR(VLOOKUP(B318,'Vendors &amp; Crew'!$A$5:$D$34,3,FALSE),0)))</f>
        <v/>
      </c>
      <c r="H318" s="39">
        <f>IF(B318="","",E318*G318*(1+Settings!$B$18))</f>
        <v/>
      </c>
      <c r="I318" s="39">
        <f>IF(B318="","",IFERROR(VLOOKUP(B318,'Vendors &amp; Crew'!$A$5:$D$34,4,FALSE),0))</f>
        <v/>
      </c>
      <c r="J318" s="39">
        <f>IF(B318="","",E318*I318)</f>
        <v/>
      </c>
      <c r="K318" s="59">
        <f>IF(A318="","",A318-WEEKDAY(A318,2)+7)</f>
        <v/>
      </c>
      <c r="L318" s="9">
        <f>IF(B318="","",IF(D318="","Labor",IFERROR(VLOOKUP(D318,Settings!$E$5:$G$28,3,FALSE),"Labor")))</f>
        <v/>
      </c>
      <c r="M318" s="9">
        <f>IF(B318="","",IF(COUNTIF('Vendors &amp; Crew'!$A$5:$A$34,B318)=0,"Worker not in Crew table",IF(C318="","Missing Job ID",IF(COUNTIF(Jobs!$A$5:$A$44,C318)=0,"Unknown Job ID",IF(E318="","Missing hours",IF(A318="","Missing date",""))))))</f>
        <v/>
      </c>
      <c r="N318" s="35" t="n"/>
    </row>
    <row r="319">
      <c r="A319" s="40" t="n"/>
      <c r="B319" s="35" t="n"/>
      <c r="C319" s="35" t="n"/>
      <c r="D319" s="35" t="n"/>
      <c r="E319" s="61" t="n"/>
      <c r="F319" s="37" t="n"/>
      <c r="G319" s="39">
        <f>IF(B319="","",IF(F319&lt;&gt;"",F319,IFERROR(VLOOKUP(B319,'Vendors &amp; Crew'!$A$5:$D$34,3,FALSE),0)))</f>
        <v/>
      </c>
      <c r="H319" s="39">
        <f>IF(B319="","",E319*G319*(1+Settings!$B$18))</f>
        <v/>
      </c>
      <c r="I319" s="39">
        <f>IF(B319="","",IFERROR(VLOOKUP(B319,'Vendors &amp; Crew'!$A$5:$D$34,4,FALSE),0))</f>
        <v/>
      </c>
      <c r="J319" s="39">
        <f>IF(B319="","",E319*I319)</f>
        <v/>
      </c>
      <c r="K319" s="59">
        <f>IF(A319="","",A319-WEEKDAY(A319,2)+7)</f>
        <v/>
      </c>
      <c r="L319" s="9">
        <f>IF(B319="","",IF(D319="","Labor",IFERROR(VLOOKUP(D319,Settings!$E$5:$G$28,3,FALSE),"Labor")))</f>
        <v/>
      </c>
      <c r="M319" s="9">
        <f>IF(B319="","",IF(COUNTIF('Vendors &amp; Crew'!$A$5:$A$34,B319)=0,"Worker not in Crew table",IF(C319="","Missing Job ID",IF(COUNTIF(Jobs!$A$5:$A$44,C319)=0,"Unknown Job ID",IF(E319="","Missing hours",IF(A319="","Missing date",""))))))</f>
        <v/>
      </c>
      <c r="N319" s="35" t="n"/>
    </row>
    <row r="320">
      <c r="A320" s="40" t="n"/>
      <c r="B320" s="35" t="n"/>
      <c r="C320" s="35" t="n"/>
      <c r="D320" s="35" t="n"/>
      <c r="E320" s="61" t="n"/>
      <c r="F320" s="37" t="n"/>
      <c r="G320" s="39">
        <f>IF(B320="","",IF(F320&lt;&gt;"",F320,IFERROR(VLOOKUP(B320,'Vendors &amp; Crew'!$A$5:$D$34,3,FALSE),0)))</f>
        <v/>
      </c>
      <c r="H320" s="39">
        <f>IF(B320="","",E320*G320*(1+Settings!$B$18))</f>
        <v/>
      </c>
      <c r="I320" s="39">
        <f>IF(B320="","",IFERROR(VLOOKUP(B320,'Vendors &amp; Crew'!$A$5:$D$34,4,FALSE),0))</f>
        <v/>
      </c>
      <c r="J320" s="39">
        <f>IF(B320="","",E320*I320)</f>
        <v/>
      </c>
      <c r="K320" s="59">
        <f>IF(A320="","",A320-WEEKDAY(A320,2)+7)</f>
        <v/>
      </c>
      <c r="L320" s="9">
        <f>IF(B320="","",IF(D320="","Labor",IFERROR(VLOOKUP(D320,Settings!$E$5:$G$28,3,FALSE),"Labor")))</f>
        <v/>
      </c>
      <c r="M320" s="9">
        <f>IF(B320="","",IF(COUNTIF('Vendors &amp; Crew'!$A$5:$A$34,B320)=0,"Worker not in Crew table",IF(C320="","Missing Job ID",IF(COUNTIF(Jobs!$A$5:$A$44,C320)=0,"Unknown Job ID",IF(E320="","Missing hours",IF(A320="","Missing date",""))))))</f>
        <v/>
      </c>
      <c r="N320" s="35" t="n"/>
    </row>
    <row r="321">
      <c r="A321" s="40" t="n"/>
      <c r="B321" s="35" t="n"/>
      <c r="C321" s="35" t="n"/>
      <c r="D321" s="35" t="n"/>
      <c r="E321" s="61" t="n"/>
      <c r="F321" s="37" t="n"/>
      <c r="G321" s="39">
        <f>IF(B321="","",IF(F321&lt;&gt;"",F321,IFERROR(VLOOKUP(B321,'Vendors &amp; Crew'!$A$5:$D$34,3,FALSE),0)))</f>
        <v/>
      </c>
      <c r="H321" s="39">
        <f>IF(B321="","",E321*G321*(1+Settings!$B$18))</f>
        <v/>
      </c>
      <c r="I321" s="39">
        <f>IF(B321="","",IFERROR(VLOOKUP(B321,'Vendors &amp; Crew'!$A$5:$D$34,4,FALSE),0))</f>
        <v/>
      </c>
      <c r="J321" s="39">
        <f>IF(B321="","",E321*I321)</f>
        <v/>
      </c>
      <c r="K321" s="59">
        <f>IF(A321="","",A321-WEEKDAY(A321,2)+7)</f>
        <v/>
      </c>
      <c r="L321" s="9">
        <f>IF(B321="","",IF(D321="","Labor",IFERROR(VLOOKUP(D321,Settings!$E$5:$G$28,3,FALSE),"Labor")))</f>
        <v/>
      </c>
      <c r="M321" s="9">
        <f>IF(B321="","",IF(COUNTIF('Vendors &amp; Crew'!$A$5:$A$34,B321)=0,"Worker not in Crew table",IF(C321="","Missing Job ID",IF(COUNTIF(Jobs!$A$5:$A$44,C321)=0,"Unknown Job ID",IF(E321="","Missing hours",IF(A321="","Missing date",""))))))</f>
        <v/>
      </c>
      <c r="N321" s="35" t="n"/>
    </row>
    <row r="322">
      <c r="A322" s="40" t="n"/>
      <c r="B322" s="35" t="n"/>
      <c r="C322" s="35" t="n"/>
      <c r="D322" s="35" t="n"/>
      <c r="E322" s="61" t="n"/>
      <c r="F322" s="37" t="n"/>
      <c r="G322" s="39">
        <f>IF(B322="","",IF(F322&lt;&gt;"",F322,IFERROR(VLOOKUP(B322,'Vendors &amp; Crew'!$A$5:$D$34,3,FALSE),0)))</f>
        <v/>
      </c>
      <c r="H322" s="39">
        <f>IF(B322="","",E322*G322*(1+Settings!$B$18))</f>
        <v/>
      </c>
      <c r="I322" s="39">
        <f>IF(B322="","",IFERROR(VLOOKUP(B322,'Vendors &amp; Crew'!$A$5:$D$34,4,FALSE),0))</f>
        <v/>
      </c>
      <c r="J322" s="39">
        <f>IF(B322="","",E322*I322)</f>
        <v/>
      </c>
      <c r="K322" s="59">
        <f>IF(A322="","",A322-WEEKDAY(A322,2)+7)</f>
        <v/>
      </c>
      <c r="L322" s="9">
        <f>IF(B322="","",IF(D322="","Labor",IFERROR(VLOOKUP(D322,Settings!$E$5:$G$28,3,FALSE),"Labor")))</f>
        <v/>
      </c>
      <c r="M322" s="9">
        <f>IF(B322="","",IF(COUNTIF('Vendors &amp; Crew'!$A$5:$A$34,B322)=0,"Worker not in Crew table",IF(C322="","Missing Job ID",IF(COUNTIF(Jobs!$A$5:$A$44,C322)=0,"Unknown Job ID",IF(E322="","Missing hours",IF(A322="","Missing date",""))))))</f>
        <v/>
      </c>
      <c r="N322" s="35" t="n"/>
    </row>
    <row r="323">
      <c r="A323" s="40" t="n"/>
      <c r="B323" s="35" t="n"/>
      <c r="C323" s="35" t="n"/>
      <c r="D323" s="35" t="n"/>
      <c r="E323" s="61" t="n"/>
      <c r="F323" s="37" t="n"/>
      <c r="G323" s="39">
        <f>IF(B323="","",IF(F323&lt;&gt;"",F323,IFERROR(VLOOKUP(B323,'Vendors &amp; Crew'!$A$5:$D$34,3,FALSE),0)))</f>
        <v/>
      </c>
      <c r="H323" s="39">
        <f>IF(B323="","",E323*G323*(1+Settings!$B$18))</f>
        <v/>
      </c>
      <c r="I323" s="39">
        <f>IF(B323="","",IFERROR(VLOOKUP(B323,'Vendors &amp; Crew'!$A$5:$D$34,4,FALSE),0))</f>
        <v/>
      </c>
      <c r="J323" s="39">
        <f>IF(B323="","",E323*I323)</f>
        <v/>
      </c>
      <c r="K323" s="59">
        <f>IF(A323="","",A323-WEEKDAY(A323,2)+7)</f>
        <v/>
      </c>
      <c r="L323" s="9">
        <f>IF(B323="","",IF(D323="","Labor",IFERROR(VLOOKUP(D323,Settings!$E$5:$G$28,3,FALSE),"Labor")))</f>
        <v/>
      </c>
      <c r="M323" s="9">
        <f>IF(B323="","",IF(COUNTIF('Vendors &amp; Crew'!$A$5:$A$34,B323)=0,"Worker not in Crew table",IF(C323="","Missing Job ID",IF(COUNTIF(Jobs!$A$5:$A$44,C323)=0,"Unknown Job ID",IF(E323="","Missing hours",IF(A323="","Missing date",""))))))</f>
        <v/>
      </c>
      <c r="N323" s="35" t="n"/>
    </row>
    <row r="324">
      <c r="A324" s="40" t="n"/>
      <c r="B324" s="35" t="n"/>
      <c r="C324" s="35" t="n"/>
      <c r="D324" s="35" t="n"/>
      <c r="E324" s="61" t="n"/>
      <c r="F324" s="37" t="n"/>
      <c r="G324" s="39">
        <f>IF(B324="","",IF(F324&lt;&gt;"",F324,IFERROR(VLOOKUP(B324,'Vendors &amp; Crew'!$A$5:$D$34,3,FALSE),0)))</f>
        <v/>
      </c>
      <c r="H324" s="39">
        <f>IF(B324="","",E324*G324*(1+Settings!$B$18))</f>
        <v/>
      </c>
      <c r="I324" s="39">
        <f>IF(B324="","",IFERROR(VLOOKUP(B324,'Vendors &amp; Crew'!$A$5:$D$34,4,FALSE),0))</f>
        <v/>
      </c>
      <c r="J324" s="39">
        <f>IF(B324="","",E324*I324)</f>
        <v/>
      </c>
      <c r="K324" s="59">
        <f>IF(A324="","",A324-WEEKDAY(A324,2)+7)</f>
        <v/>
      </c>
      <c r="L324" s="9">
        <f>IF(B324="","",IF(D324="","Labor",IFERROR(VLOOKUP(D324,Settings!$E$5:$G$28,3,FALSE),"Labor")))</f>
        <v/>
      </c>
      <c r="M324" s="9">
        <f>IF(B324="","",IF(COUNTIF('Vendors &amp; Crew'!$A$5:$A$34,B324)=0,"Worker not in Crew table",IF(C324="","Missing Job ID",IF(COUNTIF(Jobs!$A$5:$A$44,C324)=0,"Unknown Job ID",IF(E324="","Missing hours",IF(A324="","Missing date",""))))))</f>
        <v/>
      </c>
      <c r="N324" s="35" t="n"/>
    </row>
    <row r="325">
      <c r="A325" s="40" t="n"/>
      <c r="B325" s="35" t="n"/>
      <c r="C325" s="35" t="n"/>
      <c r="D325" s="35" t="n"/>
      <c r="E325" s="61" t="n"/>
      <c r="F325" s="37" t="n"/>
      <c r="G325" s="39">
        <f>IF(B325="","",IF(F325&lt;&gt;"",F325,IFERROR(VLOOKUP(B325,'Vendors &amp; Crew'!$A$5:$D$34,3,FALSE),0)))</f>
        <v/>
      </c>
      <c r="H325" s="39">
        <f>IF(B325="","",E325*G325*(1+Settings!$B$18))</f>
        <v/>
      </c>
      <c r="I325" s="39">
        <f>IF(B325="","",IFERROR(VLOOKUP(B325,'Vendors &amp; Crew'!$A$5:$D$34,4,FALSE),0))</f>
        <v/>
      </c>
      <c r="J325" s="39">
        <f>IF(B325="","",E325*I325)</f>
        <v/>
      </c>
      <c r="K325" s="59">
        <f>IF(A325="","",A325-WEEKDAY(A325,2)+7)</f>
        <v/>
      </c>
      <c r="L325" s="9">
        <f>IF(B325="","",IF(D325="","Labor",IFERROR(VLOOKUP(D325,Settings!$E$5:$G$28,3,FALSE),"Labor")))</f>
        <v/>
      </c>
      <c r="M325" s="9">
        <f>IF(B325="","",IF(COUNTIF('Vendors &amp; Crew'!$A$5:$A$34,B325)=0,"Worker not in Crew table",IF(C325="","Missing Job ID",IF(COUNTIF(Jobs!$A$5:$A$44,C325)=0,"Unknown Job ID",IF(E325="","Missing hours",IF(A325="","Missing date",""))))))</f>
        <v/>
      </c>
      <c r="N325" s="35" t="n"/>
    </row>
    <row r="326">
      <c r="A326" s="40" t="n"/>
      <c r="B326" s="35" t="n"/>
      <c r="C326" s="35" t="n"/>
      <c r="D326" s="35" t="n"/>
      <c r="E326" s="61" t="n"/>
      <c r="F326" s="37" t="n"/>
      <c r="G326" s="39">
        <f>IF(B326="","",IF(F326&lt;&gt;"",F326,IFERROR(VLOOKUP(B326,'Vendors &amp; Crew'!$A$5:$D$34,3,FALSE),0)))</f>
        <v/>
      </c>
      <c r="H326" s="39">
        <f>IF(B326="","",E326*G326*(1+Settings!$B$18))</f>
        <v/>
      </c>
      <c r="I326" s="39">
        <f>IF(B326="","",IFERROR(VLOOKUP(B326,'Vendors &amp; Crew'!$A$5:$D$34,4,FALSE),0))</f>
        <v/>
      </c>
      <c r="J326" s="39">
        <f>IF(B326="","",E326*I326)</f>
        <v/>
      </c>
      <c r="K326" s="59">
        <f>IF(A326="","",A326-WEEKDAY(A326,2)+7)</f>
        <v/>
      </c>
      <c r="L326" s="9">
        <f>IF(B326="","",IF(D326="","Labor",IFERROR(VLOOKUP(D326,Settings!$E$5:$G$28,3,FALSE),"Labor")))</f>
        <v/>
      </c>
      <c r="M326" s="9">
        <f>IF(B326="","",IF(COUNTIF('Vendors &amp; Crew'!$A$5:$A$34,B326)=0,"Worker not in Crew table",IF(C326="","Missing Job ID",IF(COUNTIF(Jobs!$A$5:$A$44,C326)=0,"Unknown Job ID",IF(E326="","Missing hours",IF(A326="","Missing date",""))))))</f>
        <v/>
      </c>
      <c r="N326" s="35" t="n"/>
    </row>
    <row r="327">
      <c r="A327" s="40" t="n"/>
      <c r="B327" s="35" t="n"/>
      <c r="C327" s="35" t="n"/>
      <c r="D327" s="35" t="n"/>
      <c r="E327" s="61" t="n"/>
      <c r="F327" s="37" t="n"/>
      <c r="G327" s="39">
        <f>IF(B327="","",IF(F327&lt;&gt;"",F327,IFERROR(VLOOKUP(B327,'Vendors &amp; Crew'!$A$5:$D$34,3,FALSE),0)))</f>
        <v/>
      </c>
      <c r="H327" s="39">
        <f>IF(B327="","",E327*G327*(1+Settings!$B$18))</f>
        <v/>
      </c>
      <c r="I327" s="39">
        <f>IF(B327="","",IFERROR(VLOOKUP(B327,'Vendors &amp; Crew'!$A$5:$D$34,4,FALSE),0))</f>
        <v/>
      </c>
      <c r="J327" s="39">
        <f>IF(B327="","",E327*I327)</f>
        <v/>
      </c>
      <c r="K327" s="59">
        <f>IF(A327="","",A327-WEEKDAY(A327,2)+7)</f>
        <v/>
      </c>
      <c r="L327" s="9">
        <f>IF(B327="","",IF(D327="","Labor",IFERROR(VLOOKUP(D327,Settings!$E$5:$G$28,3,FALSE),"Labor")))</f>
        <v/>
      </c>
      <c r="M327" s="9">
        <f>IF(B327="","",IF(COUNTIF('Vendors &amp; Crew'!$A$5:$A$34,B327)=0,"Worker not in Crew table",IF(C327="","Missing Job ID",IF(COUNTIF(Jobs!$A$5:$A$44,C327)=0,"Unknown Job ID",IF(E327="","Missing hours",IF(A327="","Missing date",""))))))</f>
        <v/>
      </c>
      <c r="N327" s="35" t="n"/>
    </row>
    <row r="328">
      <c r="A328" s="40" t="n"/>
      <c r="B328" s="35" t="n"/>
      <c r="C328" s="35" t="n"/>
      <c r="D328" s="35" t="n"/>
      <c r="E328" s="61" t="n"/>
      <c r="F328" s="37" t="n"/>
      <c r="G328" s="39">
        <f>IF(B328="","",IF(F328&lt;&gt;"",F328,IFERROR(VLOOKUP(B328,'Vendors &amp; Crew'!$A$5:$D$34,3,FALSE),0)))</f>
        <v/>
      </c>
      <c r="H328" s="39">
        <f>IF(B328="","",E328*G328*(1+Settings!$B$18))</f>
        <v/>
      </c>
      <c r="I328" s="39">
        <f>IF(B328="","",IFERROR(VLOOKUP(B328,'Vendors &amp; Crew'!$A$5:$D$34,4,FALSE),0))</f>
        <v/>
      </c>
      <c r="J328" s="39">
        <f>IF(B328="","",E328*I328)</f>
        <v/>
      </c>
      <c r="K328" s="59">
        <f>IF(A328="","",A328-WEEKDAY(A328,2)+7)</f>
        <v/>
      </c>
      <c r="L328" s="9">
        <f>IF(B328="","",IF(D328="","Labor",IFERROR(VLOOKUP(D328,Settings!$E$5:$G$28,3,FALSE),"Labor")))</f>
        <v/>
      </c>
      <c r="M328" s="9">
        <f>IF(B328="","",IF(COUNTIF('Vendors &amp; Crew'!$A$5:$A$34,B328)=0,"Worker not in Crew table",IF(C328="","Missing Job ID",IF(COUNTIF(Jobs!$A$5:$A$44,C328)=0,"Unknown Job ID",IF(E328="","Missing hours",IF(A328="","Missing date",""))))))</f>
        <v/>
      </c>
      <c r="N328" s="35" t="n"/>
    </row>
    <row r="329">
      <c r="A329" s="40" t="n"/>
      <c r="B329" s="35" t="n"/>
      <c r="C329" s="35" t="n"/>
      <c r="D329" s="35" t="n"/>
      <c r="E329" s="61" t="n"/>
      <c r="F329" s="37" t="n"/>
      <c r="G329" s="39">
        <f>IF(B329="","",IF(F329&lt;&gt;"",F329,IFERROR(VLOOKUP(B329,'Vendors &amp; Crew'!$A$5:$D$34,3,FALSE),0)))</f>
        <v/>
      </c>
      <c r="H329" s="39">
        <f>IF(B329="","",E329*G329*(1+Settings!$B$18))</f>
        <v/>
      </c>
      <c r="I329" s="39">
        <f>IF(B329="","",IFERROR(VLOOKUP(B329,'Vendors &amp; Crew'!$A$5:$D$34,4,FALSE),0))</f>
        <v/>
      </c>
      <c r="J329" s="39">
        <f>IF(B329="","",E329*I329)</f>
        <v/>
      </c>
      <c r="K329" s="59">
        <f>IF(A329="","",A329-WEEKDAY(A329,2)+7)</f>
        <v/>
      </c>
      <c r="L329" s="9">
        <f>IF(B329="","",IF(D329="","Labor",IFERROR(VLOOKUP(D329,Settings!$E$5:$G$28,3,FALSE),"Labor")))</f>
        <v/>
      </c>
      <c r="M329" s="9">
        <f>IF(B329="","",IF(COUNTIF('Vendors &amp; Crew'!$A$5:$A$34,B329)=0,"Worker not in Crew table",IF(C329="","Missing Job ID",IF(COUNTIF(Jobs!$A$5:$A$44,C329)=0,"Unknown Job ID",IF(E329="","Missing hours",IF(A329="","Missing date",""))))))</f>
        <v/>
      </c>
      <c r="N329" s="35" t="n"/>
    </row>
    <row r="330">
      <c r="A330" s="40" t="n"/>
      <c r="B330" s="35" t="n"/>
      <c r="C330" s="35" t="n"/>
      <c r="D330" s="35" t="n"/>
      <c r="E330" s="61" t="n"/>
      <c r="F330" s="37" t="n"/>
      <c r="G330" s="39">
        <f>IF(B330="","",IF(F330&lt;&gt;"",F330,IFERROR(VLOOKUP(B330,'Vendors &amp; Crew'!$A$5:$D$34,3,FALSE),0)))</f>
        <v/>
      </c>
      <c r="H330" s="39">
        <f>IF(B330="","",E330*G330*(1+Settings!$B$18))</f>
        <v/>
      </c>
      <c r="I330" s="39">
        <f>IF(B330="","",IFERROR(VLOOKUP(B330,'Vendors &amp; Crew'!$A$5:$D$34,4,FALSE),0))</f>
        <v/>
      </c>
      <c r="J330" s="39">
        <f>IF(B330="","",E330*I330)</f>
        <v/>
      </c>
      <c r="K330" s="59">
        <f>IF(A330="","",A330-WEEKDAY(A330,2)+7)</f>
        <v/>
      </c>
      <c r="L330" s="9">
        <f>IF(B330="","",IF(D330="","Labor",IFERROR(VLOOKUP(D330,Settings!$E$5:$G$28,3,FALSE),"Labor")))</f>
        <v/>
      </c>
      <c r="M330" s="9">
        <f>IF(B330="","",IF(COUNTIF('Vendors &amp; Crew'!$A$5:$A$34,B330)=0,"Worker not in Crew table",IF(C330="","Missing Job ID",IF(COUNTIF(Jobs!$A$5:$A$44,C330)=0,"Unknown Job ID",IF(E330="","Missing hours",IF(A330="","Missing date",""))))))</f>
        <v/>
      </c>
      <c r="N330" s="35" t="n"/>
    </row>
    <row r="331">
      <c r="A331" s="40" t="n"/>
      <c r="B331" s="35" t="n"/>
      <c r="C331" s="35" t="n"/>
      <c r="D331" s="35" t="n"/>
      <c r="E331" s="61" t="n"/>
      <c r="F331" s="37" t="n"/>
      <c r="G331" s="39">
        <f>IF(B331="","",IF(F331&lt;&gt;"",F331,IFERROR(VLOOKUP(B331,'Vendors &amp; Crew'!$A$5:$D$34,3,FALSE),0)))</f>
        <v/>
      </c>
      <c r="H331" s="39">
        <f>IF(B331="","",E331*G331*(1+Settings!$B$18))</f>
        <v/>
      </c>
      <c r="I331" s="39">
        <f>IF(B331="","",IFERROR(VLOOKUP(B331,'Vendors &amp; Crew'!$A$5:$D$34,4,FALSE),0))</f>
        <v/>
      </c>
      <c r="J331" s="39">
        <f>IF(B331="","",E331*I331)</f>
        <v/>
      </c>
      <c r="K331" s="59">
        <f>IF(A331="","",A331-WEEKDAY(A331,2)+7)</f>
        <v/>
      </c>
      <c r="L331" s="9">
        <f>IF(B331="","",IF(D331="","Labor",IFERROR(VLOOKUP(D331,Settings!$E$5:$G$28,3,FALSE),"Labor")))</f>
        <v/>
      </c>
      <c r="M331" s="9">
        <f>IF(B331="","",IF(COUNTIF('Vendors &amp; Crew'!$A$5:$A$34,B331)=0,"Worker not in Crew table",IF(C331="","Missing Job ID",IF(COUNTIF(Jobs!$A$5:$A$44,C331)=0,"Unknown Job ID",IF(E331="","Missing hours",IF(A331="","Missing date",""))))))</f>
        <v/>
      </c>
      <c r="N331" s="35" t="n"/>
    </row>
    <row r="332">
      <c r="A332" s="40" t="n"/>
      <c r="B332" s="35" t="n"/>
      <c r="C332" s="35" t="n"/>
      <c r="D332" s="35" t="n"/>
      <c r="E332" s="61" t="n"/>
      <c r="F332" s="37" t="n"/>
      <c r="G332" s="39">
        <f>IF(B332="","",IF(F332&lt;&gt;"",F332,IFERROR(VLOOKUP(B332,'Vendors &amp; Crew'!$A$5:$D$34,3,FALSE),0)))</f>
        <v/>
      </c>
      <c r="H332" s="39">
        <f>IF(B332="","",E332*G332*(1+Settings!$B$18))</f>
        <v/>
      </c>
      <c r="I332" s="39">
        <f>IF(B332="","",IFERROR(VLOOKUP(B332,'Vendors &amp; Crew'!$A$5:$D$34,4,FALSE),0))</f>
        <v/>
      </c>
      <c r="J332" s="39">
        <f>IF(B332="","",E332*I332)</f>
        <v/>
      </c>
      <c r="K332" s="59">
        <f>IF(A332="","",A332-WEEKDAY(A332,2)+7)</f>
        <v/>
      </c>
      <c r="L332" s="9">
        <f>IF(B332="","",IF(D332="","Labor",IFERROR(VLOOKUP(D332,Settings!$E$5:$G$28,3,FALSE),"Labor")))</f>
        <v/>
      </c>
      <c r="M332" s="9">
        <f>IF(B332="","",IF(COUNTIF('Vendors &amp; Crew'!$A$5:$A$34,B332)=0,"Worker not in Crew table",IF(C332="","Missing Job ID",IF(COUNTIF(Jobs!$A$5:$A$44,C332)=0,"Unknown Job ID",IF(E332="","Missing hours",IF(A332="","Missing date",""))))))</f>
        <v/>
      </c>
      <c r="N332" s="35" t="n"/>
    </row>
    <row r="333">
      <c r="A333" s="40" t="n"/>
      <c r="B333" s="35" t="n"/>
      <c r="C333" s="35" t="n"/>
      <c r="D333" s="35" t="n"/>
      <c r="E333" s="61" t="n"/>
      <c r="F333" s="37" t="n"/>
      <c r="G333" s="39">
        <f>IF(B333="","",IF(F333&lt;&gt;"",F333,IFERROR(VLOOKUP(B333,'Vendors &amp; Crew'!$A$5:$D$34,3,FALSE),0)))</f>
        <v/>
      </c>
      <c r="H333" s="39">
        <f>IF(B333="","",E333*G333*(1+Settings!$B$18))</f>
        <v/>
      </c>
      <c r="I333" s="39">
        <f>IF(B333="","",IFERROR(VLOOKUP(B333,'Vendors &amp; Crew'!$A$5:$D$34,4,FALSE),0))</f>
        <v/>
      </c>
      <c r="J333" s="39">
        <f>IF(B333="","",E333*I333)</f>
        <v/>
      </c>
      <c r="K333" s="59">
        <f>IF(A333="","",A333-WEEKDAY(A333,2)+7)</f>
        <v/>
      </c>
      <c r="L333" s="9">
        <f>IF(B333="","",IF(D333="","Labor",IFERROR(VLOOKUP(D333,Settings!$E$5:$G$28,3,FALSE),"Labor")))</f>
        <v/>
      </c>
      <c r="M333" s="9">
        <f>IF(B333="","",IF(COUNTIF('Vendors &amp; Crew'!$A$5:$A$34,B333)=0,"Worker not in Crew table",IF(C333="","Missing Job ID",IF(COUNTIF(Jobs!$A$5:$A$44,C333)=0,"Unknown Job ID",IF(E333="","Missing hours",IF(A333="","Missing date",""))))))</f>
        <v/>
      </c>
      <c r="N333" s="35" t="n"/>
    </row>
    <row r="334">
      <c r="A334" s="40" t="n"/>
      <c r="B334" s="35" t="n"/>
      <c r="C334" s="35" t="n"/>
      <c r="D334" s="35" t="n"/>
      <c r="E334" s="61" t="n"/>
      <c r="F334" s="37" t="n"/>
      <c r="G334" s="39">
        <f>IF(B334="","",IF(F334&lt;&gt;"",F334,IFERROR(VLOOKUP(B334,'Vendors &amp; Crew'!$A$5:$D$34,3,FALSE),0)))</f>
        <v/>
      </c>
      <c r="H334" s="39">
        <f>IF(B334="","",E334*G334*(1+Settings!$B$18))</f>
        <v/>
      </c>
      <c r="I334" s="39">
        <f>IF(B334="","",IFERROR(VLOOKUP(B334,'Vendors &amp; Crew'!$A$5:$D$34,4,FALSE),0))</f>
        <v/>
      </c>
      <c r="J334" s="39">
        <f>IF(B334="","",E334*I334)</f>
        <v/>
      </c>
      <c r="K334" s="59">
        <f>IF(A334="","",A334-WEEKDAY(A334,2)+7)</f>
        <v/>
      </c>
      <c r="L334" s="9">
        <f>IF(B334="","",IF(D334="","Labor",IFERROR(VLOOKUP(D334,Settings!$E$5:$G$28,3,FALSE),"Labor")))</f>
        <v/>
      </c>
      <c r="M334" s="9">
        <f>IF(B334="","",IF(COUNTIF('Vendors &amp; Crew'!$A$5:$A$34,B334)=0,"Worker not in Crew table",IF(C334="","Missing Job ID",IF(COUNTIF(Jobs!$A$5:$A$44,C334)=0,"Unknown Job ID",IF(E334="","Missing hours",IF(A334="","Missing date",""))))))</f>
        <v/>
      </c>
      <c r="N334" s="35" t="n"/>
    </row>
    <row r="335">
      <c r="A335" s="40" t="n"/>
      <c r="B335" s="35" t="n"/>
      <c r="C335" s="35" t="n"/>
      <c r="D335" s="35" t="n"/>
      <c r="E335" s="61" t="n"/>
      <c r="F335" s="37" t="n"/>
      <c r="G335" s="39">
        <f>IF(B335="","",IF(F335&lt;&gt;"",F335,IFERROR(VLOOKUP(B335,'Vendors &amp; Crew'!$A$5:$D$34,3,FALSE),0)))</f>
        <v/>
      </c>
      <c r="H335" s="39">
        <f>IF(B335="","",E335*G335*(1+Settings!$B$18))</f>
        <v/>
      </c>
      <c r="I335" s="39">
        <f>IF(B335="","",IFERROR(VLOOKUP(B335,'Vendors &amp; Crew'!$A$5:$D$34,4,FALSE),0))</f>
        <v/>
      </c>
      <c r="J335" s="39">
        <f>IF(B335="","",E335*I335)</f>
        <v/>
      </c>
      <c r="K335" s="59">
        <f>IF(A335="","",A335-WEEKDAY(A335,2)+7)</f>
        <v/>
      </c>
      <c r="L335" s="9">
        <f>IF(B335="","",IF(D335="","Labor",IFERROR(VLOOKUP(D335,Settings!$E$5:$G$28,3,FALSE),"Labor")))</f>
        <v/>
      </c>
      <c r="M335" s="9">
        <f>IF(B335="","",IF(COUNTIF('Vendors &amp; Crew'!$A$5:$A$34,B335)=0,"Worker not in Crew table",IF(C335="","Missing Job ID",IF(COUNTIF(Jobs!$A$5:$A$44,C335)=0,"Unknown Job ID",IF(E335="","Missing hours",IF(A335="","Missing date",""))))))</f>
        <v/>
      </c>
      <c r="N335" s="35" t="n"/>
    </row>
    <row r="336">
      <c r="A336" s="40" t="n"/>
      <c r="B336" s="35" t="n"/>
      <c r="C336" s="35" t="n"/>
      <c r="D336" s="35" t="n"/>
      <c r="E336" s="61" t="n"/>
      <c r="F336" s="37" t="n"/>
      <c r="G336" s="39">
        <f>IF(B336="","",IF(F336&lt;&gt;"",F336,IFERROR(VLOOKUP(B336,'Vendors &amp; Crew'!$A$5:$D$34,3,FALSE),0)))</f>
        <v/>
      </c>
      <c r="H336" s="39">
        <f>IF(B336="","",E336*G336*(1+Settings!$B$18))</f>
        <v/>
      </c>
      <c r="I336" s="39">
        <f>IF(B336="","",IFERROR(VLOOKUP(B336,'Vendors &amp; Crew'!$A$5:$D$34,4,FALSE),0))</f>
        <v/>
      </c>
      <c r="J336" s="39">
        <f>IF(B336="","",E336*I336)</f>
        <v/>
      </c>
      <c r="K336" s="59">
        <f>IF(A336="","",A336-WEEKDAY(A336,2)+7)</f>
        <v/>
      </c>
      <c r="L336" s="9">
        <f>IF(B336="","",IF(D336="","Labor",IFERROR(VLOOKUP(D336,Settings!$E$5:$G$28,3,FALSE),"Labor")))</f>
        <v/>
      </c>
      <c r="M336" s="9">
        <f>IF(B336="","",IF(COUNTIF('Vendors &amp; Crew'!$A$5:$A$34,B336)=0,"Worker not in Crew table",IF(C336="","Missing Job ID",IF(COUNTIF(Jobs!$A$5:$A$44,C336)=0,"Unknown Job ID",IF(E336="","Missing hours",IF(A336="","Missing date",""))))))</f>
        <v/>
      </c>
      <c r="N336" s="35" t="n"/>
    </row>
    <row r="337">
      <c r="A337" s="40" t="n"/>
      <c r="B337" s="35" t="n"/>
      <c r="C337" s="35" t="n"/>
      <c r="D337" s="35" t="n"/>
      <c r="E337" s="61" t="n"/>
      <c r="F337" s="37" t="n"/>
      <c r="G337" s="39">
        <f>IF(B337="","",IF(F337&lt;&gt;"",F337,IFERROR(VLOOKUP(B337,'Vendors &amp; Crew'!$A$5:$D$34,3,FALSE),0)))</f>
        <v/>
      </c>
      <c r="H337" s="39">
        <f>IF(B337="","",E337*G337*(1+Settings!$B$18))</f>
        <v/>
      </c>
      <c r="I337" s="39">
        <f>IF(B337="","",IFERROR(VLOOKUP(B337,'Vendors &amp; Crew'!$A$5:$D$34,4,FALSE),0))</f>
        <v/>
      </c>
      <c r="J337" s="39">
        <f>IF(B337="","",E337*I337)</f>
        <v/>
      </c>
      <c r="K337" s="59">
        <f>IF(A337="","",A337-WEEKDAY(A337,2)+7)</f>
        <v/>
      </c>
      <c r="L337" s="9">
        <f>IF(B337="","",IF(D337="","Labor",IFERROR(VLOOKUP(D337,Settings!$E$5:$G$28,3,FALSE),"Labor")))</f>
        <v/>
      </c>
      <c r="M337" s="9">
        <f>IF(B337="","",IF(COUNTIF('Vendors &amp; Crew'!$A$5:$A$34,B337)=0,"Worker not in Crew table",IF(C337="","Missing Job ID",IF(COUNTIF(Jobs!$A$5:$A$44,C337)=0,"Unknown Job ID",IF(E337="","Missing hours",IF(A337="","Missing date",""))))))</f>
        <v/>
      </c>
      <c r="N337" s="35" t="n"/>
    </row>
    <row r="338">
      <c r="A338" s="40" t="n"/>
      <c r="B338" s="35" t="n"/>
      <c r="C338" s="35" t="n"/>
      <c r="D338" s="35" t="n"/>
      <c r="E338" s="61" t="n"/>
      <c r="F338" s="37" t="n"/>
      <c r="G338" s="39">
        <f>IF(B338="","",IF(F338&lt;&gt;"",F338,IFERROR(VLOOKUP(B338,'Vendors &amp; Crew'!$A$5:$D$34,3,FALSE),0)))</f>
        <v/>
      </c>
      <c r="H338" s="39">
        <f>IF(B338="","",E338*G338*(1+Settings!$B$18))</f>
        <v/>
      </c>
      <c r="I338" s="39">
        <f>IF(B338="","",IFERROR(VLOOKUP(B338,'Vendors &amp; Crew'!$A$5:$D$34,4,FALSE),0))</f>
        <v/>
      </c>
      <c r="J338" s="39">
        <f>IF(B338="","",E338*I338)</f>
        <v/>
      </c>
      <c r="K338" s="59">
        <f>IF(A338="","",A338-WEEKDAY(A338,2)+7)</f>
        <v/>
      </c>
      <c r="L338" s="9">
        <f>IF(B338="","",IF(D338="","Labor",IFERROR(VLOOKUP(D338,Settings!$E$5:$G$28,3,FALSE),"Labor")))</f>
        <v/>
      </c>
      <c r="M338" s="9">
        <f>IF(B338="","",IF(COUNTIF('Vendors &amp; Crew'!$A$5:$A$34,B338)=0,"Worker not in Crew table",IF(C338="","Missing Job ID",IF(COUNTIF(Jobs!$A$5:$A$44,C338)=0,"Unknown Job ID",IF(E338="","Missing hours",IF(A338="","Missing date",""))))))</f>
        <v/>
      </c>
      <c r="N338" s="35" t="n"/>
    </row>
    <row r="339">
      <c r="A339" s="40" t="n"/>
      <c r="B339" s="35" t="n"/>
      <c r="C339" s="35" t="n"/>
      <c r="D339" s="35" t="n"/>
      <c r="E339" s="61" t="n"/>
      <c r="F339" s="37" t="n"/>
      <c r="G339" s="39">
        <f>IF(B339="","",IF(F339&lt;&gt;"",F339,IFERROR(VLOOKUP(B339,'Vendors &amp; Crew'!$A$5:$D$34,3,FALSE),0)))</f>
        <v/>
      </c>
      <c r="H339" s="39">
        <f>IF(B339="","",E339*G339*(1+Settings!$B$18))</f>
        <v/>
      </c>
      <c r="I339" s="39">
        <f>IF(B339="","",IFERROR(VLOOKUP(B339,'Vendors &amp; Crew'!$A$5:$D$34,4,FALSE),0))</f>
        <v/>
      </c>
      <c r="J339" s="39">
        <f>IF(B339="","",E339*I339)</f>
        <v/>
      </c>
      <c r="K339" s="59">
        <f>IF(A339="","",A339-WEEKDAY(A339,2)+7)</f>
        <v/>
      </c>
      <c r="L339" s="9">
        <f>IF(B339="","",IF(D339="","Labor",IFERROR(VLOOKUP(D339,Settings!$E$5:$G$28,3,FALSE),"Labor")))</f>
        <v/>
      </c>
      <c r="M339" s="9">
        <f>IF(B339="","",IF(COUNTIF('Vendors &amp; Crew'!$A$5:$A$34,B339)=0,"Worker not in Crew table",IF(C339="","Missing Job ID",IF(COUNTIF(Jobs!$A$5:$A$44,C339)=0,"Unknown Job ID",IF(E339="","Missing hours",IF(A339="","Missing date",""))))))</f>
        <v/>
      </c>
      <c r="N339" s="35" t="n"/>
    </row>
    <row r="340">
      <c r="A340" s="40" t="n"/>
      <c r="B340" s="35" t="n"/>
      <c r="C340" s="35" t="n"/>
      <c r="D340" s="35" t="n"/>
      <c r="E340" s="61" t="n"/>
      <c r="F340" s="37" t="n"/>
      <c r="G340" s="39">
        <f>IF(B340="","",IF(F340&lt;&gt;"",F340,IFERROR(VLOOKUP(B340,'Vendors &amp; Crew'!$A$5:$D$34,3,FALSE),0)))</f>
        <v/>
      </c>
      <c r="H340" s="39">
        <f>IF(B340="","",E340*G340*(1+Settings!$B$18))</f>
        <v/>
      </c>
      <c r="I340" s="39">
        <f>IF(B340="","",IFERROR(VLOOKUP(B340,'Vendors &amp; Crew'!$A$5:$D$34,4,FALSE),0))</f>
        <v/>
      </c>
      <c r="J340" s="39">
        <f>IF(B340="","",E340*I340)</f>
        <v/>
      </c>
      <c r="K340" s="59">
        <f>IF(A340="","",A340-WEEKDAY(A340,2)+7)</f>
        <v/>
      </c>
      <c r="L340" s="9">
        <f>IF(B340="","",IF(D340="","Labor",IFERROR(VLOOKUP(D340,Settings!$E$5:$G$28,3,FALSE),"Labor")))</f>
        <v/>
      </c>
      <c r="M340" s="9">
        <f>IF(B340="","",IF(COUNTIF('Vendors &amp; Crew'!$A$5:$A$34,B340)=0,"Worker not in Crew table",IF(C340="","Missing Job ID",IF(COUNTIF(Jobs!$A$5:$A$44,C340)=0,"Unknown Job ID",IF(E340="","Missing hours",IF(A340="","Missing date",""))))))</f>
        <v/>
      </c>
      <c r="N340" s="35" t="n"/>
    </row>
    <row r="341">
      <c r="A341" s="40" t="n"/>
      <c r="B341" s="35" t="n"/>
      <c r="C341" s="35" t="n"/>
      <c r="D341" s="35" t="n"/>
      <c r="E341" s="61" t="n"/>
      <c r="F341" s="37" t="n"/>
      <c r="G341" s="39">
        <f>IF(B341="","",IF(F341&lt;&gt;"",F341,IFERROR(VLOOKUP(B341,'Vendors &amp; Crew'!$A$5:$D$34,3,FALSE),0)))</f>
        <v/>
      </c>
      <c r="H341" s="39">
        <f>IF(B341="","",E341*G341*(1+Settings!$B$18))</f>
        <v/>
      </c>
      <c r="I341" s="39">
        <f>IF(B341="","",IFERROR(VLOOKUP(B341,'Vendors &amp; Crew'!$A$5:$D$34,4,FALSE),0))</f>
        <v/>
      </c>
      <c r="J341" s="39">
        <f>IF(B341="","",E341*I341)</f>
        <v/>
      </c>
      <c r="K341" s="59">
        <f>IF(A341="","",A341-WEEKDAY(A341,2)+7)</f>
        <v/>
      </c>
      <c r="L341" s="9">
        <f>IF(B341="","",IF(D341="","Labor",IFERROR(VLOOKUP(D341,Settings!$E$5:$G$28,3,FALSE),"Labor")))</f>
        <v/>
      </c>
      <c r="M341" s="9">
        <f>IF(B341="","",IF(COUNTIF('Vendors &amp; Crew'!$A$5:$A$34,B341)=0,"Worker not in Crew table",IF(C341="","Missing Job ID",IF(COUNTIF(Jobs!$A$5:$A$44,C341)=0,"Unknown Job ID",IF(E341="","Missing hours",IF(A341="","Missing date",""))))))</f>
        <v/>
      </c>
      <c r="N341" s="35" t="n"/>
    </row>
    <row r="342">
      <c r="A342" s="40" t="n"/>
      <c r="B342" s="35" t="n"/>
      <c r="C342" s="35" t="n"/>
      <c r="D342" s="35" t="n"/>
      <c r="E342" s="61" t="n"/>
      <c r="F342" s="37" t="n"/>
      <c r="G342" s="39">
        <f>IF(B342="","",IF(F342&lt;&gt;"",F342,IFERROR(VLOOKUP(B342,'Vendors &amp; Crew'!$A$5:$D$34,3,FALSE),0)))</f>
        <v/>
      </c>
      <c r="H342" s="39">
        <f>IF(B342="","",E342*G342*(1+Settings!$B$18))</f>
        <v/>
      </c>
      <c r="I342" s="39">
        <f>IF(B342="","",IFERROR(VLOOKUP(B342,'Vendors &amp; Crew'!$A$5:$D$34,4,FALSE),0))</f>
        <v/>
      </c>
      <c r="J342" s="39">
        <f>IF(B342="","",E342*I342)</f>
        <v/>
      </c>
      <c r="K342" s="59">
        <f>IF(A342="","",A342-WEEKDAY(A342,2)+7)</f>
        <v/>
      </c>
      <c r="L342" s="9">
        <f>IF(B342="","",IF(D342="","Labor",IFERROR(VLOOKUP(D342,Settings!$E$5:$G$28,3,FALSE),"Labor")))</f>
        <v/>
      </c>
      <c r="M342" s="9">
        <f>IF(B342="","",IF(COUNTIF('Vendors &amp; Crew'!$A$5:$A$34,B342)=0,"Worker not in Crew table",IF(C342="","Missing Job ID",IF(COUNTIF(Jobs!$A$5:$A$44,C342)=0,"Unknown Job ID",IF(E342="","Missing hours",IF(A342="","Missing date",""))))))</f>
        <v/>
      </c>
      <c r="N342" s="35" t="n"/>
    </row>
    <row r="343">
      <c r="A343" s="40" t="n"/>
      <c r="B343" s="35" t="n"/>
      <c r="C343" s="35" t="n"/>
      <c r="D343" s="35" t="n"/>
      <c r="E343" s="61" t="n"/>
      <c r="F343" s="37" t="n"/>
      <c r="G343" s="39">
        <f>IF(B343="","",IF(F343&lt;&gt;"",F343,IFERROR(VLOOKUP(B343,'Vendors &amp; Crew'!$A$5:$D$34,3,FALSE),0)))</f>
        <v/>
      </c>
      <c r="H343" s="39">
        <f>IF(B343="","",E343*G343*(1+Settings!$B$18))</f>
        <v/>
      </c>
      <c r="I343" s="39">
        <f>IF(B343="","",IFERROR(VLOOKUP(B343,'Vendors &amp; Crew'!$A$5:$D$34,4,FALSE),0))</f>
        <v/>
      </c>
      <c r="J343" s="39">
        <f>IF(B343="","",E343*I343)</f>
        <v/>
      </c>
      <c r="K343" s="59">
        <f>IF(A343="","",A343-WEEKDAY(A343,2)+7)</f>
        <v/>
      </c>
      <c r="L343" s="9">
        <f>IF(B343="","",IF(D343="","Labor",IFERROR(VLOOKUP(D343,Settings!$E$5:$G$28,3,FALSE),"Labor")))</f>
        <v/>
      </c>
      <c r="M343" s="9">
        <f>IF(B343="","",IF(COUNTIF('Vendors &amp; Crew'!$A$5:$A$34,B343)=0,"Worker not in Crew table",IF(C343="","Missing Job ID",IF(COUNTIF(Jobs!$A$5:$A$44,C343)=0,"Unknown Job ID",IF(E343="","Missing hours",IF(A343="","Missing date",""))))))</f>
        <v/>
      </c>
      <c r="N343" s="35" t="n"/>
    </row>
    <row r="344">
      <c r="A344" s="40" t="n"/>
      <c r="B344" s="35" t="n"/>
      <c r="C344" s="35" t="n"/>
      <c r="D344" s="35" t="n"/>
      <c r="E344" s="61" t="n"/>
      <c r="F344" s="37" t="n"/>
      <c r="G344" s="39">
        <f>IF(B344="","",IF(F344&lt;&gt;"",F344,IFERROR(VLOOKUP(B344,'Vendors &amp; Crew'!$A$5:$D$34,3,FALSE),0)))</f>
        <v/>
      </c>
      <c r="H344" s="39">
        <f>IF(B344="","",E344*G344*(1+Settings!$B$18))</f>
        <v/>
      </c>
      <c r="I344" s="39">
        <f>IF(B344="","",IFERROR(VLOOKUP(B344,'Vendors &amp; Crew'!$A$5:$D$34,4,FALSE),0))</f>
        <v/>
      </c>
      <c r="J344" s="39">
        <f>IF(B344="","",E344*I344)</f>
        <v/>
      </c>
      <c r="K344" s="59">
        <f>IF(A344="","",A344-WEEKDAY(A344,2)+7)</f>
        <v/>
      </c>
      <c r="L344" s="9">
        <f>IF(B344="","",IF(D344="","Labor",IFERROR(VLOOKUP(D344,Settings!$E$5:$G$28,3,FALSE),"Labor")))</f>
        <v/>
      </c>
      <c r="M344" s="9">
        <f>IF(B344="","",IF(COUNTIF('Vendors &amp; Crew'!$A$5:$A$34,B344)=0,"Worker not in Crew table",IF(C344="","Missing Job ID",IF(COUNTIF(Jobs!$A$5:$A$44,C344)=0,"Unknown Job ID",IF(E344="","Missing hours",IF(A344="","Missing date",""))))))</f>
        <v/>
      </c>
      <c r="N344" s="35" t="n"/>
    </row>
    <row r="345">
      <c r="A345" s="40" t="n"/>
      <c r="B345" s="35" t="n"/>
      <c r="C345" s="35" t="n"/>
      <c r="D345" s="35" t="n"/>
      <c r="E345" s="61" t="n"/>
      <c r="F345" s="37" t="n"/>
      <c r="G345" s="39">
        <f>IF(B345="","",IF(F345&lt;&gt;"",F345,IFERROR(VLOOKUP(B345,'Vendors &amp; Crew'!$A$5:$D$34,3,FALSE),0)))</f>
        <v/>
      </c>
      <c r="H345" s="39">
        <f>IF(B345="","",E345*G345*(1+Settings!$B$18))</f>
        <v/>
      </c>
      <c r="I345" s="39">
        <f>IF(B345="","",IFERROR(VLOOKUP(B345,'Vendors &amp; Crew'!$A$5:$D$34,4,FALSE),0))</f>
        <v/>
      </c>
      <c r="J345" s="39">
        <f>IF(B345="","",E345*I345)</f>
        <v/>
      </c>
      <c r="K345" s="59">
        <f>IF(A345="","",A345-WEEKDAY(A345,2)+7)</f>
        <v/>
      </c>
      <c r="L345" s="9">
        <f>IF(B345="","",IF(D345="","Labor",IFERROR(VLOOKUP(D345,Settings!$E$5:$G$28,3,FALSE),"Labor")))</f>
        <v/>
      </c>
      <c r="M345" s="9">
        <f>IF(B345="","",IF(COUNTIF('Vendors &amp; Crew'!$A$5:$A$34,B345)=0,"Worker not in Crew table",IF(C345="","Missing Job ID",IF(COUNTIF(Jobs!$A$5:$A$44,C345)=0,"Unknown Job ID",IF(E345="","Missing hours",IF(A345="","Missing date",""))))))</f>
        <v/>
      </c>
      <c r="N345" s="35" t="n"/>
    </row>
    <row r="346">
      <c r="A346" s="40" t="n"/>
      <c r="B346" s="35" t="n"/>
      <c r="C346" s="35" t="n"/>
      <c r="D346" s="35" t="n"/>
      <c r="E346" s="61" t="n"/>
      <c r="F346" s="37" t="n"/>
      <c r="G346" s="39">
        <f>IF(B346="","",IF(F346&lt;&gt;"",F346,IFERROR(VLOOKUP(B346,'Vendors &amp; Crew'!$A$5:$D$34,3,FALSE),0)))</f>
        <v/>
      </c>
      <c r="H346" s="39">
        <f>IF(B346="","",E346*G346*(1+Settings!$B$18))</f>
        <v/>
      </c>
      <c r="I346" s="39">
        <f>IF(B346="","",IFERROR(VLOOKUP(B346,'Vendors &amp; Crew'!$A$5:$D$34,4,FALSE),0))</f>
        <v/>
      </c>
      <c r="J346" s="39">
        <f>IF(B346="","",E346*I346)</f>
        <v/>
      </c>
      <c r="K346" s="59">
        <f>IF(A346="","",A346-WEEKDAY(A346,2)+7)</f>
        <v/>
      </c>
      <c r="L346" s="9">
        <f>IF(B346="","",IF(D346="","Labor",IFERROR(VLOOKUP(D346,Settings!$E$5:$G$28,3,FALSE),"Labor")))</f>
        <v/>
      </c>
      <c r="M346" s="9">
        <f>IF(B346="","",IF(COUNTIF('Vendors &amp; Crew'!$A$5:$A$34,B346)=0,"Worker not in Crew table",IF(C346="","Missing Job ID",IF(COUNTIF(Jobs!$A$5:$A$44,C346)=0,"Unknown Job ID",IF(E346="","Missing hours",IF(A346="","Missing date",""))))))</f>
        <v/>
      </c>
      <c r="N346" s="35" t="n"/>
    </row>
    <row r="347">
      <c r="A347" s="40" t="n"/>
      <c r="B347" s="35" t="n"/>
      <c r="C347" s="35" t="n"/>
      <c r="D347" s="35" t="n"/>
      <c r="E347" s="61" t="n"/>
      <c r="F347" s="37" t="n"/>
      <c r="G347" s="39">
        <f>IF(B347="","",IF(F347&lt;&gt;"",F347,IFERROR(VLOOKUP(B347,'Vendors &amp; Crew'!$A$5:$D$34,3,FALSE),0)))</f>
        <v/>
      </c>
      <c r="H347" s="39">
        <f>IF(B347="","",E347*G347*(1+Settings!$B$18))</f>
        <v/>
      </c>
      <c r="I347" s="39">
        <f>IF(B347="","",IFERROR(VLOOKUP(B347,'Vendors &amp; Crew'!$A$5:$D$34,4,FALSE),0))</f>
        <v/>
      </c>
      <c r="J347" s="39">
        <f>IF(B347="","",E347*I347)</f>
        <v/>
      </c>
      <c r="K347" s="59">
        <f>IF(A347="","",A347-WEEKDAY(A347,2)+7)</f>
        <v/>
      </c>
      <c r="L347" s="9">
        <f>IF(B347="","",IF(D347="","Labor",IFERROR(VLOOKUP(D347,Settings!$E$5:$G$28,3,FALSE),"Labor")))</f>
        <v/>
      </c>
      <c r="M347" s="9">
        <f>IF(B347="","",IF(COUNTIF('Vendors &amp; Crew'!$A$5:$A$34,B347)=0,"Worker not in Crew table",IF(C347="","Missing Job ID",IF(COUNTIF(Jobs!$A$5:$A$44,C347)=0,"Unknown Job ID",IF(E347="","Missing hours",IF(A347="","Missing date",""))))))</f>
        <v/>
      </c>
      <c r="N347" s="35" t="n"/>
    </row>
    <row r="348">
      <c r="A348" s="40" t="n"/>
      <c r="B348" s="35" t="n"/>
      <c r="C348" s="35" t="n"/>
      <c r="D348" s="35" t="n"/>
      <c r="E348" s="61" t="n"/>
      <c r="F348" s="37" t="n"/>
      <c r="G348" s="39">
        <f>IF(B348="","",IF(F348&lt;&gt;"",F348,IFERROR(VLOOKUP(B348,'Vendors &amp; Crew'!$A$5:$D$34,3,FALSE),0)))</f>
        <v/>
      </c>
      <c r="H348" s="39">
        <f>IF(B348="","",E348*G348*(1+Settings!$B$18))</f>
        <v/>
      </c>
      <c r="I348" s="39">
        <f>IF(B348="","",IFERROR(VLOOKUP(B348,'Vendors &amp; Crew'!$A$5:$D$34,4,FALSE),0))</f>
        <v/>
      </c>
      <c r="J348" s="39">
        <f>IF(B348="","",E348*I348)</f>
        <v/>
      </c>
      <c r="K348" s="59">
        <f>IF(A348="","",A348-WEEKDAY(A348,2)+7)</f>
        <v/>
      </c>
      <c r="L348" s="9">
        <f>IF(B348="","",IF(D348="","Labor",IFERROR(VLOOKUP(D348,Settings!$E$5:$G$28,3,FALSE),"Labor")))</f>
        <v/>
      </c>
      <c r="M348" s="9">
        <f>IF(B348="","",IF(COUNTIF('Vendors &amp; Crew'!$A$5:$A$34,B348)=0,"Worker not in Crew table",IF(C348="","Missing Job ID",IF(COUNTIF(Jobs!$A$5:$A$44,C348)=0,"Unknown Job ID",IF(E348="","Missing hours",IF(A348="","Missing date",""))))))</f>
        <v/>
      </c>
      <c r="N348" s="35" t="n"/>
    </row>
    <row r="349">
      <c r="A349" s="40" t="n"/>
      <c r="B349" s="35" t="n"/>
      <c r="C349" s="35" t="n"/>
      <c r="D349" s="35" t="n"/>
      <c r="E349" s="61" t="n"/>
      <c r="F349" s="37" t="n"/>
      <c r="G349" s="39">
        <f>IF(B349="","",IF(F349&lt;&gt;"",F349,IFERROR(VLOOKUP(B349,'Vendors &amp; Crew'!$A$5:$D$34,3,FALSE),0)))</f>
        <v/>
      </c>
      <c r="H349" s="39">
        <f>IF(B349="","",E349*G349*(1+Settings!$B$18))</f>
        <v/>
      </c>
      <c r="I349" s="39">
        <f>IF(B349="","",IFERROR(VLOOKUP(B349,'Vendors &amp; Crew'!$A$5:$D$34,4,FALSE),0))</f>
        <v/>
      </c>
      <c r="J349" s="39">
        <f>IF(B349="","",E349*I349)</f>
        <v/>
      </c>
      <c r="K349" s="59">
        <f>IF(A349="","",A349-WEEKDAY(A349,2)+7)</f>
        <v/>
      </c>
      <c r="L349" s="9">
        <f>IF(B349="","",IF(D349="","Labor",IFERROR(VLOOKUP(D349,Settings!$E$5:$G$28,3,FALSE),"Labor")))</f>
        <v/>
      </c>
      <c r="M349" s="9">
        <f>IF(B349="","",IF(COUNTIF('Vendors &amp; Crew'!$A$5:$A$34,B349)=0,"Worker not in Crew table",IF(C349="","Missing Job ID",IF(COUNTIF(Jobs!$A$5:$A$44,C349)=0,"Unknown Job ID",IF(E349="","Missing hours",IF(A349="","Missing date",""))))))</f>
        <v/>
      </c>
      <c r="N349" s="35" t="n"/>
    </row>
    <row r="350">
      <c r="A350" s="40" t="n"/>
      <c r="B350" s="35" t="n"/>
      <c r="C350" s="35" t="n"/>
      <c r="D350" s="35" t="n"/>
      <c r="E350" s="61" t="n"/>
      <c r="F350" s="37" t="n"/>
      <c r="G350" s="39">
        <f>IF(B350="","",IF(F350&lt;&gt;"",F350,IFERROR(VLOOKUP(B350,'Vendors &amp; Crew'!$A$5:$D$34,3,FALSE),0)))</f>
        <v/>
      </c>
      <c r="H350" s="39">
        <f>IF(B350="","",E350*G350*(1+Settings!$B$18))</f>
        <v/>
      </c>
      <c r="I350" s="39">
        <f>IF(B350="","",IFERROR(VLOOKUP(B350,'Vendors &amp; Crew'!$A$5:$D$34,4,FALSE),0))</f>
        <v/>
      </c>
      <c r="J350" s="39">
        <f>IF(B350="","",E350*I350)</f>
        <v/>
      </c>
      <c r="K350" s="59">
        <f>IF(A350="","",A350-WEEKDAY(A350,2)+7)</f>
        <v/>
      </c>
      <c r="L350" s="9">
        <f>IF(B350="","",IF(D350="","Labor",IFERROR(VLOOKUP(D350,Settings!$E$5:$G$28,3,FALSE),"Labor")))</f>
        <v/>
      </c>
      <c r="M350" s="9">
        <f>IF(B350="","",IF(COUNTIF('Vendors &amp; Crew'!$A$5:$A$34,B350)=0,"Worker not in Crew table",IF(C350="","Missing Job ID",IF(COUNTIF(Jobs!$A$5:$A$44,C350)=0,"Unknown Job ID",IF(E350="","Missing hours",IF(A350="","Missing date",""))))))</f>
        <v/>
      </c>
      <c r="N350" s="35" t="n"/>
    </row>
    <row r="351">
      <c r="A351" s="40" t="n"/>
      <c r="B351" s="35" t="n"/>
      <c r="C351" s="35" t="n"/>
      <c r="D351" s="35" t="n"/>
      <c r="E351" s="61" t="n"/>
      <c r="F351" s="37" t="n"/>
      <c r="G351" s="39">
        <f>IF(B351="","",IF(F351&lt;&gt;"",F351,IFERROR(VLOOKUP(B351,'Vendors &amp; Crew'!$A$5:$D$34,3,FALSE),0)))</f>
        <v/>
      </c>
      <c r="H351" s="39">
        <f>IF(B351="","",E351*G351*(1+Settings!$B$18))</f>
        <v/>
      </c>
      <c r="I351" s="39">
        <f>IF(B351="","",IFERROR(VLOOKUP(B351,'Vendors &amp; Crew'!$A$5:$D$34,4,FALSE),0))</f>
        <v/>
      </c>
      <c r="J351" s="39">
        <f>IF(B351="","",E351*I351)</f>
        <v/>
      </c>
      <c r="K351" s="59">
        <f>IF(A351="","",A351-WEEKDAY(A351,2)+7)</f>
        <v/>
      </c>
      <c r="L351" s="9">
        <f>IF(B351="","",IF(D351="","Labor",IFERROR(VLOOKUP(D351,Settings!$E$5:$G$28,3,FALSE),"Labor")))</f>
        <v/>
      </c>
      <c r="M351" s="9">
        <f>IF(B351="","",IF(COUNTIF('Vendors &amp; Crew'!$A$5:$A$34,B351)=0,"Worker not in Crew table",IF(C351="","Missing Job ID",IF(COUNTIF(Jobs!$A$5:$A$44,C351)=0,"Unknown Job ID",IF(E351="","Missing hours",IF(A351="","Missing date",""))))))</f>
        <v/>
      </c>
      <c r="N351" s="35" t="n"/>
    </row>
    <row r="352">
      <c r="A352" s="40" t="n"/>
      <c r="B352" s="35" t="n"/>
      <c r="C352" s="35" t="n"/>
      <c r="D352" s="35" t="n"/>
      <c r="E352" s="61" t="n"/>
      <c r="F352" s="37" t="n"/>
      <c r="G352" s="39">
        <f>IF(B352="","",IF(F352&lt;&gt;"",F352,IFERROR(VLOOKUP(B352,'Vendors &amp; Crew'!$A$5:$D$34,3,FALSE),0)))</f>
        <v/>
      </c>
      <c r="H352" s="39">
        <f>IF(B352="","",E352*G352*(1+Settings!$B$18))</f>
        <v/>
      </c>
      <c r="I352" s="39">
        <f>IF(B352="","",IFERROR(VLOOKUP(B352,'Vendors &amp; Crew'!$A$5:$D$34,4,FALSE),0))</f>
        <v/>
      </c>
      <c r="J352" s="39">
        <f>IF(B352="","",E352*I352)</f>
        <v/>
      </c>
      <c r="K352" s="59">
        <f>IF(A352="","",A352-WEEKDAY(A352,2)+7)</f>
        <v/>
      </c>
      <c r="L352" s="9">
        <f>IF(B352="","",IF(D352="","Labor",IFERROR(VLOOKUP(D352,Settings!$E$5:$G$28,3,FALSE),"Labor")))</f>
        <v/>
      </c>
      <c r="M352" s="9">
        <f>IF(B352="","",IF(COUNTIF('Vendors &amp; Crew'!$A$5:$A$34,B352)=0,"Worker not in Crew table",IF(C352="","Missing Job ID",IF(COUNTIF(Jobs!$A$5:$A$44,C352)=0,"Unknown Job ID",IF(E352="","Missing hours",IF(A352="","Missing date",""))))))</f>
        <v/>
      </c>
      <c r="N352" s="35" t="n"/>
    </row>
    <row r="353">
      <c r="A353" s="40" t="n"/>
      <c r="B353" s="35" t="n"/>
      <c r="C353" s="35" t="n"/>
      <c r="D353" s="35" t="n"/>
      <c r="E353" s="61" t="n"/>
      <c r="F353" s="37" t="n"/>
      <c r="G353" s="39">
        <f>IF(B353="","",IF(F353&lt;&gt;"",F353,IFERROR(VLOOKUP(B353,'Vendors &amp; Crew'!$A$5:$D$34,3,FALSE),0)))</f>
        <v/>
      </c>
      <c r="H353" s="39">
        <f>IF(B353="","",E353*G353*(1+Settings!$B$18))</f>
        <v/>
      </c>
      <c r="I353" s="39">
        <f>IF(B353="","",IFERROR(VLOOKUP(B353,'Vendors &amp; Crew'!$A$5:$D$34,4,FALSE),0))</f>
        <v/>
      </c>
      <c r="J353" s="39">
        <f>IF(B353="","",E353*I353)</f>
        <v/>
      </c>
      <c r="K353" s="59">
        <f>IF(A353="","",A353-WEEKDAY(A353,2)+7)</f>
        <v/>
      </c>
      <c r="L353" s="9">
        <f>IF(B353="","",IF(D353="","Labor",IFERROR(VLOOKUP(D353,Settings!$E$5:$G$28,3,FALSE),"Labor")))</f>
        <v/>
      </c>
      <c r="M353" s="9">
        <f>IF(B353="","",IF(COUNTIF('Vendors &amp; Crew'!$A$5:$A$34,B353)=0,"Worker not in Crew table",IF(C353="","Missing Job ID",IF(COUNTIF(Jobs!$A$5:$A$44,C353)=0,"Unknown Job ID",IF(E353="","Missing hours",IF(A353="","Missing date",""))))))</f>
        <v/>
      </c>
      <c r="N353" s="35" t="n"/>
    </row>
    <row r="354">
      <c r="A354" s="40" t="n"/>
      <c r="B354" s="35" t="n"/>
      <c r="C354" s="35" t="n"/>
      <c r="D354" s="35" t="n"/>
      <c r="E354" s="61" t="n"/>
      <c r="F354" s="37" t="n"/>
      <c r="G354" s="39">
        <f>IF(B354="","",IF(F354&lt;&gt;"",F354,IFERROR(VLOOKUP(B354,'Vendors &amp; Crew'!$A$5:$D$34,3,FALSE),0)))</f>
        <v/>
      </c>
      <c r="H354" s="39">
        <f>IF(B354="","",E354*G354*(1+Settings!$B$18))</f>
        <v/>
      </c>
      <c r="I354" s="39">
        <f>IF(B354="","",IFERROR(VLOOKUP(B354,'Vendors &amp; Crew'!$A$5:$D$34,4,FALSE),0))</f>
        <v/>
      </c>
      <c r="J354" s="39">
        <f>IF(B354="","",E354*I354)</f>
        <v/>
      </c>
      <c r="K354" s="59">
        <f>IF(A354="","",A354-WEEKDAY(A354,2)+7)</f>
        <v/>
      </c>
      <c r="L354" s="9">
        <f>IF(B354="","",IF(D354="","Labor",IFERROR(VLOOKUP(D354,Settings!$E$5:$G$28,3,FALSE),"Labor")))</f>
        <v/>
      </c>
      <c r="M354" s="9">
        <f>IF(B354="","",IF(COUNTIF('Vendors &amp; Crew'!$A$5:$A$34,B354)=0,"Worker not in Crew table",IF(C354="","Missing Job ID",IF(COUNTIF(Jobs!$A$5:$A$44,C354)=0,"Unknown Job ID",IF(E354="","Missing hours",IF(A354="","Missing date",""))))))</f>
        <v/>
      </c>
      <c r="N354" s="35" t="n"/>
    </row>
    <row r="355">
      <c r="A355" s="40" t="n"/>
      <c r="B355" s="35" t="n"/>
      <c r="C355" s="35" t="n"/>
      <c r="D355" s="35" t="n"/>
      <c r="E355" s="61" t="n"/>
      <c r="F355" s="37" t="n"/>
      <c r="G355" s="39">
        <f>IF(B355="","",IF(F355&lt;&gt;"",F355,IFERROR(VLOOKUP(B355,'Vendors &amp; Crew'!$A$5:$D$34,3,FALSE),0)))</f>
        <v/>
      </c>
      <c r="H355" s="39">
        <f>IF(B355="","",E355*G355*(1+Settings!$B$18))</f>
        <v/>
      </c>
      <c r="I355" s="39">
        <f>IF(B355="","",IFERROR(VLOOKUP(B355,'Vendors &amp; Crew'!$A$5:$D$34,4,FALSE),0))</f>
        <v/>
      </c>
      <c r="J355" s="39">
        <f>IF(B355="","",E355*I355)</f>
        <v/>
      </c>
      <c r="K355" s="59">
        <f>IF(A355="","",A355-WEEKDAY(A355,2)+7)</f>
        <v/>
      </c>
      <c r="L355" s="9">
        <f>IF(B355="","",IF(D355="","Labor",IFERROR(VLOOKUP(D355,Settings!$E$5:$G$28,3,FALSE),"Labor")))</f>
        <v/>
      </c>
      <c r="M355" s="9">
        <f>IF(B355="","",IF(COUNTIF('Vendors &amp; Crew'!$A$5:$A$34,B355)=0,"Worker not in Crew table",IF(C355="","Missing Job ID",IF(COUNTIF(Jobs!$A$5:$A$44,C355)=0,"Unknown Job ID",IF(E355="","Missing hours",IF(A355="","Missing date",""))))))</f>
        <v/>
      </c>
      <c r="N355" s="35" t="n"/>
    </row>
    <row r="356">
      <c r="A356" s="40" t="n"/>
      <c r="B356" s="35" t="n"/>
      <c r="C356" s="35" t="n"/>
      <c r="D356" s="35" t="n"/>
      <c r="E356" s="61" t="n"/>
      <c r="F356" s="37" t="n"/>
      <c r="G356" s="39">
        <f>IF(B356="","",IF(F356&lt;&gt;"",F356,IFERROR(VLOOKUP(B356,'Vendors &amp; Crew'!$A$5:$D$34,3,FALSE),0)))</f>
        <v/>
      </c>
      <c r="H356" s="39">
        <f>IF(B356="","",E356*G356*(1+Settings!$B$18))</f>
        <v/>
      </c>
      <c r="I356" s="39">
        <f>IF(B356="","",IFERROR(VLOOKUP(B356,'Vendors &amp; Crew'!$A$5:$D$34,4,FALSE),0))</f>
        <v/>
      </c>
      <c r="J356" s="39">
        <f>IF(B356="","",E356*I356)</f>
        <v/>
      </c>
      <c r="K356" s="59">
        <f>IF(A356="","",A356-WEEKDAY(A356,2)+7)</f>
        <v/>
      </c>
      <c r="L356" s="9">
        <f>IF(B356="","",IF(D356="","Labor",IFERROR(VLOOKUP(D356,Settings!$E$5:$G$28,3,FALSE),"Labor")))</f>
        <v/>
      </c>
      <c r="M356" s="9">
        <f>IF(B356="","",IF(COUNTIF('Vendors &amp; Crew'!$A$5:$A$34,B356)=0,"Worker not in Crew table",IF(C356="","Missing Job ID",IF(COUNTIF(Jobs!$A$5:$A$44,C356)=0,"Unknown Job ID",IF(E356="","Missing hours",IF(A356="","Missing date",""))))))</f>
        <v/>
      </c>
      <c r="N356" s="35" t="n"/>
    </row>
    <row r="357">
      <c r="A357" s="40" t="n"/>
      <c r="B357" s="35" t="n"/>
      <c r="C357" s="35" t="n"/>
      <c r="D357" s="35" t="n"/>
      <c r="E357" s="61" t="n"/>
      <c r="F357" s="37" t="n"/>
      <c r="G357" s="39">
        <f>IF(B357="","",IF(F357&lt;&gt;"",F357,IFERROR(VLOOKUP(B357,'Vendors &amp; Crew'!$A$5:$D$34,3,FALSE),0)))</f>
        <v/>
      </c>
      <c r="H357" s="39">
        <f>IF(B357="","",E357*G357*(1+Settings!$B$18))</f>
        <v/>
      </c>
      <c r="I357" s="39">
        <f>IF(B357="","",IFERROR(VLOOKUP(B357,'Vendors &amp; Crew'!$A$5:$D$34,4,FALSE),0))</f>
        <v/>
      </c>
      <c r="J357" s="39">
        <f>IF(B357="","",E357*I357)</f>
        <v/>
      </c>
      <c r="K357" s="59">
        <f>IF(A357="","",A357-WEEKDAY(A357,2)+7)</f>
        <v/>
      </c>
      <c r="L357" s="9">
        <f>IF(B357="","",IF(D357="","Labor",IFERROR(VLOOKUP(D357,Settings!$E$5:$G$28,3,FALSE),"Labor")))</f>
        <v/>
      </c>
      <c r="M357" s="9">
        <f>IF(B357="","",IF(COUNTIF('Vendors &amp; Crew'!$A$5:$A$34,B357)=0,"Worker not in Crew table",IF(C357="","Missing Job ID",IF(COUNTIF(Jobs!$A$5:$A$44,C357)=0,"Unknown Job ID",IF(E357="","Missing hours",IF(A357="","Missing date",""))))))</f>
        <v/>
      </c>
      <c r="N357" s="35" t="n"/>
    </row>
    <row r="358">
      <c r="A358" s="40" t="n"/>
      <c r="B358" s="35" t="n"/>
      <c r="C358" s="35" t="n"/>
      <c r="D358" s="35" t="n"/>
      <c r="E358" s="61" t="n"/>
      <c r="F358" s="37" t="n"/>
      <c r="G358" s="39">
        <f>IF(B358="","",IF(F358&lt;&gt;"",F358,IFERROR(VLOOKUP(B358,'Vendors &amp; Crew'!$A$5:$D$34,3,FALSE),0)))</f>
        <v/>
      </c>
      <c r="H358" s="39">
        <f>IF(B358="","",E358*G358*(1+Settings!$B$18))</f>
        <v/>
      </c>
      <c r="I358" s="39">
        <f>IF(B358="","",IFERROR(VLOOKUP(B358,'Vendors &amp; Crew'!$A$5:$D$34,4,FALSE),0))</f>
        <v/>
      </c>
      <c r="J358" s="39">
        <f>IF(B358="","",E358*I358)</f>
        <v/>
      </c>
      <c r="K358" s="59">
        <f>IF(A358="","",A358-WEEKDAY(A358,2)+7)</f>
        <v/>
      </c>
      <c r="L358" s="9">
        <f>IF(B358="","",IF(D358="","Labor",IFERROR(VLOOKUP(D358,Settings!$E$5:$G$28,3,FALSE),"Labor")))</f>
        <v/>
      </c>
      <c r="M358" s="9">
        <f>IF(B358="","",IF(COUNTIF('Vendors &amp; Crew'!$A$5:$A$34,B358)=0,"Worker not in Crew table",IF(C358="","Missing Job ID",IF(COUNTIF(Jobs!$A$5:$A$44,C358)=0,"Unknown Job ID",IF(E358="","Missing hours",IF(A358="","Missing date",""))))))</f>
        <v/>
      </c>
      <c r="N358" s="35" t="n"/>
    </row>
    <row r="359">
      <c r="A359" s="40" t="n"/>
      <c r="B359" s="35" t="n"/>
      <c r="C359" s="35" t="n"/>
      <c r="D359" s="35" t="n"/>
      <c r="E359" s="61" t="n"/>
      <c r="F359" s="37" t="n"/>
      <c r="G359" s="39">
        <f>IF(B359="","",IF(F359&lt;&gt;"",F359,IFERROR(VLOOKUP(B359,'Vendors &amp; Crew'!$A$5:$D$34,3,FALSE),0)))</f>
        <v/>
      </c>
      <c r="H359" s="39">
        <f>IF(B359="","",E359*G359*(1+Settings!$B$18))</f>
        <v/>
      </c>
      <c r="I359" s="39">
        <f>IF(B359="","",IFERROR(VLOOKUP(B359,'Vendors &amp; Crew'!$A$5:$D$34,4,FALSE),0))</f>
        <v/>
      </c>
      <c r="J359" s="39">
        <f>IF(B359="","",E359*I359)</f>
        <v/>
      </c>
      <c r="K359" s="59">
        <f>IF(A359="","",A359-WEEKDAY(A359,2)+7)</f>
        <v/>
      </c>
      <c r="L359" s="9">
        <f>IF(B359="","",IF(D359="","Labor",IFERROR(VLOOKUP(D359,Settings!$E$5:$G$28,3,FALSE),"Labor")))</f>
        <v/>
      </c>
      <c r="M359" s="9">
        <f>IF(B359="","",IF(COUNTIF('Vendors &amp; Crew'!$A$5:$A$34,B359)=0,"Worker not in Crew table",IF(C359="","Missing Job ID",IF(COUNTIF(Jobs!$A$5:$A$44,C359)=0,"Unknown Job ID",IF(E359="","Missing hours",IF(A359="","Missing date",""))))))</f>
        <v/>
      </c>
      <c r="N359" s="35" t="n"/>
    </row>
    <row r="360">
      <c r="A360" s="40" t="n"/>
      <c r="B360" s="35" t="n"/>
      <c r="C360" s="35" t="n"/>
      <c r="D360" s="35" t="n"/>
      <c r="E360" s="61" t="n"/>
      <c r="F360" s="37" t="n"/>
      <c r="G360" s="39">
        <f>IF(B360="","",IF(F360&lt;&gt;"",F360,IFERROR(VLOOKUP(B360,'Vendors &amp; Crew'!$A$5:$D$34,3,FALSE),0)))</f>
        <v/>
      </c>
      <c r="H360" s="39">
        <f>IF(B360="","",E360*G360*(1+Settings!$B$18))</f>
        <v/>
      </c>
      <c r="I360" s="39">
        <f>IF(B360="","",IFERROR(VLOOKUP(B360,'Vendors &amp; Crew'!$A$5:$D$34,4,FALSE),0))</f>
        <v/>
      </c>
      <c r="J360" s="39">
        <f>IF(B360="","",E360*I360)</f>
        <v/>
      </c>
      <c r="K360" s="59">
        <f>IF(A360="","",A360-WEEKDAY(A360,2)+7)</f>
        <v/>
      </c>
      <c r="L360" s="9">
        <f>IF(B360="","",IF(D360="","Labor",IFERROR(VLOOKUP(D360,Settings!$E$5:$G$28,3,FALSE),"Labor")))</f>
        <v/>
      </c>
      <c r="M360" s="9">
        <f>IF(B360="","",IF(COUNTIF('Vendors &amp; Crew'!$A$5:$A$34,B360)=0,"Worker not in Crew table",IF(C360="","Missing Job ID",IF(COUNTIF(Jobs!$A$5:$A$44,C360)=0,"Unknown Job ID",IF(E360="","Missing hours",IF(A360="","Missing date",""))))))</f>
        <v/>
      </c>
      <c r="N360" s="35" t="n"/>
    </row>
    <row r="361">
      <c r="A361" s="40" t="n"/>
      <c r="B361" s="35" t="n"/>
      <c r="C361" s="35" t="n"/>
      <c r="D361" s="35" t="n"/>
      <c r="E361" s="61" t="n"/>
      <c r="F361" s="37" t="n"/>
      <c r="G361" s="39">
        <f>IF(B361="","",IF(F361&lt;&gt;"",F361,IFERROR(VLOOKUP(B361,'Vendors &amp; Crew'!$A$5:$D$34,3,FALSE),0)))</f>
        <v/>
      </c>
      <c r="H361" s="39">
        <f>IF(B361="","",E361*G361*(1+Settings!$B$18))</f>
        <v/>
      </c>
      <c r="I361" s="39">
        <f>IF(B361="","",IFERROR(VLOOKUP(B361,'Vendors &amp; Crew'!$A$5:$D$34,4,FALSE),0))</f>
        <v/>
      </c>
      <c r="J361" s="39">
        <f>IF(B361="","",E361*I361)</f>
        <v/>
      </c>
      <c r="K361" s="59">
        <f>IF(A361="","",A361-WEEKDAY(A361,2)+7)</f>
        <v/>
      </c>
      <c r="L361" s="9">
        <f>IF(B361="","",IF(D361="","Labor",IFERROR(VLOOKUP(D361,Settings!$E$5:$G$28,3,FALSE),"Labor")))</f>
        <v/>
      </c>
      <c r="M361" s="9">
        <f>IF(B361="","",IF(COUNTIF('Vendors &amp; Crew'!$A$5:$A$34,B361)=0,"Worker not in Crew table",IF(C361="","Missing Job ID",IF(COUNTIF(Jobs!$A$5:$A$44,C361)=0,"Unknown Job ID",IF(E361="","Missing hours",IF(A361="","Missing date",""))))))</f>
        <v/>
      </c>
      <c r="N361" s="35" t="n"/>
    </row>
    <row r="362">
      <c r="A362" s="40" t="n"/>
      <c r="B362" s="35" t="n"/>
      <c r="C362" s="35" t="n"/>
      <c r="D362" s="35" t="n"/>
      <c r="E362" s="61" t="n"/>
      <c r="F362" s="37" t="n"/>
      <c r="G362" s="39">
        <f>IF(B362="","",IF(F362&lt;&gt;"",F362,IFERROR(VLOOKUP(B362,'Vendors &amp; Crew'!$A$5:$D$34,3,FALSE),0)))</f>
        <v/>
      </c>
      <c r="H362" s="39">
        <f>IF(B362="","",E362*G362*(1+Settings!$B$18))</f>
        <v/>
      </c>
      <c r="I362" s="39">
        <f>IF(B362="","",IFERROR(VLOOKUP(B362,'Vendors &amp; Crew'!$A$5:$D$34,4,FALSE),0))</f>
        <v/>
      </c>
      <c r="J362" s="39">
        <f>IF(B362="","",E362*I362)</f>
        <v/>
      </c>
      <c r="K362" s="59">
        <f>IF(A362="","",A362-WEEKDAY(A362,2)+7)</f>
        <v/>
      </c>
      <c r="L362" s="9">
        <f>IF(B362="","",IF(D362="","Labor",IFERROR(VLOOKUP(D362,Settings!$E$5:$G$28,3,FALSE),"Labor")))</f>
        <v/>
      </c>
      <c r="M362" s="9">
        <f>IF(B362="","",IF(COUNTIF('Vendors &amp; Crew'!$A$5:$A$34,B362)=0,"Worker not in Crew table",IF(C362="","Missing Job ID",IF(COUNTIF(Jobs!$A$5:$A$44,C362)=0,"Unknown Job ID",IF(E362="","Missing hours",IF(A362="","Missing date",""))))))</f>
        <v/>
      </c>
      <c r="N362" s="35" t="n"/>
    </row>
    <row r="363">
      <c r="A363" s="40" t="n"/>
      <c r="B363" s="35" t="n"/>
      <c r="C363" s="35" t="n"/>
      <c r="D363" s="35" t="n"/>
      <c r="E363" s="61" t="n"/>
      <c r="F363" s="37" t="n"/>
      <c r="G363" s="39">
        <f>IF(B363="","",IF(F363&lt;&gt;"",F363,IFERROR(VLOOKUP(B363,'Vendors &amp; Crew'!$A$5:$D$34,3,FALSE),0)))</f>
        <v/>
      </c>
      <c r="H363" s="39">
        <f>IF(B363="","",E363*G363*(1+Settings!$B$18))</f>
        <v/>
      </c>
      <c r="I363" s="39">
        <f>IF(B363="","",IFERROR(VLOOKUP(B363,'Vendors &amp; Crew'!$A$5:$D$34,4,FALSE),0))</f>
        <v/>
      </c>
      <c r="J363" s="39">
        <f>IF(B363="","",E363*I363)</f>
        <v/>
      </c>
      <c r="K363" s="59">
        <f>IF(A363="","",A363-WEEKDAY(A363,2)+7)</f>
        <v/>
      </c>
      <c r="L363" s="9">
        <f>IF(B363="","",IF(D363="","Labor",IFERROR(VLOOKUP(D363,Settings!$E$5:$G$28,3,FALSE),"Labor")))</f>
        <v/>
      </c>
      <c r="M363" s="9">
        <f>IF(B363="","",IF(COUNTIF('Vendors &amp; Crew'!$A$5:$A$34,B363)=0,"Worker not in Crew table",IF(C363="","Missing Job ID",IF(COUNTIF(Jobs!$A$5:$A$44,C363)=0,"Unknown Job ID",IF(E363="","Missing hours",IF(A363="","Missing date",""))))))</f>
        <v/>
      </c>
      <c r="N363" s="35" t="n"/>
    </row>
    <row r="364">
      <c r="A364" s="40" t="n"/>
      <c r="B364" s="35" t="n"/>
      <c r="C364" s="35" t="n"/>
      <c r="D364" s="35" t="n"/>
      <c r="E364" s="61" t="n"/>
      <c r="F364" s="37" t="n"/>
      <c r="G364" s="39">
        <f>IF(B364="","",IF(F364&lt;&gt;"",F364,IFERROR(VLOOKUP(B364,'Vendors &amp; Crew'!$A$5:$D$34,3,FALSE),0)))</f>
        <v/>
      </c>
      <c r="H364" s="39">
        <f>IF(B364="","",E364*G364*(1+Settings!$B$18))</f>
        <v/>
      </c>
      <c r="I364" s="39">
        <f>IF(B364="","",IFERROR(VLOOKUP(B364,'Vendors &amp; Crew'!$A$5:$D$34,4,FALSE),0))</f>
        <v/>
      </c>
      <c r="J364" s="39">
        <f>IF(B364="","",E364*I364)</f>
        <v/>
      </c>
      <c r="K364" s="59">
        <f>IF(A364="","",A364-WEEKDAY(A364,2)+7)</f>
        <v/>
      </c>
      <c r="L364" s="9">
        <f>IF(B364="","",IF(D364="","Labor",IFERROR(VLOOKUP(D364,Settings!$E$5:$G$28,3,FALSE),"Labor")))</f>
        <v/>
      </c>
      <c r="M364" s="9">
        <f>IF(B364="","",IF(COUNTIF('Vendors &amp; Crew'!$A$5:$A$34,B364)=0,"Worker not in Crew table",IF(C364="","Missing Job ID",IF(COUNTIF(Jobs!$A$5:$A$44,C364)=0,"Unknown Job ID",IF(E364="","Missing hours",IF(A364="","Missing date",""))))))</f>
        <v/>
      </c>
      <c r="N364" s="35" t="n"/>
    </row>
    <row r="365">
      <c r="A365" s="40" t="n"/>
      <c r="B365" s="35" t="n"/>
      <c r="C365" s="35" t="n"/>
      <c r="D365" s="35" t="n"/>
      <c r="E365" s="61" t="n"/>
      <c r="F365" s="37" t="n"/>
      <c r="G365" s="39">
        <f>IF(B365="","",IF(F365&lt;&gt;"",F365,IFERROR(VLOOKUP(B365,'Vendors &amp; Crew'!$A$5:$D$34,3,FALSE),0)))</f>
        <v/>
      </c>
      <c r="H365" s="39">
        <f>IF(B365="","",E365*G365*(1+Settings!$B$18))</f>
        <v/>
      </c>
      <c r="I365" s="39">
        <f>IF(B365="","",IFERROR(VLOOKUP(B365,'Vendors &amp; Crew'!$A$5:$D$34,4,FALSE),0))</f>
        <v/>
      </c>
      <c r="J365" s="39">
        <f>IF(B365="","",E365*I365)</f>
        <v/>
      </c>
      <c r="K365" s="59">
        <f>IF(A365="","",A365-WEEKDAY(A365,2)+7)</f>
        <v/>
      </c>
      <c r="L365" s="9">
        <f>IF(B365="","",IF(D365="","Labor",IFERROR(VLOOKUP(D365,Settings!$E$5:$G$28,3,FALSE),"Labor")))</f>
        <v/>
      </c>
      <c r="M365" s="9">
        <f>IF(B365="","",IF(COUNTIF('Vendors &amp; Crew'!$A$5:$A$34,B365)=0,"Worker not in Crew table",IF(C365="","Missing Job ID",IF(COUNTIF(Jobs!$A$5:$A$44,C365)=0,"Unknown Job ID",IF(E365="","Missing hours",IF(A365="","Missing date",""))))))</f>
        <v/>
      </c>
      <c r="N365" s="35" t="n"/>
    </row>
    <row r="366">
      <c r="A366" s="40" t="n"/>
      <c r="B366" s="35" t="n"/>
      <c r="C366" s="35" t="n"/>
      <c r="D366" s="35" t="n"/>
      <c r="E366" s="61" t="n"/>
      <c r="F366" s="37" t="n"/>
      <c r="G366" s="39">
        <f>IF(B366="","",IF(F366&lt;&gt;"",F366,IFERROR(VLOOKUP(B366,'Vendors &amp; Crew'!$A$5:$D$34,3,FALSE),0)))</f>
        <v/>
      </c>
      <c r="H366" s="39">
        <f>IF(B366="","",E366*G366*(1+Settings!$B$18))</f>
        <v/>
      </c>
      <c r="I366" s="39">
        <f>IF(B366="","",IFERROR(VLOOKUP(B366,'Vendors &amp; Crew'!$A$5:$D$34,4,FALSE),0))</f>
        <v/>
      </c>
      <c r="J366" s="39">
        <f>IF(B366="","",E366*I366)</f>
        <v/>
      </c>
      <c r="K366" s="59">
        <f>IF(A366="","",A366-WEEKDAY(A366,2)+7)</f>
        <v/>
      </c>
      <c r="L366" s="9">
        <f>IF(B366="","",IF(D366="","Labor",IFERROR(VLOOKUP(D366,Settings!$E$5:$G$28,3,FALSE),"Labor")))</f>
        <v/>
      </c>
      <c r="M366" s="9">
        <f>IF(B366="","",IF(COUNTIF('Vendors &amp; Crew'!$A$5:$A$34,B366)=0,"Worker not in Crew table",IF(C366="","Missing Job ID",IF(COUNTIF(Jobs!$A$5:$A$44,C366)=0,"Unknown Job ID",IF(E366="","Missing hours",IF(A366="","Missing date",""))))))</f>
        <v/>
      </c>
      <c r="N366" s="35" t="n"/>
    </row>
    <row r="367">
      <c r="A367" s="40" t="n"/>
      <c r="B367" s="35" t="n"/>
      <c r="C367" s="35" t="n"/>
      <c r="D367" s="35" t="n"/>
      <c r="E367" s="61" t="n"/>
      <c r="F367" s="37" t="n"/>
      <c r="G367" s="39">
        <f>IF(B367="","",IF(F367&lt;&gt;"",F367,IFERROR(VLOOKUP(B367,'Vendors &amp; Crew'!$A$5:$D$34,3,FALSE),0)))</f>
        <v/>
      </c>
      <c r="H367" s="39">
        <f>IF(B367="","",E367*G367*(1+Settings!$B$18))</f>
        <v/>
      </c>
      <c r="I367" s="39">
        <f>IF(B367="","",IFERROR(VLOOKUP(B367,'Vendors &amp; Crew'!$A$5:$D$34,4,FALSE),0))</f>
        <v/>
      </c>
      <c r="J367" s="39">
        <f>IF(B367="","",E367*I367)</f>
        <v/>
      </c>
      <c r="K367" s="59">
        <f>IF(A367="","",A367-WEEKDAY(A367,2)+7)</f>
        <v/>
      </c>
      <c r="L367" s="9">
        <f>IF(B367="","",IF(D367="","Labor",IFERROR(VLOOKUP(D367,Settings!$E$5:$G$28,3,FALSE),"Labor")))</f>
        <v/>
      </c>
      <c r="M367" s="9">
        <f>IF(B367="","",IF(COUNTIF('Vendors &amp; Crew'!$A$5:$A$34,B367)=0,"Worker not in Crew table",IF(C367="","Missing Job ID",IF(COUNTIF(Jobs!$A$5:$A$44,C367)=0,"Unknown Job ID",IF(E367="","Missing hours",IF(A367="","Missing date",""))))))</f>
        <v/>
      </c>
      <c r="N367" s="35" t="n"/>
    </row>
    <row r="368">
      <c r="A368" s="40" t="n"/>
      <c r="B368" s="35" t="n"/>
      <c r="C368" s="35" t="n"/>
      <c r="D368" s="35" t="n"/>
      <c r="E368" s="61" t="n"/>
      <c r="F368" s="37" t="n"/>
      <c r="G368" s="39">
        <f>IF(B368="","",IF(F368&lt;&gt;"",F368,IFERROR(VLOOKUP(B368,'Vendors &amp; Crew'!$A$5:$D$34,3,FALSE),0)))</f>
        <v/>
      </c>
      <c r="H368" s="39">
        <f>IF(B368="","",E368*G368*(1+Settings!$B$18))</f>
        <v/>
      </c>
      <c r="I368" s="39">
        <f>IF(B368="","",IFERROR(VLOOKUP(B368,'Vendors &amp; Crew'!$A$5:$D$34,4,FALSE),0))</f>
        <v/>
      </c>
      <c r="J368" s="39">
        <f>IF(B368="","",E368*I368)</f>
        <v/>
      </c>
      <c r="K368" s="59">
        <f>IF(A368="","",A368-WEEKDAY(A368,2)+7)</f>
        <v/>
      </c>
      <c r="L368" s="9">
        <f>IF(B368="","",IF(D368="","Labor",IFERROR(VLOOKUP(D368,Settings!$E$5:$G$28,3,FALSE),"Labor")))</f>
        <v/>
      </c>
      <c r="M368" s="9">
        <f>IF(B368="","",IF(COUNTIF('Vendors &amp; Crew'!$A$5:$A$34,B368)=0,"Worker not in Crew table",IF(C368="","Missing Job ID",IF(COUNTIF(Jobs!$A$5:$A$44,C368)=0,"Unknown Job ID",IF(E368="","Missing hours",IF(A368="","Missing date",""))))))</f>
        <v/>
      </c>
      <c r="N368" s="35" t="n"/>
    </row>
    <row r="369">
      <c r="A369" s="40" t="n"/>
      <c r="B369" s="35" t="n"/>
      <c r="C369" s="35" t="n"/>
      <c r="D369" s="35" t="n"/>
      <c r="E369" s="61" t="n"/>
      <c r="F369" s="37" t="n"/>
      <c r="G369" s="39">
        <f>IF(B369="","",IF(F369&lt;&gt;"",F369,IFERROR(VLOOKUP(B369,'Vendors &amp; Crew'!$A$5:$D$34,3,FALSE),0)))</f>
        <v/>
      </c>
      <c r="H369" s="39">
        <f>IF(B369="","",E369*G369*(1+Settings!$B$18))</f>
        <v/>
      </c>
      <c r="I369" s="39">
        <f>IF(B369="","",IFERROR(VLOOKUP(B369,'Vendors &amp; Crew'!$A$5:$D$34,4,FALSE),0))</f>
        <v/>
      </c>
      <c r="J369" s="39">
        <f>IF(B369="","",E369*I369)</f>
        <v/>
      </c>
      <c r="K369" s="59">
        <f>IF(A369="","",A369-WEEKDAY(A369,2)+7)</f>
        <v/>
      </c>
      <c r="L369" s="9">
        <f>IF(B369="","",IF(D369="","Labor",IFERROR(VLOOKUP(D369,Settings!$E$5:$G$28,3,FALSE),"Labor")))</f>
        <v/>
      </c>
      <c r="M369" s="9">
        <f>IF(B369="","",IF(COUNTIF('Vendors &amp; Crew'!$A$5:$A$34,B369)=0,"Worker not in Crew table",IF(C369="","Missing Job ID",IF(COUNTIF(Jobs!$A$5:$A$44,C369)=0,"Unknown Job ID",IF(E369="","Missing hours",IF(A369="","Missing date",""))))))</f>
        <v/>
      </c>
      <c r="N369" s="35" t="n"/>
    </row>
    <row r="370">
      <c r="A370" s="40" t="n"/>
      <c r="B370" s="35" t="n"/>
      <c r="C370" s="35" t="n"/>
      <c r="D370" s="35" t="n"/>
      <c r="E370" s="61" t="n"/>
      <c r="F370" s="37" t="n"/>
      <c r="G370" s="39">
        <f>IF(B370="","",IF(F370&lt;&gt;"",F370,IFERROR(VLOOKUP(B370,'Vendors &amp; Crew'!$A$5:$D$34,3,FALSE),0)))</f>
        <v/>
      </c>
      <c r="H370" s="39">
        <f>IF(B370="","",E370*G370*(1+Settings!$B$18))</f>
        <v/>
      </c>
      <c r="I370" s="39">
        <f>IF(B370="","",IFERROR(VLOOKUP(B370,'Vendors &amp; Crew'!$A$5:$D$34,4,FALSE),0))</f>
        <v/>
      </c>
      <c r="J370" s="39">
        <f>IF(B370="","",E370*I370)</f>
        <v/>
      </c>
      <c r="K370" s="59">
        <f>IF(A370="","",A370-WEEKDAY(A370,2)+7)</f>
        <v/>
      </c>
      <c r="L370" s="9">
        <f>IF(B370="","",IF(D370="","Labor",IFERROR(VLOOKUP(D370,Settings!$E$5:$G$28,3,FALSE),"Labor")))</f>
        <v/>
      </c>
      <c r="M370" s="9">
        <f>IF(B370="","",IF(COUNTIF('Vendors &amp; Crew'!$A$5:$A$34,B370)=0,"Worker not in Crew table",IF(C370="","Missing Job ID",IF(COUNTIF(Jobs!$A$5:$A$44,C370)=0,"Unknown Job ID",IF(E370="","Missing hours",IF(A370="","Missing date",""))))))</f>
        <v/>
      </c>
      <c r="N370" s="35" t="n"/>
    </row>
    <row r="371">
      <c r="A371" s="40" t="n"/>
      <c r="B371" s="35" t="n"/>
      <c r="C371" s="35" t="n"/>
      <c r="D371" s="35" t="n"/>
      <c r="E371" s="61" t="n"/>
      <c r="F371" s="37" t="n"/>
      <c r="G371" s="39">
        <f>IF(B371="","",IF(F371&lt;&gt;"",F371,IFERROR(VLOOKUP(B371,'Vendors &amp; Crew'!$A$5:$D$34,3,FALSE),0)))</f>
        <v/>
      </c>
      <c r="H371" s="39">
        <f>IF(B371="","",E371*G371*(1+Settings!$B$18))</f>
        <v/>
      </c>
      <c r="I371" s="39">
        <f>IF(B371="","",IFERROR(VLOOKUP(B371,'Vendors &amp; Crew'!$A$5:$D$34,4,FALSE),0))</f>
        <v/>
      </c>
      <c r="J371" s="39">
        <f>IF(B371="","",E371*I371)</f>
        <v/>
      </c>
      <c r="K371" s="59">
        <f>IF(A371="","",A371-WEEKDAY(A371,2)+7)</f>
        <v/>
      </c>
      <c r="L371" s="9">
        <f>IF(B371="","",IF(D371="","Labor",IFERROR(VLOOKUP(D371,Settings!$E$5:$G$28,3,FALSE),"Labor")))</f>
        <v/>
      </c>
      <c r="M371" s="9">
        <f>IF(B371="","",IF(COUNTIF('Vendors &amp; Crew'!$A$5:$A$34,B371)=0,"Worker not in Crew table",IF(C371="","Missing Job ID",IF(COUNTIF(Jobs!$A$5:$A$44,C371)=0,"Unknown Job ID",IF(E371="","Missing hours",IF(A371="","Missing date",""))))))</f>
        <v/>
      </c>
      <c r="N371" s="35" t="n"/>
    </row>
    <row r="372">
      <c r="A372" s="40" t="n"/>
      <c r="B372" s="35" t="n"/>
      <c r="C372" s="35" t="n"/>
      <c r="D372" s="35" t="n"/>
      <c r="E372" s="61" t="n"/>
      <c r="F372" s="37" t="n"/>
      <c r="G372" s="39">
        <f>IF(B372="","",IF(F372&lt;&gt;"",F372,IFERROR(VLOOKUP(B372,'Vendors &amp; Crew'!$A$5:$D$34,3,FALSE),0)))</f>
        <v/>
      </c>
      <c r="H372" s="39">
        <f>IF(B372="","",E372*G372*(1+Settings!$B$18))</f>
        <v/>
      </c>
      <c r="I372" s="39">
        <f>IF(B372="","",IFERROR(VLOOKUP(B372,'Vendors &amp; Crew'!$A$5:$D$34,4,FALSE),0))</f>
        <v/>
      </c>
      <c r="J372" s="39">
        <f>IF(B372="","",E372*I372)</f>
        <v/>
      </c>
      <c r="K372" s="59">
        <f>IF(A372="","",A372-WEEKDAY(A372,2)+7)</f>
        <v/>
      </c>
      <c r="L372" s="9">
        <f>IF(B372="","",IF(D372="","Labor",IFERROR(VLOOKUP(D372,Settings!$E$5:$G$28,3,FALSE),"Labor")))</f>
        <v/>
      </c>
      <c r="M372" s="9">
        <f>IF(B372="","",IF(COUNTIF('Vendors &amp; Crew'!$A$5:$A$34,B372)=0,"Worker not in Crew table",IF(C372="","Missing Job ID",IF(COUNTIF(Jobs!$A$5:$A$44,C372)=0,"Unknown Job ID",IF(E372="","Missing hours",IF(A372="","Missing date",""))))))</f>
        <v/>
      </c>
      <c r="N372" s="35" t="n"/>
    </row>
    <row r="373">
      <c r="A373" s="40" t="n"/>
      <c r="B373" s="35" t="n"/>
      <c r="C373" s="35" t="n"/>
      <c r="D373" s="35" t="n"/>
      <c r="E373" s="61" t="n"/>
      <c r="F373" s="37" t="n"/>
      <c r="G373" s="39">
        <f>IF(B373="","",IF(F373&lt;&gt;"",F373,IFERROR(VLOOKUP(B373,'Vendors &amp; Crew'!$A$5:$D$34,3,FALSE),0)))</f>
        <v/>
      </c>
      <c r="H373" s="39">
        <f>IF(B373="","",E373*G373*(1+Settings!$B$18))</f>
        <v/>
      </c>
      <c r="I373" s="39">
        <f>IF(B373="","",IFERROR(VLOOKUP(B373,'Vendors &amp; Crew'!$A$5:$D$34,4,FALSE),0))</f>
        <v/>
      </c>
      <c r="J373" s="39">
        <f>IF(B373="","",E373*I373)</f>
        <v/>
      </c>
      <c r="K373" s="59">
        <f>IF(A373="","",A373-WEEKDAY(A373,2)+7)</f>
        <v/>
      </c>
      <c r="L373" s="9">
        <f>IF(B373="","",IF(D373="","Labor",IFERROR(VLOOKUP(D373,Settings!$E$5:$G$28,3,FALSE),"Labor")))</f>
        <v/>
      </c>
      <c r="M373" s="9">
        <f>IF(B373="","",IF(COUNTIF('Vendors &amp; Crew'!$A$5:$A$34,B373)=0,"Worker not in Crew table",IF(C373="","Missing Job ID",IF(COUNTIF(Jobs!$A$5:$A$44,C373)=0,"Unknown Job ID",IF(E373="","Missing hours",IF(A373="","Missing date",""))))))</f>
        <v/>
      </c>
      <c r="N373" s="35" t="n"/>
    </row>
    <row r="374">
      <c r="A374" s="40" t="n"/>
      <c r="B374" s="35" t="n"/>
      <c r="C374" s="35" t="n"/>
      <c r="D374" s="35" t="n"/>
      <c r="E374" s="61" t="n"/>
      <c r="F374" s="37" t="n"/>
      <c r="G374" s="39">
        <f>IF(B374="","",IF(F374&lt;&gt;"",F374,IFERROR(VLOOKUP(B374,'Vendors &amp; Crew'!$A$5:$D$34,3,FALSE),0)))</f>
        <v/>
      </c>
      <c r="H374" s="39">
        <f>IF(B374="","",E374*G374*(1+Settings!$B$18))</f>
        <v/>
      </c>
      <c r="I374" s="39">
        <f>IF(B374="","",IFERROR(VLOOKUP(B374,'Vendors &amp; Crew'!$A$5:$D$34,4,FALSE),0))</f>
        <v/>
      </c>
      <c r="J374" s="39">
        <f>IF(B374="","",E374*I374)</f>
        <v/>
      </c>
      <c r="K374" s="59">
        <f>IF(A374="","",A374-WEEKDAY(A374,2)+7)</f>
        <v/>
      </c>
      <c r="L374" s="9">
        <f>IF(B374="","",IF(D374="","Labor",IFERROR(VLOOKUP(D374,Settings!$E$5:$G$28,3,FALSE),"Labor")))</f>
        <v/>
      </c>
      <c r="M374" s="9">
        <f>IF(B374="","",IF(COUNTIF('Vendors &amp; Crew'!$A$5:$A$34,B374)=0,"Worker not in Crew table",IF(C374="","Missing Job ID",IF(COUNTIF(Jobs!$A$5:$A$44,C374)=0,"Unknown Job ID",IF(E374="","Missing hours",IF(A374="","Missing date",""))))))</f>
        <v/>
      </c>
      <c r="N374" s="35" t="n"/>
    </row>
    <row r="375">
      <c r="A375" s="40" t="n"/>
      <c r="B375" s="35" t="n"/>
      <c r="C375" s="35" t="n"/>
      <c r="D375" s="35" t="n"/>
      <c r="E375" s="61" t="n"/>
      <c r="F375" s="37" t="n"/>
      <c r="G375" s="39">
        <f>IF(B375="","",IF(F375&lt;&gt;"",F375,IFERROR(VLOOKUP(B375,'Vendors &amp; Crew'!$A$5:$D$34,3,FALSE),0)))</f>
        <v/>
      </c>
      <c r="H375" s="39">
        <f>IF(B375="","",E375*G375*(1+Settings!$B$18))</f>
        <v/>
      </c>
      <c r="I375" s="39">
        <f>IF(B375="","",IFERROR(VLOOKUP(B375,'Vendors &amp; Crew'!$A$5:$D$34,4,FALSE),0))</f>
        <v/>
      </c>
      <c r="J375" s="39">
        <f>IF(B375="","",E375*I375)</f>
        <v/>
      </c>
      <c r="K375" s="59">
        <f>IF(A375="","",A375-WEEKDAY(A375,2)+7)</f>
        <v/>
      </c>
      <c r="L375" s="9">
        <f>IF(B375="","",IF(D375="","Labor",IFERROR(VLOOKUP(D375,Settings!$E$5:$G$28,3,FALSE),"Labor")))</f>
        <v/>
      </c>
      <c r="M375" s="9">
        <f>IF(B375="","",IF(COUNTIF('Vendors &amp; Crew'!$A$5:$A$34,B375)=0,"Worker not in Crew table",IF(C375="","Missing Job ID",IF(COUNTIF(Jobs!$A$5:$A$44,C375)=0,"Unknown Job ID",IF(E375="","Missing hours",IF(A375="","Missing date",""))))))</f>
        <v/>
      </c>
      <c r="N375" s="35" t="n"/>
    </row>
    <row r="376">
      <c r="A376" s="40" t="n"/>
      <c r="B376" s="35" t="n"/>
      <c r="C376" s="35" t="n"/>
      <c r="D376" s="35" t="n"/>
      <c r="E376" s="61" t="n"/>
      <c r="F376" s="37" t="n"/>
      <c r="G376" s="39">
        <f>IF(B376="","",IF(F376&lt;&gt;"",F376,IFERROR(VLOOKUP(B376,'Vendors &amp; Crew'!$A$5:$D$34,3,FALSE),0)))</f>
        <v/>
      </c>
      <c r="H376" s="39">
        <f>IF(B376="","",E376*G376*(1+Settings!$B$18))</f>
        <v/>
      </c>
      <c r="I376" s="39">
        <f>IF(B376="","",IFERROR(VLOOKUP(B376,'Vendors &amp; Crew'!$A$5:$D$34,4,FALSE),0))</f>
        <v/>
      </c>
      <c r="J376" s="39">
        <f>IF(B376="","",E376*I376)</f>
        <v/>
      </c>
      <c r="K376" s="59">
        <f>IF(A376="","",A376-WEEKDAY(A376,2)+7)</f>
        <v/>
      </c>
      <c r="L376" s="9">
        <f>IF(B376="","",IF(D376="","Labor",IFERROR(VLOOKUP(D376,Settings!$E$5:$G$28,3,FALSE),"Labor")))</f>
        <v/>
      </c>
      <c r="M376" s="9">
        <f>IF(B376="","",IF(COUNTIF('Vendors &amp; Crew'!$A$5:$A$34,B376)=0,"Worker not in Crew table",IF(C376="","Missing Job ID",IF(COUNTIF(Jobs!$A$5:$A$44,C376)=0,"Unknown Job ID",IF(E376="","Missing hours",IF(A376="","Missing date",""))))))</f>
        <v/>
      </c>
      <c r="N376" s="35" t="n"/>
    </row>
    <row r="377">
      <c r="A377" s="40" t="n"/>
      <c r="B377" s="35" t="n"/>
      <c r="C377" s="35" t="n"/>
      <c r="D377" s="35" t="n"/>
      <c r="E377" s="61" t="n"/>
      <c r="F377" s="37" t="n"/>
      <c r="G377" s="39">
        <f>IF(B377="","",IF(F377&lt;&gt;"",F377,IFERROR(VLOOKUP(B377,'Vendors &amp; Crew'!$A$5:$D$34,3,FALSE),0)))</f>
        <v/>
      </c>
      <c r="H377" s="39">
        <f>IF(B377="","",E377*G377*(1+Settings!$B$18))</f>
        <v/>
      </c>
      <c r="I377" s="39">
        <f>IF(B377="","",IFERROR(VLOOKUP(B377,'Vendors &amp; Crew'!$A$5:$D$34,4,FALSE),0))</f>
        <v/>
      </c>
      <c r="J377" s="39">
        <f>IF(B377="","",E377*I377)</f>
        <v/>
      </c>
      <c r="K377" s="59">
        <f>IF(A377="","",A377-WEEKDAY(A377,2)+7)</f>
        <v/>
      </c>
      <c r="L377" s="9">
        <f>IF(B377="","",IF(D377="","Labor",IFERROR(VLOOKUP(D377,Settings!$E$5:$G$28,3,FALSE),"Labor")))</f>
        <v/>
      </c>
      <c r="M377" s="9">
        <f>IF(B377="","",IF(COUNTIF('Vendors &amp; Crew'!$A$5:$A$34,B377)=0,"Worker not in Crew table",IF(C377="","Missing Job ID",IF(COUNTIF(Jobs!$A$5:$A$44,C377)=0,"Unknown Job ID",IF(E377="","Missing hours",IF(A377="","Missing date",""))))))</f>
        <v/>
      </c>
      <c r="N377" s="35" t="n"/>
    </row>
    <row r="378">
      <c r="A378" s="40" t="n"/>
      <c r="B378" s="35" t="n"/>
      <c r="C378" s="35" t="n"/>
      <c r="D378" s="35" t="n"/>
      <c r="E378" s="61" t="n"/>
      <c r="F378" s="37" t="n"/>
      <c r="G378" s="39">
        <f>IF(B378="","",IF(F378&lt;&gt;"",F378,IFERROR(VLOOKUP(B378,'Vendors &amp; Crew'!$A$5:$D$34,3,FALSE),0)))</f>
        <v/>
      </c>
      <c r="H378" s="39">
        <f>IF(B378="","",E378*G378*(1+Settings!$B$18))</f>
        <v/>
      </c>
      <c r="I378" s="39">
        <f>IF(B378="","",IFERROR(VLOOKUP(B378,'Vendors &amp; Crew'!$A$5:$D$34,4,FALSE),0))</f>
        <v/>
      </c>
      <c r="J378" s="39">
        <f>IF(B378="","",E378*I378)</f>
        <v/>
      </c>
      <c r="K378" s="59">
        <f>IF(A378="","",A378-WEEKDAY(A378,2)+7)</f>
        <v/>
      </c>
      <c r="L378" s="9">
        <f>IF(B378="","",IF(D378="","Labor",IFERROR(VLOOKUP(D378,Settings!$E$5:$G$28,3,FALSE),"Labor")))</f>
        <v/>
      </c>
      <c r="M378" s="9">
        <f>IF(B378="","",IF(COUNTIF('Vendors &amp; Crew'!$A$5:$A$34,B378)=0,"Worker not in Crew table",IF(C378="","Missing Job ID",IF(COUNTIF(Jobs!$A$5:$A$44,C378)=0,"Unknown Job ID",IF(E378="","Missing hours",IF(A378="","Missing date",""))))))</f>
        <v/>
      </c>
      <c r="N378" s="35" t="n"/>
    </row>
    <row r="379">
      <c r="A379" s="40" t="n"/>
      <c r="B379" s="35" t="n"/>
      <c r="C379" s="35" t="n"/>
      <c r="D379" s="35" t="n"/>
      <c r="E379" s="61" t="n"/>
      <c r="F379" s="37" t="n"/>
      <c r="G379" s="39">
        <f>IF(B379="","",IF(F379&lt;&gt;"",F379,IFERROR(VLOOKUP(B379,'Vendors &amp; Crew'!$A$5:$D$34,3,FALSE),0)))</f>
        <v/>
      </c>
      <c r="H379" s="39">
        <f>IF(B379="","",E379*G379*(1+Settings!$B$18))</f>
        <v/>
      </c>
      <c r="I379" s="39">
        <f>IF(B379="","",IFERROR(VLOOKUP(B379,'Vendors &amp; Crew'!$A$5:$D$34,4,FALSE),0))</f>
        <v/>
      </c>
      <c r="J379" s="39">
        <f>IF(B379="","",E379*I379)</f>
        <v/>
      </c>
      <c r="K379" s="59">
        <f>IF(A379="","",A379-WEEKDAY(A379,2)+7)</f>
        <v/>
      </c>
      <c r="L379" s="9">
        <f>IF(B379="","",IF(D379="","Labor",IFERROR(VLOOKUP(D379,Settings!$E$5:$G$28,3,FALSE),"Labor")))</f>
        <v/>
      </c>
      <c r="M379" s="9">
        <f>IF(B379="","",IF(COUNTIF('Vendors &amp; Crew'!$A$5:$A$34,B379)=0,"Worker not in Crew table",IF(C379="","Missing Job ID",IF(COUNTIF(Jobs!$A$5:$A$44,C379)=0,"Unknown Job ID",IF(E379="","Missing hours",IF(A379="","Missing date",""))))))</f>
        <v/>
      </c>
      <c r="N379" s="35" t="n"/>
    </row>
    <row r="380">
      <c r="A380" s="40" t="n"/>
      <c r="B380" s="35" t="n"/>
      <c r="C380" s="35" t="n"/>
      <c r="D380" s="35" t="n"/>
      <c r="E380" s="61" t="n"/>
      <c r="F380" s="37" t="n"/>
      <c r="G380" s="39">
        <f>IF(B380="","",IF(F380&lt;&gt;"",F380,IFERROR(VLOOKUP(B380,'Vendors &amp; Crew'!$A$5:$D$34,3,FALSE),0)))</f>
        <v/>
      </c>
      <c r="H380" s="39">
        <f>IF(B380="","",E380*G380*(1+Settings!$B$18))</f>
        <v/>
      </c>
      <c r="I380" s="39">
        <f>IF(B380="","",IFERROR(VLOOKUP(B380,'Vendors &amp; Crew'!$A$5:$D$34,4,FALSE),0))</f>
        <v/>
      </c>
      <c r="J380" s="39">
        <f>IF(B380="","",E380*I380)</f>
        <v/>
      </c>
      <c r="K380" s="59">
        <f>IF(A380="","",A380-WEEKDAY(A380,2)+7)</f>
        <v/>
      </c>
      <c r="L380" s="9">
        <f>IF(B380="","",IF(D380="","Labor",IFERROR(VLOOKUP(D380,Settings!$E$5:$G$28,3,FALSE),"Labor")))</f>
        <v/>
      </c>
      <c r="M380" s="9">
        <f>IF(B380="","",IF(COUNTIF('Vendors &amp; Crew'!$A$5:$A$34,B380)=0,"Worker not in Crew table",IF(C380="","Missing Job ID",IF(COUNTIF(Jobs!$A$5:$A$44,C380)=0,"Unknown Job ID",IF(E380="","Missing hours",IF(A380="","Missing date",""))))))</f>
        <v/>
      </c>
      <c r="N380" s="35" t="n"/>
    </row>
    <row r="381">
      <c r="A381" s="40" t="n"/>
      <c r="B381" s="35" t="n"/>
      <c r="C381" s="35" t="n"/>
      <c r="D381" s="35" t="n"/>
      <c r="E381" s="61" t="n"/>
      <c r="F381" s="37" t="n"/>
      <c r="G381" s="39">
        <f>IF(B381="","",IF(F381&lt;&gt;"",F381,IFERROR(VLOOKUP(B381,'Vendors &amp; Crew'!$A$5:$D$34,3,FALSE),0)))</f>
        <v/>
      </c>
      <c r="H381" s="39">
        <f>IF(B381="","",E381*G381*(1+Settings!$B$18))</f>
        <v/>
      </c>
      <c r="I381" s="39">
        <f>IF(B381="","",IFERROR(VLOOKUP(B381,'Vendors &amp; Crew'!$A$5:$D$34,4,FALSE),0))</f>
        <v/>
      </c>
      <c r="J381" s="39">
        <f>IF(B381="","",E381*I381)</f>
        <v/>
      </c>
      <c r="K381" s="59">
        <f>IF(A381="","",A381-WEEKDAY(A381,2)+7)</f>
        <v/>
      </c>
      <c r="L381" s="9">
        <f>IF(B381="","",IF(D381="","Labor",IFERROR(VLOOKUP(D381,Settings!$E$5:$G$28,3,FALSE),"Labor")))</f>
        <v/>
      </c>
      <c r="M381" s="9">
        <f>IF(B381="","",IF(COUNTIF('Vendors &amp; Crew'!$A$5:$A$34,B381)=0,"Worker not in Crew table",IF(C381="","Missing Job ID",IF(COUNTIF(Jobs!$A$5:$A$44,C381)=0,"Unknown Job ID",IF(E381="","Missing hours",IF(A381="","Missing date",""))))))</f>
        <v/>
      </c>
      <c r="N381" s="35" t="n"/>
    </row>
    <row r="382">
      <c r="A382" s="40" t="n"/>
      <c r="B382" s="35" t="n"/>
      <c r="C382" s="35" t="n"/>
      <c r="D382" s="35" t="n"/>
      <c r="E382" s="61" t="n"/>
      <c r="F382" s="37" t="n"/>
      <c r="G382" s="39">
        <f>IF(B382="","",IF(F382&lt;&gt;"",F382,IFERROR(VLOOKUP(B382,'Vendors &amp; Crew'!$A$5:$D$34,3,FALSE),0)))</f>
        <v/>
      </c>
      <c r="H382" s="39">
        <f>IF(B382="","",E382*G382*(1+Settings!$B$18))</f>
        <v/>
      </c>
      <c r="I382" s="39">
        <f>IF(B382="","",IFERROR(VLOOKUP(B382,'Vendors &amp; Crew'!$A$5:$D$34,4,FALSE),0))</f>
        <v/>
      </c>
      <c r="J382" s="39">
        <f>IF(B382="","",E382*I382)</f>
        <v/>
      </c>
      <c r="K382" s="59">
        <f>IF(A382="","",A382-WEEKDAY(A382,2)+7)</f>
        <v/>
      </c>
      <c r="L382" s="9">
        <f>IF(B382="","",IF(D382="","Labor",IFERROR(VLOOKUP(D382,Settings!$E$5:$G$28,3,FALSE),"Labor")))</f>
        <v/>
      </c>
      <c r="M382" s="9">
        <f>IF(B382="","",IF(COUNTIF('Vendors &amp; Crew'!$A$5:$A$34,B382)=0,"Worker not in Crew table",IF(C382="","Missing Job ID",IF(COUNTIF(Jobs!$A$5:$A$44,C382)=0,"Unknown Job ID",IF(E382="","Missing hours",IF(A382="","Missing date",""))))))</f>
        <v/>
      </c>
      <c r="N382" s="35" t="n"/>
    </row>
    <row r="383">
      <c r="A383" s="40" t="n"/>
      <c r="B383" s="35" t="n"/>
      <c r="C383" s="35" t="n"/>
      <c r="D383" s="35" t="n"/>
      <c r="E383" s="61" t="n"/>
      <c r="F383" s="37" t="n"/>
      <c r="G383" s="39">
        <f>IF(B383="","",IF(F383&lt;&gt;"",F383,IFERROR(VLOOKUP(B383,'Vendors &amp; Crew'!$A$5:$D$34,3,FALSE),0)))</f>
        <v/>
      </c>
      <c r="H383" s="39">
        <f>IF(B383="","",E383*G383*(1+Settings!$B$18))</f>
        <v/>
      </c>
      <c r="I383" s="39">
        <f>IF(B383="","",IFERROR(VLOOKUP(B383,'Vendors &amp; Crew'!$A$5:$D$34,4,FALSE),0))</f>
        <v/>
      </c>
      <c r="J383" s="39">
        <f>IF(B383="","",E383*I383)</f>
        <v/>
      </c>
      <c r="K383" s="59">
        <f>IF(A383="","",A383-WEEKDAY(A383,2)+7)</f>
        <v/>
      </c>
      <c r="L383" s="9">
        <f>IF(B383="","",IF(D383="","Labor",IFERROR(VLOOKUP(D383,Settings!$E$5:$G$28,3,FALSE),"Labor")))</f>
        <v/>
      </c>
      <c r="M383" s="9">
        <f>IF(B383="","",IF(COUNTIF('Vendors &amp; Crew'!$A$5:$A$34,B383)=0,"Worker not in Crew table",IF(C383="","Missing Job ID",IF(COUNTIF(Jobs!$A$5:$A$44,C383)=0,"Unknown Job ID",IF(E383="","Missing hours",IF(A383="","Missing date",""))))))</f>
        <v/>
      </c>
      <c r="N383" s="35" t="n"/>
    </row>
    <row r="384">
      <c r="A384" s="40" t="n"/>
      <c r="B384" s="35" t="n"/>
      <c r="C384" s="35" t="n"/>
      <c r="D384" s="35" t="n"/>
      <c r="E384" s="61" t="n"/>
      <c r="F384" s="37" t="n"/>
      <c r="G384" s="39">
        <f>IF(B384="","",IF(F384&lt;&gt;"",F384,IFERROR(VLOOKUP(B384,'Vendors &amp; Crew'!$A$5:$D$34,3,FALSE),0)))</f>
        <v/>
      </c>
      <c r="H384" s="39">
        <f>IF(B384="","",E384*G384*(1+Settings!$B$18))</f>
        <v/>
      </c>
      <c r="I384" s="39">
        <f>IF(B384="","",IFERROR(VLOOKUP(B384,'Vendors &amp; Crew'!$A$5:$D$34,4,FALSE),0))</f>
        <v/>
      </c>
      <c r="J384" s="39">
        <f>IF(B384="","",E384*I384)</f>
        <v/>
      </c>
      <c r="K384" s="59">
        <f>IF(A384="","",A384-WEEKDAY(A384,2)+7)</f>
        <v/>
      </c>
      <c r="L384" s="9">
        <f>IF(B384="","",IF(D384="","Labor",IFERROR(VLOOKUP(D384,Settings!$E$5:$G$28,3,FALSE),"Labor")))</f>
        <v/>
      </c>
      <c r="M384" s="9">
        <f>IF(B384="","",IF(COUNTIF('Vendors &amp; Crew'!$A$5:$A$34,B384)=0,"Worker not in Crew table",IF(C384="","Missing Job ID",IF(COUNTIF(Jobs!$A$5:$A$44,C384)=0,"Unknown Job ID",IF(E384="","Missing hours",IF(A384="","Missing date",""))))))</f>
        <v/>
      </c>
      <c r="N384" s="35" t="n"/>
    </row>
    <row r="385">
      <c r="A385" s="40" t="n"/>
      <c r="B385" s="35" t="n"/>
      <c r="C385" s="35" t="n"/>
      <c r="D385" s="35" t="n"/>
      <c r="E385" s="61" t="n"/>
      <c r="F385" s="37" t="n"/>
      <c r="G385" s="39">
        <f>IF(B385="","",IF(F385&lt;&gt;"",F385,IFERROR(VLOOKUP(B385,'Vendors &amp; Crew'!$A$5:$D$34,3,FALSE),0)))</f>
        <v/>
      </c>
      <c r="H385" s="39">
        <f>IF(B385="","",E385*G385*(1+Settings!$B$18))</f>
        <v/>
      </c>
      <c r="I385" s="39">
        <f>IF(B385="","",IFERROR(VLOOKUP(B385,'Vendors &amp; Crew'!$A$5:$D$34,4,FALSE),0))</f>
        <v/>
      </c>
      <c r="J385" s="39">
        <f>IF(B385="","",E385*I385)</f>
        <v/>
      </c>
      <c r="K385" s="59">
        <f>IF(A385="","",A385-WEEKDAY(A385,2)+7)</f>
        <v/>
      </c>
      <c r="L385" s="9">
        <f>IF(B385="","",IF(D385="","Labor",IFERROR(VLOOKUP(D385,Settings!$E$5:$G$28,3,FALSE),"Labor")))</f>
        <v/>
      </c>
      <c r="M385" s="9">
        <f>IF(B385="","",IF(COUNTIF('Vendors &amp; Crew'!$A$5:$A$34,B385)=0,"Worker not in Crew table",IF(C385="","Missing Job ID",IF(COUNTIF(Jobs!$A$5:$A$44,C385)=0,"Unknown Job ID",IF(E385="","Missing hours",IF(A385="","Missing date",""))))))</f>
        <v/>
      </c>
      <c r="N385" s="35" t="n"/>
    </row>
    <row r="386">
      <c r="A386" s="40" t="n"/>
      <c r="B386" s="35" t="n"/>
      <c r="C386" s="35" t="n"/>
      <c r="D386" s="35" t="n"/>
      <c r="E386" s="61" t="n"/>
      <c r="F386" s="37" t="n"/>
      <c r="G386" s="39">
        <f>IF(B386="","",IF(F386&lt;&gt;"",F386,IFERROR(VLOOKUP(B386,'Vendors &amp; Crew'!$A$5:$D$34,3,FALSE),0)))</f>
        <v/>
      </c>
      <c r="H386" s="39">
        <f>IF(B386="","",E386*G386*(1+Settings!$B$18))</f>
        <v/>
      </c>
      <c r="I386" s="39">
        <f>IF(B386="","",IFERROR(VLOOKUP(B386,'Vendors &amp; Crew'!$A$5:$D$34,4,FALSE),0))</f>
        <v/>
      </c>
      <c r="J386" s="39">
        <f>IF(B386="","",E386*I386)</f>
        <v/>
      </c>
      <c r="K386" s="59">
        <f>IF(A386="","",A386-WEEKDAY(A386,2)+7)</f>
        <v/>
      </c>
      <c r="L386" s="9">
        <f>IF(B386="","",IF(D386="","Labor",IFERROR(VLOOKUP(D386,Settings!$E$5:$G$28,3,FALSE),"Labor")))</f>
        <v/>
      </c>
      <c r="M386" s="9">
        <f>IF(B386="","",IF(COUNTIF('Vendors &amp; Crew'!$A$5:$A$34,B386)=0,"Worker not in Crew table",IF(C386="","Missing Job ID",IF(COUNTIF(Jobs!$A$5:$A$44,C386)=0,"Unknown Job ID",IF(E386="","Missing hours",IF(A386="","Missing date",""))))))</f>
        <v/>
      </c>
      <c r="N386" s="35" t="n"/>
    </row>
    <row r="387">
      <c r="A387" s="40" t="n"/>
      <c r="B387" s="35" t="n"/>
      <c r="C387" s="35" t="n"/>
      <c r="D387" s="35" t="n"/>
      <c r="E387" s="61" t="n"/>
      <c r="F387" s="37" t="n"/>
      <c r="G387" s="39">
        <f>IF(B387="","",IF(F387&lt;&gt;"",F387,IFERROR(VLOOKUP(B387,'Vendors &amp; Crew'!$A$5:$D$34,3,FALSE),0)))</f>
        <v/>
      </c>
      <c r="H387" s="39">
        <f>IF(B387="","",E387*G387*(1+Settings!$B$18))</f>
        <v/>
      </c>
      <c r="I387" s="39">
        <f>IF(B387="","",IFERROR(VLOOKUP(B387,'Vendors &amp; Crew'!$A$5:$D$34,4,FALSE),0))</f>
        <v/>
      </c>
      <c r="J387" s="39">
        <f>IF(B387="","",E387*I387)</f>
        <v/>
      </c>
      <c r="K387" s="59">
        <f>IF(A387="","",A387-WEEKDAY(A387,2)+7)</f>
        <v/>
      </c>
      <c r="L387" s="9">
        <f>IF(B387="","",IF(D387="","Labor",IFERROR(VLOOKUP(D387,Settings!$E$5:$G$28,3,FALSE),"Labor")))</f>
        <v/>
      </c>
      <c r="M387" s="9">
        <f>IF(B387="","",IF(COUNTIF('Vendors &amp; Crew'!$A$5:$A$34,B387)=0,"Worker not in Crew table",IF(C387="","Missing Job ID",IF(COUNTIF(Jobs!$A$5:$A$44,C387)=0,"Unknown Job ID",IF(E387="","Missing hours",IF(A387="","Missing date",""))))))</f>
        <v/>
      </c>
      <c r="N387" s="35" t="n"/>
    </row>
    <row r="388">
      <c r="A388" s="40" t="n"/>
      <c r="B388" s="35" t="n"/>
      <c r="C388" s="35" t="n"/>
      <c r="D388" s="35" t="n"/>
      <c r="E388" s="61" t="n"/>
      <c r="F388" s="37" t="n"/>
      <c r="G388" s="39">
        <f>IF(B388="","",IF(F388&lt;&gt;"",F388,IFERROR(VLOOKUP(B388,'Vendors &amp; Crew'!$A$5:$D$34,3,FALSE),0)))</f>
        <v/>
      </c>
      <c r="H388" s="39">
        <f>IF(B388="","",E388*G388*(1+Settings!$B$18))</f>
        <v/>
      </c>
      <c r="I388" s="39">
        <f>IF(B388="","",IFERROR(VLOOKUP(B388,'Vendors &amp; Crew'!$A$5:$D$34,4,FALSE),0))</f>
        <v/>
      </c>
      <c r="J388" s="39">
        <f>IF(B388="","",E388*I388)</f>
        <v/>
      </c>
      <c r="K388" s="59">
        <f>IF(A388="","",A388-WEEKDAY(A388,2)+7)</f>
        <v/>
      </c>
      <c r="L388" s="9">
        <f>IF(B388="","",IF(D388="","Labor",IFERROR(VLOOKUP(D388,Settings!$E$5:$G$28,3,FALSE),"Labor")))</f>
        <v/>
      </c>
      <c r="M388" s="9">
        <f>IF(B388="","",IF(COUNTIF('Vendors &amp; Crew'!$A$5:$A$34,B388)=0,"Worker not in Crew table",IF(C388="","Missing Job ID",IF(COUNTIF(Jobs!$A$5:$A$44,C388)=0,"Unknown Job ID",IF(E388="","Missing hours",IF(A388="","Missing date",""))))))</f>
        <v/>
      </c>
      <c r="N388" s="35" t="n"/>
    </row>
    <row r="389">
      <c r="A389" s="40" t="n"/>
      <c r="B389" s="35" t="n"/>
      <c r="C389" s="35" t="n"/>
      <c r="D389" s="35" t="n"/>
      <c r="E389" s="61" t="n"/>
      <c r="F389" s="37" t="n"/>
      <c r="G389" s="39">
        <f>IF(B389="","",IF(F389&lt;&gt;"",F389,IFERROR(VLOOKUP(B389,'Vendors &amp; Crew'!$A$5:$D$34,3,FALSE),0)))</f>
        <v/>
      </c>
      <c r="H389" s="39">
        <f>IF(B389="","",E389*G389*(1+Settings!$B$18))</f>
        <v/>
      </c>
      <c r="I389" s="39">
        <f>IF(B389="","",IFERROR(VLOOKUP(B389,'Vendors &amp; Crew'!$A$5:$D$34,4,FALSE),0))</f>
        <v/>
      </c>
      <c r="J389" s="39">
        <f>IF(B389="","",E389*I389)</f>
        <v/>
      </c>
      <c r="K389" s="59">
        <f>IF(A389="","",A389-WEEKDAY(A389,2)+7)</f>
        <v/>
      </c>
      <c r="L389" s="9">
        <f>IF(B389="","",IF(D389="","Labor",IFERROR(VLOOKUP(D389,Settings!$E$5:$G$28,3,FALSE),"Labor")))</f>
        <v/>
      </c>
      <c r="M389" s="9">
        <f>IF(B389="","",IF(COUNTIF('Vendors &amp; Crew'!$A$5:$A$34,B389)=0,"Worker not in Crew table",IF(C389="","Missing Job ID",IF(COUNTIF(Jobs!$A$5:$A$44,C389)=0,"Unknown Job ID",IF(E389="","Missing hours",IF(A389="","Missing date",""))))))</f>
        <v/>
      </c>
      <c r="N389" s="35" t="n"/>
    </row>
    <row r="390">
      <c r="A390" s="40" t="n"/>
      <c r="B390" s="35" t="n"/>
      <c r="C390" s="35" t="n"/>
      <c r="D390" s="35" t="n"/>
      <c r="E390" s="61" t="n"/>
      <c r="F390" s="37" t="n"/>
      <c r="G390" s="39">
        <f>IF(B390="","",IF(F390&lt;&gt;"",F390,IFERROR(VLOOKUP(B390,'Vendors &amp; Crew'!$A$5:$D$34,3,FALSE),0)))</f>
        <v/>
      </c>
      <c r="H390" s="39">
        <f>IF(B390="","",E390*G390*(1+Settings!$B$18))</f>
        <v/>
      </c>
      <c r="I390" s="39">
        <f>IF(B390="","",IFERROR(VLOOKUP(B390,'Vendors &amp; Crew'!$A$5:$D$34,4,FALSE),0))</f>
        <v/>
      </c>
      <c r="J390" s="39">
        <f>IF(B390="","",E390*I390)</f>
        <v/>
      </c>
      <c r="K390" s="59">
        <f>IF(A390="","",A390-WEEKDAY(A390,2)+7)</f>
        <v/>
      </c>
      <c r="L390" s="9">
        <f>IF(B390="","",IF(D390="","Labor",IFERROR(VLOOKUP(D390,Settings!$E$5:$G$28,3,FALSE),"Labor")))</f>
        <v/>
      </c>
      <c r="M390" s="9">
        <f>IF(B390="","",IF(COUNTIF('Vendors &amp; Crew'!$A$5:$A$34,B390)=0,"Worker not in Crew table",IF(C390="","Missing Job ID",IF(COUNTIF(Jobs!$A$5:$A$44,C390)=0,"Unknown Job ID",IF(E390="","Missing hours",IF(A390="","Missing date",""))))))</f>
        <v/>
      </c>
      <c r="N390" s="35" t="n"/>
    </row>
    <row r="391">
      <c r="A391" s="40" t="n"/>
      <c r="B391" s="35" t="n"/>
      <c r="C391" s="35" t="n"/>
      <c r="D391" s="35" t="n"/>
      <c r="E391" s="61" t="n"/>
      <c r="F391" s="37" t="n"/>
      <c r="G391" s="39">
        <f>IF(B391="","",IF(F391&lt;&gt;"",F391,IFERROR(VLOOKUP(B391,'Vendors &amp; Crew'!$A$5:$D$34,3,FALSE),0)))</f>
        <v/>
      </c>
      <c r="H391" s="39">
        <f>IF(B391="","",E391*G391*(1+Settings!$B$18))</f>
        <v/>
      </c>
      <c r="I391" s="39">
        <f>IF(B391="","",IFERROR(VLOOKUP(B391,'Vendors &amp; Crew'!$A$5:$D$34,4,FALSE),0))</f>
        <v/>
      </c>
      <c r="J391" s="39">
        <f>IF(B391="","",E391*I391)</f>
        <v/>
      </c>
      <c r="K391" s="59">
        <f>IF(A391="","",A391-WEEKDAY(A391,2)+7)</f>
        <v/>
      </c>
      <c r="L391" s="9">
        <f>IF(B391="","",IF(D391="","Labor",IFERROR(VLOOKUP(D391,Settings!$E$5:$G$28,3,FALSE),"Labor")))</f>
        <v/>
      </c>
      <c r="M391" s="9">
        <f>IF(B391="","",IF(COUNTIF('Vendors &amp; Crew'!$A$5:$A$34,B391)=0,"Worker not in Crew table",IF(C391="","Missing Job ID",IF(COUNTIF(Jobs!$A$5:$A$44,C391)=0,"Unknown Job ID",IF(E391="","Missing hours",IF(A391="","Missing date",""))))))</f>
        <v/>
      </c>
      <c r="N391" s="35" t="n"/>
    </row>
    <row r="392">
      <c r="A392" s="40" t="n"/>
      <c r="B392" s="35" t="n"/>
      <c r="C392" s="35" t="n"/>
      <c r="D392" s="35" t="n"/>
      <c r="E392" s="61" t="n"/>
      <c r="F392" s="37" t="n"/>
      <c r="G392" s="39">
        <f>IF(B392="","",IF(F392&lt;&gt;"",F392,IFERROR(VLOOKUP(B392,'Vendors &amp; Crew'!$A$5:$D$34,3,FALSE),0)))</f>
        <v/>
      </c>
      <c r="H392" s="39">
        <f>IF(B392="","",E392*G392*(1+Settings!$B$18))</f>
        <v/>
      </c>
      <c r="I392" s="39">
        <f>IF(B392="","",IFERROR(VLOOKUP(B392,'Vendors &amp; Crew'!$A$5:$D$34,4,FALSE),0))</f>
        <v/>
      </c>
      <c r="J392" s="39">
        <f>IF(B392="","",E392*I392)</f>
        <v/>
      </c>
      <c r="K392" s="59">
        <f>IF(A392="","",A392-WEEKDAY(A392,2)+7)</f>
        <v/>
      </c>
      <c r="L392" s="9">
        <f>IF(B392="","",IF(D392="","Labor",IFERROR(VLOOKUP(D392,Settings!$E$5:$G$28,3,FALSE),"Labor")))</f>
        <v/>
      </c>
      <c r="M392" s="9">
        <f>IF(B392="","",IF(COUNTIF('Vendors &amp; Crew'!$A$5:$A$34,B392)=0,"Worker not in Crew table",IF(C392="","Missing Job ID",IF(COUNTIF(Jobs!$A$5:$A$44,C392)=0,"Unknown Job ID",IF(E392="","Missing hours",IF(A392="","Missing date",""))))))</f>
        <v/>
      </c>
      <c r="N392" s="35" t="n"/>
    </row>
    <row r="393">
      <c r="A393" s="40" t="n"/>
      <c r="B393" s="35" t="n"/>
      <c r="C393" s="35" t="n"/>
      <c r="D393" s="35" t="n"/>
      <c r="E393" s="61" t="n"/>
      <c r="F393" s="37" t="n"/>
      <c r="G393" s="39">
        <f>IF(B393="","",IF(F393&lt;&gt;"",F393,IFERROR(VLOOKUP(B393,'Vendors &amp; Crew'!$A$5:$D$34,3,FALSE),0)))</f>
        <v/>
      </c>
      <c r="H393" s="39">
        <f>IF(B393="","",E393*G393*(1+Settings!$B$18))</f>
        <v/>
      </c>
      <c r="I393" s="39">
        <f>IF(B393="","",IFERROR(VLOOKUP(B393,'Vendors &amp; Crew'!$A$5:$D$34,4,FALSE),0))</f>
        <v/>
      </c>
      <c r="J393" s="39">
        <f>IF(B393="","",E393*I393)</f>
        <v/>
      </c>
      <c r="K393" s="59">
        <f>IF(A393="","",A393-WEEKDAY(A393,2)+7)</f>
        <v/>
      </c>
      <c r="L393" s="9">
        <f>IF(B393="","",IF(D393="","Labor",IFERROR(VLOOKUP(D393,Settings!$E$5:$G$28,3,FALSE),"Labor")))</f>
        <v/>
      </c>
      <c r="M393" s="9">
        <f>IF(B393="","",IF(COUNTIF('Vendors &amp; Crew'!$A$5:$A$34,B393)=0,"Worker not in Crew table",IF(C393="","Missing Job ID",IF(COUNTIF(Jobs!$A$5:$A$44,C393)=0,"Unknown Job ID",IF(E393="","Missing hours",IF(A393="","Missing date",""))))))</f>
        <v/>
      </c>
      <c r="N393" s="35" t="n"/>
    </row>
    <row r="394">
      <c r="A394" s="40" t="n"/>
      <c r="B394" s="35" t="n"/>
      <c r="C394" s="35" t="n"/>
      <c r="D394" s="35" t="n"/>
      <c r="E394" s="61" t="n"/>
      <c r="F394" s="37" t="n"/>
      <c r="G394" s="39">
        <f>IF(B394="","",IF(F394&lt;&gt;"",F394,IFERROR(VLOOKUP(B394,'Vendors &amp; Crew'!$A$5:$D$34,3,FALSE),0)))</f>
        <v/>
      </c>
      <c r="H394" s="39">
        <f>IF(B394="","",E394*G394*(1+Settings!$B$18))</f>
        <v/>
      </c>
      <c r="I394" s="39">
        <f>IF(B394="","",IFERROR(VLOOKUP(B394,'Vendors &amp; Crew'!$A$5:$D$34,4,FALSE),0))</f>
        <v/>
      </c>
      <c r="J394" s="39">
        <f>IF(B394="","",E394*I394)</f>
        <v/>
      </c>
      <c r="K394" s="59">
        <f>IF(A394="","",A394-WEEKDAY(A394,2)+7)</f>
        <v/>
      </c>
      <c r="L394" s="9">
        <f>IF(B394="","",IF(D394="","Labor",IFERROR(VLOOKUP(D394,Settings!$E$5:$G$28,3,FALSE),"Labor")))</f>
        <v/>
      </c>
      <c r="M394" s="9">
        <f>IF(B394="","",IF(COUNTIF('Vendors &amp; Crew'!$A$5:$A$34,B394)=0,"Worker not in Crew table",IF(C394="","Missing Job ID",IF(COUNTIF(Jobs!$A$5:$A$44,C394)=0,"Unknown Job ID",IF(E394="","Missing hours",IF(A394="","Missing date",""))))))</f>
        <v/>
      </c>
      <c r="N394" s="35" t="n"/>
    </row>
    <row r="395">
      <c r="A395" s="40" t="n"/>
      <c r="B395" s="35" t="n"/>
      <c r="C395" s="35" t="n"/>
      <c r="D395" s="35" t="n"/>
      <c r="E395" s="61" t="n"/>
      <c r="F395" s="37" t="n"/>
      <c r="G395" s="39">
        <f>IF(B395="","",IF(F395&lt;&gt;"",F395,IFERROR(VLOOKUP(B395,'Vendors &amp; Crew'!$A$5:$D$34,3,FALSE),0)))</f>
        <v/>
      </c>
      <c r="H395" s="39">
        <f>IF(B395="","",E395*G395*(1+Settings!$B$18))</f>
        <v/>
      </c>
      <c r="I395" s="39">
        <f>IF(B395="","",IFERROR(VLOOKUP(B395,'Vendors &amp; Crew'!$A$5:$D$34,4,FALSE),0))</f>
        <v/>
      </c>
      <c r="J395" s="39">
        <f>IF(B395="","",E395*I395)</f>
        <v/>
      </c>
      <c r="K395" s="59">
        <f>IF(A395="","",A395-WEEKDAY(A395,2)+7)</f>
        <v/>
      </c>
      <c r="L395" s="9">
        <f>IF(B395="","",IF(D395="","Labor",IFERROR(VLOOKUP(D395,Settings!$E$5:$G$28,3,FALSE),"Labor")))</f>
        <v/>
      </c>
      <c r="M395" s="9">
        <f>IF(B395="","",IF(COUNTIF('Vendors &amp; Crew'!$A$5:$A$34,B395)=0,"Worker not in Crew table",IF(C395="","Missing Job ID",IF(COUNTIF(Jobs!$A$5:$A$44,C395)=0,"Unknown Job ID",IF(E395="","Missing hours",IF(A395="","Missing date",""))))))</f>
        <v/>
      </c>
      <c r="N395" s="35" t="n"/>
    </row>
    <row r="396">
      <c r="A396" s="40" t="n"/>
      <c r="B396" s="35" t="n"/>
      <c r="C396" s="35" t="n"/>
      <c r="D396" s="35" t="n"/>
      <c r="E396" s="61" t="n"/>
      <c r="F396" s="37" t="n"/>
      <c r="G396" s="39">
        <f>IF(B396="","",IF(F396&lt;&gt;"",F396,IFERROR(VLOOKUP(B396,'Vendors &amp; Crew'!$A$5:$D$34,3,FALSE),0)))</f>
        <v/>
      </c>
      <c r="H396" s="39">
        <f>IF(B396="","",E396*G396*(1+Settings!$B$18))</f>
        <v/>
      </c>
      <c r="I396" s="39">
        <f>IF(B396="","",IFERROR(VLOOKUP(B396,'Vendors &amp; Crew'!$A$5:$D$34,4,FALSE),0))</f>
        <v/>
      </c>
      <c r="J396" s="39">
        <f>IF(B396="","",E396*I396)</f>
        <v/>
      </c>
      <c r="K396" s="59">
        <f>IF(A396="","",A396-WEEKDAY(A396,2)+7)</f>
        <v/>
      </c>
      <c r="L396" s="9">
        <f>IF(B396="","",IF(D396="","Labor",IFERROR(VLOOKUP(D396,Settings!$E$5:$G$28,3,FALSE),"Labor")))</f>
        <v/>
      </c>
      <c r="M396" s="9">
        <f>IF(B396="","",IF(COUNTIF('Vendors &amp; Crew'!$A$5:$A$34,B396)=0,"Worker not in Crew table",IF(C396="","Missing Job ID",IF(COUNTIF(Jobs!$A$5:$A$44,C396)=0,"Unknown Job ID",IF(E396="","Missing hours",IF(A396="","Missing date",""))))))</f>
        <v/>
      </c>
      <c r="N396" s="35" t="n"/>
    </row>
    <row r="397">
      <c r="A397" s="40" t="n"/>
      <c r="B397" s="35" t="n"/>
      <c r="C397" s="35" t="n"/>
      <c r="D397" s="35" t="n"/>
      <c r="E397" s="61" t="n"/>
      <c r="F397" s="37" t="n"/>
      <c r="G397" s="39">
        <f>IF(B397="","",IF(F397&lt;&gt;"",F397,IFERROR(VLOOKUP(B397,'Vendors &amp; Crew'!$A$5:$D$34,3,FALSE),0)))</f>
        <v/>
      </c>
      <c r="H397" s="39">
        <f>IF(B397="","",E397*G397*(1+Settings!$B$18))</f>
        <v/>
      </c>
      <c r="I397" s="39">
        <f>IF(B397="","",IFERROR(VLOOKUP(B397,'Vendors &amp; Crew'!$A$5:$D$34,4,FALSE),0))</f>
        <v/>
      </c>
      <c r="J397" s="39">
        <f>IF(B397="","",E397*I397)</f>
        <v/>
      </c>
      <c r="K397" s="59">
        <f>IF(A397="","",A397-WEEKDAY(A397,2)+7)</f>
        <v/>
      </c>
      <c r="L397" s="9">
        <f>IF(B397="","",IF(D397="","Labor",IFERROR(VLOOKUP(D397,Settings!$E$5:$G$28,3,FALSE),"Labor")))</f>
        <v/>
      </c>
      <c r="M397" s="9">
        <f>IF(B397="","",IF(COUNTIF('Vendors &amp; Crew'!$A$5:$A$34,B397)=0,"Worker not in Crew table",IF(C397="","Missing Job ID",IF(COUNTIF(Jobs!$A$5:$A$44,C397)=0,"Unknown Job ID",IF(E397="","Missing hours",IF(A397="","Missing date",""))))))</f>
        <v/>
      </c>
      <c r="N397" s="35" t="n"/>
    </row>
    <row r="398">
      <c r="A398" s="40" t="n"/>
      <c r="B398" s="35" t="n"/>
      <c r="C398" s="35" t="n"/>
      <c r="D398" s="35" t="n"/>
      <c r="E398" s="61" t="n"/>
      <c r="F398" s="37" t="n"/>
      <c r="G398" s="39">
        <f>IF(B398="","",IF(F398&lt;&gt;"",F398,IFERROR(VLOOKUP(B398,'Vendors &amp; Crew'!$A$5:$D$34,3,FALSE),0)))</f>
        <v/>
      </c>
      <c r="H398" s="39">
        <f>IF(B398="","",E398*G398*(1+Settings!$B$18))</f>
        <v/>
      </c>
      <c r="I398" s="39">
        <f>IF(B398="","",IFERROR(VLOOKUP(B398,'Vendors &amp; Crew'!$A$5:$D$34,4,FALSE),0))</f>
        <v/>
      </c>
      <c r="J398" s="39">
        <f>IF(B398="","",E398*I398)</f>
        <v/>
      </c>
      <c r="K398" s="59">
        <f>IF(A398="","",A398-WEEKDAY(A398,2)+7)</f>
        <v/>
      </c>
      <c r="L398" s="9">
        <f>IF(B398="","",IF(D398="","Labor",IFERROR(VLOOKUP(D398,Settings!$E$5:$G$28,3,FALSE),"Labor")))</f>
        <v/>
      </c>
      <c r="M398" s="9">
        <f>IF(B398="","",IF(COUNTIF('Vendors &amp; Crew'!$A$5:$A$34,B398)=0,"Worker not in Crew table",IF(C398="","Missing Job ID",IF(COUNTIF(Jobs!$A$5:$A$44,C398)=0,"Unknown Job ID",IF(E398="","Missing hours",IF(A398="","Missing date",""))))))</f>
        <v/>
      </c>
      <c r="N398" s="35" t="n"/>
    </row>
    <row r="399">
      <c r="A399" s="40" t="n"/>
      <c r="B399" s="35" t="n"/>
      <c r="C399" s="35" t="n"/>
      <c r="D399" s="35" t="n"/>
      <c r="E399" s="61" t="n"/>
      <c r="F399" s="37" t="n"/>
      <c r="G399" s="39">
        <f>IF(B399="","",IF(F399&lt;&gt;"",F399,IFERROR(VLOOKUP(B399,'Vendors &amp; Crew'!$A$5:$D$34,3,FALSE),0)))</f>
        <v/>
      </c>
      <c r="H399" s="39">
        <f>IF(B399="","",E399*G399*(1+Settings!$B$18))</f>
        <v/>
      </c>
      <c r="I399" s="39">
        <f>IF(B399="","",IFERROR(VLOOKUP(B399,'Vendors &amp; Crew'!$A$5:$D$34,4,FALSE),0))</f>
        <v/>
      </c>
      <c r="J399" s="39">
        <f>IF(B399="","",E399*I399)</f>
        <v/>
      </c>
      <c r="K399" s="59">
        <f>IF(A399="","",A399-WEEKDAY(A399,2)+7)</f>
        <v/>
      </c>
      <c r="L399" s="9">
        <f>IF(B399="","",IF(D399="","Labor",IFERROR(VLOOKUP(D399,Settings!$E$5:$G$28,3,FALSE),"Labor")))</f>
        <v/>
      </c>
      <c r="M399" s="9">
        <f>IF(B399="","",IF(COUNTIF('Vendors &amp; Crew'!$A$5:$A$34,B399)=0,"Worker not in Crew table",IF(C399="","Missing Job ID",IF(COUNTIF(Jobs!$A$5:$A$44,C399)=0,"Unknown Job ID",IF(E399="","Missing hours",IF(A399="","Missing date",""))))))</f>
        <v/>
      </c>
      <c r="N399" s="35" t="n"/>
    </row>
    <row r="400">
      <c r="A400" s="40" t="n"/>
      <c r="B400" s="35" t="n"/>
      <c r="C400" s="35" t="n"/>
      <c r="D400" s="35" t="n"/>
      <c r="E400" s="61" t="n"/>
      <c r="F400" s="37" t="n"/>
      <c r="G400" s="39">
        <f>IF(B400="","",IF(F400&lt;&gt;"",F400,IFERROR(VLOOKUP(B400,'Vendors &amp; Crew'!$A$5:$D$34,3,FALSE),0)))</f>
        <v/>
      </c>
      <c r="H400" s="39">
        <f>IF(B400="","",E400*G400*(1+Settings!$B$18))</f>
        <v/>
      </c>
      <c r="I400" s="39">
        <f>IF(B400="","",IFERROR(VLOOKUP(B400,'Vendors &amp; Crew'!$A$5:$D$34,4,FALSE),0))</f>
        <v/>
      </c>
      <c r="J400" s="39">
        <f>IF(B400="","",E400*I400)</f>
        <v/>
      </c>
      <c r="K400" s="59">
        <f>IF(A400="","",A400-WEEKDAY(A400,2)+7)</f>
        <v/>
      </c>
      <c r="L400" s="9">
        <f>IF(B400="","",IF(D400="","Labor",IFERROR(VLOOKUP(D400,Settings!$E$5:$G$28,3,FALSE),"Labor")))</f>
        <v/>
      </c>
      <c r="M400" s="9">
        <f>IF(B400="","",IF(COUNTIF('Vendors &amp; Crew'!$A$5:$A$34,B400)=0,"Worker not in Crew table",IF(C400="","Missing Job ID",IF(COUNTIF(Jobs!$A$5:$A$44,C400)=0,"Unknown Job ID",IF(E400="","Missing hours",IF(A400="","Missing date",""))))))</f>
        <v/>
      </c>
      <c r="N400" s="35" t="n"/>
    </row>
    <row r="401">
      <c r="A401" s="40" t="n"/>
      <c r="B401" s="35" t="n"/>
      <c r="C401" s="35" t="n"/>
      <c r="D401" s="35" t="n"/>
      <c r="E401" s="61" t="n"/>
      <c r="F401" s="37" t="n"/>
      <c r="G401" s="39">
        <f>IF(B401="","",IF(F401&lt;&gt;"",F401,IFERROR(VLOOKUP(B401,'Vendors &amp; Crew'!$A$5:$D$34,3,FALSE),0)))</f>
        <v/>
      </c>
      <c r="H401" s="39">
        <f>IF(B401="","",E401*G401*(1+Settings!$B$18))</f>
        <v/>
      </c>
      <c r="I401" s="39">
        <f>IF(B401="","",IFERROR(VLOOKUP(B401,'Vendors &amp; Crew'!$A$5:$D$34,4,FALSE),0))</f>
        <v/>
      </c>
      <c r="J401" s="39">
        <f>IF(B401="","",E401*I401)</f>
        <v/>
      </c>
      <c r="K401" s="59">
        <f>IF(A401="","",A401-WEEKDAY(A401,2)+7)</f>
        <v/>
      </c>
      <c r="L401" s="9">
        <f>IF(B401="","",IF(D401="","Labor",IFERROR(VLOOKUP(D401,Settings!$E$5:$G$28,3,FALSE),"Labor")))</f>
        <v/>
      </c>
      <c r="M401" s="9">
        <f>IF(B401="","",IF(COUNTIF('Vendors &amp; Crew'!$A$5:$A$34,B401)=0,"Worker not in Crew table",IF(C401="","Missing Job ID",IF(COUNTIF(Jobs!$A$5:$A$44,C401)=0,"Unknown Job ID",IF(E401="","Missing hours",IF(A401="","Missing date",""))))))</f>
        <v/>
      </c>
      <c r="N401" s="35" t="n"/>
    </row>
    <row r="402">
      <c r="A402" s="40" t="n"/>
      <c r="B402" s="35" t="n"/>
      <c r="C402" s="35" t="n"/>
      <c r="D402" s="35" t="n"/>
      <c r="E402" s="61" t="n"/>
      <c r="F402" s="37" t="n"/>
      <c r="G402" s="39">
        <f>IF(B402="","",IF(F402&lt;&gt;"",F402,IFERROR(VLOOKUP(B402,'Vendors &amp; Crew'!$A$5:$D$34,3,FALSE),0)))</f>
        <v/>
      </c>
      <c r="H402" s="39">
        <f>IF(B402="","",E402*G402*(1+Settings!$B$18))</f>
        <v/>
      </c>
      <c r="I402" s="39">
        <f>IF(B402="","",IFERROR(VLOOKUP(B402,'Vendors &amp; Crew'!$A$5:$D$34,4,FALSE),0))</f>
        <v/>
      </c>
      <c r="J402" s="39">
        <f>IF(B402="","",E402*I402)</f>
        <v/>
      </c>
      <c r="K402" s="59">
        <f>IF(A402="","",A402-WEEKDAY(A402,2)+7)</f>
        <v/>
      </c>
      <c r="L402" s="9">
        <f>IF(B402="","",IF(D402="","Labor",IFERROR(VLOOKUP(D402,Settings!$E$5:$G$28,3,FALSE),"Labor")))</f>
        <v/>
      </c>
      <c r="M402" s="9">
        <f>IF(B402="","",IF(COUNTIF('Vendors &amp; Crew'!$A$5:$A$34,B402)=0,"Worker not in Crew table",IF(C402="","Missing Job ID",IF(COUNTIF(Jobs!$A$5:$A$44,C402)=0,"Unknown Job ID",IF(E402="","Missing hours",IF(A402="","Missing date",""))))))</f>
        <v/>
      </c>
      <c r="N402" s="35" t="n"/>
    </row>
    <row r="403">
      <c r="A403" s="40" t="n"/>
      <c r="B403" s="35" t="n"/>
      <c r="C403" s="35" t="n"/>
      <c r="D403" s="35" t="n"/>
      <c r="E403" s="61" t="n"/>
      <c r="F403" s="37" t="n"/>
      <c r="G403" s="39">
        <f>IF(B403="","",IF(F403&lt;&gt;"",F403,IFERROR(VLOOKUP(B403,'Vendors &amp; Crew'!$A$5:$D$34,3,FALSE),0)))</f>
        <v/>
      </c>
      <c r="H403" s="39">
        <f>IF(B403="","",E403*G403*(1+Settings!$B$18))</f>
        <v/>
      </c>
      <c r="I403" s="39">
        <f>IF(B403="","",IFERROR(VLOOKUP(B403,'Vendors &amp; Crew'!$A$5:$D$34,4,FALSE),0))</f>
        <v/>
      </c>
      <c r="J403" s="39">
        <f>IF(B403="","",E403*I403)</f>
        <v/>
      </c>
      <c r="K403" s="59">
        <f>IF(A403="","",A403-WEEKDAY(A403,2)+7)</f>
        <v/>
      </c>
      <c r="L403" s="9">
        <f>IF(B403="","",IF(D403="","Labor",IFERROR(VLOOKUP(D403,Settings!$E$5:$G$28,3,FALSE),"Labor")))</f>
        <v/>
      </c>
      <c r="M403" s="9">
        <f>IF(B403="","",IF(COUNTIF('Vendors &amp; Crew'!$A$5:$A$34,B403)=0,"Worker not in Crew table",IF(C403="","Missing Job ID",IF(COUNTIF(Jobs!$A$5:$A$44,C403)=0,"Unknown Job ID",IF(E403="","Missing hours",IF(A403="","Missing date",""))))))</f>
        <v/>
      </c>
      <c r="N403" s="35" t="n"/>
    </row>
    <row r="404">
      <c r="A404" s="40" t="n"/>
      <c r="B404" s="35" t="n"/>
      <c r="C404" s="35" t="n"/>
      <c r="D404" s="35" t="n"/>
      <c r="E404" s="61" t="n"/>
      <c r="F404" s="37" t="n"/>
      <c r="G404" s="39">
        <f>IF(B404="","",IF(F404&lt;&gt;"",F404,IFERROR(VLOOKUP(B404,'Vendors &amp; Crew'!$A$5:$D$34,3,FALSE),0)))</f>
        <v/>
      </c>
      <c r="H404" s="39">
        <f>IF(B404="","",E404*G404*(1+Settings!$B$18))</f>
        <v/>
      </c>
      <c r="I404" s="39">
        <f>IF(B404="","",IFERROR(VLOOKUP(B404,'Vendors &amp; Crew'!$A$5:$D$34,4,FALSE),0))</f>
        <v/>
      </c>
      <c r="J404" s="39">
        <f>IF(B404="","",E404*I404)</f>
        <v/>
      </c>
      <c r="K404" s="59">
        <f>IF(A404="","",A404-WEEKDAY(A404,2)+7)</f>
        <v/>
      </c>
      <c r="L404" s="9">
        <f>IF(B404="","",IF(D404="","Labor",IFERROR(VLOOKUP(D404,Settings!$E$5:$G$28,3,FALSE),"Labor")))</f>
        <v/>
      </c>
      <c r="M404" s="9">
        <f>IF(B404="","",IF(COUNTIF('Vendors &amp; Crew'!$A$5:$A$34,B404)=0,"Worker not in Crew table",IF(C404="","Missing Job ID",IF(COUNTIF(Jobs!$A$5:$A$44,C404)=0,"Unknown Job ID",IF(E404="","Missing hours",IF(A404="","Missing date",""))))))</f>
        <v/>
      </c>
      <c r="N404" s="35" t="n"/>
    </row>
    <row r="405">
      <c r="A405" s="40" t="n"/>
      <c r="B405" s="35" t="n"/>
      <c r="C405" s="35" t="n"/>
      <c r="D405" s="35" t="n"/>
      <c r="E405" s="61" t="n"/>
      <c r="F405" s="37" t="n"/>
      <c r="G405" s="39">
        <f>IF(B405="","",IF(F405&lt;&gt;"",F405,IFERROR(VLOOKUP(B405,'Vendors &amp; Crew'!$A$5:$D$34,3,FALSE),0)))</f>
        <v/>
      </c>
      <c r="H405" s="39">
        <f>IF(B405="","",E405*G405*(1+Settings!$B$18))</f>
        <v/>
      </c>
      <c r="I405" s="39">
        <f>IF(B405="","",IFERROR(VLOOKUP(B405,'Vendors &amp; Crew'!$A$5:$D$34,4,FALSE),0))</f>
        <v/>
      </c>
      <c r="J405" s="39">
        <f>IF(B405="","",E405*I405)</f>
        <v/>
      </c>
      <c r="K405" s="59">
        <f>IF(A405="","",A405-WEEKDAY(A405,2)+7)</f>
        <v/>
      </c>
      <c r="L405" s="9">
        <f>IF(B405="","",IF(D405="","Labor",IFERROR(VLOOKUP(D405,Settings!$E$5:$G$28,3,FALSE),"Labor")))</f>
        <v/>
      </c>
      <c r="M405" s="9">
        <f>IF(B405="","",IF(COUNTIF('Vendors &amp; Crew'!$A$5:$A$34,B405)=0,"Worker not in Crew table",IF(C405="","Missing Job ID",IF(COUNTIF(Jobs!$A$5:$A$44,C405)=0,"Unknown Job ID",IF(E405="","Missing hours",IF(A405="","Missing date",""))))))</f>
        <v/>
      </c>
      <c r="N405" s="35" t="n"/>
    </row>
    <row r="406">
      <c r="A406" s="40" t="n"/>
      <c r="B406" s="35" t="n"/>
      <c r="C406" s="35" t="n"/>
      <c r="D406" s="35" t="n"/>
      <c r="E406" s="61" t="n"/>
      <c r="F406" s="37" t="n"/>
      <c r="G406" s="39">
        <f>IF(B406="","",IF(F406&lt;&gt;"",F406,IFERROR(VLOOKUP(B406,'Vendors &amp; Crew'!$A$5:$D$34,3,FALSE),0)))</f>
        <v/>
      </c>
      <c r="H406" s="39">
        <f>IF(B406="","",E406*G406*(1+Settings!$B$18))</f>
        <v/>
      </c>
      <c r="I406" s="39">
        <f>IF(B406="","",IFERROR(VLOOKUP(B406,'Vendors &amp; Crew'!$A$5:$D$34,4,FALSE),0))</f>
        <v/>
      </c>
      <c r="J406" s="39">
        <f>IF(B406="","",E406*I406)</f>
        <v/>
      </c>
      <c r="K406" s="59">
        <f>IF(A406="","",A406-WEEKDAY(A406,2)+7)</f>
        <v/>
      </c>
      <c r="L406" s="9">
        <f>IF(B406="","",IF(D406="","Labor",IFERROR(VLOOKUP(D406,Settings!$E$5:$G$28,3,FALSE),"Labor")))</f>
        <v/>
      </c>
      <c r="M406" s="9">
        <f>IF(B406="","",IF(COUNTIF('Vendors &amp; Crew'!$A$5:$A$34,B406)=0,"Worker not in Crew table",IF(C406="","Missing Job ID",IF(COUNTIF(Jobs!$A$5:$A$44,C406)=0,"Unknown Job ID",IF(E406="","Missing hours",IF(A406="","Missing date",""))))))</f>
        <v/>
      </c>
      <c r="N406" s="35" t="n"/>
    </row>
    <row r="407">
      <c r="A407" s="40" t="n"/>
      <c r="B407" s="35" t="n"/>
      <c r="C407" s="35" t="n"/>
      <c r="D407" s="35" t="n"/>
      <c r="E407" s="61" t="n"/>
      <c r="F407" s="37" t="n"/>
      <c r="G407" s="39">
        <f>IF(B407="","",IF(F407&lt;&gt;"",F407,IFERROR(VLOOKUP(B407,'Vendors &amp; Crew'!$A$5:$D$34,3,FALSE),0)))</f>
        <v/>
      </c>
      <c r="H407" s="39">
        <f>IF(B407="","",E407*G407*(1+Settings!$B$18))</f>
        <v/>
      </c>
      <c r="I407" s="39">
        <f>IF(B407="","",IFERROR(VLOOKUP(B407,'Vendors &amp; Crew'!$A$5:$D$34,4,FALSE),0))</f>
        <v/>
      </c>
      <c r="J407" s="39">
        <f>IF(B407="","",E407*I407)</f>
        <v/>
      </c>
      <c r="K407" s="59">
        <f>IF(A407="","",A407-WEEKDAY(A407,2)+7)</f>
        <v/>
      </c>
      <c r="L407" s="9">
        <f>IF(B407="","",IF(D407="","Labor",IFERROR(VLOOKUP(D407,Settings!$E$5:$G$28,3,FALSE),"Labor")))</f>
        <v/>
      </c>
      <c r="M407" s="9">
        <f>IF(B407="","",IF(COUNTIF('Vendors &amp; Crew'!$A$5:$A$34,B407)=0,"Worker not in Crew table",IF(C407="","Missing Job ID",IF(COUNTIF(Jobs!$A$5:$A$44,C407)=0,"Unknown Job ID",IF(E407="","Missing hours",IF(A407="","Missing date",""))))))</f>
        <v/>
      </c>
      <c r="N407" s="35" t="n"/>
    </row>
    <row r="408">
      <c r="A408" s="40" t="n"/>
      <c r="B408" s="35" t="n"/>
      <c r="C408" s="35" t="n"/>
      <c r="D408" s="35" t="n"/>
      <c r="E408" s="61" t="n"/>
      <c r="F408" s="37" t="n"/>
      <c r="G408" s="39">
        <f>IF(B408="","",IF(F408&lt;&gt;"",F408,IFERROR(VLOOKUP(B408,'Vendors &amp; Crew'!$A$5:$D$34,3,FALSE),0)))</f>
        <v/>
      </c>
      <c r="H408" s="39">
        <f>IF(B408="","",E408*G408*(1+Settings!$B$18))</f>
        <v/>
      </c>
      <c r="I408" s="39">
        <f>IF(B408="","",IFERROR(VLOOKUP(B408,'Vendors &amp; Crew'!$A$5:$D$34,4,FALSE),0))</f>
        <v/>
      </c>
      <c r="J408" s="39">
        <f>IF(B408="","",E408*I408)</f>
        <v/>
      </c>
      <c r="K408" s="59">
        <f>IF(A408="","",A408-WEEKDAY(A408,2)+7)</f>
        <v/>
      </c>
      <c r="L408" s="9">
        <f>IF(B408="","",IF(D408="","Labor",IFERROR(VLOOKUP(D408,Settings!$E$5:$G$28,3,FALSE),"Labor")))</f>
        <v/>
      </c>
      <c r="M408" s="9">
        <f>IF(B408="","",IF(COUNTIF('Vendors &amp; Crew'!$A$5:$A$34,B408)=0,"Worker not in Crew table",IF(C408="","Missing Job ID",IF(COUNTIF(Jobs!$A$5:$A$44,C408)=0,"Unknown Job ID",IF(E408="","Missing hours",IF(A408="","Missing date",""))))))</f>
        <v/>
      </c>
      <c r="N408" s="35" t="n"/>
    </row>
    <row r="409">
      <c r="A409" s="40" t="n"/>
      <c r="B409" s="35" t="n"/>
      <c r="C409" s="35" t="n"/>
      <c r="D409" s="35" t="n"/>
      <c r="E409" s="61" t="n"/>
      <c r="F409" s="37" t="n"/>
      <c r="G409" s="39">
        <f>IF(B409="","",IF(F409&lt;&gt;"",F409,IFERROR(VLOOKUP(B409,'Vendors &amp; Crew'!$A$5:$D$34,3,FALSE),0)))</f>
        <v/>
      </c>
      <c r="H409" s="39">
        <f>IF(B409="","",E409*G409*(1+Settings!$B$18))</f>
        <v/>
      </c>
      <c r="I409" s="39">
        <f>IF(B409="","",IFERROR(VLOOKUP(B409,'Vendors &amp; Crew'!$A$5:$D$34,4,FALSE),0))</f>
        <v/>
      </c>
      <c r="J409" s="39">
        <f>IF(B409="","",E409*I409)</f>
        <v/>
      </c>
      <c r="K409" s="59">
        <f>IF(A409="","",A409-WEEKDAY(A409,2)+7)</f>
        <v/>
      </c>
      <c r="L409" s="9">
        <f>IF(B409="","",IF(D409="","Labor",IFERROR(VLOOKUP(D409,Settings!$E$5:$G$28,3,FALSE),"Labor")))</f>
        <v/>
      </c>
      <c r="M409" s="9">
        <f>IF(B409="","",IF(COUNTIF('Vendors &amp; Crew'!$A$5:$A$34,B409)=0,"Worker not in Crew table",IF(C409="","Missing Job ID",IF(COUNTIF(Jobs!$A$5:$A$44,C409)=0,"Unknown Job ID",IF(E409="","Missing hours",IF(A409="","Missing date",""))))))</f>
        <v/>
      </c>
      <c r="N409" s="35" t="n"/>
    </row>
    <row r="410">
      <c r="A410" s="40" t="n"/>
      <c r="B410" s="35" t="n"/>
      <c r="C410" s="35" t="n"/>
      <c r="D410" s="35" t="n"/>
      <c r="E410" s="61" t="n"/>
      <c r="F410" s="37" t="n"/>
      <c r="G410" s="39">
        <f>IF(B410="","",IF(F410&lt;&gt;"",F410,IFERROR(VLOOKUP(B410,'Vendors &amp; Crew'!$A$5:$D$34,3,FALSE),0)))</f>
        <v/>
      </c>
      <c r="H410" s="39">
        <f>IF(B410="","",E410*G410*(1+Settings!$B$18))</f>
        <v/>
      </c>
      <c r="I410" s="39">
        <f>IF(B410="","",IFERROR(VLOOKUP(B410,'Vendors &amp; Crew'!$A$5:$D$34,4,FALSE),0))</f>
        <v/>
      </c>
      <c r="J410" s="39">
        <f>IF(B410="","",E410*I410)</f>
        <v/>
      </c>
      <c r="K410" s="59">
        <f>IF(A410="","",A410-WEEKDAY(A410,2)+7)</f>
        <v/>
      </c>
      <c r="L410" s="9">
        <f>IF(B410="","",IF(D410="","Labor",IFERROR(VLOOKUP(D410,Settings!$E$5:$G$28,3,FALSE),"Labor")))</f>
        <v/>
      </c>
      <c r="M410" s="9">
        <f>IF(B410="","",IF(COUNTIF('Vendors &amp; Crew'!$A$5:$A$34,B410)=0,"Worker not in Crew table",IF(C410="","Missing Job ID",IF(COUNTIF(Jobs!$A$5:$A$44,C410)=0,"Unknown Job ID",IF(E410="","Missing hours",IF(A410="","Missing date",""))))))</f>
        <v/>
      </c>
      <c r="N410" s="35" t="n"/>
    </row>
    <row r="411">
      <c r="A411" s="40" t="n"/>
      <c r="B411" s="35" t="n"/>
      <c r="C411" s="35" t="n"/>
      <c r="D411" s="35" t="n"/>
      <c r="E411" s="61" t="n"/>
      <c r="F411" s="37" t="n"/>
      <c r="G411" s="39">
        <f>IF(B411="","",IF(F411&lt;&gt;"",F411,IFERROR(VLOOKUP(B411,'Vendors &amp; Crew'!$A$5:$D$34,3,FALSE),0)))</f>
        <v/>
      </c>
      <c r="H411" s="39">
        <f>IF(B411="","",E411*G411*(1+Settings!$B$18))</f>
        <v/>
      </c>
      <c r="I411" s="39">
        <f>IF(B411="","",IFERROR(VLOOKUP(B411,'Vendors &amp; Crew'!$A$5:$D$34,4,FALSE),0))</f>
        <v/>
      </c>
      <c r="J411" s="39">
        <f>IF(B411="","",E411*I411)</f>
        <v/>
      </c>
      <c r="K411" s="59">
        <f>IF(A411="","",A411-WEEKDAY(A411,2)+7)</f>
        <v/>
      </c>
      <c r="L411" s="9">
        <f>IF(B411="","",IF(D411="","Labor",IFERROR(VLOOKUP(D411,Settings!$E$5:$G$28,3,FALSE),"Labor")))</f>
        <v/>
      </c>
      <c r="M411" s="9">
        <f>IF(B411="","",IF(COUNTIF('Vendors &amp; Crew'!$A$5:$A$34,B411)=0,"Worker not in Crew table",IF(C411="","Missing Job ID",IF(COUNTIF(Jobs!$A$5:$A$44,C411)=0,"Unknown Job ID",IF(E411="","Missing hours",IF(A411="","Missing date",""))))))</f>
        <v/>
      </c>
      <c r="N411" s="35" t="n"/>
    </row>
    <row r="412">
      <c r="A412" s="40" t="n"/>
      <c r="B412" s="35" t="n"/>
      <c r="C412" s="35" t="n"/>
      <c r="D412" s="35" t="n"/>
      <c r="E412" s="61" t="n"/>
      <c r="F412" s="37" t="n"/>
      <c r="G412" s="39">
        <f>IF(B412="","",IF(F412&lt;&gt;"",F412,IFERROR(VLOOKUP(B412,'Vendors &amp; Crew'!$A$5:$D$34,3,FALSE),0)))</f>
        <v/>
      </c>
      <c r="H412" s="39">
        <f>IF(B412="","",E412*G412*(1+Settings!$B$18))</f>
        <v/>
      </c>
      <c r="I412" s="39">
        <f>IF(B412="","",IFERROR(VLOOKUP(B412,'Vendors &amp; Crew'!$A$5:$D$34,4,FALSE),0))</f>
        <v/>
      </c>
      <c r="J412" s="39">
        <f>IF(B412="","",E412*I412)</f>
        <v/>
      </c>
      <c r="K412" s="59">
        <f>IF(A412="","",A412-WEEKDAY(A412,2)+7)</f>
        <v/>
      </c>
      <c r="L412" s="9">
        <f>IF(B412="","",IF(D412="","Labor",IFERROR(VLOOKUP(D412,Settings!$E$5:$G$28,3,FALSE),"Labor")))</f>
        <v/>
      </c>
      <c r="M412" s="9">
        <f>IF(B412="","",IF(COUNTIF('Vendors &amp; Crew'!$A$5:$A$34,B412)=0,"Worker not in Crew table",IF(C412="","Missing Job ID",IF(COUNTIF(Jobs!$A$5:$A$44,C412)=0,"Unknown Job ID",IF(E412="","Missing hours",IF(A412="","Missing date",""))))))</f>
        <v/>
      </c>
      <c r="N412" s="35" t="n"/>
    </row>
    <row r="413">
      <c r="A413" s="40" t="n"/>
      <c r="B413" s="35" t="n"/>
      <c r="C413" s="35" t="n"/>
      <c r="D413" s="35" t="n"/>
      <c r="E413" s="61" t="n"/>
      <c r="F413" s="37" t="n"/>
      <c r="G413" s="39">
        <f>IF(B413="","",IF(F413&lt;&gt;"",F413,IFERROR(VLOOKUP(B413,'Vendors &amp; Crew'!$A$5:$D$34,3,FALSE),0)))</f>
        <v/>
      </c>
      <c r="H413" s="39">
        <f>IF(B413="","",E413*G413*(1+Settings!$B$18))</f>
        <v/>
      </c>
      <c r="I413" s="39">
        <f>IF(B413="","",IFERROR(VLOOKUP(B413,'Vendors &amp; Crew'!$A$5:$D$34,4,FALSE),0))</f>
        <v/>
      </c>
      <c r="J413" s="39">
        <f>IF(B413="","",E413*I413)</f>
        <v/>
      </c>
      <c r="K413" s="59">
        <f>IF(A413="","",A413-WEEKDAY(A413,2)+7)</f>
        <v/>
      </c>
      <c r="L413" s="9">
        <f>IF(B413="","",IF(D413="","Labor",IFERROR(VLOOKUP(D413,Settings!$E$5:$G$28,3,FALSE),"Labor")))</f>
        <v/>
      </c>
      <c r="M413" s="9">
        <f>IF(B413="","",IF(COUNTIF('Vendors &amp; Crew'!$A$5:$A$34,B413)=0,"Worker not in Crew table",IF(C413="","Missing Job ID",IF(COUNTIF(Jobs!$A$5:$A$44,C413)=0,"Unknown Job ID",IF(E413="","Missing hours",IF(A413="","Missing date",""))))))</f>
        <v/>
      </c>
      <c r="N413" s="35" t="n"/>
    </row>
    <row r="414">
      <c r="A414" s="40" t="n"/>
      <c r="B414" s="35" t="n"/>
      <c r="C414" s="35" t="n"/>
      <c r="D414" s="35" t="n"/>
      <c r="E414" s="61" t="n"/>
      <c r="F414" s="37" t="n"/>
      <c r="G414" s="39">
        <f>IF(B414="","",IF(F414&lt;&gt;"",F414,IFERROR(VLOOKUP(B414,'Vendors &amp; Crew'!$A$5:$D$34,3,FALSE),0)))</f>
        <v/>
      </c>
      <c r="H414" s="39">
        <f>IF(B414="","",E414*G414*(1+Settings!$B$18))</f>
        <v/>
      </c>
      <c r="I414" s="39">
        <f>IF(B414="","",IFERROR(VLOOKUP(B414,'Vendors &amp; Crew'!$A$5:$D$34,4,FALSE),0))</f>
        <v/>
      </c>
      <c r="J414" s="39">
        <f>IF(B414="","",E414*I414)</f>
        <v/>
      </c>
      <c r="K414" s="59">
        <f>IF(A414="","",A414-WEEKDAY(A414,2)+7)</f>
        <v/>
      </c>
      <c r="L414" s="9">
        <f>IF(B414="","",IF(D414="","Labor",IFERROR(VLOOKUP(D414,Settings!$E$5:$G$28,3,FALSE),"Labor")))</f>
        <v/>
      </c>
      <c r="M414" s="9">
        <f>IF(B414="","",IF(COUNTIF('Vendors &amp; Crew'!$A$5:$A$34,B414)=0,"Worker not in Crew table",IF(C414="","Missing Job ID",IF(COUNTIF(Jobs!$A$5:$A$44,C414)=0,"Unknown Job ID",IF(E414="","Missing hours",IF(A414="","Missing date",""))))))</f>
        <v/>
      </c>
      <c r="N414" s="35" t="n"/>
    </row>
    <row r="415">
      <c r="A415" s="40" t="n"/>
      <c r="B415" s="35" t="n"/>
      <c r="C415" s="35" t="n"/>
      <c r="D415" s="35" t="n"/>
      <c r="E415" s="61" t="n"/>
      <c r="F415" s="37" t="n"/>
      <c r="G415" s="39">
        <f>IF(B415="","",IF(F415&lt;&gt;"",F415,IFERROR(VLOOKUP(B415,'Vendors &amp; Crew'!$A$5:$D$34,3,FALSE),0)))</f>
        <v/>
      </c>
      <c r="H415" s="39">
        <f>IF(B415="","",E415*G415*(1+Settings!$B$18))</f>
        <v/>
      </c>
      <c r="I415" s="39">
        <f>IF(B415="","",IFERROR(VLOOKUP(B415,'Vendors &amp; Crew'!$A$5:$D$34,4,FALSE),0))</f>
        <v/>
      </c>
      <c r="J415" s="39">
        <f>IF(B415="","",E415*I415)</f>
        <v/>
      </c>
      <c r="K415" s="59">
        <f>IF(A415="","",A415-WEEKDAY(A415,2)+7)</f>
        <v/>
      </c>
      <c r="L415" s="9">
        <f>IF(B415="","",IF(D415="","Labor",IFERROR(VLOOKUP(D415,Settings!$E$5:$G$28,3,FALSE),"Labor")))</f>
        <v/>
      </c>
      <c r="M415" s="9">
        <f>IF(B415="","",IF(COUNTIF('Vendors &amp; Crew'!$A$5:$A$34,B415)=0,"Worker not in Crew table",IF(C415="","Missing Job ID",IF(COUNTIF(Jobs!$A$5:$A$44,C415)=0,"Unknown Job ID",IF(E415="","Missing hours",IF(A415="","Missing date",""))))))</f>
        <v/>
      </c>
      <c r="N415" s="35" t="n"/>
    </row>
    <row r="416">
      <c r="A416" s="40" t="n"/>
      <c r="B416" s="35" t="n"/>
      <c r="C416" s="35" t="n"/>
      <c r="D416" s="35" t="n"/>
      <c r="E416" s="61" t="n"/>
      <c r="F416" s="37" t="n"/>
      <c r="G416" s="39">
        <f>IF(B416="","",IF(F416&lt;&gt;"",F416,IFERROR(VLOOKUP(B416,'Vendors &amp; Crew'!$A$5:$D$34,3,FALSE),0)))</f>
        <v/>
      </c>
      <c r="H416" s="39">
        <f>IF(B416="","",E416*G416*(1+Settings!$B$18))</f>
        <v/>
      </c>
      <c r="I416" s="39">
        <f>IF(B416="","",IFERROR(VLOOKUP(B416,'Vendors &amp; Crew'!$A$5:$D$34,4,FALSE),0))</f>
        <v/>
      </c>
      <c r="J416" s="39">
        <f>IF(B416="","",E416*I416)</f>
        <v/>
      </c>
      <c r="K416" s="59">
        <f>IF(A416="","",A416-WEEKDAY(A416,2)+7)</f>
        <v/>
      </c>
      <c r="L416" s="9">
        <f>IF(B416="","",IF(D416="","Labor",IFERROR(VLOOKUP(D416,Settings!$E$5:$G$28,3,FALSE),"Labor")))</f>
        <v/>
      </c>
      <c r="M416" s="9">
        <f>IF(B416="","",IF(COUNTIF('Vendors &amp; Crew'!$A$5:$A$34,B416)=0,"Worker not in Crew table",IF(C416="","Missing Job ID",IF(COUNTIF(Jobs!$A$5:$A$44,C416)=0,"Unknown Job ID",IF(E416="","Missing hours",IF(A416="","Missing date",""))))))</f>
        <v/>
      </c>
      <c r="N416" s="35" t="n"/>
    </row>
    <row r="417">
      <c r="A417" s="40" t="n"/>
      <c r="B417" s="35" t="n"/>
      <c r="C417" s="35" t="n"/>
      <c r="D417" s="35" t="n"/>
      <c r="E417" s="61" t="n"/>
      <c r="F417" s="37" t="n"/>
      <c r="G417" s="39">
        <f>IF(B417="","",IF(F417&lt;&gt;"",F417,IFERROR(VLOOKUP(B417,'Vendors &amp; Crew'!$A$5:$D$34,3,FALSE),0)))</f>
        <v/>
      </c>
      <c r="H417" s="39">
        <f>IF(B417="","",E417*G417*(1+Settings!$B$18))</f>
        <v/>
      </c>
      <c r="I417" s="39">
        <f>IF(B417="","",IFERROR(VLOOKUP(B417,'Vendors &amp; Crew'!$A$5:$D$34,4,FALSE),0))</f>
        <v/>
      </c>
      <c r="J417" s="39">
        <f>IF(B417="","",E417*I417)</f>
        <v/>
      </c>
      <c r="K417" s="59">
        <f>IF(A417="","",A417-WEEKDAY(A417,2)+7)</f>
        <v/>
      </c>
      <c r="L417" s="9">
        <f>IF(B417="","",IF(D417="","Labor",IFERROR(VLOOKUP(D417,Settings!$E$5:$G$28,3,FALSE),"Labor")))</f>
        <v/>
      </c>
      <c r="M417" s="9">
        <f>IF(B417="","",IF(COUNTIF('Vendors &amp; Crew'!$A$5:$A$34,B417)=0,"Worker not in Crew table",IF(C417="","Missing Job ID",IF(COUNTIF(Jobs!$A$5:$A$44,C417)=0,"Unknown Job ID",IF(E417="","Missing hours",IF(A417="","Missing date",""))))))</f>
        <v/>
      </c>
      <c r="N417" s="35" t="n"/>
    </row>
    <row r="418">
      <c r="A418" s="40" t="n"/>
      <c r="B418" s="35" t="n"/>
      <c r="C418" s="35" t="n"/>
      <c r="D418" s="35" t="n"/>
      <c r="E418" s="61" t="n"/>
      <c r="F418" s="37" t="n"/>
      <c r="G418" s="39">
        <f>IF(B418="","",IF(F418&lt;&gt;"",F418,IFERROR(VLOOKUP(B418,'Vendors &amp; Crew'!$A$5:$D$34,3,FALSE),0)))</f>
        <v/>
      </c>
      <c r="H418" s="39">
        <f>IF(B418="","",E418*G418*(1+Settings!$B$18))</f>
        <v/>
      </c>
      <c r="I418" s="39">
        <f>IF(B418="","",IFERROR(VLOOKUP(B418,'Vendors &amp; Crew'!$A$5:$D$34,4,FALSE),0))</f>
        <v/>
      </c>
      <c r="J418" s="39">
        <f>IF(B418="","",E418*I418)</f>
        <v/>
      </c>
      <c r="K418" s="59">
        <f>IF(A418="","",A418-WEEKDAY(A418,2)+7)</f>
        <v/>
      </c>
      <c r="L418" s="9">
        <f>IF(B418="","",IF(D418="","Labor",IFERROR(VLOOKUP(D418,Settings!$E$5:$G$28,3,FALSE),"Labor")))</f>
        <v/>
      </c>
      <c r="M418" s="9">
        <f>IF(B418="","",IF(COUNTIF('Vendors &amp; Crew'!$A$5:$A$34,B418)=0,"Worker not in Crew table",IF(C418="","Missing Job ID",IF(COUNTIF(Jobs!$A$5:$A$44,C418)=0,"Unknown Job ID",IF(E418="","Missing hours",IF(A418="","Missing date",""))))))</f>
        <v/>
      </c>
      <c r="N418" s="35" t="n"/>
    </row>
    <row r="419">
      <c r="A419" s="40" t="n"/>
      <c r="B419" s="35" t="n"/>
      <c r="C419" s="35" t="n"/>
      <c r="D419" s="35" t="n"/>
      <c r="E419" s="61" t="n"/>
      <c r="F419" s="37" t="n"/>
      <c r="G419" s="39">
        <f>IF(B419="","",IF(F419&lt;&gt;"",F419,IFERROR(VLOOKUP(B419,'Vendors &amp; Crew'!$A$5:$D$34,3,FALSE),0)))</f>
        <v/>
      </c>
      <c r="H419" s="39">
        <f>IF(B419="","",E419*G419*(1+Settings!$B$18))</f>
        <v/>
      </c>
      <c r="I419" s="39">
        <f>IF(B419="","",IFERROR(VLOOKUP(B419,'Vendors &amp; Crew'!$A$5:$D$34,4,FALSE),0))</f>
        <v/>
      </c>
      <c r="J419" s="39">
        <f>IF(B419="","",E419*I419)</f>
        <v/>
      </c>
      <c r="K419" s="59">
        <f>IF(A419="","",A419-WEEKDAY(A419,2)+7)</f>
        <v/>
      </c>
      <c r="L419" s="9">
        <f>IF(B419="","",IF(D419="","Labor",IFERROR(VLOOKUP(D419,Settings!$E$5:$G$28,3,FALSE),"Labor")))</f>
        <v/>
      </c>
      <c r="M419" s="9">
        <f>IF(B419="","",IF(COUNTIF('Vendors &amp; Crew'!$A$5:$A$34,B419)=0,"Worker not in Crew table",IF(C419="","Missing Job ID",IF(COUNTIF(Jobs!$A$5:$A$44,C419)=0,"Unknown Job ID",IF(E419="","Missing hours",IF(A419="","Missing date",""))))))</f>
        <v/>
      </c>
      <c r="N419" s="35" t="n"/>
    </row>
    <row r="420">
      <c r="A420" s="40" t="n"/>
      <c r="B420" s="35" t="n"/>
      <c r="C420" s="35" t="n"/>
      <c r="D420" s="35" t="n"/>
      <c r="E420" s="61" t="n"/>
      <c r="F420" s="37" t="n"/>
      <c r="G420" s="39">
        <f>IF(B420="","",IF(F420&lt;&gt;"",F420,IFERROR(VLOOKUP(B420,'Vendors &amp; Crew'!$A$5:$D$34,3,FALSE),0)))</f>
        <v/>
      </c>
      <c r="H420" s="39">
        <f>IF(B420="","",E420*G420*(1+Settings!$B$18))</f>
        <v/>
      </c>
      <c r="I420" s="39">
        <f>IF(B420="","",IFERROR(VLOOKUP(B420,'Vendors &amp; Crew'!$A$5:$D$34,4,FALSE),0))</f>
        <v/>
      </c>
      <c r="J420" s="39">
        <f>IF(B420="","",E420*I420)</f>
        <v/>
      </c>
      <c r="K420" s="59">
        <f>IF(A420="","",A420-WEEKDAY(A420,2)+7)</f>
        <v/>
      </c>
      <c r="L420" s="9">
        <f>IF(B420="","",IF(D420="","Labor",IFERROR(VLOOKUP(D420,Settings!$E$5:$G$28,3,FALSE),"Labor")))</f>
        <v/>
      </c>
      <c r="M420" s="9">
        <f>IF(B420="","",IF(COUNTIF('Vendors &amp; Crew'!$A$5:$A$34,B420)=0,"Worker not in Crew table",IF(C420="","Missing Job ID",IF(COUNTIF(Jobs!$A$5:$A$44,C420)=0,"Unknown Job ID",IF(E420="","Missing hours",IF(A420="","Missing date",""))))))</f>
        <v/>
      </c>
      <c r="N420" s="35" t="n"/>
    </row>
    <row r="421">
      <c r="A421" s="40" t="n"/>
      <c r="B421" s="35" t="n"/>
      <c r="C421" s="35" t="n"/>
      <c r="D421" s="35" t="n"/>
      <c r="E421" s="61" t="n"/>
      <c r="F421" s="37" t="n"/>
      <c r="G421" s="39">
        <f>IF(B421="","",IF(F421&lt;&gt;"",F421,IFERROR(VLOOKUP(B421,'Vendors &amp; Crew'!$A$5:$D$34,3,FALSE),0)))</f>
        <v/>
      </c>
      <c r="H421" s="39">
        <f>IF(B421="","",E421*G421*(1+Settings!$B$18))</f>
        <v/>
      </c>
      <c r="I421" s="39">
        <f>IF(B421="","",IFERROR(VLOOKUP(B421,'Vendors &amp; Crew'!$A$5:$D$34,4,FALSE),0))</f>
        <v/>
      </c>
      <c r="J421" s="39">
        <f>IF(B421="","",E421*I421)</f>
        <v/>
      </c>
      <c r="K421" s="59">
        <f>IF(A421="","",A421-WEEKDAY(A421,2)+7)</f>
        <v/>
      </c>
      <c r="L421" s="9">
        <f>IF(B421="","",IF(D421="","Labor",IFERROR(VLOOKUP(D421,Settings!$E$5:$G$28,3,FALSE),"Labor")))</f>
        <v/>
      </c>
      <c r="M421" s="9">
        <f>IF(B421="","",IF(COUNTIF('Vendors &amp; Crew'!$A$5:$A$34,B421)=0,"Worker not in Crew table",IF(C421="","Missing Job ID",IF(COUNTIF(Jobs!$A$5:$A$44,C421)=0,"Unknown Job ID",IF(E421="","Missing hours",IF(A421="","Missing date",""))))))</f>
        <v/>
      </c>
      <c r="N421" s="35" t="n"/>
    </row>
    <row r="422">
      <c r="A422" s="40" t="n"/>
      <c r="B422" s="35" t="n"/>
      <c r="C422" s="35" t="n"/>
      <c r="D422" s="35" t="n"/>
      <c r="E422" s="61" t="n"/>
      <c r="F422" s="37" t="n"/>
      <c r="G422" s="39">
        <f>IF(B422="","",IF(F422&lt;&gt;"",F422,IFERROR(VLOOKUP(B422,'Vendors &amp; Crew'!$A$5:$D$34,3,FALSE),0)))</f>
        <v/>
      </c>
      <c r="H422" s="39">
        <f>IF(B422="","",E422*G422*(1+Settings!$B$18))</f>
        <v/>
      </c>
      <c r="I422" s="39">
        <f>IF(B422="","",IFERROR(VLOOKUP(B422,'Vendors &amp; Crew'!$A$5:$D$34,4,FALSE),0))</f>
        <v/>
      </c>
      <c r="J422" s="39">
        <f>IF(B422="","",E422*I422)</f>
        <v/>
      </c>
      <c r="K422" s="59">
        <f>IF(A422="","",A422-WEEKDAY(A422,2)+7)</f>
        <v/>
      </c>
      <c r="L422" s="9">
        <f>IF(B422="","",IF(D422="","Labor",IFERROR(VLOOKUP(D422,Settings!$E$5:$G$28,3,FALSE),"Labor")))</f>
        <v/>
      </c>
      <c r="M422" s="9">
        <f>IF(B422="","",IF(COUNTIF('Vendors &amp; Crew'!$A$5:$A$34,B422)=0,"Worker not in Crew table",IF(C422="","Missing Job ID",IF(COUNTIF(Jobs!$A$5:$A$44,C422)=0,"Unknown Job ID",IF(E422="","Missing hours",IF(A422="","Missing date",""))))))</f>
        <v/>
      </c>
      <c r="N422" s="35" t="n"/>
    </row>
    <row r="423">
      <c r="A423" s="40" t="n"/>
      <c r="B423" s="35" t="n"/>
      <c r="C423" s="35" t="n"/>
      <c r="D423" s="35" t="n"/>
      <c r="E423" s="61" t="n"/>
      <c r="F423" s="37" t="n"/>
      <c r="G423" s="39">
        <f>IF(B423="","",IF(F423&lt;&gt;"",F423,IFERROR(VLOOKUP(B423,'Vendors &amp; Crew'!$A$5:$D$34,3,FALSE),0)))</f>
        <v/>
      </c>
      <c r="H423" s="39">
        <f>IF(B423="","",E423*G423*(1+Settings!$B$18))</f>
        <v/>
      </c>
      <c r="I423" s="39">
        <f>IF(B423="","",IFERROR(VLOOKUP(B423,'Vendors &amp; Crew'!$A$5:$D$34,4,FALSE),0))</f>
        <v/>
      </c>
      <c r="J423" s="39">
        <f>IF(B423="","",E423*I423)</f>
        <v/>
      </c>
      <c r="K423" s="59">
        <f>IF(A423="","",A423-WEEKDAY(A423,2)+7)</f>
        <v/>
      </c>
      <c r="L423" s="9">
        <f>IF(B423="","",IF(D423="","Labor",IFERROR(VLOOKUP(D423,Settings!$E$5:$G$28,3,FALSE),"Labor")))</f>
        <v/>
      </c>
      <c r="M423" s="9">
        <f>IF(B423="","",IF(COUNTIF('Vendors &amp; Crew'!$A$5:$A$34,B423)=0,"Worker not in Crew table",IF(C423="","Missing Job ID",IF(COUNTIF(Jobs!$A$5:$A$44,C423)=0,"Unknown Job ID",IF(E423="","Missing hours",IF(A423="","Missing date",""))))))</f>
        <v/>
      </c>
      <c r="N423" s="35" t="n"/>
    </row>
    <row r="424">
      <c r="A424" s="40" t="n"/>
      <c r="B424" s="35" t="n"/>
      <c r="C424" s="35" t="n"/>
      <c r="D424" s="35" t="n"/>
      <c r="E424" s="61" t="n"/>
      <c r="F424" s="37" t="n"/>
      <c r="G424" s="39">
        <f>IF(B424="","",IF(F424&lt;&gt;"",F424,IFERROR(VLOOKUP(B424,'Vendors &amp; Crew'!$A$5:$D$34,3,FALSE),0)))</f>
        <v/>
      </c>
      <c r="H424" s="39">
        <f>IF(B424="","",E424*G424*(1+Settings!$B$18))</f>
        <v/>
      </c>
      <c r="I424" s="39">
        <f>IF(B424="","",IFERROR(VLOOKUP(B424,'Vendors &amp; Crew'!$A$5:$D$34,4,FALSE),0))</f>
        <v/>
      </c>
      <c r="J424" s="39">
        <f>IF(B424="","",E424*I424)</f>
        <v/>
      </c>
      <c r="K424" s="59">
        <f>IF(A424="","",A424-WEEKDAY(A424,2)+7)</f>
        <v/>
      </c>
      <c r="L424" s="9">
        <f>IF(B424="","",IF(D424="","Labor",IFERROR(VLOOKUP(D424,Settings!$E$5:$G$28,3,FALSE),"Labor")))</f>
        <v/>
      </c>
      <c r="M424" s="9">
        <f>IF(B424="","",IF(COUNTIF('Vendors &amp; Crew'!$A$5:$A$34,B424)=0,"Worker not in Crew table",IF(C424="","Missing Job ID",IF(COUNTIF(Jobs!$A$5:$A$44,C424)=0,"Unknown Job ID",IF(E424="","Missing hours",IF(A424="","Missing date",""))))))</f>
        <v/>
      </c>
      <c r="N424" s="35" t="n"/>
    </row>
    <row r="425">
      <c r="A425" s="40" t="n"/>
      <c r="B425" s="35" t="n"/>
      <c r="C425" s="35" t="n"/>
      <c r="D425" s="35" t="n"/>
      <c r="E425" s="61" t="n"/>
      <c r="F425" s="37" t="n"/>
      <c r="G425" s="39">
        <f>IF(B425="","",IF(F425&lt;&gt;"",F425,IFERROR(VLOOKUP(B425,'Vendors &amp; Crew'!$A$5:$D$34,3,FALSE),0)))</f>
        <v/>
      </c>
      <c r="H425" s="39">
        <f>IF(B425="","",E425*G425*(1+Settings!$B$18))</f>
        <v/>
      </c>
      <c r="I425" s="39">
        <f>IF(B425="","",IFERROR(VLOOKUP(B425,'Vendors &amp; Crew'!$A$5:$D$34,4,FALSE),0))</f>
        <v/>
      </c>
      <c r="J425" s="39">
        <f>IF(B425="","",E425*I425)</f>
        <v/>
      </c>
      <c r="K425" s="59">
        <f>IF(A425="","",A425-WEEKDAY(A425,2)+7)</f>
        <v/>
      </c>
      <c r="L425" s="9">
        <f>IF(B425="","",IF(D425="","Labor",IFERROR(VLOOKUP(D425,Settings!$E$5:$G$28,3,FALSE),"Labor")))</f>
        <v/>
      </c>
      <c r="M425" s="9">
        <f>IF(B425="","",IF(COUNTIF('Vendors &amp; Crew'!$A$5:$A$34,B425)=0,"Worker not in Crew table",IF(C425="","Missing Job ID",IF(COUNTIF(Jobs!$A$5:$A$44,C425)=0,"Unknown Job ID",IF(E425="","Missing hours",IF(A425="","Missing date",""))))))</f>
        <v/>
      </c>
      <c r="N425" s="35" t="n"/>
    </row>
    <row r="426">
      <c r="A426" s="40" t="n"/>
      <c r="B426" s="35" t="n"/>
      <c r="C426" s="35" t="n"/>
      <c r="D426" s="35" t="n"/>
      <c r="E426" s="61" t="n"/>
      <c r="F426" s="37" t="n"/>
      <c r="G426" s="39">
        <f>IF(B426="","",IF(F426&lt;&gt;"",F426,IFERROR(VLOOKUP(B426,'Vendors &amp; Crew'!$A$5:$D$34,3,FALSE),0)))</f>
        <v/>
      </c>
      <c r="H426" s="39">
        <f>IF(B426="","",E426*G426*(1+Settings!$B$18))</f>
        <v/>
      </c>
      <c r="I426" s="39">
        <f>IF(B426="","",IFERROR(VLOOKUP(B426,'Vendors &amp; Crew'!$A$5:$D$34,4,FALSE),0))</f>
        <v/>
      </c>
      <c r="J426" s="39">
        <f>IF(B426="","",E426*I426)</f>
        <v/>
      </c>
      <c r="K426" s="59">
        <f>IF(A426="","",A426-WEEKDAY(A426,2)+7)</f>
        <v/>
      </c>
      <c r="L426" s="9">
        <f>IF(B426="","",IF(D426="","Labor",IFERROR(VLOOKUP(D426,Settings!$E$5:$G$28,3,FALSE),"Labor")))</f>
        <v/>
      </c>
      <c r="M426" s="9">
        <f>IF(B426="","",IF(COUNTIF('Vendors &amp; Crew'!$A$5:$A$34,B426)=0,"Worker not in Crew table",IF(C426="","Missing Job ID",IF(COUNTIF(Jobs!$A$5:$A$44,C426)=0,"Unknown Job ID",IF(E426="","Missing hours",IF(A426="","Missing date",""))))))</f>
        <v/>
      </c>
      <c r="N426" s="35" t="n"/>
    </row>
    <row r="427">
      <c r="A427" s="40" t="n"/>
      <c r="B427" s="35" t="n"/>
      <c r="C427" s="35" t="n"/>
      <c r="D427" s="35" t="n"/>
      <c r="E427" s="61" t="n"/>
      <c r="F427" s="37" t="n"/>
      <c r="G427" s="39">
        <f>IF(B427="","",IF(F427&lt;&gt;"",F427,IFERROR(VLOOKUP(B427,'Vendors &amp; Crew'!$A$5:$D$34,3,FALSE),0)))</f>
        <v/>
      </c>
      <c r="H427" s="39">
        <f>IF(B427="","",E427*G427*(1+Settings!$B$18))</f>
        <v/>
      </c>
      <c r="I427" s="39">
        <f>IF(B427="","",IFERROR(VLOOKUP(B427,'Vendors &amp; Crew'!$A$5:$D$34,4,FALSE),0))</f>
        <v/>
      </c>
      <c r="J427" s="39">
        <f>IF(B427="","",E427*I427)</f>
        <v/>
      </c>
      <c r="K427" s="59">
        <f>IF(A427="","",A427-WEEKDAY(A427,2)+7)</f>
        <v/>
      </c>
      <c r="L427" s="9">
        <f>IF(B427="","",IF(D427="","Labor",IFERROR(VLOOKUP(D427,Settings!$E$5:$G$28,3,FALSE),"Labor")))</f>
        <v/>
      </c>
      <c r="M427" s="9">
        <f>IF(B427="","",IF(COUNTIF('Vendors &amp; Crew'!$A$5:$A$34,B427)=0,"Worker not in Crew table",IF(C427="","Missing Job ID",IF(COUNTIF(Jobs!$A$5:$A$44,C427)=0,"Unknown Job ID",IF(E427="","Missing hours",IF(A427="","Missing date",""))))))</f>
        <v/>
      </c>
      <c r="N427" s="35" t="n"/>
    </row>
    <row r="428">
      <c r="A428" s="40" t="n"/>
      <c r="B428" s="35" t="n"/>
      <c r="C428" s="35" t="n"/>
      <c r="D428" s="35" t="n"/>
      <c r="E428" s="61" t="n"/>
      <c r="F428" s="37" t="n"/>
      <c r="G428" s="39">
        <f>IF(B428="","",IF(F428&lt;&gt;"",F428,IFERROR(VLOOKUP(B428,'Vendors &amp; Crew'!$A$5:$D$34,3,FALSE),0)))</f>
        <v/>
      </c>
      <c r="H428" s="39">
        <f>IF(B428="","",E428*G428*(1+Settings!$B$18))</f>
        <v/>
      </c>
      <c r="I428" s="39">
        <f>IF(B428="","",IFERROR(VLOOKUP(B428,'Vendors &amp; Crew'!$A$5:$D$34,4,FALSE),0))</f>
        <v/>
      </c>
      <c r="J428" s="39">
        <f>IF(B428="","",E428*I428)</f>
        <v/>
      </c>
      <c r="K428" s="59">
        <f>IF(A428="","",A428-WEEKDAY(A428,2)+7)</f>
        <v/>
      </c>
      <c r="L428" s="9">
        <f>IF(B428="","",IF(D428="","Labor",IFERROR(VLOOKUP(D428,Settings!$E$5:$G$28,3,FALSE),"Labor")))</f>
        <v/>
      </c>
      <c r="M428" s="9">
        <f>IF(B428="","",IF(COUNTIF('Vendors &amp; Crew'!$A$5:$A$34,B428)=0,"Worker not in Crew table",IF(C428="","Missing Job ID",IF(COUNTIF(Jobs!$A$5:$A$44,C428)=0,"Unknown Job ID",IF(E428="","Missing hours",IF(A428="","Missing date",""))))))</f>
        <v/>
      </c>
      <c r="N428" s="35" t="n"/>
    </row>
    <row r="429">
      <c r="A429" s="40" t="n"/>
      <c r="B429" s="35" t="n"/>
      <c r="C429" s="35" t="n"/>
      <c r="D429" s="35" t="n"/>
      <c r="E429" s="61" t="n"/>
      <c r="F429" s="37" t="n"/>
      <c r="G429" s="39">
        <f>IF(B429="","",IF(F429&lt;&gt;"",F429,IFERROR(VLOOKUP(B429,'Vendors &amp; Crew'!$A$5:$D$34,3,FALSE),0)))</f>
        <v/>
      </c>
      <c r="H429" s="39">
        <f>IF(B429="","",E429*G429*(1+Settings!$B$18))</f>
        <v/>
      </c>
      <c r="I429" s="39">
        <f>IF(B429="","",IFERROR(VLOOKUP(B429,'Vendors &amp; Crew'!$A$5:$D$34,4,FALSE),0))</f>
        <v/>
      </c>
      <c r="J429" s="39">
        <f>IF(B429="","",E429*I429)</f>
        <v/>
      </c>
      <c r="K429" s="59">
        <f>IF(A429="","",A429-WEEKDAY(A429,2)+7)</f>
        <v/>
      </c>
      <c r="L429" s="9">
        <f>IF(B429="","",IF(D429="","Labor",IFERROR(VLOOKUP(D429,Settings!$E$5:$G$28,3,FALSE),"Labor")))</f>
        <v/>
      </c>
      <c r="M429" s="9">
        <f>IF(B429="","",IF(COUNTIF('Vendors &amp; Crew'!$A$5:$A$34,B429)=0,"Worker not in Crew table",IF(C429="","Missing Job ID",IF(COUNTIF(Jobs!$A$5:$A$44,C429)=0,"Unknown Job ID",IF(E429="","Missing hours",IF(A429="","Missing date",""))))))</f>
        <v/>
      </c>
      <c r="N429" s="35" t="n"/>
    </row>
    <row r="430">
      <c r="A430" s="40" t="n"/>
      <c r="B430" s="35" t="n"/>
      <c r="C430" s="35" t="n"/>
      <c r="D430" s="35" t="n"/>
      <c r="E430" s="61" t="n"/>
      <c r="F430" s="37" t="n"/>
      <c r="G430" s="39">
        <f>IF(B430="","",IF(F430&lt;&gt;"",F430,IFERROR(VLOOKUP(B430,'Vendors &amp; Crew'!$A$5:$D$34,3,FALSE),0)))</f>
        <v/>
      </c>
      <c r="H430" s="39">
        <f>IF(B430="","",E430*G430*(1+Settings!$B$18))</f>
        <v/>
      </c>
      <c r="I430" s="39">
        <f>IF(B430="","",IFERROR(VLOOKUP(B430,'Vendors &amp; Crew'!$A$5:$D$34,4,FALSE),0))</f>
        <v/>
      </c>
      <c r="J430" s="39">
        <f>IF(B430="","",E430*I430)</f>
        <v/>
      </c>
      <c r="K430" s="59">
        <f>IF(A430="","",A430-WEEKDAY(A430,2)+7)</f>
        <v/>
      </c>
      <c r="L430" s="9">
        <f>IF(B430="","",IF(D430="","Labor",IFERROR(VLOOKUP(D430,Settings!$E$5:$G$28,3,FALSE),"Labor")))</f>
        <v/>
      </c>
      <c r="M430" s="9">
        <f>IF(B430="","",IF(COUNTIF('Vendors &amp; Crew'!$A$5:$A$34,B430)=0,"Worker not in Crew table",IF(C430="","Missing Job ID",IF(COUNTIF(Jobs!$A$5:$A$44,C430)=0,"Unknown Job ID",IF(E430="","Missing hours",IF(A430="","Missing date",""))))))</f>
        <v/>
      </c>
      <c r="N430" s="35" t="n"/>
    </row>
    <row r="431">
      <c r="A431" s="40" t="n"/>
      <c r="B431" s="35" t="n"/>
      <c r="C431" s="35" t="n"/>
      <c r="D431" s="35" t="n"/>
      <c r="E431" s="61" t="n"/>
      <c r="F431" s="37" t="n"/>
      <c r="G431" s="39">
        <f>IF(B431="","",IF(F431&lt;&gt;"",F431,IFERROR(VLOOKUP(B431,'Vendors &amp; Crew'!$A$5:$D$34,3,FALSE),0)))</f>
        <v/>
      </c>
      <c r="H431" s="39">
        <f>IF(B431="","",E431*G431*(1+Settings!$B$18))</f>
        <v/>
      </c>
      <c r="I431" s="39">
        <f>IF(B431="","",IFERROR(VLOOKUP(B431,'Vendors &amp; Crew'!$A$5:$D$34,4,FALSE),0))</f>
        <v/>
      </c>
      <c r="J431" s="39">
        <f>IF(B431="","",E431*I431)</f>
        <v/>
      </c>
      <c r="K431" s="59">
        <f>IF(A431="","",A431-WEEKDAY(A431,2)+7)</f>
        <v/>
      </c>
      <c r="L431" s="9">
        <f>IF(B431="","",IF(D431="","Labor",IFERROR(VLOOKUP(D431,Settings!$E$5:$G$28,3,FALSE),"Labor")))</f>
        <v/>
      </c>
      <c r="M431" s="9">
        <f>IF(B431="","",IF(COUNTIF('Vendors &amp; Crew'!$A$5:$A$34,B431)=0,"Worker not in Crew table",IF(C431="","Missing Job ID",IF(COUNTIF(Jobs!$A$5:$A$44,C431)=0,"Unknown Job ID",IF(E431="","Missing hours",IF(A431="","Missing date",""))))))</f>
        <v/>
      </c>
      <c r="N431" s="35" t="n"/>
    </row>
    <row r="432">
      <c r="A432" s="40" t="n"/>
      <c r="B432" s="35" t="n"/>
      <c r="C432" s="35" t="n"/>
      <c r="D432" s="35" t="n"/>
      <c r="E432" s="61" t="n"/>
      <c r="F432" s="37" t="n"/>
      <c r="G432" s="39">
        <f>IF(B432="","",IF(F432&lt;&gt;"",F432,IFERROR(VLOOKUP(B432,'Vendors &amp; Crew'!$A$5:$D$34,3,FALSE),0)))</f>
        <v/>
      </c>
      <c r="H432" s="39">
        <f>IF(B432="","",E432*G432*(1+Settings!$B$18))</f>
        <v/>
      </c>
      <c r="I432" s="39">
        <f>IF(B432="","",IFERROR(VLOOKUP(B432,'Vendors &amp; Crew'!$A$5:$D$34,4,FALSE),0))</f>
        <v/>
      </c>
      <c r="J432" s="39">
        <f>IF(B432="","",E432*I432)</f>
        <v/>
      </c>
      <c r="K432" s="59">
        <f>IF(A432="","",A432-WEEKDAY(A432,2)+7)</f>
        <v/>
      </c>
      <c r="L432" s="9">
        <f>IF(B432="","",IF(D432="","Labor",IFERROR(VLOOKUP(D432,Settings!$E$5:$G$28,3,FALSE),"Labor")))</f>
        <v/>
      </c>
      <c r="M432" s="9">
        <f>IF(B432="","",IF(COUNTIF('Vendors &amp; Crew'!$A$5:$A$34,B432)=0,"Worker not in Crew table",IF(C432="","Missing Job ID",IF(COUNTIF(Jobs!$A$5:$A$44,C432)=0,"Unknown Job ID",IF(E432="","Missing hours",IF(A432="","Missing date",""))))))</f>
        <v/>
      </c>
      <c r="N432" s="35" t="n"/>
    </row>
    <row r="433">
      <c r="A433" s="40" t="n"/>
      <c r="B433" s="35" t="n"/>
      <c r="C433" s="35" t="n"/>
      <c r="D433" s="35" t="n"/>
      <c r="E433" s="61" t="n"/>
      <c r="F433" s="37" t="n"/>
      <c r="G433" s="39">
        <f>IF(B433="","",IF(F433&lt;&gt;"",F433,IFERROR(VLOOKUP(B433,'Vendors &amp; Crew'!$A$5:$D$34,3,FALSE),0)))</f>
        <v/>
      </c>
      <c r="H433" s="39">
        <f>IF(B433="","",E433*G433*(1+Settings!$B$18))</f>
        <v/>
      </c>
      <c r="I433" s="39">
        <f>IF(B433="","",IFERROR(VLOOKUP(B433,'Vendors &amp; Crew'!$A$5:$D$34,4,FALSE),0))</f>
        <v/>
      </c>
      <c r="J433" s="39">
        <f>IF(B433="","",E433*I433)</f>
        <v/>
      </c>
      <c r="K433" s="59">
        <f>IF(A433="","",A433-WEEKDAY(A433,2)+7)</f>
        <v/>
      </c>
      <c r="L433" s="9">
        <f>IF(B433="","",IF(D433="","Labor",IFERROR(VLOOKUP(D433,Settings!$E$5:$G$28,3,FALSE),"Labor")))</f>
        <v/>
      </c>
      <c r="M433" s="9">
        <f>IF(B433="","",IF(COUNTIF('Vendors &amp; Crew'!$A$5:$A$34,B433)=0,"Worker not in Crew table",IF(C433="","Missing Job ID",IF(COUNTIF(Jobs!$A$5:$A$44,C433)=0,"Unknown Job ID",IF(E433="","Missing hours",IF(A433="","Missing date",""))))))</f>
        <v/>
      </c>
      <c r="N433" s="35" t="n"/>
    </row>
    <row r="434">
      <c r="A434" s="40" t="n"/>
      <c r="B434" s="35" t="n"/>
      <c r="C434" s="35" t="n"/>
      <c r="D434" s="35" t="n"/>
      <c r="E434" s="61" t="n"/>
      <c r="F434" s="37" t="n"/>
      <c r="G434" s="39">
        <f>IF(B434="","",IF(F434&lt;&gt;"",F434,IFERROR(VLOOKUP(B434,'Vendors &amp; Crew'!$A$5:$D$34,3,FALSE),0)))</f>
        <v/>
      </c>
      <c r="H434" s="39">
        <f>IF(B434="","",E434*G434*(1+Settings!$B$18))</f>
        <v/>
      </c>
      <c r="I434" s="39">
        <f>IF(B434="","",IFERROR(VLOOKUP(B434,'Vendors &amp; Crew'!$A$5:$D$34,4,FALSE),0))</f>
        <v/>
      </c>
      <c r="J434" s="39">
        <f>IF(B434="","",E434*I434)</f>
        <v/>
      </c>
      <c r="K434" s="59">
        <f>IF(A434="","",A434-WEEKDAY(A434,2)+7)</f>
        <v/>
      </c>
      <c r="L434" s="9">
        <f>IF(B434="","",IF(D434="","Labor",IFERROR(VLOOKUP(D434,Settings!$E$5:$G$28,3,FALSE),"Labor")))</f>
        <v/>
      </c>
      <c r="M434" s="9">
        <f>IF(B434="","",IF(COUNTIF('Vendors &amp; Crew'!$A$5:$A$34,B434)=0,"Worker not in Crew table",IF(C434="","Missing Job ID",IF(COUNTIF(Jobs!$A$5:$A$44,C434)=0,"Unknown Job ID",IF(E434="","Missing hours",IF(A434="","Missing date",""))))))</f>
        <v/>
      </c>
      <c r="N434" s="35" t="n"/>
    </row>
    <row r="435">
      <c r="A435" s="40" t="n"/>
      <c r="B435" s="35" t="n"/>
      <c r="C435" s="35" t="n"/>
      <c r="D435" s="35" t="n"/>
      <c r="E435" s="61" t="n"/>
      <c r="F435" s="37" t="n"/>
      <c r="G435" s="39">
        <f>IF(B435="","",IF(F435&lt;&gt;"",F435,IFERROR(VLOOKUP(B435,'Vendors &amp; Crew'!$A$5:$D$34,3,FALSE),0)))</f>
        <v/>
      </c>
      <c r="H435" s="39">
        <f>IF(B435="","",E435*G435*(1+Settings!$B$18))</f>
        <v/>
      </c>
      <c r="I435" s="39">
        <f>IF(B435="","",IFERROR(VLOOKUP(B435,'Vendors &amp; Crew'!$A$5:$D$34,4,FALSE),0))</f>
        <v/>
      </c>
      <c r="J435" s="39">
        <f>IF(B435="","",E435*I435)</f>
        <v/>
      </c>
      <c r="K435" s="59">
        <f>IF(A435="","",A435-WEEKDAY(A435,2)+7)</f>
        <v/>
      </c>
      <c r="L435" s="9">
        <f>IF(B435="","",IF(D435="","Labor",IFERROR(VLOOKUP(D435,Settings!$E$5:$G$28,3,FALSE),"Labor")))</f>
        <v/>
      </c>
      <c r="M435" s="9">
        <f>IF(B435="","",IF(COUNTIF('Vendors &amp; Crew'!$A$5:$A$34,B435)=0,"Worker not in Crew table",IF(C435="","Missing Job ID",IF(COUNTIF(Jobs!$A$5:$A$44,C435)=0,"Unknown Job ID",IF(E435="","Missing hours",IF(A435="","Missing date",""))))))</f>
        <v/>
      </c>
      <c r="N435" s="35" t="n"/>
    </row>
    <row r="436">
      <c r="A436" s="40" t="n"/>
      <c r="B436" s="35" t="n"/>
      <c r="C436" s="35" t="n"/>
      <c r="D436" s="35" t="n"/>
      <c r="E436" s="61" t="n"/>
      <c r="F436" s="37" t="n"/>
      <c r="G436" s="39">
        <f>IF(B436="","",IF(F436&lt;&gt;"",F436,IFERROR(VLOOKUP(B436,'Vendors &amp; Crew'!$A$5:$D$34,3,FALSE),0)))</f>
        <v/>
      </c>
      <c r="H436" s="39">
        <f>IF(B436="","",E436*G436*(1+Settings!$B$18))</f>
        <v/>
      </c>
      <c r="I436" s="39">
        <f>IF(B436="","",IFERROR(VLOOKUP(B436,'Vendors &amp; Crew'!$A$5:$D$34,4,FALSE),0))</f>
        <v/>
      </c>
      <c r="J436" s="39">
        <f>IF(B436="","",E436*I436)</f>
        <v/>
      </c>
      <c r="K436" s="59">
        <f>IF(A436="","",A436-WEEKDAY(A436,2)+7)</f>
        <v/>
      </c>
      <c r="L436" s="9">
        <f>IF(B436="","",IF(D436="","Labor",IFERROR(VLOOKUP(D436,Settings!$E$5:$G$28,3,FALSE),"Labor")))</f>
        <v/>
      </c>
      <c r="M436" s="9">
        <f>IF(B436="","",IF(COUNTIF('Vendors &amp; Crew'!$A$5:$A$34,B436)=0,"Worker not in Crew table",IF(C436="","Missing Job ID",IF(COUNTIF(Jobs!$A$5:$A$44,C436)=0,"Unknown Job ID",IF(E436="","Missing hours",IF(A436="","Missing date",""))))))</f>
        <v/>
      </c>
      <c r="N436" s="35" t="n"/>
    </row>
    <row r="437">
      <c r="A437" s="40" t="n"/>
      <c r="B437" s="35" t="n"/>
      <c r="C437" s="35" t="n"/>
      <c r="D437" s="35" t="n"/>
      <c r="E437" s="61" t="n"/>
      <c r="F437" s="37" t="n"/>
      <c r="G437" s="39">
        <f>IF(B437="","",IF(F437&lt;&gt;"",F437,IFERROR(VLOOKUP(B437,'Vendors &amp; Crew'!$A$5:$D$34,3,FALSE),0)))</f>
        <v/>
      </c>
      <c r="H437" s="39">
        <f>IF(B437="","",E437*G437*(1+Settings!$B$18))</f>
        <v/>
      </c>
      <c r="I437" s="39">
        <f>IF(B437="","",IFERROR(VLOOKUP(B437,'Vendors &amp; Crew'!$A$5:$D$34,4,FALSE),0))</f>
        <v/>
      </c>
      <c r="J437" s="39">
        <f>IF(B437="","",E437*I437)</f>
        <v/>
      </c>
      <c r="K437" s="59">
        <f>IF(A437="","",A437-WEEKDAY(A437,2)+7)</f>
        <v/>
      </c>
      <c r="L437" s="9">
        <f>IF(B437="","",IF(D437="","Labor",IFERROR(VLOOKUP(D437,Settings!$E$5:$G$28,3,FALSE),"Labor")))</f>
        <v/>
      </c>
      <c r="M437" s="9">
        <f>IF(B437="","",IF(COUNTIF('Vendors &amp; Crew'!$A$5:$A$34,B437)=0,"Worker not in Crew table",IF(C437="","Missing Job ID",IF(COUNTIF(Jobs!$A$5:$A$44,C437)=0,"Unknown Job ID",IF(E437="","Missing hours",IF(A437="","Missing date",""))))))</f>
        <v/>
      </c>
      <c r="N437" s="35" t="n"/>
    </row>
    <row r="438">
      <c r="A438" s="40" t="n"/>
      <c r="B438" s="35" t="n"/>
      <c r="C438" s="35" t="n"/>
      <c r="D438" s="35" t="n"/>
      <c r="E438" s="61" t="n"/>
      <c r="F438" s="37" t="n"/>
      <c r="G438" s="39">
        <f>IF(B438="","",IF(F438&lt;&gt;"",F438,IFERROR(VLOOKUP(B438,'Vendors &amp; Crew'!$A$5:$D$34,3,FALSE),0)))</f>
        <v/>
      </c>
      <c r="H438" s="39">
        <f>IF(B438="","",E438*G438*(1+Settings!$B$18))</f>
        <v/>
      </c>
      <c r="I438" s="39">
        <f>IF(B438="","",IFERROR(VLOOKUP(B438,'Vendors &amp; Crew'!$A$5:$D$34,4,FALSE),0))</f>
        <v/>
      </c>
      <c r="J438" s="39">
        <f>IF(B438="","",E438*I438)</f>
        <v/>
      </c>
      <c r="K438" s="59">
        <f>IF(A438="","",A438-WEEKDAY(A438,2)+7)</f>
        <v/>
      </c>
      <c r="L438" s="9">
        <f>IF(B438="","",IF(D438="","Labor",IFERROR(VLOOKUP(D438,Settings!$E$5:$G$28,3,FALSE),"Labor")))</f>
        <v/>
      </c>
      <c r="M438" s="9">
        <f>IF(B438="","",IF(COUNTIF('Vendors &amp; Crew'!$A$5:$A$34,B438)=0,"Worker not in Crew table",IF(C438="","Missing Job ID",IF(COUNTIF(Jobs!$A$5:$A$44,C438)=0,"Unknown Job ID",IF(E438="","Missing hours",IF(A438="","Missing date",""))))))</f>
        <v/>
      </c>
      <c r="N438" s="35" t="n"/>
    </row>
    <row r="439">
      <c r="A439" s="40" t="n"/>
      <c r="B439" s="35" t="n"/>
      <c r="C439" s="35" t="n"/>
      <c r="D439" s="35" t="n"/>
      <c r="E439" s="61" t="n"/>
      <c r="F439" s="37" t="n"/>
      <c r="G439" s="39">
        <f>IF(B439="","",IF(F439&lt;&gt;"",F439,IFERROR(VLOOKUP(B439,'Vendors &amp; Crew'!$A$5:$D$34,3,FALSE),0)))</f>
        <v/>
      </c>
      <c r="H439" s="39">
        <f>IF(B439="","",E439*G439*(1+Settings!$B$18))</f>
        <v/>
      </c>
      <c r="I439" s="39">
        <f>IF(B439="","",IFERROR(VLOOKUP(B439,'Vendors &amp; Crew'!$A$5:$D$34,4,FALSE),0))</f>
        <v/>
      </c>
      <c r="J439" s="39">
        <f>IF(B439="","",E439*I439)</f>
        <v/>
      </c>
      <c r="K439" s="59">
        <f>IF(A439="","",A439-WEEKDAY(A439,2)+7)</f>
        <v/>
      </c>
      <c r="L439" s="9">
        <f>IF(B439="","",IF(D439="","Labor",IFERROR(VLOOKUP(D439,Settings!$E$5:$G$28,3,FALSE),"Labor")))</f>
        <v/>
      </c>
      <c r="M439" s="9">
        <f>IF(B439="","",IF(COUNTIF('Vendors &amp; Crew'!$A$5:$A$34,B439)=0,"Worker not in Crew table",IF(C439="","Missing Job ID",IF(COUNTIF(Jobs!$A$5:$A$44,C439)=0,"Unknown Job ID",IF(E439="","Missing hours",IF(A439="","Missing date",""))))))</f>
        <v/>
      </c>
      <c r="N439" s="35" t="n"/>
    </row>
    <row r="440">
      <c r="A440" s="40" t="n"/>
      <c r="B440" s="35" t="n"/>
      <c r="C440" s="35" t="n"/>
      <c r="D440" s="35" t="n"/>
      <c r="E440" s="61" t="n"/>
      <c r="F440" s="37" t="n"/>
      <c r="G440" s="39">
        <f>IF(B440="","",IF(F440&lt;&gt;"",F440,IFERROR(VLOOKUP(B440,'Vendors &amp; Crew'!$A$5:$D$34,3,FALSE),0)))</f>
        <v/>
      </c>
      <c r="H440" s="39">
        <f>IF(B440="","",E440*G440*(1+Settings!$B$18))</f>
        <v/>
      </c>
      <c r="I440" s="39">
        <f>IF(B440="","",IFERROR(VLOOKUP(B440,'Vendors &amp; Crew'!$A$5:$D$34,4,FALSE),0))</f>
        <v/>
      </c>
      <c r="J440" s="39">
        <f>IF(B440="","",E440*I440)</f>
        <v/>
      </c>
      <c r="K440" s="59">
        <f>IF(A440="","",A440-WEEKDAY(A440,2)+7)</f>
        <v/>
      </c>
      <c r="L440" s="9">
        <f>IF(B440="","",IF(D440="","Labor",IFERROR(VLOOKUP(D440,Settings!$E$5:$G$28,3,FALSE),"Labor")))</f>
        <v/>
      </c>
      <c r="M440" s="9">
        <f>IF(B440="","",IF(COUNTIF('Vendors &amp; Crew'!$A$5:$A$34,B440)=0,"Worker not in Crew table",IF(C440="","Missing Job ID",IF(COUNTIF(Jobs!$A$5:$A$44,C440)=0,"Unknown Job ID",IF(E440="","Missing hours",IF(A440="","Missing date",""))))))</f>
        <v/>
      </c>
      <c r="N440" s="35" t="n"/>
    </row>
    <row r="441">
      <c r="A441" s="40" t="n"/>
      <c r="B441" s="35" t="n"/>
      <c r="C441" s="35" t="n"/>
      <c r="D441" s="35" t="n"/>
      <c r="E441" s="61" t="n"/>
      <c r="F441" s="37" t="n"/>
      <c r="G441" s="39">
        <f>IF(B441="","",IF(F441&lt;&gt;"",F441,IFERROR(VLOOKUP(B441,'Vendors &amp; Crew'!$A$5:$D$34,3,FALSE),0)))</f>
        <v/>
      </c>
      <c r="H441" s="39">
        <f>IF(B441="","",E441*G441*(1+Settings!$B$18))</f>
        <v/>
      </c>
      <c r="I441" s="39">
        <f>IF(B441="","",IFERROR(VLOOKUP(B441,'Vendors &amp; Crew'!$A$5:$D$34,4,FALSE),0))</f>
        <v/>
      </c>
      <c r="J441" s="39">
        <f>IF(B441="","",E441*I441)</f>
        <v/>
      </c>
      <c r="K441" s="59">
        <f>IF(A441="","",A441-WEEKDAY(A441,2)+7)</f>
        <v/>
      </c>
      <c r="L441" s="9">
        <f>IF(B441="","",IF(D441="","Labor",IFERROR(VLOOKUP(D441,Settings!$E$5:$G$28,3,FALSE),"Labor")))</f>
        <v/>
      </c>
      <c r="M441" s="9">
        <f>IF(B441="","",IF(COUNTIF('Vendors &amp; Crew'!$A$5:$A$34,B441)=0,"Worker not in Crew table",IF(C441="","Missing Job ID",IF(COUNTIF(Jobs!$A$5:$A$44,C441)=0,"Unknown Job ID",IF(E441="","Missing hours",IF(A441="","Missing date",""))))))</f>
        <v/>
      </c>
      <c r="N441" s="35" t="n"/>
    </row>
    <row r="442">
      <c r="A442" s="40" t="n"/>
      <c r="B442" s="35" t="n"/>
      <c r="C442" s="35" t="n"/>
      <c r="D442" s="35" t="n"/>
      <c r="E442" s="61" t="n"/>
      <c r="F442" s="37" t="n"/>
      <c r="G442" s="39">
        <f>IF(B442="","",IF(F442&lt;&gt;"",F442,IFERROR(VLOOKUP(B442,'Vendors &amp; Crew'!$A$5:$D$34,3,FALSE),0)))</f>
        <v/>
      </c>
      <c r="H442" s="39">
        <f>IF(B442="","",E442*G442*(1+Settings!$B$18))</f>
        <v/>
      </c>
      <c r="I442" s="39">
        <f>IF(B442="","",IFERROR(VLOOKUP(B442,'Vendors &amp; Crew'!$A$5:$D$34,4,FALSE),0))</f>
        <v/>
      </c>
      <c r="J442" s="39">
        <f>IF(B442="","",E442*I442)</f>
        <v/>
      </c>
      <c r="K442" s="59">
        <f>IF(A442="","",A442-WEEKDAY(A442,2)+7)</f>
        <v/>
      </c>
      <c r="L442" s="9">
        <f>IF(B442="","",IF(D442="","Labor",IFERROR(VLOOKUP(D442,Settings!$E$5:$G$28,3,FALSE),"Labor")))</f>
        <v/>
      </c>
      <c r="M442" s="9">
        <f>IF(B442="","",IF(COUNTIF('Vendors &amp; Crew'!$A$5:$A$34,B442)=0,"Worker not in Crew table",IF(C442="","Missing Job ID",IF(COUNTIF(Jobs!$A$5:$A$44,C442)=0,"Unknown Job ID",IF(E442="","Missing hours",IF(A442="","Missing date",""))))))</f>
        <v/>
      </c>
      <c r="N442" s="35" t="n"/>
    </row>
    <row r="443">
      <c r="A443" s="40" t="n"/>
      <c r="B443" s="35" t="n"/>
      <c r="C443" s="35" t="n"/>
      <c r="D443" s="35" t="n"/>
      <c r="E443" s="61" t="n"/>
      <c r="F443" s="37" t="n"/>
      <c r="G443" s="39">
        <f>IF(B443="","",IF(F443&lt;&gt;"",F443,IFERROR(VLOOKUP(B443,'Vendors &amp; Crew'!$A$5:$D$34,3,FALSE),0)))</f>
        <v/>
      </c>
      <c r="H443" s="39">
        <f>IF(B443="","",E443*G443*(1+Settings!$B$18))</f>
        <v/>
      </c>
      <c r="I443" s="39">
        <f>IF(B443="","",IFERROR(VLOOKUP(B443,'Vendors &amp; Crew'!$A$5:$D$34,4,FALSE),0))</f>
        <v/>
      </c>
      <c r="J443" s="39">
        <f>IF(B443="","",E443*I443)</f>
        <v/>
      </c>
      <c r="K443" s="59">
        <f>IF(A443="","",A443-WEEKDAY(A443,2)+7)</f>
        <v/>
      </c>
      <c r="L443" s="9">
        <f>IF(B443="","",IF(D443="","Labor",IFERROR(VLOOKUP(D443,Settings!$E$5:$G$28,3,FALSE),"Labor")))</f>
        <v/>
      </c>
      <c r="M443" s="9">
        <f>IF(B443="","",IF(COUNTIF('Vendors &amp; Crew'!$A$5:$A$34,B443)=0,"Worker not in Crew table",IF(C443="","Missing Job ID",IF(COUNTIF(Jobs!$A$5:$A$44,C443)=0,"Unknown Job ID",IF(E443="","Missing hours",IF(A443="","Missing date",""))))))</f>
        <v/>
      </c>
      <c r="N443" s="35" t="n"/>
    </row>
    <row r="444">
      <c r="A444" s="40" t="n"/>
      <c r="B444" s="35" t="n"/>
      <c r="C444" s="35" t="n"/>
      <c r="D444" s="35" t="n"/>
      <c r="E444" s="61" t="n"/>
      <c r="F444" s="37" t="n"/>
      <c r="G444" s="39">
        <f>IF(B444="","",IF(F444&lt;&gt;"",F444,IFERROR(VLOOKUP(B444,'Vendors &amp; Crew'!$A$5:$D$34,3,FALSE),0)))</f>
        <v/>
      </c>
      <c r="H444" s="39">
        <f>IF(B444="","",E444*G444*(1+Settings!$B$18))</f>
        <v/>
      </c>
      <c r="I444" s="39">
        <f>IF(B444="","",IFERROR(VLOOKUP(B444,'Vendors &amp; Crew'!$A$5:$D$34,4,FALSE),0))</f>
        <v/>
      </c>
      <c r="J444" s="39">
        <f>IF(B444="","",E444*I444)</f>
        <v/>
      </c>
      <c r="K444" s="59">
        <f>IF(A444="","",A444-WEEKDAY(A444,2)+7)</f>
        <v/>
      </c>
      <c r="L444" s="9">
        <f>IF(B444="","",IF(D444="","Labor",IFERROR(VLOOKUP(D444,Settings!$E$5:$G$28,3,FALSE),"Labor")))</f>
        <v/>
      </c>
      <c r="M444" s="9">
        <f>IF(B444="","",IF(COUNTIF('Vendors &amp; Crew'!$A$5:$A$34,B444)=0,"Worker not in Crew table",IF(C444="","Missing Job ID",IF(COUNTIF(Jobs!$A$5:$A$44,C444)=0,"Unknown Job ID",IF(E444="","Missing hours",IF(A444="","Missing date",""))))))</f>
        <v/>
      </c>
      <c r="N444" s="35" t="n"/>
    </row>
    <row r="445">
      <c r="A445" s="40" t="n"/>
      <c r="B445" s="35" t="n"/>
      <c r="C445" s="35" t="n"/>
      <c r="D445" s="35" t="n"/>
      <c r="E445" s="61" t="n"/>
      <c r="F445" s="37" t="n"/>
      <c r="G445" s="39">
        <f>IF(B445="","",IF(F445&lt;&gt;"",F445,IFERROR(VLOOKUP(B445,'Vendors &amp; Crew'!$A$5:$D$34,3,FALSE),0)))</f>
        <v/>
      </c>
      <c r="H445" s="39">
        <f>IF(B445="","",E445*G445*(1+Settings!$B$18))</f>
        <v/>
      </c>
      <c r="I445" s="39">
        <f>IF(B445="","",IFERROR(VLOOKUP(B445,'Vendors &amp; Crew'!$A$5:$D$34,4,FALSE),0))</f>
        <v/>
      </c>
      <c r="J445" s="39">
        <f>IF(B445="","",E445*I445)</f>
        <v/>
      </c>
      <c r="K445" s="59">
        <f>IF(A445="","",A445-WEEKDAY(A445,2)+7)</f>
        <v/>
      </c>
      <c r="L445" s="9">
        <f>IF(B445="","",IF(D445="","Labor",IFERROR(VLOOKUP(D445,Settings!$E$5:$G$28,3,FALSE),"Labor")))</f>
        <v/>
      </c>
      <c r="M445" s="9">
        <f>IF(B445="","",IF(COUNTIF('Vendors &amp; Crew'!$A$5:$A$34,B445)=0,"Worker not in Crew table",IF(C445="","Missing Job ID",IF(COUNTIF(Jobs!$A$5:$A$44,C445)=0,"Unknown Job ID",IF(E445="","Missing hours",IF(A445="","Missing date",""))))))</f>
        <v/>
      </c>
      <c r="N445" s="35" t="n"/>
    </row>
    <row r="446">
      <c r="A446" s="40" t="n"/>
      <c r="B446" s="35" t="n"/>
      <c r="C446" s="35" t="n"/>
      <c r="D446" s="35" t="n"/>
      <c r="E446" s="61" t="n"/>
      <c r="F446" s="37" t="n"/>
      <c r="G446" s="39">
        <f>IF(B446="","",IF(F446&lt;&gt;"",F446,IFERROR(VLOOKUP(B446,'Vendors &amp; Crew'!$A$5:$D$34,3,FALSE),0)))</f>
        <v/>
      </c>
      <c r="H446" s="39">
        <f>IF(B446="","",E446*G446*(1+Settings!$B$18))</f>
        <v/>
      </c>
      <c r="I446" s="39">
        <f>IF(B446="","",IFERROR(VLOOKUP(B446,'Vendors &amp; Crew'!$A$5:$D$34,4,FALSE),0))</f>
        <v/>
      </c>
      <c r="J446" s="39">
        <f>IF(B446="","",E446*I446)</f>
        <v/>
      </c>
      <c r="K446" s="59">
        <f>IF(A446="","",A446-WEEKDAY(A446,2)+7)</f>
        <v/>
      </c>
      <c r="L446" s="9">
        <f>IF(B446="","",IF(D446="","Labor",IFERROR(VLOOKUP(D446,Settings!$E$5:$G$28,3,FALSE),"Labor")))</f>
        <v/>
      </c>
      <c r="M446" s="9">
        <f>IF(B446="","",IF(COUNTIF('Vendors &amp; Crew'!$A$5:$A$34,B446)=0,"Worker not in Crew table",IF(C446="","Missing Job ID",IF(COUNTIF(Jobs!$A$5:$A$44,C446)=0,"Unknown Job ID",IF(E446="","Missing hours",IF(A446="","Missing date",""))))))</f>
        <v/>
      </c>
      <c r="N446" s="35" t="n"/>
    </row>
    <row r="447">
      <c r="A447" s="40" t="n"/>
      <c r="B447" s="35" t="n"/>
      <c r="C447" s="35" t="n"/>
      <c r="D447" s="35" t="n"/>
      <c r="E447" s="61" t="n"/>
      <c r="F447" s="37" t="n"/>
      <c r="G447" s="39">
        <f>IF(B447="","",IF(F447&lt;&gt;"",F447,IFERROR(VLOOKUP(B447,'Vendors &amp; Crew'!$A$5:$D$34,3,FALSE),0)))</f>
        <v/>
      </c>
      <c r="H447" s="39">
        <f>IF(B447="","",E447*G447*(1+Settings!$B$18))</f>
        <v/>
      </c>
      <c r="I447" s="39">
        <f>IF(B447="","",IFERROR(VLOOKUP(B447,'Vendors &amp; Crew'!$A$5:$D$34,4,FALSE),0))</f>
        <v/>
      </c>
      <c r="J447" s="39">
        <f>IF(B447="","",E447*I447)</f>
        <v/>
      </c>
      <c r="K447" s="59">
        <f>IF(A447="","",A447-WEEKDAY(A447,2)+7)</f>
        <v/>
      </c>
      <c r="L447" s="9">
        <f>IF(B447="","",IF(D447="","Labor",IFERROR(VLOOKUP(D447,Settings!$E$5:$G$28,3,FALSE),"Labor")))</f>
        <v/>
      </c>
      <c r="M447" s="9">
        <f>IF(B447="","",IF(COUNTIF('Vendors &amp; Crew'!$A$5:$A$34,B447)=0,"Worker not in Crew table",IF(C447="","Missing Job ID",IF(COUNTIF(Jobs!$A$5:$A$44,C447)=0,"Unknown Job ID",IF(E447="","Missing hours",IF(A447="","Missing date",""))))))</f>
        <v/>
      </c>
      <c r="N447" s="35" t="n"/>
    </row>
    <row r="448">
      <c r="A448" s="40" t="n"/>
      <c r="B448" s="35" t="n"/>
      <c r="C448" s="35" t="n"/>
      <c r="D448" s="35" t="n"/>
      <c r="E448" s="61" t="n"/>
      <c r="F448" s="37" t="n"/>
      <c r="G448" s="39">
        <f>IF(B448="","",IF(F448&lt;&gt;"",F448,IFERROR(VLOOKUP(B448,'Vendors &amp; Crew'!$A$5:$D$34,3,FALSE),0)))</f>
        <v/>
      </c>
      <c r="H448" s="39">
        <f>IF(B448="","",E448*G448*(1+Settings!$B$18))</f>
        <v/>
      </c>
      <c r="I448" s="39">
        <f>IF(B448="","",IFERROR(VLOOKUP(B448,'Vendors &amp; Crew'!$A$5:$D$34,4,FALSE),0))</f>
        <v/>
      </c>
      <c r="J448" s="39">
        <f>IF(B448="","",E448*I448)</f>
        <v/>
      </c>
      <c r="K448" s="59">
        <f>IF(A448="","",A448-WEEKDAY(A448,2)+7)</f>
        <v/>
      </c>
      <c r="L448" s="9">
        <f>IF(B448="","",IF(D448="","Labor",IFERROR(VLOOKUP(D448,Settings!$E$5:$G$28,3,FALSE),"Labor")))</f>
        <v/>
      </c>
      <c r="M448" s="9">
        <f>IF(B448="","",IF(COUNTIF('Vendors &amp; Crew'!$A$5:$A$34,B448)=0,"Worker not in Crew table",IF(C448="","Missing Job ID",IF(COUNTIF(Jobs!$A$5:$A$44,C448)=0,"Unknown Job ID",IF(E448="","Missing hours",IF(A448="","Missing date",""))))))</f>
        <v/>
      </c>
      <c r="N448" s="35" t="n"/>
    </row>
    <row r="449">
      <c r="A449" s="40" t="n"/>
      <c r="B449" s="35" t="n"/>
      <c r="C449" s="35" t="n"/>
      <c r="D449" s="35" t="n"/>
      <c r="E449" s="61" t="n"/>
      <c r="F449" s="37" t="n"/>
      <c r="G449" s="39">
        <f>IF(B449="","",IF(F449&lt;&gt;"",F449,IFERROR(VLOOKUP(B449,'Vendors &amp; Crew'!$A$5:$D$34,3,FALSE),0)))</f>
        <v/>
      </c>
      <c r="H449" s="39">
        <f>IF(B449="","",E449*G449*(1+Settings!$B$18))</f>
        <v/>
      </c>
      <c r="I449" s="39">
        <f>IF(B449="","",IFERROR(VLOOKUP(B449,'Vendors &amp; Crew'!$A$5:$D$34,4,FALSE),0))</f>
        <v/>
      </c>
      <c r="J449" s="39">
        <f>IF(B449="","",E449*I449)</f>
        <v/>
      </c>
      <c r="K449" s="59">
        <f>IF(A449="","",A449-WEEKDAY(A449,2)+7)</f>
        <v/>
      </c>
      <c r="L449" s="9">
        <f>IF(B449="","",IF(D449="","Labor",IFERROR(VLOOKUP(D449,Settings!$E$5:$G$28,3,FALSE),"Labor")))</f>
        <v/>
      </c>
      <c r="M449" s="9">
        <f>IF(B449="","",IF(COUNTIF('Vendors &amp; Crew'!$A$5:$A$34,B449)=0,"Worker not in Crew table",IF(C449="","Missing Job ID",IF(COUNTIF(Jobs!$A$5:$A$44,C449)=0,"Unknown Job ID",IF(E449="","Missing hours",IF(A449="","Missing date",""))))))</f>
        <v/>
      </c>
      <c r="N449" s="35" t="n"/>
    </row>
    <row r="450">
      <c r="A450" s="40" t="n"/>
      <c r="B450" s="35" t="n"/>
      <c r="C450" s="35" t="n"/>
      <c r="D450" s="35" t="n"/>
      <c r="E450" s="61" t="n"/>
      <c r="F450" s="37" t="n"/>
      <c r="G450" s="39">
        <f>IF(B450="","",IF(F450&lt;&gt;"",F450,IFERROR(VLOOKUP(B450,'Vendors &amp; Crew'!$A$5:$D$34,3,FALSE),0)))</f>
        <v/>
      </c>
      <c r="H450" s="39">
        <f>IF(B450="","",E450*G450*(1+Settings!$B$18))</f>
        <v/>
      </c>
      <c r="I450" s="39">
        <f>IF(B450="","",IFERROR(VLOOKUP(B450,'Vendors &amp; Crew'!$A$5:$D$34,4,FALSE),0))</f>
        <v/>
      </c>
      <c r="J450" s="39">
        <f>IF(B450="","",E450*I450)</f>
        <v/>
      </c>
      <c r="K450" s="59">
        <f>IF(A450="","",A450-WEEKDAY(A450,2)+7)</f>
        <v/>
      </c>
      <c r="L450" s="9">
        <f>IF(B450="","",IF(D450="","Labor",IFERROR(VLOOKUP(D450,Settings!$E$5:$G$28,3,FALSE),"Labor")))</f>
        <v/>
      </c>
      <c r="M450" s="9">
        <f>IF(B450="","",IF(COUNTIF('Vendors &amp; Crew'!$A$5:$A$34,B450)=0,"Worker not in Crew table",IF(C450="","Missing Job ID",IF(COUNTIF(Jobs!$A$5:$A$44,C450)=0,"Unknown Job ID",IF(E450="","Missing hours",IF(A450="","Missing date",""))))))</f>
        <v/>
      </c>
      <c r="N450" s="35" t="n"/>
    </row>
    <row r="451">
      <c r="A451" s="40" t="n"/>
      <c r="B451" s="35" t="n"/>
      <c r="C451" s="35" t="n"/>
      <c r="D451" s="35" t="n"/>
      <c r="E451" s="61" t="n"/>
      <c r="F451" s="37" t="n"/>
      <c r="G451" s="39">
        <f>IF(B451="","",IF(F451&lt;&gt;"",F451,IFERROR(VLOOKUP(B451,'Vendors &amp; Crew'!$A$5:$D$34,3,FALSE),0)))</f>
        <v/>
      </c>
      <c r="H451" s="39">
        <f>IF(B451="","",E451*G451*(1+Settings!$B$18))</f>
        <v/>
      </c>
      <c r="I451" s="39">
        <f>IF(B451="","",IFERROR(VLOOKUP(B451,'Vendors &amp; Crew'!$A$5:$D$34,4,FALSE),0))</f>
        <v/>
      </c>
      <c r="J451" s="39">
        <f>IF(B451="","",E451*I451)</f>
        <v/>
      </c>
      <c r="K451" s="59">
        <f>IF(A451="","",A451-WEEKDAY(A451,2)+7)</f>
        <v/>
      </c>
      <c r="L451" s="9">
        <f>IF(B451="","",IF(D451="","Labor",IFERROR(VLOOKUP(D451,Settings!$E$5:$G$28,3,FALSE),"Labor")))</f>
        <v/>
      </c>
      <c r="M451" s="9">
        <f>IF(B451="","",IF(COUNTIF('Vendors &amp; Crew'!$A$5:$A$34,B451)=0,"Worker not in Crew table",IF(C451="","Missing Job ID",IF(COUNTIF(Jobs!$A$5:$A$44,C451)=0,"Unknown Job ID",IF(E451="","Missing hours",IF(A451="","Missing date",""))))))</f>
        <v/>
      </c>
      <c r="N451" s="35" t="n"/>
    </row>
    <row r="452">
      <c r="A452" s="40" t="n"/>
      <c r="B452" s="35" t="n"/>
      <c r="C452" s="35" t="n"/>
      <c r="D452" s="35" t="n"/>
      <c r="E452" s="61" t="n"/>
      <c r="F452" s="37" t="n"/>
      <c r="G452" s="39">
        <f>IF(B452="","",IF(F452&lt;&gt;"",F452,IFERROR(VLOOKUP(B452,'Vendors &amp; Crew'!$A$5:$D$34,3,FALSE),0)))</f>
        <v/>
      </c>
      <c r="H452" s="39">
        <f>IF(B452="","",E452*G452*(1+Settings!$B$18))</f>
        <v/>
      </c>
      <c r="I452" s="39">
        <f>IF(B452="","",IFERROR(VLOOKUP(B452,'Vendors &amp; Crew'!$A$5:$D$34,4,FALSE),0))</f>
        <v/>
      </c>
      <c r="J452" s="39">
        <f>IF(B452="","",E452*I452)</f>
        <v/>
      </c>
      <c r="K452" s="59">
        <f>IF(A452="","",A452-WEEKDAY(A452,2)+7)</f>
        <v/>
      </c>
      <c r="L452" s="9">
        <f>IF(B452="","",IF(D452="","Labor",IFERROR(VLOOKUP(D452,Settings!$E$5:$G$28,3,FALSE),"Labor")))</f>
        <v/>
      </c>
      <c r="M452" s="9">
        <f>IF(B452="","",IF(COUNTIF('Vendors &amp; Crew'!$A$5:$A$34,B452)=0,"Worker not in Crew table",IF(C452="","Missing Job ID",IF(COUNTIF(Jobs!$A$5:$A$44,C452)=0,"Unknown Job ID",IF(E452="","Missing hours",IF(A452="","Missing date",""))))))</f>
        <v/>
      </c>
      <c r="N452" s="35" t="n"/>
    </row>
    <row r="453">
      <c r="A453" s="40" t="n"/>
      <c r="B453" s="35" t="n"/>
      <c r="C453" s="35" t="n"/>
      <c r="D453" s="35" t="n"/>
      <c r="E453" s="61" t="n"/>
      <c r="F453" s="37" t="n"/>
      <c r="G453" s="39">
        <f>IF(B453="","",IF(F453&lt;&gt;"",F453,IFERROR(VLOOKUP(B453,'Vendors &amp; Crew'!$A$5:$D$34,3,FALSE),0)))</f>
        <v/>
      </c>
      <c r="H453" s="39">
        <f>IF(B453="","",E453*G453*(1+Settings!$B$18))</f>
        <v/>
      </c>
      <c r="I453" s="39">
        <f>IF(B453="","",IFERROR(VLOOKUP(B453,'Vendors &amp; Crew'!$A$5:$D$34,4,FALSE),0))</f>
        <v/>
      </c>
      <c r="J453" s="39">
        <f>IF(B453="","",E453*I453)</f>
        <v/>
      </c>
      <c r="K453" s="59">
        <f>IF(A453="","",A453-WEEKDAY(A453,2)+7)</f>
        <v/>
      </c>
      <c r="L453" s="9">
        <f>IF(B453="","",IF(D453="","Labor",IFERROR(VLOOKUP(D453,Settings!$E$5:$G$28,3,FALSE),"Labor")))</f>
        <v/>
      </c>
      <c r="M453" s="9">
        <f>IF(B453="","",IF(COUNTIF('Vendors &amp; Crew'!$A$5:$A$34,B453)=0,"Worker not in Crew table",IF(C453="","Missing Job ID",IF(COUNTIF(Jobs!$A$5:$A$44,C453)=0,"Unknown Job ID",IF(E453="","Missing hours",IF(A453="","Missing date",""))))))</f>
        <v/>
      </c>
      <c r="N453" s="35" t="n"/>
    </row>
    <row r="454">
      <c r="A454" s="40" t="n"/>
      <c r="B454" s="35" t="n"/>
      <c r="C454" s="35" t="n"/>
      <c r="D454" s="35" t="n"/>
      <c r="E454" s="61" t="n"/>
      <c r="F454" s="37" t="n"/>
      <c r="G454" s="39">
        <f>IF(B454="","",IF(F454&lt;&gt;"",F454,IFERROR(VLOOKUP(B454,'Vendors &amp; Crew'!$A$5:$D$34,3,FALSE),0)))</f>
        <v/>
      </c>
      <c r="H454" s="39">
        <f>IF(B454="","",E454*G454*(1+Settings!$B$18))</f>
        <v/>
      </c>
      <c r="I454" s="39">
        <f>IF(B454="","",IFERROR(VLOOKUP(B454,'Vendors &amp; Crew'!$A$5:$D$34,4,FALSE),0))</f>
        <v/>
      </c>
      <c r="J454" s="39">
        <f>IF(B454="","",E454*I454)</f>
        <v/>
      </c>
      <c r="K454" s="59">
        <f>IF(A454="","",A454-WEEKDAY(A454,2)+7)</f>
        <v/>
      </c>
      <c r="L454" s="9">
        <f>IF(B454="","",IF(D454="","Labor",IFERROR(VLOOKUP(D454,Settings!$E$5:$G$28,3,FALSE),"Labor")))</f>
        <v/>
      </c>
      <c r="M454" s="9">
        <f>IF(B454="","",IF(COUNTIF('Vendors &amp; Crew'!$A$5:$A$34,B454)=0,"Worker not in Crew table",IF(C454="","Missing Job ID",IF(COUNTIF(Jobs!$A$5:$A$44,C454)=0,"Unknown Job ID",IF(E454="","Missing hours",IF(A454="","Missing date",""))))))</f>
        <v/>
      </c>
      <c r="N454" s="35" t="n"/>
    </row>
    <row r="455">
      <c r="A455" s="40" t="n"/>
      <c r="B455" s="35" t="n"/>
      <c r="C455" s="35" t="n"/>
      <c r="D455" s="35" t="n"/>
      <c r="E455" s="61" t="n"/>
      <c r="F455" s="37" t="n"/>
      <c r="G455" s="39">
        <f>IF(B455="","",IF(F455&lt;&gt;"",F455,IFERROR(VLOOKUP(B455,'Vendors &amp; Crew'!$A$5:$D$34,3,FALSE),0)))</f>
        <v/>
      </c>
      <c r="H455" s="39">
        <f>IF(B455="","",E455*G455*(1+Settings!$B$18))</f>
        <v/>
      </c>
      <c r="I455" s="39">
        <f>IF(B455="","",IFERROR(VLOOKUP(B455,'Vendors &amp; Crew'!$A$5:$D$34,4,FALSE),0))</f>
        <v/>
      </c>
      <c r="J455" s="39">
        <f>IF(B455="","",E455*I455)</f>
        <v/>
      </c>
      <c r="K455" s="59">
        <f>IF(A455="","",A455-WEEKDAY(A455,2)+7)</f>
        <v/>
      </c>
      <c r="L455" s="9">
        <f>IF(B455="","",IF(D455="","Labor",IFERROR(VLOOKUP(D455,Settings!$E$5:$G$28,3,FALSE),"Labor")))</f>
        <v/>
      </c>
      <c r="M455" s="9">
        <f>IF(B455="","",IF(COUNTIF('Vendors &amp; Crew'!$A$5:$A$34,B455)=0,"Worker not in Crew table",IF(C455="","Missing Job ID",IF(COUNTIF(Jobs!$A$5:$A$44,C455)=0,"Unknown Job ID",IF(E455="","Missing hours",IF(A455="","Missing date",""))))))</f>
        <v/>
      </c>
      <c r="N455" s="35" t="n"/>
    </row>
    <row r="456">
      <c r="A456" s="40" t="n"/>
      <c r="B456" s="35" t="n"/>
      <c r="C456" s="35" t="n"/>
      <c r="D456" s="35" t="n"/>
      <c r="E456" s="61" t="n"/>
      <c r="F456" s="37" t="n"/>
      <c r="G456" s="39">
        <f>IF(B456="","",IF(F456&lt;&gt;"",F456,IFERROR(VLOOKUP(B456,'Vendors &amp; Crew'!$A$5:$D$34,3,FALSE),0)))</f>
        <v/>
      </c>
      <c r="H456" s="39">
        <f>IF(B456="","",E456*G456*(1+Settings!$B$18))</f>
        <v/>
      </c>
      <c r="I456" s="39">
        <f>IF(B456="","",IFERROR(VLOOKUP(B456,'Vendors &amp; Crew'!$A$5:$D$34,4,FALSE),0))</f>
        <v/>
      </c>
      <c r="J456" s="39">
        <f>IF(B456="","",E456*I456)</f>
        <v/>
      </c>
      <c r="K456" s="59">
        <f>IF(A456="","",A456-WEEKDAY(A456,2)+7)</f>
        <v/>
      </c>
      <c r="L456" s="9">
        <f>IF(B456="","",IF(D456="","Labor",IFERROR(VLOOKUP(D456,Settings!$E$5:$G$28,3,FALSE),"Labor")))</f>
        <v/>
      </c>
      <c r="M456" s="9">
        <f>IF(B456="","",IF(COUNTIF('Vendors &amp; Crew'!$A$5:$A$34,B456)=0,"Worker not in Crew table",IF(C456="","Missing Job ID",IF(COUNTIF(Jobs!$A$5:$A$44,C456)=0,"Unknown Job ID",IF(E456="","Missing hours",IF(A456="","Missing date",""))))))</f>
        <v/>
      </c>
      <c r="N456" s="35" t="n"/>
    </row>
    <row r="457">
      <c r="A457" s="40" t="n"/>
      <c r="B457" s="35" t="n"/>
      <c r="C457" s="35" t="n"/>
      <c r="D457" s="35" t="n"/>
      <c r="E457" s="61" t="n"/>
      <c r="F457" s="37" t="n"/>
      <c r="G457" s="39">
        <f>IF(B457="","",IF(F457&lt;&gt;"",F457,IFERROR(VLOOKUP(B457,'Vendors &amp; Crew'!$A$5:$D$34,3,FALSE),0)))</f>
        <v/>
      </c>
      <c r="H457" s="39">
        <f>IF(B457="","",E457*G457*(1+Settings!$B$18))</f>
        <v/>
      </c>
      <c r="I457" s="39">
        <f>IF(B457="","",IFERROR(VLOOKUP(B457,'Vendors &amp; Crew'!$A$5:$D$34,4,FALSE),0))</f>
        <v/>
      </c>
      <c r="J457" s="39">
        <f>IF(B457="","",E457*I457)</f>
        <v/>
      </c>
      <c r="K457" s="59">
        <f>IF(A457="","",A457-WEEKDAY(A457,2)+7)</f>
        <v/>
      </c>
      <c r="L457" s="9">
        <f>IF(B457="","",IF(D457="","Labor",IFERROR(VLOOKUP(D457,Settings!$E$5:$G$28,3,FALSE),"Labor")))</f>
        <v/>
      </c>
      <c r="M457" s="9">
        <f>IF(B457="","",IF(COUNTIF('Vendors &amp; Crew'!$A$5:$A$34,B457)=0,"Worker not in Crew table",IF(C457="","Missing Job ID",IF(COUNTIF(Jobs!$A$5:$A$44,C457)=0,"Unknown Job ID",IF(E457="","Missing hours",IF(A457="","Missing date",""))))))</f>
        <v/>
      </c>
      <c r="N457" s="35" t="n"/>
    </row>
    <row r="458">
      <c r="A458" s="40" t="n"/>
      <c r="B458" s="35" t="n"/>
      <c r="C458" s="35" t="n"/>
      <c r="D458" s="35" t="n"/>
      <c r="E458" s="61" t="n"/>
      <c r="F458" s="37" t="n"/>
      <c r="G458" s="39">
        <f>IF(B458="","",IF(F458&lt;&gt;"",F458,IFERROR(VLOOKUP(B458,'Vendors &amp; Crew'!$A$5:$D$34,3,FALSE),0)))</f>
        <v/>
      </c>
      <c r="H458" s="39">
        <f>IF(B458="","",E458*G458*(1+Settings!$B$18))</f>
        <v/>
      </c>
      <c r="I458" s="39">
        <f>IF(B458="","",IFERROR(VLOOKUP(B458,'Vendors &amp; Crew'!$A$5:$D$34,4,FALSE),0))</f>
        <v/>
      </c>
      <c r="J458" s="39">
        <f>IF(B458="","",E458*I458)</f>
        <v/>
      </c>
      <c r="K458" s="59">
        <f>IF(A458="","",A458-WEEKDAY(A458,2)+7)</f>
        <v/>
      </c>
      <c r="L458" s="9">
        <f>IF(B458="","",IF(D458="","Labor",IFERROR(VLOOKUP(D458,Settings!$E$5:$G$28,3,FALSE),"Labor")))</f>
        <v/>
      </c>
      <c r="M458" s="9">
        <f>IF(B458="","",IF(COUNTIF('Vendors &amp; Crew'!$A$5:$A$34,B458)=0,"Worker not in Crew table",IF(C458="","Missing Job ID",IF(COUNTIF(Jobs!$A$5:$A$44,C458)=0,"Unknown Job ID",IF(E458="","Missing hours",IF(A458="","Missing date",""))))))</f>
        <v/>
      </c>
      <c r="N458" s="35" t="n"/>
    </row>
    <row r="459">
      <c r="A459" s="40" t="n"/>
      <c r="B459" s="35" t="n"/>
      <c r="C459" s="35" t="n"/>
      <c r="D459" s="35" t="n"/>
      <c r="E459" s="61" t="n"/>
      <c r="F459" s="37" t="n"/>
      <c r="G459" s="39">
        <f>IF(B459="","",IF(F459&lt;&gt;"",F459,IFERROR(VLOOKUP(B459,'Vendors &amp; Crew'!$A$5:$D$34,3,FALSE),0)))</f>
        <v/>
      </c>
      <c r="H459" s="39">
        <f>IF(B459="","",E459*G459*(1+Settings!$B$18))</f>
        <v/>
      </c>
      <c r="I459" s="39">
        <f>IF(B459="","",IFERROR(VLOOKUP(B459,'Vendors &amp; Crew'!$A$5:$D$34,4,FALSE),0))</f>
        <v/>
      </c>
      <c r="J459" s="39">
        <f>IF(B459="","",E459*I459)</f>
        <v/>
      </c>
      <c r="K459" s="59">
        <f>IF(A459="","",A459-WEEKDAY(A459,2)+7)</f>
        <v/>
      </c>
      <c r="L459" s="9">
        <f>IF(B459="","",IF(D459="","Labor",IFERROR(VLOOKUP(D459,Settings!$E$5:$G$28,3,FALSE),"Labor")))</f>
        <v/>
      </c>
      <c r="M459" s="9">
        <f>IF(B459="","",IF(COUNTIF('Vendors &amp; Crew'!$A$5:$A$34,B459)=0,"Worker not in Crew table",IF(C459="","Missing Job ID",IF(COUNTIF(Jobs!$A$5:$A$44,C459)=0,"Unknown Job ID",IF(E459="","Missing hours",IF(A459="","Missing date",""))))))</f>
        <v/>
      </c>
      <c r="N459" s="35" t="n"/>
    </row>
    <row r="460">
      <c r="A460" s="40" t="n"/>
      <c r="B460" s="35" t="n"/>
      <c r="C460" s="35" t="n"/>
      <c r="D460" s="35" t="n"/>
      <c r="E460" s="61" t="n"/>
      <c r="F460" s="37" t="n"/>
      <c r="G460" s="39">
        <f>IF(B460="","",IF(F460&lt;&gt;"",F460,IFERROR(VLOOKUP(B460,'Vendors &amp; Crew'!$A$5:$D$34,3,FALSE),0)))</f>
        <v/>
      </c>
      <c r="H460" s="39">
        <f>IF(B460="","",E460*G460*(1+Settings!$B$18))</f>
        <v/>
      </c>
      <c r="I460" s="39">
        <f>IF(B460="","",IFERROR(VLOOKUP(B460,'Vendors &amp; Crew'!$A$5:$D$34,4,FALSE),0))</f>
        <v/>
      </c>
      <c r="J460" s="39">
        <f>IF(B460="","",E460*I460)</f>
        <v/>
      </c>
      <c r="K460" s="59">
        <f>IF(A460="","",A460-WEEKDAY(A460,2)+7)</f>
        <v/>
      </c>
      <c r="L460" s="9">
        <f>IF(B460="","",IF(D460="","Labor",IFERROR(VLOOKUP(D460,Settings!$E$5:$G$28,3,FALSE),"Labor")))</f>
        <v/>
      </c>
      <c r="M460" s="9">
        <f>IF(B460="","",IF(COUNTIF('Vendors &amp; Crew'!$A$5:$A$34,B460)=0,"Worker not in Crew table",IF(C460="","Missing Job ID",IF(COUNTIF(Jobs!$A$5:$A$44,C460)=0,"Unknown Job ID",IF(E460="","Missing hours",IF(A460="","Missing date",""))))))</f>
        <v/>
      </c>
      <c r="N460" s="35" t="n"/>
    </row>
    <row r="461">
      <c r="A461" s="40" t="n"/>
      <c r="B461" s="35" t="n"/>
      <c r="C461" s="35" t="n"/>
      <c r="D461" s="35" t="n"/>
      <c r="E461" s="61" t="n"/>
      <c r="F461" s="37" t="n"/>
      <c r="G461" s="39">
        <f>IF(B461="","",IF(F461&lt;&gt;"",F461,IFERROR(VLOOKUP(B461,'Vendors &amp; Crew'!$A$5:$D$34,3,FALSE),0)))</f>
        <v/>
      </c>
      <c r="H461" s="39">
        <f>IF(B461="","",E461*G461*(1+Settings!$B$18))</f>
        <v/>
      </c>
      <c r="I461" s="39">
        <f>IF(B461="","",IFERROR(VLOOKUP(B461,'Vendors &amp; Crew'!$A$5:$D$34,4,FALSE),0))</f>
        <v/>
      </c>
      <c r="J461" s="39">
        <f>IF(B461="","",E461*I461)</f>
        <v/>
      </c>
      <c r="K461" s="59">
        <f>IF(A461="","",A461-WEEKDAY(A461,2)+7)</f>
        <v/>
      </c>
      <c r="L461" s="9">
        <f>IF(B461="","",IF(D461="","Labor",IFERROR(VLOOKUP(D461,Settings!$E$5:$G$28,3,FALSE),"Labor")))</f>
        <v/>
      </c>
      <c r="M461" s="9">
        <f>IF(B461="","",IF(COUNTIF('Vendors &amp; Crew'!$A$5:$A$34,B461)=0,"Worker not in Crew table",IF(C461="","Missing Job ID",IF(COUNTIF(Jobs!$A$5:$A$44,C461)=0,"Unknown Job ID",IF(E461="","Missing hours",IF(A461="","Missing date",""))))))</f>
        <v/>
      </c>
      <c r="N461" s="35" t="n"/>
    </row>
    <row r="462">
      <c r="A462" s="40" t="n"/>
      <c r="B462" s="35" t="n"/>
      <c r="C462" s="35" t="n"/>
      <c r="D462" s="35" t="n"/>
      <c r="E462" s="61" t="n"/>
      <c r="F462" s="37" t="n"/>
      <c r="G462" s="39">
        <f>IF(B462="","",IF(F462&lt;&gt;"",F462,IFERROR(VLOOKUP(B462,'Vendors &amp; Crew'!$A$5:$D$34,3,FALSE),0)))</f>
        <v/>
      </c>
      <c r="H462" s="39">
        <f>IF(B462="","",E462*G462*(1+Settings!$B$18))</f>
        <v/>
      </c>
      <c r="I462" s="39">
        <f>IF(B462="","",IFERROR(VLOOKUP(B462,'Vendors &amp; Crew'!$A$5:$D$34,4,FALSE),0))</f>
        <v/>
      </c>
      <c r="J462" s="39">
        <f>IF(B462="","",E462*I462)</f>
        <v/>
      </c>
      <c r="K462" s="59">
        <f>IF(A462="","",A462-WEEKDAY(A462,2)+7)</f>
        <v/>
      </c>
      <c r="L462" s="9">
        <f>IF(B462="","",IF(D462="","Labor",IFERROR(VLOOKUP(D462,Settings!$E$5:$G$28,3,FALSE),"Labor")))</f>
        <v/>
      </c>
      <c r="M462" s="9">
        <f>IF(B462="","",IF(COUNTIF('Vendors &amp; Crew'!$A$5:$A$34,B462)=0,"Worker not in Crew table",IF(C462="","Missing Job ID",IF(COUNTIF(Jobs!$A$5:$A$44,C462)=0,"Unknown Job ID",IF(E462="","Missing hours",IF(A462="","Missing date",""))))))</f>
        <v/>
      </c>
      <c r="N462" s="35" t="n"/>
    </row>
    <row r="463">
      <c r="A463" s="40" t="n"/>
      <c r="B463" s="35" t="n"/>
      <c r="C463" s="35" t="n"/>
      <c r="D463" s="35" t="n"/>
      <c r="E463" s="61" t="n"/>
      <c r="F463" s="37" t="n"/>
      <c r="G463" s="39">
        <f>IF(B463="","",IF(F463&lt;&gt;"",F463,IFERROR(VLOOKUP(B463,'Vendors &amp; Crew'!$A$5:$D$34,3,FALSE),0)))</f>
        <v/>
      </c>
      <c r="H463" s="39">
        <f>IF(B463="","",E463*G463*(1+Settings!$B$18))</f>
        <v/>
      </c>
      <c r="I463" s="39">
        <f>IF(B463="","",IFERROR(VLOOKUP(B463,'Vendors &amp; Crew'!$A$5:$D$34,4,FALSE),0))</f>
        <v/>
      </c>
      <c r="J463" s="39">
        <f>IF(B463="","",E463*I463)</f>
        <v/>
      </c>
      <c r="K463" s="59">
        <f>IF(A463="","",A463-WEEKDAY(A463,2)+7)</f>
        <v/>
      </c>
      <c r="L463" s="9">
        <f>IF(B463="","",IF(D463="","Labor",IFERROR(VLOOKUP(D463,Settings!$E$5:$G$28,3,FALSE),"Labor")))</f>
        <v/>
      </c>
      <c r="M463" s="9">
        <f>IF(B463="","",IF(COUNTIF('Vendors &amp; Crew'!$A$5:$A$34,B463)=0,"Worker not in Crew table",IF(C463="","Missing Job ID",IF(COUNTIF(Jobs!$A$5:$A$44,C463)=0,"Unknown Job ID",IF(E463="","Missing hours",IF(A463="","Missing date",""))))))</f>
        <v/>
      </c>
      <c r="N463" s="35" t="n"/>
    </row>
    <row r="464">
      <c r="A464" s="40" t="n"/>
      <c r="B464" s="35" t="n"/>
      <c r="C464" s="35" t="n"/>
      <c r="D464" s="35" t="n"/>
      <c r="E464" s="61" t="n"/>
      <c r="F464" s="37" t="n"/>
      <c r="G464" s="39">
        <f>IF(B464="","",IF(F464&lt;&gt;"",F464,IFERROR(VLOOKUP(B464,'Vendors &amp; Crew'!$A$5:$D$34,3,FALSE),0)))</f>
        <v/>
      </c>
      <c r="H464" s="39">
        <f>IF(B464="","",E464*G464*(1+Settings!$B$18))</f>
        <v/>
      </c>
      <c r="I464" s="39">
        <f>IF(B464="","",IFERROR(VLOOKUP(B464,'Vendors &amp; Crew'!$A$5:$D$34,4,FALSE),0))</f>
        <v/>
      </c>
      <c r="J464" s="39">
        <f>IF(B464="","",E464*I464)</f>
        <v/>
      </c>
      <c r="K464" s="59">
        <f>IF(A464="","",A464-WEEKDAY(A464,2)+7)</f>
        <v/>
      </c>
      <c r="L464" s="9">
        <f>IF(B464="","",IF(D464="","Labor",IFERROR(VLOOKUP(D464,Settings!$E$5:$G$28,3,FALSE),"Labor")))</f>
        <v/>
      </c>
      <c r="M464" s="9">
        <f>IF(B464="","",IF(COUNTIF('Vendors &amp; Crew'!$A$5:$A$34,B464)=0,"Worker not in Crew table",IF(C464="","Missing Job ID",IF(COUNTIF(Jobs!$A$5:$A$44,C464)=0,"Unknown Job ID",IF(E464="","Missing hours",IF(A464="","Missing date",""))))))</f>
        <v/>
      </c>
      <c r="N464" s="35" t="n"/>
    </row>
    <row r="465">
      <c r="A465" s="40" t="n"/>
      <c r="B465" s="35" t="n"/>
      <c r="C465" s="35" t="n"/>
      <c r="D465" s="35" t="n"/>
      <c r="E465" s="61" t="n"/>
      <c r="F465" s="37" t="n"/>
      <c r="G465" s="39">
        <f>IF(B465="","",IF(F465&lt;&gt;"",F465,IFERROR(VLOOKUP(B465,'Vendors &amp; Crew'!$A$5:$D$34,3,FALSE),0)))</f>
        <v/>
      </c>
      <c r="H465" s="39">
        <f>IF(B465="","",E465*G465*(1+Settings!$B$18))</f>
        <v/>
      </c>
      <c r="I465" s="39">
        <f>IF(B465="","",IFERROR(VLOOKUP(B465,'Vendors &amp; Crew'!$A$5:$D$34,4,FALSE),0))</f>
        <v/>
      </c>
      <c r="J465" s="39">
        <f>IF(B465="","",E465*I465)</f>
        <v/>
      </c>
      <c r="K465" s="59">
        <f>IF(A465="","",A465-WEEKDAY(A465,2)+7)</f>
        <v/>
      </c>
      <c r="L465" s="9">
        <f>IF(B465="","",IF(D465="","Labor",IFERROR(VLOOKUP(D465,Settings!$E$5:$G$28,3,FALSE),"Labor")))</f>
        <v/>
      </c>
      <c r="M465" s="9">
        <f>IF(B465="","",IF(COUNTIF('Vendors &amp; Crew'!$A$5:$A$34,B465)=0,"Worker not in Crew table",IF(C465="","Missing Job ID",IF(COUNTIF(Jobs!$A$5:$A$44,C465)=0,"Unknown Job ID",IF(E465="","Missing hours",IF(A465="","Missing date",""))))))</f>
        <v/>
      </c>
      <c r="N465" s="35" t="n"/>
    </row>
    <row r="466">
      <c r="A466" s="40" t="n"/>
      <c r="B466" s="35" t="n"/>
      <c r="C466" s="35" t="n"/>
      <c r="D466" s="35" t="n"/>
      <c r="E466" s="61" t="n"/>
      <c r="F466" s="37" t="n"/>
      <c r="G466" s="39">
        <f>IF(B466="","",IF(F466&lt;&gt;"",F466,IFERROR(VLOOKUP(B466,'Vendors &amp; Crew'!$A$5:$D$34,3,FALSE),0)))</f>
        <v/>
      </c>
      <c r="H466" s="39">
        <f>IF(B466="","",E466*G466*(1+Settings!$B$18))</f>
        <v/>
      </c>
      <c r="I466" s="39">
        <f>IF(B466="","",IFERROR(VLOOKUP(B466,'Vendors &amp; Crew'!$A$5:$D$34,4,FALSE),0))</f>
        <v/>
      </c>
      <c r="J466" s="39">
        <f>IF(B466="","",E466*I466)</f>
        <v/>
      </c>
      <c r="K466" s="59">
        <f>IF(A466="","",A466-WEEKDAY(A466,2)+7)</f>
        <v/>
      </c>
      <c r="L466" s="9">
        <f>IF(B466="","",IF(D466="","Labor",IFERROR(VLOOKUP(D466,Settings!$E$5:$G$28,3,FALSE),"Labor")))</f>
        <v/>
      </c>
      <c r="M466" s="9">
        <f>IF(B466="","",IF(COUNTIF('Vendors &amp; Crew'!$A$5:$A$34,B466)=0,"Worker not in Crew table",IF(C466="","Missing Job ID",IF(COUNTIF(Jobs!$A$5:$A$44,C466)=0,"Unknown Job ID",IF(E466="","Missing hours",IF(A466="","Missing date",""))))))</f>
        <v/>
      </c>
      <c r="N466" s="35" t="n"/>
    </row>
    <row r="467">
      <c r="A467" s="40" t="n"/>
      <c r="B467" s="35" t="n"/>
      <c r="C467" s="35" t="n"/>
      <c r="D467" s="35" t="n"/>
      <c r="E467" s="61" t="n"/>
      <c r="F467" s="37" t="n"/>
      <c r="G467" s="39">
        <f>IF(B467="","",IF(F467&lt;&gt;"",F467,IFERROR(VLOOKUP(B467,'Vendors &amp; Crew'!$A$5:$D$34,3,FALSE),0)))</f>
        <v/>
      </c>
      <c r="H467" s="39">
        <f>IF(B467="","",E467*G467*(1+Settings!$B$18))</f>
        <v/>
      </c>
      <c r="I467" s="39">
        <f>IF(B467="","",IFERROR(VLOOKUP(B467,'Vendors &amp; Crew'!$A$5:$D$34,4,FALSE),0))</f>
        <v/>
      </c>
      <c r="J467" s="39">
        <f>IF(B467="","",E467*I467)</f>
        <v/>
      </c>
      <c r="K467" s="59">
        <f>IF(A467="","",A467-WEEKDAY(A467,2)+7)</f>
        <v/>
      </c>
      <c r="L467" s="9">
        <f>IF(B467="","",IF(D467="","Labor",IFERROR(VLOOKUP(D467,Settings!$E$5:$G$28,3,FALSE),"Labor")))</f>
        <v/>
      </c>
      <c r="M467" s="9">
        <f>IF(B467="","",IF(COUNTIF('Vendors &amp; Crew'!$A$5:$A$34,B467)=0,"Worker not in Crew table",IF(C467="","Missing Job ID",IF(COUNTIF(Jobs!$A$5:$A$44,C467)=0,"Unknown Job ID",IF(E467="","Missing hours",IF(A467="","Missing date",""))))))</f>
        <v/>
      </c>
      <c r="N467" s="35" t="n"/>
    </row>
    <row r="468">
      <c r="A468" s="40" t="n"/>
      <c r="B468" s="35" t="n"/>
      <c r="C468" s="35" t="n"/>
      <c r="D468" s="35" t="n"/>
      <c r="E468" s="61" t="n"/>
      <c r="F468" s="37" t="n"/>
      <c r="G468" s="39">
        <f>IF(B468="","",IF(F468&lt;&gt;"",F468,IFERROR(VLOOKUP(B468,'Vendors &amp; Crew'!$A$5:$D$34,3,FALSE),0)))</f>
        <v/>
      </c>
      <c r="H468" s="39">
        <f>IF(B468="","",E468*G468*(1+Settings!$B$18))</f>
        <v/>
      </c>
      <c r="I468" s="39">
        <f>IF(B468="","",IFERROR(VLOOKUP(B468,'Vendors &amp; Crew'!$A$5:$D$34,4,FALSE),0))</f>
        <v/>
      </c>
      <c r="J468" s="39">
        <f>IF(B468="","",E468*I468)</f>
        <v/>
      </c>
      <c r="K468" s="59">
        <f>IF(A468="","",A468-WEEKDAY(A468,2)+7)</f>
        <v/>
      </c>
      <c r="L468" s="9">
        <f>IF(B468="","",IF(D468="","Labor",IFERROR(VLOOKUP(D468,Settings!$E$5:$G$28,3,FALSE),"Labor")))</f>
        <v/>
      </c>
      <c r="M468" s="9">
        <f>IF(B468="","",IF(COUNTIF('Vendors &amp; Crew'!$A$5:$A$34,B468)=0,"Worker not in Crew table",IF(C468="","Missing Job ID",IF(COUNTIF(Jobs!$A$5:$A$44,C468)=0,"Unknown Job ID",IF(E468="","Missing hours",IF(A468="","Missing date",""))))))</f>
        <v/>
      </c>
      <c r="N468" s="35" t="n"/>
    </row>
    <row r="469">
      <c r="A469" s="40" t="n"/>
      <c r="B469" s="35" t="n"/>
      <c r="C469" s="35" t="n"/>
      <c r="D469" s="35" t="n"/>
      <c r="E469" s="61" t="n"/>
      <c r="F469" s="37" t="n"/>
      <c r="G469" s="39">
        <f>IF(B469="","",IF(F469&lt;&gt;"",F469,IFERROR(VLOOKUP(B469,'Vendors &amp; Crew'!$A$5:$D$34,3,FALSE),0)))</f>
        <v/>
      </c>
      <c r="H469" s="39">
        <f>IF(B469="","",E469*G469*(1+Settings!$B$18))</f>
        <v/>
      </c>
      <c r="I469" s="39">
        <f>IF(B469="","",IFERROR(VLOOKUP(B469,'Vendors &amp; Crew'!$A$5:$D$34,4,FALSE),0))</f>
        <v/>
      </c>
      <c r="J469" s="39">
        <f>IF(B469="","",E469*I469)</f>
        <v/>
      </c>
      <c r="K469" s="59">
        <f>IF(A469="","",A469-WEEKDAY(A469,2)+7)</f>
        <v/>
      </c>
      <c r="L469" s="9">
        <f>IF(B469="","",IF(D469="","Labor",IFERROR(VLOOKUP(D469,Settings!$E$5:$G$28,3,FALSE),"Labor")))</f>
        <v/>
      </c>
      <c r="M469" s="9">
        <f>IF(B469="","",IF(COUNTIF('Vendors &amp; Crew'!$A$5:$A$34,B469)=0,"Worker not in Crew table",IF(C469="","Missing Job ID",IF(COUNTIF(Jobs!$A$5:$A$44,C469)=0,"Unknown Job ID",IF(E469="","Missing hours",IF(A469="","Missing date",""))))))</f>
        <v/>
      </c>
      <c r="N469" s="35" t="n"/>
    </row>
    <row r="470">
      <c r="A470" s="40" t="n"/>
      <c r="B470" s="35" t="n"/>
      <c r="C470" s="35" t="n"/>
      <c r="D470" s="35" t="n"/>
      <c r="E470" s="61" t="n"/>
      <c r="F470" s="37" t="n"/>
      <c r="G470" s="39">
        <f>IF(B470="","",IF(F470&lt;&gt;"",F470,IFERROR(VLOOKUP(B470,'Vendors &amp; Crew'!$A$5:$D$34,3,FALSE),0)))</f>
        <v/>
      </c>
      <c r="H470" s="39">
        <f>IF(B470="","",E470*G470*(1+Settings!$B$18))</f>
        <v/>
      </c>
      <c r="I470" s="39">
        <f>IF(B470="","",IFERROR(VLOOKUP(B470,'Vendors &amp; Crew'!$A$5:$D$34,4,FALSE),0))</f>
        <v/>
      </c>
      <c r="J470" s="39">
        <f>IF(B470="","",E470*I470)</f>
        <v/>
      </c>
      <c r="K470" s="59">
        <f>IF(A470="","",A470-WEEKDAY(A470,2)+7)</f>
        <v/>
      </c>
      <c r="L470" s="9">
        <f>IF(B470="","",IF(D470="","Labor",IFERROR(VLOOKUP(D470,Settings!$E$5:$G$28,3,FALSE),"Labor")))</f>
        <v/>
      </c>
      <c r="M470" s="9">
        <f>IF(B470="","",IF(COUNTIF('Vendors &amp; Crew'!$A$5:$A$34,B470)=0,"Worker not in Crew table",IF(C470="","Missing Job ID",IF(COUNTIF(Jobs!$A$5:$A$44,C470)=0,"Unknown Job ID",IF(E470="","Missing hours",IF(A470="","Missing date",""))))))</f>
        <v/>
      </c>
      <c r="N470" s="35" t="n"/>
    </row>
    <row r="471">
      <c r="A471" s="40" t="n"/>
      <c r="B471" s="35" t="n"/>
      <c r="C471" s="35" t="n"/>
      <c r="D471" s="35" t="n"/>
      <c r="E471" s="61" t="n"/>
      <c r="F471" s="37" t="n"/>
      <c r="G471" s="39">
        <f>IF(B471="","",IF(F471&lt;&gt;"",F471,IFERROR(VLOOKUP(B471,'Vendors &amp; Crew'!$A$5:$D$34,3,FALSE),0)))</f>
        <v/>
      </c>
      <c r="H471" s="39">
        <f>IF(B471="","",E471*G471*(1+Settings!$B$18))</f>
        <v/>
      </c>
      <c r="I471" s="39">
        <f>IF(B471="","",IFERROR(VLOOKUP(B471,'Vendors &amp; Crew'!$A$5:$D$34,4,FALSE),0))</f>
        <v/>
      </c>
      <c r="J471" s="39">
        <f>IF(B471="","",E471*I471)</f>
        <v/>
      </c>
      <c r="K471" s="59">
        <f>IF(A471="","",A471-WEEKDAY(A471,2)+7)</f>
        <v/>
      </c>
      <c r="L471" s="9">
        <f>IF(B471="","",IF(D471="","Labor",IFERROR(VLOOKUP(D471,Settings!$E$5:$G$28,3,FALSE),"Labor")))</f>
        <v/>
      </c>
      <c r="M471" s="9">
        <f>IF(B471="","",IF(COUNTIF('Vendors &amp; Crew'!$A$5:$A$34,B471)=0,"Worker not in Crew table",IF(C471="","Missing Job ID",IF(COUNTIF(Jobs!$A$5:$A$44,C471)=0,"Unknown Job ID",IF(E471="","Missing hours",IF(A471="","Missing date",""))))))</f>
        <v/>
      </c>
      <c r="N471" s="35" t="n"/>
    </row>
    <row r="472">
      <c r="A472" s="40" t="n"/>
      <c r="B472" s="35" t="n"/>
      <c r="C472" s="35" t="n"/>
      <c r="D472" s="35" t="n"/>
      <c r="E472" s="61" t="n"/>
      <c r="F472" s="37" t="n"/>
      <c r="G472" s="39">
        <f>IF(B472="","",IF(F472&lt;&gt;"",F472,IFERROR(VLOOKUP(B472,'Vendors &amp; Crew'!$A$5:$D$34,3,FALSE),0)))</f>
        <v/>
      </c>
      <c r="H472" s="39">
        <f>IF(B472="","",E472*G472*(1+Settings!$B$18))</f>
        <v/>
      </c>
      <c r="I472" s="39">
        <f>IF(B472="","",IFERROR(VLOOKUP(B472,'Vendors &amp; Crew'!$A$5:$D$34,4,FALSE),0))</f>
        <v/>
      </c>
      <c r="J472" s="39">
        <f>IF(B472="","",E472*I472)</f>
        <v/>
      </c>
      <c r="K472" s="59">
        <f>IF(A472="","",A472-WEEKDAY(A472,2)+7)</f>
        <v/>
      </c>
      <c r="L472" s="9">
        <f>IF(B472="","",IF(D472="","Labor",IFERROR(VLOOKUP(D472,Settings!$E$5:$G$28,3,FALSE),"Labor")))</f>
        <v/>
      </c>
      <c r="M472" s="9">
        <f>IF(B472="","",IF(COUNTIF('Vendors &amp; Crew'!$A$5:$A$34,B472)=0,"Worker not in Crew table",IF(C472="","Missing Job ID",IF(COUNTIF(Jobs!$A$5:$A$44,C472)=0,"Unknown Job ID",IF(E472="","Missing hours",IF(A472="","Missing date",""))))))</f>
        <v/>
      </c>
      <c r="N472" s="35" t="n"/>
    </row>
    <row r="473">
      <c r="A473" s="40" t="n"/>
      <c r="B473" s="35" t="n"/>
      <c r="C473" s="35" t="n"/>
      <c r="D473" s="35" t="n"/>
      <c r="E473" s="61" t="n"/>
      <c r="F473" s="37" t="n"/>
      <c r="G473" s="39">
        <f>IF(B473="","",IF(F473&lt;&gt;"",F473,IFERROR(VLOOKUP(B473,'Vendors &amp; Crew'!$A$5:$D$34,3,FALSE),0)))</f>
        <v/>
      </c>
      <c r="H473" s="39">
        <f>IF(B473="","",E473*G473*(1+Settings!$B$18))</f>
        <v/>
      </c>
      <c r="I473" s="39">
        <f>IF(B473="","",IFERROR(VLOOKUP(B473,'Vendors &amp; Crew'!$A$5:$D$34,4,FALSE),0))</f>
        <v/>
      </c>
      <c r="J473" s="39">
        <f>IF(B473="","",E473*I473)</f>
        <v/>
      </c>
      <c r="K473" s="59">
        <f>IF(A473="","",A473-WEEKDAY(A473,2)+7)</f>
        <v/>
      </c>
      <c r="L473" s="9">
        <f>IF(B473="","",IF(D473="","Labor",IFERROR(VLOOKUP(D473,Settings!$E$5:$G$28,3,FALSE),"Labor")))</f>
        <v/>
      </c>
      <c r="M473" s="9">
        <f>IF(B473="","",IF(COUNTIF('Vendors &amp; Crew'!$A$5:$A$34,B473)=0,"Worker not in Crew table",IF(C473="","Missing Job ID",IF(COUNTIF(Jobs!$A$5:$A$44,C473)=0,"Unknown Job ID",IF(E473="","Missing hours",IF(A473="","Missing date",""))))))</f>
        <v/>
      </c>
      <c r="N473" s="35" t="n"/>
    </row>
    <row r="474">
      <c r="A474" s="40" t="n"/>
      <c r="B474" s="35" t="n"/>
      <c r="C474" s="35" t="n"/>
      <c r="D474" s="35" t="n"/>
      <c r="E474" s="61" t="n"/>
      <c r="F474" s="37" t="n"/>
      <c r="G474" s="39">
        <f>IF(B474="","",IF(F474&lt;&gt;"",F474,IFERROR(VLOOKUP(B474,'Vendors &amp; Crew'!$A$5:$D$34,3,FALSE),0)))</f>
        <v/>
      </c>
      <c r="H474" s="39">
        <f>IF(B474="","",E474*G474*(1+Settings!$B$18))</f>
        <v/>
      </c>
      <c r="I474" s="39">
        <f>IF(B474="","",IFERROR(VLOOKUP(B474,'Vendors &amp; Crew'!$A$5:$D$34,4,FALSE),0))</f>
        <v/>
      </c>
      <c r="J474" s="39">
        <f>IF(B474="","",E474*I474)</f>
        <v/>
      </c>
      <c r="K474" s="59">
        <f>IF(A474="","",A474-WEEKDAY(A474,2)+7)</f>
        <v/>
      </c>
      <c r="L474" s="9">
        <f>IF(B474="","",IF(D474="","Labor",IFERROR(VLOOKUP(D474,Settings!$E$5:$G$28,3,FALSE),"Labor")))</f>
        <v/>
      </c>
      <c r="M474" s="9">
        <f>IF(B474="","",IF(COUNTIF('Vendors &amp; Crew'!$A$5:$A$34,B474)=0,"Worker not in Crew table",IF(C474="","Missing Job ID",IF(COUNTIF(Jobs!$A$5:$A$44,C474)=0,"Unknown Job ID",IF(E474="","Missing hours",IF(A474="","Missing date",""))))))</f>
        <v/>
      </c>
      <c r="N474" s="35" t="n"/>
    </row>
    <row r="475">
      <c r="A475" s="40" t="n"/>
      <c r="B475" s="35" t="n"/>
      <c r="C475" s="35" t="n"/>
      <c r="D475" s="35" t="n"/>
      <c r="E475" s="61" t="n"/>
      <c r="F475" s="37" t="n"/>
      <c r="G475" s="39">
        <f>IF(B475="","",IF(F475&lt;&gt;"",F475,IFERROR(VLOOKUP(B475,'Vendors &amp; Crew'!$A$5:$D$34,3,FALSE),0)))</f>
        <v/>
      </c>
      <c r="H475" s="39">
        <f>IF(B475="","",E475*G475*(1+Settings!$B$18))</f>
        <v/>
      </c>
      <c r="I475" s="39">
        <f>IF(B475="","",IFERROR(VLOOKUP(B475,'Vendors &amp; Crew'!$A$5:$D$34,4,FALSE),0))</f>
        <v/>
      </c>
      <c r="J475" s="39">
        <f>IF(B475="","",E475*I475)</f>
        <v/>
      </c>
      <c r="K475" s="59">
        <f>IF(A475="","",A475-WEEKDAY(A475,2)+7)</f>
        <v/>
      </c>
      <c r="L475" s="9">
        <f>IF(B475="","",IF(D475="","Labor",IFERROR(VLOOKUP(D475,Settings!$E$5:$G$28,3,FALSE),"Labor")))</f>
        <v/>
      </c>
      <c r="M475" s="9">
        <f>IF(B475="","",IF(COUNTIF('Vendors &amp; Crew'!$A$5:$A$34,B475)=0,"Worker not in Crew table",IF(C475="","Missing Job ID",IF(COUNTIF(Jobs!$A$5:$A$44,C475)=0,"Unknown Job ID",IF(E475="","Missing hours",IF(A475="","Missing date",""))))))</f>
        <v/>
      </c>
      <c r="N475" s="35" t="n"/>
    </row>
    <row r="476">
      <c r="A476" s="40" t="n"/>
      <c r="B476" s="35" t="n"/>
      <c r="C476" s="35" t="n"/>
      <c r="D476" s="35" t="n"/>
      <c r="E476" s="61" t="n"/>
      <c r="F476" s="37" t="n"/>
      <c r="G476" s="39">
        <f>IF(B476="","",IF(F476&lt;&gt;"",F476,IFERROR(VLOOKUP(B476,'Vendors &amp; Crew'!$A$5:$D$34,3,FALSE),0)))</f>
        <v/>
      </c>
      <c r="H476" s="39">
        <f>IF(B476="","",E476*G476*(1+Settings!$B$18))</f>
        <v/>
      </c>
      <c r="I476" s="39">
        <f>IF(B476="","",IFERROR(VLOOKUP(B476,'Vendors &amp; Crew'!$A$5:$D$34,4,FALSE),0))</f>
        <v/>
      </c>
      <c r="J476" s="39">
        <f>IF(B476="","",E476*I476)</f>
        <v/>
      </c>
      <c r="K476" s="59">
        <f>IF(A476="","",A476-WEEKDAY(A476,2)+7)</f>
        <v/>
      </c>
      <c r="L476" s="9">
        <f>IF(B476="","",IF(D476="","Labor",IFERROR(VLOOKUP(D476,Settings!$E$5:$G$28,3,FALSE),"Labor")))</f>
        <v/>
      </c>
      <c r="M476" s="9">
        <f>IF(B476="","",IF(COUNTIF('Vendors &amp; Crew'!$A$5:$A$34,B476)=0,"Worker not in Crew table",IF(C476="","Missing Job ID",IF(COUNTIF(Jobs!$A$5:$A$44,C476)=0,"Unknown Job ID",IF(E476="","Missing hours",IF(A476="","Missing date",""))))))</f>
        <v/>
      </c>
      <c r="N476" s="35" t="n"/>
    </row>
    <row r="477">
      <c r="A477" s="40" t="n"/>
      <c r="B477" s="35" t="n"/>
      <c r="C477" s="35" t="n"/>
      <c r="D477" s="35" t="n"/>
      <c r="E477" s="61" t="n"/>
      <c r="F477" s="37" t="n"/>
      <c r="G477" s="39">
        <f>IF(B477="","",IF(F477&lt;&gt;"",F477,IFERROR(VLOOKUP(B477,'Vendors &amp; Crew'!$A$5:$D$34,3,FALSE),0)))</f>
        <v/>
      </c>
      <c r="H477" s="39">
        <f>IF(B477="","",E477*G477*(1+Settings!$B$18))</f>
        <v/>
      </c>
      <c r="I477" s="39">
        <f>IF(B477="","",IFERROR(VLOOKUP(B477,'Vendors &amp; Crew'!$A$5:$D$34,4,FALSE),0))</f>
        <v/>
      </c>
      <c r="J477" s="39">
        <f>IF(B477="","",E477*I477)</f>
        <v/>
      </c>
      <c r="K477" s="59">
        <f>IF(A477="","",A477-WEEKDAY(A477,2)+7)</f>
        <v/>
      </c>
      <c r="L477" s="9">
        <f>IF(B477="","",IF(D477="","Labor",IFERROR(VLOOKUP(D477,Settings!$E$5:$G$28,3,FALSE),"Labor")))</f>
        <v/>
      </c>
      <c r="M477" s="9">
        <f>IF(B477="","",IF(COUNTIF('Vendors &amp; Crew'!$A$5:$A$34,B477)=0,"Worker not in Crew table",IF(C477="","Missing Job ID",IF(COUNTIF(Jobs!$A$5:$A$44,C477)=0,"Unknown Job ID",IF(E477="","Missing hours",IF(A477="","Missing date",""))))))</f>
        <v/>
      </c>
      <c r="N477" s="35" t="n"/>
    </row>
    <row r="478">
      <c r="A478" s="40" t="n"/>
      <c r="B478" s="35" t="n"/>
      <c r="C478" s="35" t="n"/>
      <c r="D478" s="35" t="n"/>
      <c r="E478" s="61" t="n"/>
      <c r="F478" s="37" t="n"/>
      <c r="G478" s="39">
        <f>IF(B478="","",IF(F478&lt;&gt;"",F478,IFERROR(VLOOKUP(B478,'Vendors &amp; Crew'!$A$5:$D$34,3,FALSE),0)))</f>
        <v/>
      </c>
      <c r="H478" s="39">
        <f>IF(B478="","",E478*G478*(1+Settings!$B$18))</f>
        <v/>
      </c>
      <c r="I478" s="39">
        <f>IF(B478="","",IFERROR(VLOOKUP(B478,'Vendors &amp; Crew'!$A$5:$D$34,4,FALSE),0))</f>
        <v/>
      </c>
      <c r="J478" s="39">
        <f>IF(B478="","",E478*I478)</f>
        <v/>
      </c>
      <c r="K478" s="59">
        <f>IF(A478="","",A478-WEEKDAY(A478,2)+7)</f>
        <v/>
      </c>
      <c r="L478" s="9">
        <f>IF(B478="","",IF(D478="","Labor",IFERROR(VLOOKUP(D478,Settings!$E$5:$G$28,3,FALSE),"Labor")))</f>
        <v/>
      </c>
      <c r="M478" s="9">
        <f>IF(B478="","",IF(COUNTIF('Vendors &amp; Crew'!$A$5:$A$34,B478)=0,"Worker not in Crew table",IF(C478="","Missing Job ID",IF(COUNTIF(Jobs!$A$5:$A$44,C478)=0,"Unknown Job ID",IF(E478="","Missing hours",IF(A478="","Missing date",""))))))</f>
        <v/>
      </c>
      <c r="N478" s="35" t="n"/>
    </row>
    <row r="479">
      <c r="A479" s="40" t="n"/>
      <c r="B479" s="35" t="n"/>
      <c r="C479" s="35" t="n"/>
      <c r="D479" s="35" t="n"/>
      <c r="E479" s="61" t="n"/>
      <c r="F479" s="37" t="n"/>
      <c r="G479" s="39">
        <f>IF(B479="","",IF(F479&lt;&gt;"",F479,IFERROR(VLOOKUP(B479,'Vendors &amp; Crew'!$A$5:$D$34,3,FALSE),0)))</f>
        <v/>
      </c>
      <c r="H479" s="39">
        <f>IF(B479="","",E479*G479*(1+Settings!$B$18))</f>
        <v/>
      </c>
      <c r="I479" s="39">
        <f>IF(B479="","",IFERROR(VLOOKUP(B479,'Vendors &amp; Crew'!$A$5:$D$34,4,FALSE),0))</f>
        <v/>
      </c>
      <c r="J479" s="39">
        <f>IF(B479="","",E479*I479)</f>
        <v/>
      </c>
      <c r="K479" s="59">
        <f>IF(A479="","",A479-WEEKDAY(A479,2)+7)</f>
        <v/>
      </c>
      <c r="L479" s="9">
        <f>IF(B479="","",IF(D479="","Labor",IFERROR(VLOOKUP(D479,Settings!$E$5:$G$28,3,FALSE),"Labor")))</f>
        <v/>
      </c>
      <c r="M479" s="9">
        <f>IF(B479="","",IF(COUNTIF('Vendors &amp; Crew'!$A$5:$A$34,B479)=0,"Worker not in Crew table",IF(C479="","Missing Job ID",IF(COUNTIF(Jobs!$A$5:$A$44,C479)=0,"Unknown Job ID",IF(E479="","Missing hours",IF(A479="","Missing date",""))))))</f>
        <v/>
      </c>
      <c r="N479" s="35" t="n"/>
    </row>
    <row r="480">
      <c r="A480" s="40" t="n"/>
      <c r="B480" s="35" t="n"/>
      <c r="C480" s="35" t="n"/>
      <c r="D480" s="35" t="n"/>
      <c r="E480" s="61" t="n"/>
      <c r="F480" s="37" t="n"/>
      <c r="G480" s="39">
        <f>IF(B480="","",IF(F480&lt;&gt;"",F480,IFERROR(VLOOKUP(B480,'Vendors &amp; Crew'!$A$5:$D$34,3,FALSE),0)))</f>
        <v/>
      </c>
      <c r="H480" s="39">
        <f>IF(B480="","",E480*G480*(1+Settings!$B$18))</f>
        <v/>
      </c>
      <c r="I480" s="39">
        <f>IF(B480="","",IFERROR(VLOOKUP(B480,'Vendors &amp; Crew'!$A$5:$D$34,4,FALSE),0))</f>
        <v/>
      </c>
      <c r="J480" s="39">
        <f>IF(B480="","",E480*I480)</f>
        <v/>
      </c>
      <c r="K480" s="59">
        <f>IF(A480="","",A480-WEEKDAY(A480,2)+7)</f>
        <v/>
      </c>
      <c r="L480" s="9">
        <f>IF(B480="","",IF(D480="","Labor",IFERROR(VLOOKUP(D480,Settings!$E$5:$G$28,3,FALSE),"Labor")))</f>
        <v/>
      </c>
      <c r="M480" s="9">
        <f>IF(B480="","",IF(COUNTIF('Vendors &amp; Crew'!$A$5:$A$34,B480)=0,"Worker not in Crew table",IF(C480="","Missing Job ID",IF(COUNTIF(Jobs!$A$5:$A$44,C480)=0,"Unknown Job ID",IF(E480="","Missing hours",IF(A480="","Missing date",""))))))</f>
        <v/>
      </c>
      <c r="N480" s="35" t="n"/>
    </row>
    <row r="481">
      <c r="A481" s="40" t="n"/>
      <c r="B481" s="35" t="n"/>
      <c r="C481" s="35" t="n"/>
      <c r="D481" s="35" t="n"/>
      <c r="E481" s="61" t="n"/>
      <c r="F481" s="37" t="n"/>
      <c r="G481" s="39">
        <f>IF(B481="","",IF(F481&lt;&gt;"",F481,IFERROR(VLOOKUP(B481,'Vendors &amp; Crew'!$A$5:$D$34,3,FALSE),0)))</f>
        <v/>
      </c>
      <c r="H481" s="39">
        <f>IF(B481="","",E481*G481*(1+Settings!$B$18))</f>
        <v/>
      </c>
      <c r="I481" s="39">
        <f>IF(B481="","",IFERROR(VLOOKUP(B481,'Vendors &amp; Crew'!$A$5:$D$34,4,FALSE),0))</f>
        <v/>
      </c>
      <c r="J481" s="39">
        <f>IF(B481="","",E481*I481)</f>
        <v/>
      </c>
      <c r="K481" s="59">
        <f>IF(A481="","",A481-WEEKDAY(A481,2)+7)</f>
        <v/>
      </c>
      <c r="L481" s="9">
        <f>IF(B481="","",IF(D481="","Labor",IFERROR(VLOOKUP(D481,Settings!$E$5:$G$28,3,FALSE),"Labor")))</f>
        <v/>
      </c>
      <c r="M481" s="9">
        <f>IF(B481="","",IF(COUNTIF('Vendors &amp; Crew'!$A$5:$A$34,B481)=0,"Worker not in Crew table",IF(C481="","Missing Job ID",IF(COUNTIF(Jobs!$A$5:$A$44,C481)=0,"Unknown Job ID",IF(E481="","Missing hours",IF(A481="","Missing date",""))))))</f>
        <v/>
      </c>
      <c r="N481" s="35" t="n"/>
    </row>
    <row r="482">
      <c r="A482" s="40" t="n"/>
      <c r="B482" s="35" t="n"/>
      <c r="C482" s="35" t="n"/>
      <c r="D482" s="35" t="n"/>
      <c r="E482" s="61" t="n"/>
      <c r="F482" s="37" t="n"/>
      <c r="G482" s="39">
        <f>IF(B482="","",IF(F482&lt;&gt;"",F482,IFERROR(VLOOKUP(B482,'Vendors &amp; Crew'!$A$5:$D$34,3,FALSE),0)))</f>
        <v/>
      </c>
      <c r="H482" s="39">
        <f>IF(B482="","",E482*G482*(1+Settings!$B$18))</f>
        <v/>
      </c>
      <c r="I482" s="39">
        <f>IF(B482="","",IFERROR(VLOOKUP(B482,'Vendors &amp; Crew'!$A$5:$D$34,4,FALSE),0))</f>
        <v/>
      </c>
      <c r="J482" s="39">
        <f>IF(B482="","",E482*I482)</f>
        <v/>
      </c>
      <c r="K482" s="59">
        <f>IF(A482="","",A482-WEEKDAY(A482,2)+7)</f>
        <v/>
      </c>
      <c r="L482" s="9">
        <f>IF(B482="","",IF(D482="","Labor",IFERROR(VLOOKUP(D482,Settings!$E$5:$G$28,3,FALSE),"Labor")))</f>
        <v/>
      </c>
      <c r="M482" s="9">
        <f>IF(B482="","",IF(COUNTIF('Vendors &amp; Crew'!$A$5:$A$34,B482)=0,"Worker not in Crew table",IF(C482="","Missing Job ID",IF(COUNTIF(Jobs!$A$5:$A$44,C482)=0,"Unknown Job ID",IF(E482="","Missing hours",IF(A482="","Missing date",""))))))</f>
        <v/>
      </c>
      <c r="N482" s="35" t="n"/>
    </row>
    <row r="483">
      <c r="A483" s="40" t="n"/>
      <c r="B483" s="35" t="n"/>
      <c r="C483" s="35" t="n"/>
      <c r="D483" s="35" t="n"/>
      <c r="E483" s="61" t="n"/>
      <c r="F483" s="37" t="n"/>
      <c r="G483" s="39">
        <f>IF(B483="","",IF(F483&lt;&gt;"",F483,IFERROR(VLOOKUP(B483,'Vendors &amp; Crew'!$A$5:$D$34,3,FALSE),0)))</f>
        <v/>
      </c>
      <c r="H483" s="39">
        <f>IF(B483="","",E483*G483*(1+Settings!$B$18))</f>
        <v/>
      </c>
      <c r="I483" s="39">
        <f>IF(B483="","",IFERROR(VLOOKUP(B483,'Vendors &amp; Crew'!$A$5:$D$34,4,FALSE),0))</f>
        <v/>
      </c>
      <c r="J483" s="39">
        <f>IF(B483="","",E483*I483)</f>
        <v/>
      </c>
      <c r="K483" s="59">
        <f>IF(A483="","",A483-WEEKDAY(A483,2)+7)</f>
        <v/>
      </c>
      <c r="L483" s="9">
        <f>IF(B483="","",IF(D483="","Labor",IFERROR(VLOOKUP(D483,Settings!$E$5:$G$28,3,FALSE),"Labor")))</f>
        <v/>
      </c>
      <c r="M483" s="9">
        <f>IF(B483="","",IF(COUNTIF('Vendors &amp; Crew'!$A$5:$A$34,B483)=0,"Worker not in Crew table",IF(C483="","Missing Job ID",IF(COUNTIF(Jobs!$A$5:$A$44,C483)=0,"Unknown Job ID",IF(E483="","Missing hours",IF(A483="","Missing date",""))))))</f>
        <v/>
      </c>
      <c r="N483" s="35" t="n"/>
    </row>
    <row r="484">
      <c r="A484" s="40" t="n"/>
      <c r="B484" s="35" t="n"/>
      <c r="C484" s="35" t="n"/>
      <c r="D484" s="35" t="n"/>
      <c r="E484" s="61" t="n"/>
      <c r="F484" s="37" t="n"/>
      <c r="G484" s="39">
        <f>IF(B484="","",IF(F484&lt;&gt;"",F484,IFERROR(VLOOKUP(B484,'Vendors &amp; Crew'!$A$5:$D$34,3,FALSE),0)))</f>
        <v/>
      </c>
      <c r="H484" s="39">
        <f>IF(B484="","",E484*G484*(1+Settings!$B$18))</f>
        <v/>
      </c>
      <c r="I484" s="39">
        <f>IF(B484="","",IFERROR(VLOOKUP(B484,'Vendors &amp; Crew'!$A$5:$D$34,4,FALSE),0))</f>
        <v/>
      </c>
      <c r="J484" s="39">
        <f>IF(B484="","",E484*I484)</f>
        <v/>
      </c>
      <c r="K484" s="59">
        <f>IF(A484="","",A484-WEEKDAY(A484,2)+7)</f>
        <v/>
      </c>
      <c r="L484" s="9">
        <f>IF(B484="","",IF(D484="","Labor",IFERROR(VLOOKUP(D484,Settings!$E$5:$G$28,3,FALSE),"Labor")))</f>
        <v/>
      </c>
      <c r="M484" s="9">
        <f>IF(B484="","",IF(COUNTIF('Vendors &amp; Crew'!$A$5:$A$34,B484)=0,"Worker not in Crew table",IF(C484="","Missing Job ID",IF(COUNTIF(Jobs!$A$5:$A$44,C484)=0,"Unknown Job ID",IF(E484="","Missing hours",IF(A484="","Missing date",""))))))</f>
        <v/>
      </c>
      <c r="N484" s="35" t="n"/>
    </row>
    <row r="485">
      <c r="A485" s="40" t="n"/>
      <c r="B485" s="35" t="n"/>
      <c r="C485" s="35" t="n"/>
      <c r="D485" s="35" t="n"/>
      <c r="E485" s="61" t="n"/>
      <c r="F485" s="37" t="n"/>
      <c r="G485" s="39">
        <f>IF(B485="","",IF(F485&lt;&gt;"",F485,IFERROR(VLOOKUP(B485,'Vendors &amp; Crew'!$A$5:$D$34,3,FALSE),0)))</f>
        <v/>
      </c>
      <c r="H485" s="39">
        <f>IF(B485="","",E485*G485*(1+Settings!$B$18))</f>
        <v/>
      </c>
      <c r="I485" s="39">
        <f>IF(B485="","",IFERROR(VLOOKUP(B485,'Vendors &amp; Crew'!$A$5:$D$34,4,FALSE),0))</f>
        <v/>
      </c>
      <c r="J485" s="39">
        <f>IF(B485="","",E485*I485)</f>
        <v/>
      </c>
      <c r="K485" s="59">
        <f>IF(A485="","",A485-WEEKDAY(A485,2)+7)</f>
        <v/>
      </c>
      <c r="L485" s="9">
        <f>IF(B485="","",IF(D485="","Labor",IFERROR(VLOOKUP(D485,Settings!$E$5:$G$28,3,FALSE),"Labor")))</f>
        <v/>
      </c>
      <c r="M485" s="9">
        <f>IF(B485="","",IF(COUNTIF('Vendors &amp; Crew'!$A$5:$A$34,B485)=0,"Worker not in Crew table",IF(C485="","Missing Job ID",IF(COUNTIF(Jobs!$A$5:$A$44,C485)=0,"Unknown Job ID",IF(E485="","Missing hours",IF(A485="","Missing date",""))))))</f>
        <v/>
      </c>
      <c r="N485" s="35" t="n"/>
    </row>
    <row r="486">
      <c r="A486" s="40" t="n"/>
      <c r="B486" s="35" t="n"/>
      <c r="C486" s="35" t="n"/>
      <c r="D486" s="35" t="n"/>
      <c r="E486" s="61" t="n"/>
      <c r="F486" s="37" t="n"/>
      <c r="G486" s="39">
        <f>IF(B486="","",IF(F486&lt;&gt;"",F486,IFERROR(VLOOKUP(B486,'Vendors &amp; Crew'!$A$5:$D$34,3,FALSE),0)))</f>
        <v/>
      </c>
      <c r="H486" s="39">
        <f>IF(B486="","",E486*G486*(1+Settings!$B$18))</f>
        <v/>
      </c>
      <c r="I486" s="39">
        <f>IF(B486="","",IFERROR(VLOOKUP(B486,'Vendors &amp; Crew'!$A$5:$D$34,4,FALSE),0))</f>
        <v/>
      </c>
      <c r="J486" s="39">
        <f>IF(B486="","",E486*I486)</f>
        <v/>
      </c>
      <c r="K486" s="59">
        <f>IF(A486="","",A486-WEEKDAY(A486,2)+7)</f>
        <v/>
      </c>
      <c r="L486" s="9">
        <f>IF(B486="","",IF(D486="","Labor",IFERROR(VLOOKUP(D486,Settings!$E$5:$G$28,3,FALSE),"Labor")))</f>
        <v/>
      </c>
      <c r="M486" s="9">
        <f>IF(B486="","",IF(COUNTIF('Vendors &amp; Crew'!$A$5:$A$34,B486)=0,"Worker not in Crew table",IF(C486="","Missing Job ID",IF(COUNTIF(Jobs!$A$5:$A$44,C486)=0,"Unknown Job ID",IF(E486="","Missing hours",IF(A486="","Missing date",""))))))</f>
        <v/>
      </c>
      <c r="N486" s="35" t="n"/>
    </row>
    <row r="487">
      <c r="A487" s="40" t="n"/>
      <c r="B487" s="35" t="n"/>
      <c r="C487" s="35" t="n"/>
      <c r="D487" s="35" t="n"/>
      <c r="E487" s="61" t="n"/>
      <c r="F487" s="37" t="n"/>
      <c r="G487" s="39">
        <f>IF(B487="","",IF(F487&lt;&gt;"",F487,IFERROR(VLOOKUP(B487,'Vendors &amp; Crew'!$A$5:$D$34,3,FALSE),0)))</f>
        <v/>
      </c>
      <c r="H487" s="39">
        <f>IF(B487="","",E487*G487*(1+Settings!$B$18))</f>
        <v/>
      </c>
      <c r="I487" s="39">
        <f>IF(B487="","",IFERROR(VLOOKUP(B487,'Vendors &amp; Crew'!$A$5:$D$34,4,FALSE),0))</f>
        <v/>
      </c>
      <c r="J487" s="39">
        <f>IF(B487="","",E487*I487)</f>
        <v/>
      </c>
      <c r="K487" s="59">
        <f>IF(A487="","",A487-WEEKDAY(A487,2)+7)</f>
        <v/>
      </c>
      <c r="L487" s="9">
        <f>IF(B487="","",IF(D487="","Labor",IFERROR(VLOOKUP(D487,Settings!$E$5:$G$28,3,FALSE),"Labor")))</f>
        <v/>
      </c>
      <c r="M487" s="9">
        <f>IF(B487="","",IF(COUNTIF('Vendors &amp; Crew'!$A$5:$A$34,B487)=0,"Worker not in Crew table",IF(C487="","Missing Job ID",IF(COUNTIF(Jobs!$A$5:$A$44,C487)=0,"Unknown Job ID",IF(E487="","Missing hours",IF(A487="","Missing date",""))))))</f>
        <v/>
      </c>
      <c r="N487" s="35" t="n"/>
    </row>
    <row r="488">
      <c r="A488" s="40" t="n"/>
      <c r="B488" s="35" t="n"/>
      <c r="C488" s="35" t="n"/>
      <c r="D488" s="35" t="n"/>
      <c r="E488" s="61" t="n"/>
      <c r="F488" s="37" t="n"/>
      <c r="G488" s="39">
        <f>IF(B488="","",IF(F488&lt;&gt;"",F488,IFERROR(VLOOKUP(B488,'Vendors &amp; Crew'!$A$5:$D$34,3,FALSE),0)))</f>
        <v/>
      </c>
      <c r="H488" s="39">
        <f>IF(B488="","",E488*G488*(1+Settings!$B$18))</f>
        <v/>
      </c>
      <c r="I488" s="39">
        <f>IF(B488="","",IFERROR(VLOOKUP(B488,'Vendors &amp; Crew'!$A$5:$D$34,4,FALSE),0))</f>
        <v/>
      </c>
      <c r="J488" s="39">
        <f>IF(B488="","",E488*I488)</f>
        <v/>
      </c>
      <c r="K488" s="59">
        <f>IF(A488="","",A488-WEEKDAY(A488,2)+7)</f>
        <v/>
      </c>
      <c r="L488" s="9">
        <f>IF(B488="","",IF(D488="","Labor",IFERROR(VLOOKUP(D488,Settings!$E$5:$G$28,3,FALSE),"Labor")))</f>
        <v/>
      </c>
      <c r="M488" s="9">
        <f>IF(B488="","",IF(COUNTIF('Vendors &amp; Crew'!$A$5:$A$34,B488)=0,"Worker not in Crew table",IF(C488="","Missing Job ID",IF(COUNTIF(Jobs!$A$5:$A$44,C488)=0,"Unknown Job ID",IF(E488="","Missing hours",IF(A488="","Missing date",""))))))</f>
        <v/>
      </c>
      <c r="N488" s="35" t="n"/>
    </row>
    <row r="489">
      <c r="A489" s="40" t="n"/>
      <c r="B489" s="35" t="n"/>
      <c r="C489" s="35" t="n"/>
      <c r="D489" s="35" t="n"/>
      <c r="E489" s="61" t="n"/>
      <c r="F489" s="37" t="n"/>
      <c r="G489" s="39">
        <f>IF(B489="","",IF(F489&lt;&gt;"",F489,IFERROR(VLOOKUP(B489,'Vendors &amp; Crew'!$A$5:$D$34,3,FALSE),0)))</f>
        <v/>
      </c>
      <c r="H489" s="39">
        <f>IF(B489="","",E489*G489*(1+Settings!$B$18))</f>
        <v/>
      </c>
      <c r="I489" s="39">
        <f>IF(B489="","",IFERROR(VLOOKUP(B489,'Vendors &amp; Crew'!$A$5:$D$34,4,FALSE),0))</f>
        <v/>
      </c>
      <c r="J489" s="39">
        <f>IF(B489="","",E489*I489)</f>
        <v/>
      </c>
      <c r="K489" s="59">
        <f>IF(A489="","",A489-WEEKDAY(A489,2)+7)</f>
        <v/>
      </c>
      <c r="L489" s="9">
        <f>IF(B489="","",IF(D489="","Labor",IFERROR(VLOOKUP(D489,Settings!$E$5:$G$28,3,FALSE),"Labor")))</f>
        <v/>
      </c>
      <c r="M489" s="9">
        <f>IF(B489="","",IF(COUNTIF('Vendors &amp; Crew'!$A$5:$A$34,B489)=0,"Worker not in Crew table",IF(C489="","Missing Job ID",IF(COUNTIF(Jobs!$A$5:$A$44,C489)=0,"Unknown Job ID",IF(E489="","Missing hours",IF(A489="","Missing date",""))))))</f>
        <v/>
      </c>
      <c r="N489" s="35" t="n"/>
    </row>
    <row r="490">
      <c r="A490" s="40" t="n"/>
      <c r="B490" s="35" t="n"/>
      <c r="C490" s="35" t="n"/>
      <c r="D490" s="35" t="n"/>
      <c r="E490" s="61" t="n"/>
      <c r="F490" s="37" t="n"/>
      <c r="G490" s="39">
        <f>IF(B490="","",IF(F490&lt;&gt;"",F490,IFERROR(VLOOKUP(B490,'Vendors &amp; Crew'!$A$5:$D$34,3,FALSE),0)))</f>
        <v/>
      </c>
      <c r="H490" s="39">
        <f>IF(B490="","",E490*G490*(1+Settings!$B$18))</f>
        <v/>
      </c>
      <c r="I490" s="39">
        <f>IF(B490="","",IFERROR(VLOOKUP(B490,'Vendors &amp; Crew'!$A$5:$D$34,4,FALSE),0))</f>
        <v/>
      </c>
      <c r="J490" s="39">
        <f>IF(B490="","",E490*I490)</f>
        <v/>
      </c>
      <c r="K490" s="59">
        <f>IF(A490="","",A490-WEEKDAY(A490,2)+7)</f>
        <v/>
      </c>
      <c r="L490" s="9">
        <f>IF(B490="","",IF(D490="","Labor",IFERROR(VLOOKUP(D490,Settings!$E$5:$G$28,3,FALSE),"Labor")))</f>
        <v/>
      </c>
      <c r="M490" s="9">
        <f>IF(B490="","",IF(COUNTIF('Vendors &amp; Crew'!$A$5:$A$34,B490)=0,"Worker not in Crew table",IF(C490="","Missing Job ID",IF(COUNTIF(Jobs!$A$5:$A$44,C490)=0,"Unknown Job ID",IF(E490="","Missing hours",IF(A490="","Missing date",""))))))</f>
        <v/>
      </c>
      <c r="N490" s="35" t="n"/>
    </row>
    <row r="491">
      <c r="A491" s="40" t="n"/>
      <c r="B491" s="35" t="n"/>
      <c r="C491" s="35" t="n"/>
      <c r="D491" s="35" t="n"/>
      <c r="E491" s="61" t="n"/>
      <c r="F491" s="37" t="n"/>
      <c r="G491" s="39">
        <f>IF(B491="","",IF(F491&lt;&gt;"",F491,IFERROR(VLOOKUP(B491,'Vendors &amp; Crew'!$A$5:$D$34,3,FALSE),0)))</f>
        <v/>
      </c>
      <c r="H491" s="39">
        <f>IF(B491="","",E491*G491*(1+Settings!$B$18))</f>
        <v/>
      </c>
      <c r="I491" s="39">
        <f>IF(B491="","",IFERROR(VLOOKUP(B491,'Vendors &amp; Crew'!$A$5:$D$34,4,FALSE),0))</f>
        <v/>
      </c>
      <c r="J491" s="39">
        <f>IF(B491="","",E491*I491)</f>
        <v/>
      </c>
      <c r="K491" s="59">
        <f>IF(A491="","",A491-WEEKDAY(A491,2)+7)</f>
        <v/>
      </c>
      <c r="L491" s="9">
        <f>IF(B491="","",IF(D491="","Labor",IFERROR(VLOOKUP(D491,Settings!$E$5:$G$28,3,FALSE),"Labor")))</f>
        <v/>
      </c>
      <c r="M491" s="9">
        <f>IF(B491="","",IF(COUNTIF('Vendors &amp; Crew'!$A$5:$A$34,B491)=0,"Worker not in Crew table",IF(C491="","Missing Job ID",IF(COUNTIF(Jobs!$A$5:$A$44,C491)=0,"Unknown Job ID",IF(E491="","Missing hours",IF(A491="","Missing date",""))))))</f>
        <v/>
      </c>
      <c r="N491" s="35" t="n"/>
    </row>
    <row r="492">
      <c r="A492" s="40" t="n"/>
      <c r="B492" s="35" t="n"/>
      <c r="C492" s="35" t="n"/>
      <c r="D492" s="35" t="n"/>
      <c r="E492" s="61" t="n"/>
      <c r="F492" s="37" t="n"/>
      <c r="G492" s="39">
        <f>IF(B492="","",IF(F492&lt;&gt;"",F492,IFERROR(VLOOKUP(B492,'Vendors &amp; Crew'!$A$5:$D$34,3,FALSE),0)))</f>
        <v/>
      </c>
      <c r="H492" s="39">
        <f>IF(B492="","",E492*G492*(1+Settings!$B$18))</f>
        <v/>
      </c>
      <c r="I492" s="39">
        <f>IF(B492="","",IFERROR(VLOOKUP(B492,'Vendors &amp; Crew'!$A$5:$D$34,4,FALSE),0))</f>
        <v/>
      </c>
      <c r="J492" s="39">
        <f>IF(B492="","",E492*I492)</f>
        <v/>
      </c>
      <c r="K492" s="59">
        <f>IF(A492="","",A492-WEEKDAY(A492,2)+7)</f>
        <v/>
      </c>
      <c r="L492" s="9">
        <f>IF(B492="","",IF(D492="","Labor",IFERROR(VLOOKUP(D492,Settings!$E$5:$G$28,3,FALSE),"Labor")))</f>
        <v/>
      </c>
      <c r="M492" s="9">
        <f>IF(B492="","",IF(COUNTIF('Vendors &amp; Crew'!$A$5:$A$34,B492)=0,"Worker not in Crew table",IF(C492="","Missing Job ID",IF(COUNTIF(Jobs!$A$5:$A$44,C492)=0,"Unknown Job ID",IF(E492="","Missing hours",IF(A492="","Missing date",""))))))</f>
        <v/>
      </c>
      <c r="N492" s="35" t="n"/>
    </row>
    <row r="493">
      <c r="A493" s="40" t="n"/>
      <c r="B493" s="35" t="n"/>
      <c r="C493" s="35" t="n"/>
      <c r="D493" s="35" t="n"/>
      <c r="E493" s="61" t="n"/>
      <c r="F493" s="37" t="n"/>
      <c r="G493" s="39">
        <f>IF(B493="","",IF(F493&lt;&gt;"",F493,IFERROR(VLOOKUP(B493,'Vendors &amp; Crew'!$A$5:$D$34,3,FALSE),0)))</f>
        <v/>
      </c>
      <c r="H493" s="39">
        <f>IF(B493="","",E493*G493*(1+Settings!$B$18))</f>
        <v/>
      </c>
      <c r="I493" s="39">
        <f>IF(B493="","",IFERROR(VLOOKUP(B493,'Vendors &amp; Crew'!$A$5:$D$34,4,FALSE),0))</f>
        <v/>
      </c>
      <c r="J493" s="39">
        <f>IF(B493="","",E493*I493)</f>
        <v/>
      </c>
      <c r="K493" s="59">
        <f>IF(A493="","",A493-WEEKDAY(A493,2)+7)</f>
        <v/>
      </c>
      <c r="L493" s="9">
        <f>IF(B493="","",IF(D493="","Labor",IFERROR(VLOOKUP(D493,Settings!$E$5:$G$28,3,FALSE),"Labor")))</f>
        <v/>
      </c>
      <c r="M493" s="9">
        <f>IF(B493="","",IF(COUNTIF('Vendors &amp; Crew'!$A$5:$A$34,B493)=0,"Worker not in Crew table",IF(C493="","Missing Job ID",IF(COUNTIF(Jobs!$A$5:$A$44,C493)=0,"Unknown Job ID",IF(E493="","Missing hours",IF(A493="","Missing date",""))))))</f>
        <v/>
      </c>
      <c r="N493" s="35" t="n"/>
    </row>
    <row r="494">
      <c r="A494" s="40" t="n"/>
      <c r="B494" s="35" t="n"/>
      <c r="C494" s="35" t="n"/>
      <c r="D494" s="35" t="n"/>
      <c r="E494" s="61" t="n"/>
      <c r="F494" s="37" t="n"/>
      <c r="G494" s="39">
        <f>IF(B494="","",IF(F494&lt;&gt;"",F494,IFERROR(VLOOKUP(B494,'Vendors &amp; Crew'!$A$5:$D$34,3,FALSE),0)))</f>
        <v/>
      </c>
      <c r="H494" s="39">
        <f>IF(B494="","",E494*G494*(1+Settings!$B$18))</f>
        <v/>
      </c>
      <c r="I494" s="39">
        <f>IF(B494="","",IFERROR(VLOOKUP(B494,'Vendors &amp; Crew'!$A$5:$D$34,4,FALSE),0))</f>
        <v/>
      </c>
      <c r="J494" s="39">
        <f>IF(B494="","",E494*I494)</f>
        <v/>
      </c>
      <c r="K494" s="59">
        <f>IF(A494="","",A494-WEEKDAY(A494,2)+7)</f>
        <v/>
      </c>
      <c r="L494" s="9">
        <f>IF(B494="","",IF(D494="","Labor",IFERROR(VLOOKUP(D494,Settings!$E$5:$G$28,3,FALSE),"Labor")))</f>
        <v/>
      </c>
      <c r="M494" s="9">
        <f>IF(B494="","",IF(COUNTIF('Vendors &amp; Crew'!$A$5:$A$34,B494)=0,"Worker not in Crew table",IF(C494="","Missing Job ID",IF(COUNTIF(Jobs!$A$5:$A$44,C494)=0,"Unknown Job ID",IF(E494="","Missing hours",IF(A494="","Missing date",""))))))</f>
        <v/>
      </c>
      <c r="N494" s="35" t="n"/>
    </row>
    <row r="495">
      <c r="A495" s="40" t="n"/>
      <c r="B495" s="35" t="n"/>
      <c r="C495" s="35" t="n"/>
      <c r="D495" s="35" t="n"/>
      <c r="E495" s="61" t="n"/>
      <c r="F495" s="37" t="n"/>
      <c r="G495" s="39">
        <f>IF(B495="","",IF(F495&lt;&gt;"",F495,IFERROR(VLOOKUP(B495,'Vendors &amp; Crew'!$A$5:$D$34,3,FALSE),0)))</f>
        <v/>
      </c>
      <c r="H495" s="39">
        <f>IF(B495="","",E495*G495*(1+Settings!$B$18))</f>
        <v/>
      </c>
      <c r="I495" s="39">
        <f>IF(B495="","",IFERROR(VLOOKUP(B495,'Vendors &amp; Crew'!$A$5:$D$34,4,FALSE),0))</f>
        <v/>
      </c>
      <c r="J495" s="39">
        <f>IF(B495="","",E495*I495)</f>
        <v/>
      </c>
      <c r="K495" s="59">
        <f>IF(A495="","",A495-WEEKDAY(A495,2)+7)</f>
        <v/>
      </c>
      <c r="L495" s="9">
        <f>IF(B495="","",IF(D495="","Labor",IFERROR(VLOOKUP(D495,Settings!$E$5:$G$28,3,FALSE),"Labor")))</f>
        <v/>
      </c>
      <c r="M495" s="9">
        <f>IF(B495="","",IF(COUNTIF('Vendors &amp; Crew'!$A$5:$A$34,B495)=0,"Worker not in Crew table",IF(C495="","Missing Job ID",IF(COUNTIF(Jobs!$A$5:$A$44,C495)=0,"Unknown Job ID",IF(E495="","Missing hours",IF(A495="","Missing date",""))))))</f>
        <v/>
      </c>
      <c r="N495" s="35" t="n"/>
    </row>
    <row r="496">
      <c r="A496" s="40" t="n"/>
      <c r="B496" s="35" t="n"/>
      <c r="C496" s="35" t="n"/>
      <c r="D496" s="35" t="n"/>
      <c r="E496" s="61" t="n"/>
      <c r="F496" s="37" t="n"/>
      <c r="G496" s="39">
        <f>IF(B496="","",IF(F496&lt;&gt;"",F496,IFERROR(VLOOKUP(B496,'Vendors &amp; Crew'!$A$5:$D$34,3,FALSE),0)))</f>
        <v/>
      </c>
      <c r="H496" s="39">
        <f>IF(B496="","",E496*G496*(1+Settings!$B$18))</f>
        <v/>
      </c>
      <c r="I496" s="39">
        <f>IF(B496="","",IFERROR(VLOOKUP(B496,'Vendors &amp; Crew'!$A$5:$D$34,4,FALSE),0))</f>
        <v/>
      </c>
      <c r="J496" s="39">
        <f>IF(B496="","",E496*I496)</f>
        <v/>
      </c>
      <c r="K496" s="59">
        <f>IF(A496="","",A496-WEEKDAY(A496,2)+7)</f>
        <v/>
      </c>
      <c r="L496" s="9">
        <f>IF(B496="","",IF(D496="","Labor",IFERROR(VLOOKUP(D496,Settings!$E$5:$G$28,3,FALSE),"Labor")))</f>
        <v/>
      </c>
      <c r="M496" s="9">
        <f>IF(B496="","",IF(COUNTIF('Vendors &amp; Crew'!$A$5:$A$34,B496)=0,"Worker not in Crew table",IF(C496="","Missing Job ID",IF(COUNTIF(Jobs!$A$5:$A$44,C496)=0,"Unknown Job ID",IF(E496="","Missing hours",IF(A496="","Missing date",""))))))</f>
        <v/>
      </c>
      <c r="N496" s="35" t="n"/>
    </row>
    <row r="497">
      <c r="A497" s="40" t="n"/>
      <c r="B497" s="35" t="n"/>
      <c r="C497" s="35" t="n"/>
      <c r="D497" s="35" t="n"/>
      <c r="E497" s="61" t="n"/>
      <c r="F497" s="37" t="n"/>
      <c r="G497" s="39">
        <f>IF(B497="","",IF(F497&lt;&gt;"",F497,IFERROR(VLOOKUP(B497,'Vendors &amp; Crew'!$A$5:$D$34,3,FALSE),0)))</f>
        <v/>
      </c>
      <c r="H497" s="39">
        <f>IF(B497="","",E497*G497*(1+Settings!$B$18))</f>
        <v/>
      </c>
      <c r="I497" s="39">
        <f>IF(B497="","",IFERROR(VLOOKUP(B497,'Vendors &amp; Crew'!$A$5:$D$34,4,FALSE),0))</f>
        <v/>
      </c>
      <c r="J497" s="39">
        <f>IF(B497="","",E497*I497)</f>
        <v/>
      </c>
      <c r="K497" s="59">
        <f>IF(A497="","",A497-WEEKDAY(A497,2)+7)</f>
        <v/>
      </c>
      <c r="L497" s="9">
        <f>IF(B497="","",IF(D497="","Labor",IFERROR(VLOOKUP(D497,Settings!$E$5:$G$28,3,FALSE),"Labor")))</f>
        <v/>
      </c>
      <c r="M497" s="9">
        <f>IF(B497="","",IF(COUNTIF('Vendors &amp; Crew'!$A$5:$A$34,B497)=0,"Worker not in Crew table",IF(C497="","Missing Job ID",IF(COUNTIF(Jobs!$A$5:$A$44,C497)=0,"Unknown Job ID",IF(E497="","Missing hours",IF(A497="","Missing date",""))))))</f>
        <v/>
      </c>
      <c r="N497" s="35" t="n"/>
    </row>
    <row r="498">
      <c r="A498" s="40" t="n"/>
      <c r="B498" s="35" t="n"/>
      <c r="C498" s="35" t="n"/>
      <c r="D498" s="35" t="n"/>
      <c r="E498" s="61" t="n"/>
      <c r="F498" s="37" t="n"/>
      <c r="G498" s="39">
        <f>IF(B498="","",IF(F498&lt;&gt;"",F498,IFERROR(VLOOKUP(B498,'Vendors &amp; Crew'!$A$5:$D$34,3,FALSE),0)))</f>
        <v/>
      </c>
      <c r="H498" s="39">
        <f>IF(B498="","",E498*G498*(1+Settings!$B$18))</f>
        <v/>
      </c>
      <c r="I498" s="39">
        <f>IF(B498="","",IFERROR(VLOOKUP(B498,'Vendors &amp; Crew'!$A$5:$D$34,4,FALSE),0))</f>
        <v/>
      </c>
      <c r="J498" s="39">
        <f>IF(B498="","",E498*I498)</f>
        <v/>
      </c>
      <c r="K498" s="59">
        <f>IF(A498="","",A498-WEEKDAY(A498,2)+7)</f>
        <v/>
      </c>
      <c r="L498" s="9">
        <f>IF(B498="","",IF(D498="","Labor",IFERROR(VLOOKUP(D498,Settings!$E$5:$G$28,3,FALSE),"Labor")))</f>
        <v/>
      </c>
      <c r="M498" s="9">
        <f>IF(B498="","",IF(COUNTIF('Vendors &amp; Crew'!$A$5:$A$34,B498)=0,"Worker not in Crew table",IF(C498="","Missing Job ID",IF(COUNTIF(Jobs!$A$5:$A$44,C498)=0,"Unknown Job ID",IF(E498="","Missing hours",IF(A498="","Missing date",""))))))</f>
        <v/>
      </c>
      <c r="N498" s="35" t="n"/>
    </row>
    <row r="499">
      <c r="A499" s="40" t="n"/>
      <c r="B499" s="35" t="n"/>
      <c r="C499" s="35" t="n"/>
      <c r="D499" s="35" t="n"/>
      <c r="E499" s="61" t="n"/>
      <c r="F499" s="37" t="n"/>
      <c r="G499" s="39">
        <f>IF(B499="","",IF(F499&lt;&gt;"",F499,IFERROR(VLOOKUP(B499,'Vendors &amp; Crew'!$A$5:$D$34,3,FALSE),0)))</f>
        <v/>
      </c>
      <c r="H499" s="39">
        <f>IF(B499="","",E499*G499*(1+Settings!$B$18))</f>
        <v/>
      </c>
      <c r="I499" s="39">
        <f>IF(B499="","",IFERROR(VLOOKUP(B499,'Vendors &amp; Crew'!$A$5:$D$34,4,FALSE),0))</f>
        <v/>
      </c>
      <c r="J499" s="39">
        <f>IF(B499="","",E499*I499)</f>
        <v/>
      </c>
      <c r="K499" s="59">
        <f>IF(A499="","",A499-WEEKDAY(A499,2)+7)</f>
        <v/>
      </c>
      <c r="L499" s="9">
        <f>IF(B499="","",IF(D499="","Labor",IFERROR(VLOOKUP(D499,Settings!$E$5:$G$28,3,FALSE),"Labor")))</f>
        <v/>
      </c>
      <c r="M499" s="9">
        <f>IF(B499="","",IF(COUNTIF('Vendors &amp; Crew'!$A$5:$A$34,B499)=0,"Worker not in Crew table",IF(C499="","Missing Job ID",IF(COUNTIF(Jobs!$A$5:$A$44,C499)=0,"Unknown Job ID",IF(E499="","Missing hours",IF(A499="","Missing date",""))))))</f>
        <v/>
      </c>
      <c r="N499" s="35" t="n"/>
    </row>
    <row r="500">
      <c r="A500" s="40" t="n"/>
      <c r="B500" s="35" t="n"/>
      <c r="C500" s="35" t="n"/>
      <c r="D500" s="35" t="n"/>
      <c r="E500" s="61" t="n"/>
      <c r="F500" s="37" t="n"/>
      <c r="G500" s="39">
        <f>IF(B500="","",IF(F500&lt;&gt;"",F500,IFERROR(VLOOKUP(B500,'Vendors &amp; Crew'!$A$5:$D$34,3,FALSE),0)))</f>
        <v/>
      </c>
      <c r="H500" s="39">
        <f>IF(B500="","",E500*G500*(1+Settings!$B$18))</f>
        <v/>
      </c>
      <c r="I500" s="39">
        <f>IF(B500="","",IFERROR(VLOOKUP(B500,'Vendors &amp; Crew'!$A$5:$D$34,4,FALSE),0))</f>
        <v/>
      </c>
      <c r="J500" s="39">
        <f>IF(B500="","",E500*I500)</f>
        <v/>
      </c>
      <c r="K500" s="59">
        <f>IF(A500="","",A500-WEEKDAY(A500,2)+7)</f>
        <v/>
      </c>
      <c r="L500" s="9">
        <f>IF(B500="","",IF(D500="","Labor",IFERROR(VLOOKUP(D500,Settings!$E$5:$G$28,3,FALSE),"Labor")))</f>
        <v/>
      </c>
      <c r="M500" s="9">
        <f>IF(B500="","",IF(COUNTIF('Vendors &amp; Crew'!$A$5:$A$34,B500)=0,"Worker not in Crew table",IF(C500="","Missing Job ID",IF(COUNTIF(Jobs!$A$5:$A$44,C500)=0,"Unknown Job ID",IF(E500="","Missing hours",IF(A500="","Missing date",""))))))</f>
        <v/>
      </c>
      <c r="N500" s="35" t="n"/>
    </row>
    <row r="501">
      <c r="A501" s="40" t="n"/>
      <c r="B501" s="35" t="n"/>
      <c r="C501" s="35" t="n"/>
      <c r="D501" s="35" t="n"/>
      <c r="E501" s="61" t="n"/>
      <c r="F501" s="37" t="n"/>
      <c r="G501" s="39">
        <f>IF(B501="","",IF(F501&lt;&gt;"",F501,IFERROR(VLOOKUP(B501,'Vendors &amp; Crew'!$A$5:$D$34,3,FALSE),0)))</f>
        <v/>
      </c>
      <c r="H501" s="39">
        <f>IF(B501="","",E501*G501*(1+Settings!$B$18))</f>
        <v/>
      </c>
      <c r="I501" s="39">
        <f>IF(B501="","",IFERROR(VLOOKUP(B501,'Vendors &amp; Crew'!$A$5:$D$34,4,FALSE),0))</f>
        <v/>
      </c>
      <c r="J501" s="39">
        <f>IF(B501="","",E501*I501)</f>
        <v/>
      </c>
      <c r="K501" s="59">
        <f>IF(A501="","",A501-WEEKDAY(A501,2)+7)</f>
        <v/>
      </c>
      <c r="L501" s="9">
        <f>IF(B501="","",IF(D501="","Labor",IFERROR(VLOOKUP(D501,Settings!$E$5:$G$28,3,FALSE),"Labor")))</f>
        <v/>
      </c>
      <c r="M501" s="9">
        <f>IF(B501="","",IF(COUNTIF('Vendors &amp; Crew'!$A$5:$A$34,B501)=0,"Worker not in Crew table",IF(C501="","Missing Job ID",IF(COUNTIF(Jobs!$A$5:$A$44,C501)=0,"Unknown Job ID",IF(E501="","Missing hours",IF(A501="","Missing date",""))))))</f>
        <v/>
      </c>
      <c r="N501" s="35" t="n"/>
    </row>
    <row r="502">
      <c r="A502" s="40" t="n"/>
      <c r="B502" s="35" t="n"/>
      <c r="C502" s="35" t="n"/>
      <c r="D502" s="35" t="n"/>
      <c r="E502" s="61" t="n"/>
      <c r="F502" s="37" t="n"/>
      <c r="G502" s="39">
        <f>IF(B502="","",IF(F502&lt;&gt;"",F502,IFERROR(VLOOKUP(B502,'Vendors &amp; Crew'!$A$5:$D$34,3,FALSE),0)))</f>
        <v/>
      </c>
      <c r="H502" s="39">
        <f>IF(B502="","",E502*G502*(1+Settings!$B$18))</f>
        <v/>
      </c>
      <c r="I502" s="39">
        <f>IF(B502="","",IFERROR(VLOOKUP(B502,'Vendors &amp; Crew'!$A$5:$D$34,4,FALSE),0))</f>
        <v/>
      </c>
      <c r="J502" s="39">
        <f>IF(B502="","",E502*I502)</f>
        <v/>
      </c>
      <c r="K502" s="59">
        <f>IF(A502="","",A502-WEEKDAY(A502,2)+7)</f>
        <v/>
      </c>
      <c r="L502" s="9">
        <f>IF(B502="","",IF(D502="","Labor",IFERROR(VLOOKUP(D502,Settings!$E$5:$G$28,3,FALSE),"Labor")))</f>
        <v/>
      </c>
      <c r="M502" s="9">
        <f>IF(B502="","",IF(COUNTIF('Vendors &amp; Crew'!$A$5:$A$34,B502)=0,"Worker not in Crew table",IF(C502="","Missing Job ID",IF(COUNTIF(Jobs!$A$5:$A$44,C502)=0,"Unknown Job ID",IF(E502="","Missing hours",IF(A502="","Missing date",""))))))</f>
        <v/>
      </c>
      <c r="N502" s="35" t="n"/>
    </row>
    <row r="503">
      <c r="A503" s="40" t="n"/>
      <c r="B503" s="35" t="n"/>
      <c r="C503" s="35" t="n"/>
      <c r="D503" s="35" t="n"/>
      <c r="E503" s="61" t="n"/>
      <c r="F503" s="37" t="n"/>
      <c r="G503" s="39">
        <f>IF(B503="","",IF(F503&lt;&gt;"",F503,IFERROR(VLOOKUP(B503,'Vendors &amp; Crew'!$A$5:$D$34,3,FALSE),0)))</f>
        <v/>
      </c>
      <c r="H503" s="39">
        <f>IF(B503="","",E503*G503*(1+Settings!$B$18))</f>
        <v/>
      </c>
      <c r="I503" s="39">
        <f>IF(B503="","",IFERROR(VLOOKUP(B503,'Vendors &amp; Crew'!$A$5:$D$34,4,FALSE),0))</f>
        <v/>
      </c>
      <c r="J503" s="39">
        <f>IF(B503="","",E503*I503)</f>
        <v/>
      </c>
      <c r="K503" s="59">
        <f>IF(A503="","",A503-WEEKDAY(A503,2)+7)</f>
        <v/>
      </c>
      <c r="L503" s="9">
        <f>IF(B503="","",IF(D503="","Labor",IFERROR(VLOOKUP(D503,Settings!$E$5:$G$28,3,FALSE),"Labor")))</f>
        <v/>
      </c>
      <c r="M503" s="9">
        <f>IF(B503="","",IF(COUNTIF('Vendors &amp; Crew'!$A$5:$A$34,B503)=0,"Worker not in Crew table",IF(C503="","Missing Job ID",IF(COUNTIF(Jobs!$A$5:$A$44,C503)=0,"Unknown Job ID",IF(E503="","Missing hours",IF(A503="","Missing date",""))))))</f>
        <v/>
      </c>
      <c r="N503" s="35" t="n"/>
    </row>
    <row r="504">
      <c r="A504" s="40" t="n"/>
      <c r="B504" s="35" t="n"/>
      <c r="C504" s="35" t="n"/>
      <c r="D504" s="35" t="n"/>
      <c r="E504" s="61" t="n"/>
      <c r="F504" s="37" t="n"/>
      <c r="G504" s="39">
        <f>IF(B504="","",IF(F504&lt;&gt;"",F504,IFERROR(VLOOKUP(B504,'Vendors &amp; Crew'!$A$5:$D$34,3,FALSE),0)))</f>
        <v/>
      </c>
      <c r="H504" s="39">
        <f>IF(B504="","",E504*G504*(1+Settings!$B$18))</f>
        <v/>
      </c>
      <c r="I504" s="39">
        <f>IF(B504="","",IFERROR(VLOOKUP(B504,'Vendors &amp; Crew'!$A$5:$D$34,4,FALSE),0))</f>
        <v/>
      </c>
      <c r="J504" s="39">
        <f>IF(B504="","",E504*I504)</f>
        <v/>
      </c>
      <c r="K504" s="59">
        <f>IF(A504="","",A504-WEEKDAY(A504,2)+7)</f>
        <v/>
      </c>
      <c r="L504" s="9">
        <f>IF(B504="","",IF(D504="","Labor",IFERROR(VLOOKUP(D504,Settings!$E$5:$G$28,3,FALSE),"Labor")))</f>
        <v/>
      </c>
      <c r="M504" s="9">
        <f>IF(B504="","",IF(COUNTIF('Vendors &amp; Crew'!$A$5:$A$34,B504)=0,"Worker not in Crew table",IF(C504="","Missing Job ID",IF(COUNTIF(Jobs!$A$5:$A$44,C504)=0,"Unknown Job ID",IF(E504="","Missing hours",IF(A504="","Missing date",""))))))</f>
        <v/>
      </c>
      <c r="N504" s="35" t="n"/>
    </row>
    <row r="505">
      <c r="A505" s="40" t="n"/>
      <c r="B505" s="35" t="n"/>
      <c r="C505" s="35" t="n"/>
      <c r="D505" s="35" t="n"/>
      <c r="E505" s="61" t="n"/>
      <c r="F505" s="37" t="n"/>
      <c r="G505" s="39">
        <f>IF(B505="","",IF(F505&lt;&gt;"",F505,IFERROR(VLOOKUP(B505,'Vendors &amp; Crew'!$A$5:$D$34,3,FALSE),0)))</f>
        <v/>
      </c>
      <c r="H505" s="39">
        <f>IF(B505="","",E505*G505*(1+Settings!$B$18))</f>
        <v/>
      </c>
      <c r="I505" s="39">
        <f>IF(B505="","",IFERROR(VLOOKUP(B505,'Vendors &amp; Crew'!$A$5:$D$34,4,FALSE),0))</f>
        <v/>
      </c>
      <c r="J505" s="39">
        <f>IF(B505="","",E505*I505)</f>
        <v/>
      </c>
      <c r="K505" s="59">
        <f>IF(A505="","",A505-WEEKDAY(A505,2)+7)</f>
        <v/>
      </c>
      <c r="L505" s="9">
        <f>IF(B505="","",IF(D505="","Labor",IFERROR(VLOOKUP(D505,Settings!$E$5:$G$28,3,FALSE),"Labor")))</f>
        <v/>
      </c>
      <c r="M505" s="9">
        <f>IF(B505="","",IF(COUNTIF('Vendors &amp; Crew'!$A$5:$A$34,B505)=0,"Worker not in Crew table",IF(C505="","Missing Job ID",IF(COUNTIF(Jobs!$A$5:$A$44,C505)=0,"Unknown Job ID",IF(E505="","Missing hours",IF(A505="","Missing date",""))))))</f>
        <v/>
      </c>
      <c r="N505" s="35" t="n"/>
    </row>
    <row r="506">
      <c r="A506" s="40" t="n"/>
      <c r="B506" s="35" t="n"/>
      <c r="C506" s="35" t="n"/>
      <c r="D506" s="35" t="n"/>
      <c r="E506" s="61" t="n"/>
      <c r="F506" s="37" t="n"/>
      <c r="G506" s="39">
        <f>IF(B506="","",IF(F506&lt;&gt;"",F506,IFERROR(VLOOKUP(B506,'Vendors &amp; Crew'!$A$5:$D$34,3,FALSE),0)))</f>
        <v/>
      </c>
      <c r="H506" s="39">
        <f>IF(B506="","",E506*G506*(1+Settings!$B$18))</f>
        <v/>
      </c>
      <c r="I506" s="39">
        <f>IF(B506="","",IFERROR(VLOOKUP(B506,'Vendors &amp; Crew'!$A$5:$D$34,4,FALSE),0))</f>
        <v/>
      </c>
      <c r="J506" s="39">
        <f>IF(B506="","",E506*I506)</f>
        <v/>
      </c>
      <c r="K506" s="59">
        <f>IF(A506="","",A506-WEEKDAY(A506,2)+7)</f>
        <v/>
      </c>
      <c r="L506" s="9">
        <f>IF(B506="","",IF(D506="","Labor",IFERROR(VLOOKUP(D506,Settings!$E$5:$G$28,3,FALSE),"Labor")))</f>
        <v/>
      </c>
      <c r="M506" s="9">
        <f>IF(B506="","",IF(COUNTIF('Vendors &amp; Crew'!$A$5:$A$34,B506)=0,"Worker not in Crew table",IF(C506="","Missing Job ID",IF(COUNTIF(Jobs!$A$5:$A$44,C506)=0,"Unknown Job ID",IF(E506="","Missing hours",IF(A506="","Missing date",""))))))</f>
        <v/>
      </c>
      <c r="N506" s="35" t="n"/>
    </row>
    <row r="507">
      <c r="A507" s="40" t="n"/>
      <c r="B507" s="35" t="n"/>
      <c r="C507" s="35" t="n"/>
      <c r="D507" s="35" t="n"/>
      <c r="E507" s="61" t="n"/>
      <c r="F507" s="37" t="n"/>
      <c r="G507" s="39">
        <f>IF(B507="","",IF(F507&lt;&gt;"",F507,IFERROR(VLOOKUP(B507,'Vendors &amp; Crew'!$A$5:$D$34,3,FALSE),0)))</f>
        <v/>
      </c>
      <c r="H507" s="39">
        <f>IF(B507="","",E507*G507*(1+Settings!$B$18))</f>
        <v/>
      </c>
      <c r="I507" s="39">
        <f>IF(B507="","",IFERROR(VLOOKUP(B507,'Vendors &amp; Crew'!$A$5:$D$34,4,FALSE),0))</f>
        <v/>
      </c>
      <c r="J507" s="39">
        <f>IF(B507="","",E507*I507)</f>
        <v/>
      </c>
      <c r="K507" s="59">
        <f>IF(A507="","",A507-WEEKDAY(A507,2)+7)</f>
        <v/>
      </c>
      <c r="L507" s="9">
        <f>IF(B507="","",IF(D507="","Labor",IFERROR(VLOOKUP(D507,Settings!$E$5:$G$28,3,FALSE),"Labor")))</f>
        <v/>
      </c>
      <c r="M507" s="9">
        <f>IF(B507="","",IF(COUNTIF('Vendors &amp; Crew'!$A$5:$A$34,B507)=0,"Worker not in Crew table",IF(C507="","Missing Job ID",IF(COUNTIF(Jobs!$A$5:$A$44,C507)=0,"Unknown Job ID",IF(E507="","Missing hours",IF(A507="","Missing date",""))))))</f>
        <v/>
      </c>
      <c r="N507" s="35" t="n"/>
    </row>
    <row r="508">
      <c r="A508" s="40" t="n"/>
      <c r="B508" s="35" t="n"/>
      <c r="C508" s="35" t="n"/>
      <c r="D508" s="35" t="n"/>
      <c r="E508" s="61" t="n"/>
      <c r="F508" s="37" t="n"/>
      <c r="G508" s="39">
        <f>IF(B508="","",IF(F508&lt;&gt;"",F508,IFERROR(VLOOKUP(B508,'Vendors &amp; Crew'!$A$5:$D$34,3,FALSE),0)))</f>
        <v/>
      </c>
      <c r="H508" s="39">
        <f>IF(B508="","",E508*G508*(1+Settings!$B$18))</f>
        <v/>
      </c>
      <c r="I508" s="39">
        <f>IF(B508="","",IFERROR(VLOOKUP(B508,'Vendors &amp; Crew'!$A$5:$D$34,4,FALSE),0))</f>
        <v/>
      </c>
      <c r="J508" s="39">
        <f>IF(B508="","",E508*I508)</f>
        <v/>
      </c>
      <c r="K508" s="59">
        <f>IF(A508="","",A508-WEEKDAY(A508,2)+7)</f>
        <v/>
      </c>
      <c r="L508" s="9">
        <f>IF(B508="","",IF(D508="","Labor",IFERROR(VLOOKUP(D508,Settings!$E$5:$G$28,3,FALSE),"Labor")))</f>
        <v/>
      </c>
      <c r="M508" s="9">
        <f>IF(B508="","",IF(COUNTIF('Vendors &amp; Crew'!$A$5:$A$34,B508)=0,"Worker not in Crew table",IF(C508="","Missing Job ID",IF(COUNTIF(Jobs!$A$5:$A$44,C508)=0,"Unknown Job ID",IF(E508="","Missing hours",IF(A508="","Missing date",""))))))</f>
        <v/>
      </c>
      <c r="N508" s="35" t="n"/>
    </row>
    <row r="509">
      <c r="A509" s="40" t="n"/>
      <c r="B509" s="35" t="n"/>
      <c r="C509" s="35" t="n"/>
      <c r="D509" s="35" t="n"/>
      <c r="E509" s="61" t="n"/>
      <c r="F509" s="37" t="n"/>
      <c r="G509" s="39">
        <f>IF(B509="","",IF(F509&lt;&gt;"",F509,IFERROR(VLOOKUP(B509,'Vendors &amp; Crew'!$A$5:$D$34,3,FALSE),0)))</f>
        <v/>
      </c>
      <c r="H509" s="39">
        <f>IF(B509="","",E509*G509*(1+Settings!$B$18))</f>
        <v/>
      </c>
      <c r="I509" s="39">
        <f>IF(B509="","",IFERROR(VLOOKUP(B509,'Vendors &amp; Crew'!$A$5:$D$34,4,FALSE),0))</f>
        <v/>
      </c>
      <c r="J509" s="39">
        <f>IF(B509="","",E509*I509)</f>
        <v/>
      </c>
      <c r="K509" s="59">
        <f>IF(A509="","",A509-WEEKDAY(A509,2)+7)</f>
        <v/>
      </c>
      <c r="L509" s="9">
        <f>IF(B509="","",IF(D509="","Labor",IFERROR(VLOOKUP(D509,Settings!$E$5:$G$28,3,FALSE),"Labor")))</f>
        <v/>
      </c>
      <c r="M509" s="9">
        <f>IF(B509="","",IF(COUNTIF('Vendors &amp; Crew'!$A$5:$A$34,B509)=0,"Worker not in Crew table",IF(C509="","Missing Job ID",IF(COUNTIF(Jobs!$A$5:$A$44,C509)=0,"Unknown Job ID",IF(E509="","Missing hours",IF(A509="","Missing date",""))))))</f>
        <v/>
      </c>
      <c r="N509" s="35" t="n"/>
    </row>
    <row r="510">
      <c r="A510" s="40" t="n"/>
      <c r="B510" s="35" t="n"/>
      <c r="C510" s="35" t="n"/>
      <c r="D510" s="35" t="n"/>
      <c r="E510" s="61" t="n"/>
      <c r="F510" s="37" t="n"/>
      <c r="G510" s="39">
        <f>IF(B510="","",IF(F510&lt;&gt;"",F510,IFERROR(VLOOKUP(B510,'Vendors &amp; Crew'!$A$5:$D$34,3,FALSE),0)))</f>
        <v/>
      </c>
      <c r="H510" s="39">
        <f>IF(B510="","",E510*G510*(1+Settings!$B$18))</f>
        <v/>
      </c>
      <c r="I510" s="39">
        <f>IF(B510="","",IFERROR(VLOOKUP(B510,'Vendors &amp; Crew'!$A$5:$D$34,4,FALSE),0))</f>
        <v/>
      </c>
      <c r="J510" s="39">
        <f>IF(B510="","",E510*I510)</f>
        <v/>
      </c>
      <c r="K510" s="59">
        <f>IF(A510="","",A510-WEEKDAY(A510,2)+7)</f>
        <v/>
      </c>
      <c r="L510" s="9">
        <f>IF(B510="","",IF(D510="","Labor",IFERROR(VLOOKUP(D510,Settings!$E$5:$G$28,3,FALSE),"Labor")))</f>
        <v/>
      </c>
      <c r="M510" s="9">
        <f>IF(B510="","",IF(COUNTIF('Vendors &amp; Crew'!$A$5:$A$34,B510)=0,"Worker not in Crew table",IF(C510="","Missing Job ID",IF(COUNTIF(Jobs!$A$5:$A$44,C510)=0,"Unknown Job ID",IF(E510="","Missing hours",IF(A510="","Missing date",""))))))</f>
        <v/>
      </c>
      <c r="N510" s="35" t="n"/>
    </row>
    <row r="511">
      <c r="A511" s="40" t="n"/>
      <c r="B511" s="35" t="n"/>
      <c r="C511" s="35" t="n"/>
      <c r="D511" s="35" t="n"/>
      <c r="E511" s="61" t="n"/>
      <c r="F511" s="37" t="n"/>
      <c r="G511" s="39">
        <f>IF(B511="","",IF(F511&lt;&gt;"",F511,IFERROR(VLOOKUP(B511,'Vendors &amp; Crew'!$A$5:$D$34,3,FALSE),0)))</f>
        <v/>
      </c>
      <c r="H511" s="39">
        <f>IF(B511="","",E511*G511*(1+Settings!$B$18))</f>
        <v/>
      </c>
      <c r="I511" s="39">
        <f>IF(B511="","",IFERROR(VLOOKUP(B511,'Vendors &amp; Crew'!$A$5:$D$34,4,FALSE),0))</f>
        <v/>
      </c>
      <c r="J511" s="39">
        <f>IF(B511="","",E511*I511)</f>
        <v/>
      </c>
      <c r="K511" s="59">
        <f>IF(A511="","",A511-WEEKDAY(A511,2)+7)</f>
        <v/>
      </c>
      <c r="L511" s="9">
        <f>IF(B511="","",IF(D511="","Labor",IFERROR(VLOOKUP(D511,Settings!$E$5:$G$28,3,FALSE),"Labor")))</f>
        <v/>
      </c>
      <c r="M511" s="9">
        <f>IF(B511="","",IF(COUNTIF('Vendors &amp; Crew'!$A$5:$A$34,B511)=0,"Worker not in Crew table",IF(C511="","Missing Job ID",IF(COUNTIF(Jobs!$A$5:$A$44,C511)=0,"Unknown Job ID",IF(E511="","Missing hours",IF(A511="","Missing date",""))))))</f>
        <v/>
      </c>
      <c r="N511" s="35" t="n"/>
    </row>
    <row r="512">
      <c r="A512" s="40" t="n"/>
      <c r="B512" s="35" t="n"/>
      <c r="C512" s="35" t="n"/>
      <c r="D512" s="35" t="n"/>
      <c r="E512" s="61" t="n"/>
      <c r="F512" s="37" t="n"/>
      <c r="G512" s="39">
        <f>IF(B512="","",IF(F512&lt;&gt;"",F512,IFERROR(VLOOKUP(B512,'Vendors &amp; Crew'!$A$5:$D$34,3,FALSE),0)))</f>
        <v/>
      </c>
      <c r="H512" s="39">
        <f>IF(B512="","",E512*G512*(1+Settings!$B$18))</f>
        <v/>
      </c>
      <c r="I512" s="39">
        <f>IF(B512="","",IFERROR(VLOOKUP(B512,'Vendors &amp; Crew'!$A$5:$D$34,4,FALSE),0))</f>
        <v/>
      </c>
      <c r="J512" s="39">
        <f>IF(B512="","",E512*I512)</f>
        <v/>
      </c>
      <c r="K512" s="59">
        <f>IF(A512="","",A512-WEEKDAY(A512,2)+7)</f>
        <v/>
      </c>
      <c r="L512" s="9">
        <f>IF(B512="","",IF(D512="","Labor",IFERROR(VLOOKUP(D512,Settings!$E$5:$G$28,3,FALSE),"Labor")))</f>
        <v/>
      </c>
      <c r="M512" s="9">
        <f>IF(B512="","",IF(COUNTIF('Vendors &amp; Crew'!$A$5:$A$34,B512)=0,"Worker not in Crew table",IF(C512="","Missing Job ID",IF(COUNTIF(Jobs!$A$5:$A$44,C512)=0,"Unknown Job ID",IF(E512="","Missing hours",IF(A512="","Missing date",""))))))</f>
        <v/>
      </c>
      <c r="N512" s="35" t="n"/>
    </row>
    <row r="513">
      <c r="A513" s="40" t="n"/>
      <c r="B513" s="35" t="n"/>
      <c r="C513" s="35" t="n"/>
      <c r="D513" s="35" t="n"/>
      <c r="E513" s="61" t="n"/>
      <c r="F513" s="37" t="n"/>
      <c r="G513" s="39">
        <f>IF(B513="","",IF(F513&lt;&gt;"",F513,IFERROR(VLOOKUP(B513,'Vendors &amp; Crew'!$A$5:$D$34,3,FALSE),0)))</f>
        <v/>
      </c>
      <c r="H513" s="39">
        <f>IF(B513="","",E513*G513*(1+Settings!$B$18))</f>
        <v/>
      </c>
      <c r="I513" s="39">
        <f>IF(B513="","",IFERROR(VLOOKUP(B513,'Vendors &amp; Crew'!$A$5:$D$34,4,FALSE),0))</f>
        <v/>
      </c>
      <c r="J513" s="39">
        <f>IF(B513="","",E513*I513)</f>
        <v/>
      </c>
      <c r="K513" s="59">
        <f>IF(A513="","",A513-WEEKDAY(A513,2)+7)</f>
        <v/>
      </c>
      <c r="L513" s="9">
        <f>IF(B513="","",IF(D513="","Labor",IFERROR(VLOOKUP(D513,Settings!$E$5:$G$28,3,FALSE),"Labor")))</f>
        <v/>
      </c>
      <c r="M513" s="9">
        <f>IF(B513="","",IF(COUNTIF('Vendors &amp; Crew'!$A$5:$A$34,B513)=0,"Worker not in Crew table",IF(C513="","Missing Job ID",IF(COUNTIF(Jobs!$A$5:$A$44,C513)=0,"Unknown Job ID",IF(E513="","Missing hours",IF(A513="","Missing date",""))))))</f>
        <v/>
      </c>
      <c r="N513" s="35" t="n"/>
    </row>
    <row r="514">
      <c r="A514" s="40" t="n"/>
      <c r="B514" s="35" t="n"/>
      <c r="C514" s="35" t="n"/>
      <c r="D514" s="35" t="n"/>
      <c r="E514" s="61" t="n"/>
      <c r="F514" s="37" t="n"/>
      <c r="G514" s="39">
        <f>IF(B514="","",IF(F514&lt;&gt;"",F514,IFERROR(VLOOKUP(B514,'Vendors &amp; Crew'!$A$5:$D$34,3,FALSE),0)))</f>
        <v/>
      </c>
      <c r="H514" s="39">
        <f>IF(B514="","",E514*G514*(1+Settings!$B$18))</f>
        <v/>
      </c>
      <c r="I514" s="39">
        <f>IF(B514="","",IFERROR(VLOOKUP(B514,'Vendors &amp; Crew'!$A$5:$D$34,4,FALSE),0))</f>
        <v/>
      </c>
      <c r="J514" s="39">
        <f>IF(B514="","",E514*I514)</f>
        <v/>
      </c>
      <c r="K514" s="59">
        <f>IF(A514="","",A514-WEEKDAY(A514,2)+7)</f>
        <v/>
      </c>
      <c r="L514" s="9">
        <f>IF(B514="","",IF(D514="","Labor",IFERROR(VLOOKUP(D514,Settings!$E$5:$G$28,3,FALSE),"Labor")))</f>
        <v/>
      </c>
      <c r="M514" s="9">
        <f>IF(B514="","",IF(COUNTIF('Vendors &amp; Crew'!$A$5:$A$34,B514)=0,"Worker not in Crew table",IF(C514="","Missing Job ID",IF(COUNTIF(Jobs!$A$5:$A$44,C514)=0,"Unknown Job ID",IF(E514="","Missing hours",IF(A514="","Missing date",""))))))</f>
        <v/>
      </c>
      <c r="N514" s="35" t="n"/>
    </row>
    <row r="515">
      <c r="A515" s="40" t="n"/>
      <c r="B515" s="35" t="n"/>
      <c r="C515" s="35" t="n"/>
      <c r="D515" s="35" t="n"/>
      <c r="E515" s="61" t="n"/>
      <c r="F515" s="37" t="n"/>
      <c r="G515" s="39">
        <f>IF(B515="","",IF(F515&lt;&gt;"",F515,IFERROR(VLOOKUP(B515,'Vendors &amp; Crew'!$A$5:$D$34,3,FALSE),0)))</f>
        <v/>
      </c>
      <c r="H515" s="39">
        <f>IF(B515="","",E515*G515*(1+Settings!$B$18))</f>
        <v/>
      </c>
      <c r="I515" s="39">
        <f>IF(B515="","",IFERROR(VLOOKUP(B515,'Vendors &amp; Crew'!$A$5:$D$34,4,FALSE),0))</f>
        <v/>
      </c>
      <c r="J515" s="39">
        <f>IF(B515="","",E515*I515)</f>
        <v/>
      </c>
      <c r="K515" s="59">
        <f>IF(A515="","",A515-WEEKDAY(A515,2)+7)</f>
        <v/>
      </c>
      <c r="L515" s="9">
        <f>IF(B515="","",IF(D515="","Labor",IFERROR(VLOOKUP(D515,Settings!$E$5:$G$28,3,FALSE),"Labor")))</f>
        <v/>
      </c>
      <c r="M515" s="9">
        <f>IF(B515="","",IF(COUNTIF('Vendors &amp; Crew'!$A$5:$A$34,B515)=0,"Worker not in Crew table",IF(C515="","Missing Job ID",IF(COUNTIF(Jobs!$A$5:$A$44,C515)=0,"Unknown Job ID",IF(E515="","Missing hours",IF(A515="","Missing date",""))))))</f>
        <v/>
      </c>
      <c r="N515" s="35" t="n"/>
    </row>
    <row r="516">
      <c r="A516" s="40" t="n"/>
      <c r="B516" s="35" t="n"/>
      <c r="C516" s="35" t="n"/>
      <c r="D516" s="35" t="n"/>
      <c r="E516" s="61" t="n"/>
      <c r="F516" s="37" t="n"/>
      <c r="G516" s="39">
        <f>IF(B516="","",IF(F516&lt;&gt;"",F516,IFERROR(VLOOKUP(B516,'Vendors &amp; Crew'!$A$5:$D$34,3,FALSE),0)))</f>
        <v/>
      </c>
      <c r="H516" s="39">
        <f>IF(B516="","",E516*G516*(1+Settings!$B$18))</f>
        <v/>
      </c>
      <c r="I516" s="39">
        <f>IF(B516="","",IFERROR(VLOOKUP(B516,'Vendors &amp; Crew'!$A$5:$D$34,4,FALSE),0))</f>
        <v/>
      </c>
      <c r="J516" s="39">
        <f>IF(B516="","",E516*I516)</f>
        <v/>
      </c>
      <c r="K516" s="59">
        <f>IF(A516="","",A516-WEEKDAY(A516,2)+7)</f>
        <v/>
      </c>
      <c r="L516" s="9">
        <f>IF(B516="","",IF(D516="","Labor",IFERROR(VLOOKUP(D516,Settings!$E$5:$G$28,3,FALSE),"Labor")))</f>
        <v/>
      </c>
      <c r="M516" s="9">
        <f>IF(B516="","",IF(COUNTIF('Vendors &amp; Crew'!$A$5:$A$34,B516)=0,"Worker not in Crew table",IF(C516="","Missing Job ID",IF(COUNTIF(Jobs!$A$5:$A$44,C516)=0,"Unknown Job ID",IF(E516="","Missing hours",IF(A516="","Missing date",""))))))</f>
        <v/>
      </c>
      <c r="N516" s="35" t="n"/>
    </row>
    <row r="517">
      <c r="A517" s="40" t="n"/>
      <c r="B517" s="35" t="n"/>
      <c r="C517" s="35" t="n"/>
      <c r="D517" s="35" t="n"/>
      <c r="E517" s="61" t="n"/>
      <c r="F517" s="37" t="n"/>
      <c r="G517" s="39">
        <f>IF(B517="","",IF(F517&lt;&gt;"",F517,IFERROR(VLOOKUP(B517,'Vendors &amp; Crew'!$A$5:$D$34,3,FALSE),0)))</f>
        <v/>
      </c>
      <c r="H517" s="39">
        <f>IF(B517="","",E517*G517*(1+Settings!$B$18))</f>
        <v/>
      </c>
      <c r="I517" s="39">
        <f>IF(B517="","",IFERROR(VLOOKUP(B517,'Vendors &amp; Crew'!$A$5:$D$34,4,FALSE),0))</f>
        <v/>
      </c>
      <c r="J517" s="39">
        <f>IF(B517="","",E517*I517)</f>
        <v/>
      </c>
      <c r="K517" s="59">
        <f>IF(A517="","",A517-WEEKDAY(A517,2)+7)</f>
        <v/>
      </c>
      <c r="L517" s="9">
        <f>IF(B517="","",IF(D517="","Labor",IFERROR(VLOOKUP(D517,Settings!$E$5:$G$28,3,FALSE),"Labor")))</f>
        <v/>
      </c>
      <c r="M517" s="9">
        <f>IF(B517="","",IF(COUNTIF('Vendors &amp; Crew'!$A$5:$A$34,B517)=0,"Worker not in Crew table",IF(C517="","Missing Job ID",IF(COUNTIF(Jobs!$A$5:$A$44,C517)=0,"Unknown Job ID",IF(E517="","Missing hours",IF(A517="","Missing date",""))))))</f>
        <v/>
      </c>
      <c r="N517" s="35" t="n"/>
    </row>
    <row r="518">
      <c r="A518" s="40" t="n"/>
      <c r="B518" s="35" t="n"/>
      <c r="C518" s="35" t="n"/>
      <c r="D518" s="35" t="n"/>
      <c r="E518" s="61" t="n"/>
      <c r="F518" s="37" t="n"/>
      <c r="G518" s="39">
        <f>IF(B518="","",IF(F518&lt;&gt;"",F518,IFERROR(VLOOKUP(B518,'Vendors &amp; Crew'!$A$5:$D$34,3,FALSE),0)))</f>
        <v/>
      </c>
      <c r="H518" s="39">
        <f>IF(B518="","",E518*G518*(1+Settings!$B$18))</f>
        <v/>
      </c>
      <c r="I518" s="39">
        <f>IF(B518="","",IFERROR(VLOOKUP(B518,'Vendors &amp; Crew'!$A$5:$D$34,4,FALSE),0))</f>
        <v/>
      </c>
      <c r="J518" s="39">
        <f>IF(B518="","",E518*I518)</f>
        <v/>
      </c>
      <c r="K518" s="59">
        <f>IF(A518="","",A518-WEEKDAY(A518,2)+7)</f>
        <v/>
      </c>
      <c r="L518" s="9">
        <f>IF(B518="","",IF(D518="","Labor",IFERROR(VLOOKUP(D518,Settings!$E$5:$G$28,3,FALSE),"Labor")))</f>
        <v/>
      </c>
      <c r="M518" s="9">
        <f>IF(B518="","",IF(COUNTIF('Vendors &amp; Crew'!$A$5:$A$34,B518)=0,"Worker not in Crew table",IF(C518="","Missing Job ID",IF(COUNTIF(Jobs!$A$5:$A$44,C518)=0,"Unknown Job ID",IF(E518="","Missing hours",IF(A518="","Missing date",""))))))</f>
        <v/>
      </c>
      <c r="N518" s="35" t="n"/>
    </row>
    <row r="519">
      <c r="A519" s="40" t="n"/>
      <c r="B519" s="35" t="n"/>
      <c r="C519" s="35" t="n"/>
      <c r="D519" s="35" t="n"/>
      <c r="E519" s="61" t="n"/>
      <c r="F519" s="37" t="n"/>
      <c r="G519" s="39">
        <f>IF(B519="","",IF(F519&lt;&gt;"",F519,IFERROR(VLOOKUP(B519,'Vendors &amp; Crew'!$A$5:$D$34,3,FALSE),0)))</f>
        <v/>
      </c>
      <c r="H519" s="39">
        <f>IF(B519="","",E519*G519*(1+Settings!$B$18))</f>
        <v/>
      </c>
      <c r="I519" s="39">
        <f>IF(B519="","",IFERROR(VLOOKUP(B519,'Vendors &amp; Crew'!$A$5:$D$34,4,FALSE),0))</f>
        <v/>
      </c>
      <c r="J519" s="39">
        <f>IF(B519="","",E519*I519)</f>
        <v/>
      </c>
      <c r="K519" s="59">
        <f>IF(A519="","",A519-WEEKDAY(A519,2)+7)</f>
        <v/>
      </c>
      <c r="L519" s="9">
        <f>IF(B519="","",IF(D519="","Labor",IFERROR(VLOOKUP(D519,Settings!$E$5:$G$28,3,FALSE),"Labor")))</f>
        <v/>
      </c>
      <c r="M519" s="9">
        <f>IF(B519="","",IF(COUNTIF('Vendors &amp; Crew'!$A$5:$A$34,B519)=0,"Worker not in Crew table",IF(C519="","Missing Job ID",IF(COUNTIF(Jobs!$A$5:$A$44,C519)=0,"Unknown Job ID",IF(E519="","Missing hours",IF(A519="","Missing date",""))))))</f>
        <v/>
      </c>
      <c r="N519" s="35" t="n"/>
    </row>
    <row r="520">
      <c r="A520" s="40" t="n"/>
      <c r="B520" s="35" t="n"/>
      <c r="C520" s="35" t="n"/>
      <c r="D520" s="35" t="n"/>
      <c r="E520" s="61" t="n"/>
      <c r="F520" s="37" t="n"/>
      <c r="G520" s="39">
        <f>IF(B520="","",IF(F520&lt;&gt;"",F520,IFERROR(VLOOKUP(B520,'Vendors &amp; Crew'!$A$5:$D$34,3,FALSE),0)))</f>
        <v/>
      </c>
      <c r="H520" s="39">
        <f>IF(B520="","",E520*G520*(1+Settings!$B$18))</f>
        <v/>
      </c>
      <c r="I520" s="39">
        <f>IF(B520="","",IFERROR(VLOOKUP(B520,'Vendors &amp; Crew'!$A$5:$D$34,4,FALSE),0))</f>
        <v/>
      </c>
      <c r="J520" s="39">
        <f>IF(B520="","",E520*I520)</f>
        <v/>
      </c>
      <c r="K520" s="59">
        <f>IF(A520="","",A520-WEEKDAY(A520,2)+7)</f>
        <v/>
      </c>
      <c r="L520" s="9">
        <f>IF(B520="","",IF(D520="","Labor",IFERROR(VLOOKUP(D520,Settings!$E$5:$G$28,3,FALSE),"Labor")))</f>
        <v/>
      </c>
      <c r="M520" s="9">
        <f>IF(B520="","",IF(COUNTIF('Vendors &amp; Crew'!$A$5:$A$34,B520)=0,"Worker not in Crew table",IF(C520="","Missing Job ID",IF(COUNTIF(Jobs!$A$5:$A$44,C520)=0,"Unknown Job ID",IF(E520="","Missing hours",IF(A520="","Missing date",""))))))</f>
        <v/>
      </c>
      <c r="N520" s="35" t="n"/>
    </row>
    <row r="521">
      <c r="A521" s="40" t="n"/>
      <c r="B521" s="35" t="n"/>
      <c r="C521" s="35" t="n"/>
      <c r="D521" s="35" t="n"/>
      <c r="E521" s="61" t="n"/>
      <c r="F521" s="37" t="n"/>
      <c r="G521" s="39">
        <f>IF(B521="","",IF(F521&lt;&gt;"",F521,IFERROR(VLOOKUP(B521,'Vendors &amp; Crew'!$A$5:$D$34,3,FALSE),0)))</f>
        <v/>
      </c>
      <c r="H521" s="39">
        <f>IF(B521="","",E521*G521*(1+Settings!$B$18))</f>
        <v/>
      </c>
      <c r="I521" s="39">
        <f>IF(B521="","",IFERROR(VLOOKUP(B521,'Vendors &amp; Crew'!$A$5:$D$34,4,FALSE),0))</f>
        <v/>
      </c>
      <c r="J521" s="39">
        <f>IF(B521="","",E521*I521)</f>
        <v/>
      </c>
      <c r="K521" s="59">
        <f>IF(A521="","",A521-WEEKDAY(A521,2)+7)</f>
        <v/>
      </c>
      <c r="L521" s="9">
        <f>IF(B521="","",IF(D521="","Labor",IFERROR(VLOOKUP(D521,Settings!$E$5:$G$28,3,FALSE),"Labor")))</f>
        <v/>
      </c>
      <c r="M521" s="9">
        <f>IF(B521="","",IF(COUNTIF('Vendors &amp; Crew'!$A$5:$A$34,B521)=0,"Worker not in Crew table",IF(C521="","Missing Job ID",IF(COUNTIF(Jobs!$A$5:$A$44,C521)=0,"Unknown Job ID",IF(E521="","Missing hours",IF(A521="","Missing date",""))))))</f>
        <v/>
      </c>
      <c r="N521" s="35" t="n"/>
    </row>
    <row r="522">
      <c r="A522" s="40" t="n"/>
      <c r="B522" s="35" t="n"/>
      <c r="C522" s="35" t="n"/>
      <c r="D522" s="35" t="n"/>
      <c r="E522" s="61" t="n"/>
      <c r="F522" s="37" t="n"/>
      <c r="G522" s="39">
        <f>IF(B522="","",IF(F522&lt;&gt;"",F522,IFERROR(VLOOKUP(B522,'Vendors &amp; Crew'!$A$5:$D$34,3,FALSE),0)))</f>
        <v/>
      </c>
      <c r="H522" s="39">
        <f>IF(B522="","",E522*G522*(1+Settings!$B$18))</f>
        <v/>
      </c>
      <c r="I522" s="39">
        <f>IF(B522="","",IFERROR(VLOOKUP(B522,'Vendors &amp; Crew'!$A$5:$D$34,4,FALSE),0))</f>
        <v/>
      </c>
      <c r="J522" s="39">
        <f>IF(B522="","",E522*I522)</f>
        <v/>
      </c>
      <c r="K522" s="59">
        <f>IF(A522="","",A522-WEEKDAY(A522,2)+7)</f>
        <v/>
      </c>
      <c r="L522" s="9">
        <f>IF(B522="","",IF(D522="","Labor",IFERROR(VLOOKUP(D522,Settings!$E$5:$G$28,3,FALSE),"Labor")))</f>
        <v/>
      </c>
      <c r="M522" s="9">
        <f>IF(B522="","",IF(COUNTIF('Vendors &amp; Crew'!$A$5:$A$34,B522)=0,"Worker not in Crew table",IF(C522="","Missing Job ID",IF(COUNTIF(Jobs!$A$5:$A$44,C522)=0,"Unknown Job ID",IF(E522="","Missing hours",IF(A522="","Missing date",""))))))</f>
        <v/>
      </c>
      <c r="N522" s="35" t="n"/>
    </row>
    <row r="523">
      <c r="A523" s="40" t="n"/>
      <c r="B523" s="35" t="n"/>
      <c r="C523" s="35" t="n"/>
      <c r="D523" s="35" t="n"/>
      <c r="E523" s="61" t="n"/>
      <c r="F523" s="37" t="n"/>
      <c r="G523" s="39">
        <f>IF(B523="","",IF(F523&lt;&gt;"",F523,IFERROR(VLOOKUP(B523,'Vendors &amp; Crew'!$A$5:$D$34,3,FALSE),0)))</f>
        <v/>
      </c>
      <c r="H523" s="39">
        <f>IF(B523="","",E523*G523*(1+Settings!$B$18))</f>
        <v/>
      </c>
      <c r="I523" s="39">
        <f>IF(B523="","",IFERROR(VLOOKUP(B523,'Vendors &amp; Crew'!$A$5:$D$34,4,FALSE),0))</f>
        <v/>
      </c>
      <c r="J523" s="39">
        <f>IF(B523="","",E523*I523)</f>
        <v/>
      </c>
      <c r="K523" s="59">
        <f>IF(A523="","",A523-WEEKDAY(A523,2)+7)</f>
        <v/>
      </c>
      <c r="L523" s="9">
        <f>IF(B523="","",IF(D523="","Labor",IFERROR(VLOOKUP(D523,Settings!$E$5:$G$28,3,FALSE),"Labor")))</f>
        <v/>
      </c>
      <c r="M523" s="9">
        <f>IF(B523="","",IF(COUNTIF('Vendors &amp; Crew'!$A$5:$A$34,B523)=0,"Worker not in Crew table",IF(C523="","Missing Job ID",IF(COUNTIF(Jobs!$A$5:$A$44,C523)=0,"Unknown Job ID",IF(E523="","Missing hours",IF(A523="","Missing date",""))))))</f>
        <v/>
      </c>
      <c r="N523" s="35" t="n"/>
    </row>
    <row r="524">
      <c r="A524" s="40" t="n"/>
      <c r="B524" s="35" t="n"/>
      <c r="C524" s="35" t="n"/>
      <c r="D524" s="35" t="n"/>
      <c r="E524" s="61" t="n"/>
      <c r="F524" s="37" t="n"/>
      <c r="G524" s="39">
        <f>IF(B524="","",IF(F524&lt;&gt;"",F524,IFERROR(VLOOKUP(B524,'Vendors &amp; Crew'!$A$5:$D$34,3,FALSE),0)))</f>
        <v/>
      </c>
      <c r="H524" s="39">
        <f>IF(B524="","",E524*G524*(1+Settings!$B$18))</f>
        <v/>
      </c>
      <c r="I524" s="39">
        <f>IF(B524="","",IFERROR(VLOOKUP(B524,'Vendors &amp; Crew'!$A$5:$D$34,4,FALSE),0))</f>
        <v/>
      </c>
      <c r="J524" s="39">
        <f>IF(B524="","",E524*I524)</f>
        <v/>
      </c>
      <c r="K524" s="59">
        <f>IF(A524="","",A524-WEEKDAY(A524,2)+7)</f>
        <v/>
      </c>
      <c r="L524" s="9">
        <f>IF(B524="","",IF(D524="","Labor",IFERROR(VLOOKUP(D524,Settings!$E$5:$G$28,3,FALSE),"Labor")))</f>
        <v/>
      </c>
      <c r="M524" s="9">
        <f>IF(B524="","",IF(COUNTIF('Vendors &amp; Crew'!$A$5:$A$34,B524)=0,"Worker not in Crew table",IF(C524="","Missing Job ID",IF(COUNTIF(Jobs!$A$5:$A$44,C524)=0,"Unknown Job ID",IF(E524="","Missing hours",IF(A524="","Missing date",""))))))</f>
        <v/>
      </c>
      <c r="N524" s="35" t="n"/>
    </row>
    <row r="525">
      <c r="A525" s="40" t="n"/>
      <c r="B525" s="35" t="n"/>
      <c r="C525" s="35" t="n"/>
      <c r="D525" s="35" t="n"/>
      <c r="E525" s="61" t="n"/>
      <c r="F525" s="37" t="n"/>
      <c r="G525" s="39">
        <f>IF(B525="","",IF(F525&lt;&gt;"",F525,IFERROR(VLOOKUP(B525,'Vendors &amp; Crew'!$A$5:$D$34,3,FALSE),0)))</f>
        <v/>
      </c>
      <c r="H525" s="39">
        <f>IF(B525="","",E525*G525*(1+Settings!$B$18))</f>
        <v/>
      </c>
      <c r="I525" s="39">
        <f>IF(B525="","",IFERROR(VLOOKUP(B525,'Vendors &amp; Crew'!$A$5:$D$34,4,FALSE),0))</f>
        <v/>
      </c>
      <c r="J525" s="39">
        <f>IF(B525="","",E525*I525)</f>
        <v/>
      </c>
      <c r="K525" s="59">
        <f>IF(A525="","",A525-WEEKDAY(A525,2)+7)</f>
        <v/>
      </c>
      <c r="L525" s="9">
        <f>IF(B525="","",IF(D525="","Labor",IFERROR(VLOOKUP(D525,Settings!$E$5:$G$28,3,FALSE),"Labor")))</f>
        <v/>
      </c>
      <c r="M525" s="9">
        <f>IF(B525="","",IF(COUNTIF('Vendors &amp; Crew'!$A$5:$A$34,B525)=0,"Worker not in Crew table",IF(C525="","Missing Job ID",IF(COUNTIF(Jobs!$A$5:$A$44,C525)=0,"Unknown Job ID",IF(E525="","Missing hours",IF(A525="","Missing date",""))))))</f>
        <v/>
      </c>
      <c r="N525" s="35" t="n"/>
    </row>
    <row r="526">
      <c r="A526" s="40" t="n"/>
      <c r="B526" s="35" t="n"/>
      <c r="C526" s="35" t="n"/>
      <c r="D526" s="35" t="n"/>
      <c r="E526" s="61" t="n"/>
      <c r="F526" s="37" t="n"/>
      <c r="G526" s="39">
        <f>IF(B526="","",IF(F526&lt;&gt;"",F526,IFERROR(VLOOKUP(B526,'Vendors &amp; Crew'!$A$5:$D$34,3,FALSE),0)))</f>
        <v/>
      </c>
      <c r="H526" s="39">
        <f>IF(B526="","",E526*G526*(1+Settings!$B$18))</f>
        <v/>
      </c>
      <c r="I526" s="39">
        <f>IF(B526="","",IFERROR(VLOOKUP(B526,'Vendors &amp; Crew'!$A$5:$D$34,4,FALSE),0))</f>
        <v/>
      </c>
      <c r="J526" s="39">
        <f>IF(B526="","",E526*I526)</f>
        <v/>
      </c>
      <c r="K526" s="59">
        <f>IF(A526="","",A526-WEEKDAY(A526,2)+7)</f>
        <v/>
      </c>
      <c r="L526" s="9">
        <f>IF(B526="","",IF(D526="","Labor",IFERROR(VLOOKUP(D526,Settings!$E$5:$G$28,3,FALSE),"Labor")))</f>
        <v/>
      </c>
      <c r="M526" s="9">
        <f>IF(B526="","",IF(COUNTIF('Vendors &amp; Crew'!$A$5:$A$34,B526)=0,"Worker not in Crew table",IF(C526="","Missing Job ID",IF(COUNTIF(Jobs!$A$5:$A$44,C526)=0,"Unknown Job ID",IF(E526="","Missing hours",IF(A526="","Missing date",""))))))</f>
        <v/>
      </c>
      <c r="N526" s="35" t="n"/>
    </row>
    <row r="527">
      <c r="A527" s="40" t="n"/>
      <c r="B527" s="35" t="n"/>
      <c r="C527" s="35" t="n"/>
      <c r="D527" s="35" t="n"/>
      <c r="E527" s="61" t="n"/>
      <c r="F527" s="37" t="n"/>
      <c r="G527" s="39">
        <f>IF(B527="","",IF(F527&lt;&gt;"",F527,IFERROR(VLOOKUP(B527,'Vendors &amp; Crew'!$A$5:$D$34,3,FALSE),0)))</f>
        <v/>
      </c>
      <c r="H527" s="39">
        <f>IF(B527="","",E527*G527*(1+Settings!$B$18))</f>
        <v/>
      </c>
      <c r="I527" s="39">
        <f>IF(B527="","",IFERROR(VLOOKUP(B527,'Vendors &amp; Crew'!$A$5:$D$34,4,FALSE),0))</f>
        <v/>
      </c>
      <c r="J527" s="39">
        <f>IF(B527="","",E527*I527)</f>
        <v/>
      </c>
      <c r="K527" s="59">
        <f>IF(A527="","",A527-WEEKDAY(A527,2)+7)</f>
        <v/>
      </c>
      <c r="L527" s="9">
        <f>IF(B527="","",IF(D527="","Labor",IFERROR(VLOOKUP(D527,Settings!$E$5:$G$28,3,FALSE),"Labor")))</f>
        <v/>
      </c>
      <c r="M527" s="9">
        <f>IF(B527="","",IF(COUNTIF('Vendors &amp; Crew'!$A$5:$A$34,B527)=0,"Worker not in Crew table",IF(C527="","Missing Job ID",IF(COUNTIF(Jobs!$A$5:$A$44,C527)=0,"Unknown Job ID",IF(E527="","Missing hours",IF(A527="","Missing date",""))))))</f>
        <v/>
      </c>
      <c r="N527" s="35" t="n"/>
    </row>
    <row r="528">
      <c r="A528" s="40" t="n"/>
      <c r="B528" s="35" t="n"/>
      <c r="C528" s="35" t="n"/>
      <c r="D528" s="35" t="n"/>
      <c r="E528" s="61" t="n"/>
      <c r="F528" s="37" t="n"/>
      <c r="G528" s="39">
        <f>IF(B528="","",IF(F528&lt;&gt;"",F528,IFERROR(VLOOKUP(B528,'Vendors &amp; Crew'!$A$5:$D$34,3,FALSE),0)))</f>
        <v/>
      </c>
      <c r="H528" s="39">
        <f>IF(B528="","",E528*G528*(1+Settings!$B$18))</f>
        <v/>
      </c>
      <c r="I528" s="39">
        <f>IF(B528="","",IFERROR(VLOOKUP(B528,'Vendors &amp; Crew'!$A$5:$D$34,4,FALSE),0))</f>
        <v/>
      </c>
      <c r="J528" s="39">
        <f>IF(B528="","",E528*I528)</f>
        <v/>
      </c>
      <c r="K528" s="59">
        <f>IF(A528="","",A528-WEEKDAY(A528,2)+7)</f>
        <v/>
      </c>
      <c r="L528" s="9">
        <f>IF(B528="","",IF(D528="","Labor",IFERROR(VLOOKUP(D528,Settings!$E$5:$G$28,3,FALSE),"Labor")))</f>
        <v/>
      </c>
      <c r="M528" s="9">
        <f>IF(B528="","",IF(COUNTIF('Vendors &amp; Crew'!$A$5:$A$34,B528)=0,"Worker not in Crew table",IF(C528="","Missing Job ID",IF(COUNTIF(Jobs!$A$5:$A$44,C528)=0,"Unknown Job ID",IF(E528="","Missing hours",IF(A528="","Missing date",""))))))</f>
        <v/>
      </c>
      <c r="N528" s="35" t="n"/>
    </row>
    <row r="529">
      <c r="A529" s="40" t="n"/>
      <c r="B529" s="35" t="n"/>
      <c r="C529" s="35" t="n"/>
      <c r="D529" s="35" t="n"/>
      <c r="E529" s="61" t="n"/>
      <c r="F529" s="37" t="n"/>
      <c r="G529" s="39">
        <f>IF(B529="","",IF(F529&lt;&gt;"",F529,IFERROR(VLOOKUP(B529,'Vendors &amp; Crew'!$A$5:$D$34,3,FALSE),0)))</f>
        <v/>
      </c>
      <c r="H529" s="39">
        <f>IF(B529="","",E529*G529*(1+Settings!$B$18))</f>
        <v/>
      </c>
      <c r="I529" s="39">
        <f>IF(B529="","",IFERROR(VLOOKUP(B529,'Vendors &amp; Crew'!$A$5:$D$34,4,FALSE),0))</f>
        <v/>
      </c>
      <c r="J529" s="39">
        <f>IF(B529="","",E529*I529)</f>
        <v/>
      </c>
      <c r="K529" s="59">
        <f>IF(A529="","",A529-WEEKDAY(A529,2)+7)</f>
        <v/>
      </c>
      <c r="L529" s="9">
        <f>IF(B529="","",IF(D529="","Labor",IFERROR(VLOOKUP(D529,Settings!$E$5:$G$28,3,FALSE),"Labor")))</f>
        <v/>
      </c>
      <c r="M529" s="9">
        <f>IF(B529="","",IF(COUNTIF('Vendors &amp; Crew'!$A$5:$A$34,B529)=0,"Worker not in Crew table",IF(C529="","Missing Job ID",IF(COUNTIF(Jobs!$A$5:$A$44,C529)=0,"Unknown Job ID",IF(E529="","Missing hours",IF(A529="","Missing date",""))))))</f>
        <v/>
      </c>
      <c r="N529" s="35" t="n"/>
    </row>
    <row r="530">
      <c r="A530" s="40" t="n"/>
      <c r="B530" s="35" t="n"/>
      <c r="C530" s="35" t="n"/>
      <c r="D530" s="35" t="n"/>
      <c r="E530" s="61" t="n"/>
      <c r="F530" s="37" t="n"/>
      <c r="G530" s="39">
        <f>IF(B530="","",IF(F530&lt;&gt;"",F530,IFERROR(VLOOKUP(B530,'Vendors &amp; Crew'!$A$5:$D$34,3,FALSE),0)))</f>
        <v/>
      </c>
      <c r="H530" s="39">
        <f>IF(B530="","",E530*G530*(1+Settings!$B$18))</f>
        <v/>
      </c>
      <c r="I530" s="39">
        <f>IF(B530="","",IFERROR(VLOOKUP(B530,'Vendors &amp; Crew'!$A$5:$D$34,4,FALSE),0))</f>
        <v/>
      </c>
      <c r="J530" s="39">
        <f>IF(B530="","",E530*I530)</f>
        <v/>
      </c>
      <c r="K530" s="59">
        <f>IF(A530="","",A530-WEEKDAY(A530,2)+7)</f>
        <v/>
      </c>
      <c r="L530" s="9">
        <f>IF(B530="","",IF(D530="","Labor",IFERROR(VLOOKUP(D530,Settings!$E$5:$G$28,3,FALSE),"Labor")))</f>
        <v/>
      </c>
      <c r="M530" s="9">
        <f>IF(B530="","",IF(COUNTIF('Vendors &amp; Crew'!$A$5:$A$34,B530)=0,"Worker not in Crew table",IF(C530="","Missing Job ID",IF(COUNTIF(Jobs!$A$5:$A$44,C530)=0,"Unknown Job ID",IF(E530="","Missing hours",IF(A530="","Missing date",""))))))</f>
        <v/>
      </c>
      <c r="N530" s="35" t="n"/>
    </row>
    <row r="531">
      <c r="A531" s="40" t="n"/>
      <c r="B531" s="35" t="n"/>
      <c r="C531" s="35" t="n"/>
      <c r="D531" s="35" t="n"/>
      <c r="E531" s="61" t="n"/>
      <c r="F531" s="37" t="n"/>
      <c r="G531" s="39">
        <f>IF(B531="","",IF(F531&lt;&gt;"",F531,IFERROR(VLOOKUP(B531,'Vendors &amp; Crew'!$A$5:$D$34,3,FALSE),0)))</f>
        <v/>
      </c>
      <c r="H531" s="39">
        <f>IF(B531="","",E531*G531*(1+Settings!$B$18))</f>
        <v/>
      </c>
      <c r="I531" s="39">
        <f>IF(B531="","",IFERROR(VLOOKUP(B531,'Vendors &amp; Crew'!$A$5:$D$34,4,FALSE),0))</f>
        <v/>
      </c>
      <c r="J531" s="39">
        <f>IF(B531="","",E531*I531)</f>
        <v/>
      </c>
      <c r="K531" s="59">
        <f>IF(A531="","",A531-WEEKDAY(A531,2)+7)</f>
        <v/>
      </c>
      <c r="L531" s="9">
        <f>IF(B531="","",IF(D531="","Labor",IFERROR(VLOOKUP(D531,Settings!$E$5:$G$28,3,FALSE),"Labor")))</f>
        <v/>
      </c>
      <c r="M531" s="9">
        <f>IF(B531="","",IF(COUNTIF('Vendors &amp; Crew'!$A$5:$A$34,B531)=0,"Worker not in Crew table",IF(C531="","Missing Job ID",IF(COUNTIF(Jobs!$A$5:$A$44,C531)=0,"Unknown Job ID",IF(E531="","Missing hours",IF(A531="","Missing date",""))))))</f>
        <v/>
      </c>
      <c r="N531" s="35" t="n"/>
    </row>
    <row r="532">
      <c r="A532" s="40" t="n"/>
      <c r="B532" s="35" t="n"/>
      <c r="C532" s="35" t="n"/>
      <c r="D532" s="35" t="n"/>
      <c r="E532" s="61" t="n"/>
      <c r="F532" s="37" t="n"/>
      <c r="G532" s="39">
        <f>IF(B532="","",IF(F532&lt;&gt;"",F532,IFERROR(VLOOKUP(B532,'Vendors &amp; Crew'!$A$5:$D$34,3,FALSE),0)))</f>
        <v/>
      </c>
      <c r="H532" s="39">
        <f>IF(B532="","",E532*G532*(1+Settings!$B$18))</f>
        <v/>
      </c>
      <c r="I532" s="39">
        <f>IF(B532="","",IFERROR(VLOOKUP(B532,'Vendors &amp; Crew'!$A$5:$D$34,4,FALSE),0))</f>
        <v/>
      </c>
      <c r="J532" s="39">
        <f>IF(B532="","",E532*I532)</f>
        <v/>
      </c>
      <c r="K532" s="59">
        <f>IF(A532="","",A532-WEEKDAY(A532,2)+7)</f>
        <v/>
      </c>
      <c r="L532" s="9">
        <f>IF(B532="","",IF(D532="","Labor",IFERROR(VLOOKUP(D532,Settings!$E$5:$G$28,3,FALSE),"Labor")))</f>
        <v/>
      </c>
      <c r="M532" s="9">
        <f>IF(B532="","",IF(COUNTIF('Vendors &amp; Crew'!$A$5:$A$34,B532)=0,"Worker not in Crew table",IF(C532="","Missing Job ID",IF(COUNTIF(Jobs!$A$5:$A$44,C532)=0,"Unknown Job ID",IF(E532="","Missing hours",IF(A532="","Missing date",""))))))</f>
        <v/>
      </c>
      <c r="N532" s="35" t="n"/>
    </row>
    <row r="533">
      <c r="A533" s="40" t="n"/>
      <c r="B533" s="35" t="n"/>
      <c r="C533" s="35" t="n"/>
      <c r="D533" s="35" t="n"/>
      <c r="E533" s="61" t="n"/>
      <c r="F533" s="37" t="n"/>
      <c r="G533" s="39">
        <f>IF(B533="","",IF(F533&lt;&gt;"",F533,IFERROR(VLOOKUP(B533,'Vendors &amp; Crew'!$A$5:$D$34,3,FALSE),0)))</f>
        <v/>
      </c>
      <c r="H533" s="39">
        <f>IF(B533="","",E533*G533*(1+Settings!$B$18))</f>
        <v/>
      </c>
      <c r="I533" s="39">
        <f>IF(B533="","",IFERROR(VLOOKUP(B533,'Vendors &amp; Crew'!$A$5:$D$34,4,FALSE),0))</f>
        <v/>
      </c>
      <c r="J533" s="39">
        <f>IF(B533="","",E533*I533)</f>
        <v/>
      </c>
      <c r="K533" s="59">
        <f>IF(A533="","",A533-WEEKDAY(A533,2)+7)</f>
        <v/>
      </c>
      <c r="L533" s="9">
        <f>IF(B533="","",IF(D533="","Labor",IFERROR(VLOOKUP(D533,Settings!$E$5:$G$28,3,FALSE),"Labor")))</f>
        <v/>
      </c>
      <c r="M533" s="9">
        <f>IF(B533="","",IF(COUNTIF('Vendors &amp; Crew'!$A$5:$A$34,B533)=0,"Worker not in Crew table",IF(C533="","Missing Job ID",IF(COUNTIF(Jobs!$A$5:$A$44,C533)=0,"Unknown Job ID",IF(E533="","Missing hours",IF(A533="","Missing date",""))))))</f>
        <v/>
      </c>
      <c r="N533" s="35" t="n"/>
    </row>
    <row r="534">
      <c r="A534" s="40" t="n"/>
      <c r="B534" s="35" t="n"/>
      <c r="C534" s="35" t="n"/>
      <c r="D534" s="35" t="n"/>
      <c r="E534" s="61" t="n"/>
      <c r="F534" s="37" t="n"/>
      <c r="G534" s="39">
        <f>IF(B534="","",IF(F534&lt;&gt;"",F534,IFERROR(VLOOKUP(B534,'Vendors &amp; Crew'!$A$5:$D$34,3,FALSE),0)))</f>
        <v/>
      </c>
      <c r="H534" s="39">
        <f>IF(B534="","",E534*G534*(1+Settings!$B$18))</f>
        <v/>
      </c>
      <c r="I534" s="39">
        <f>IF(B534="","",IFERROR(VLOOKUP(B534,'Vendors &amp; Crew'!$A$5:$D$34,4,FALSE),0))</f>
        <v/>
      </c>
      <c r="J534" s="39">
        <f>IF(B534="","",E534*I534)</f>
        <v/>
      </c>
      <c r="K534" s="59">
        <f>IF(A534="","",A534-WEEKDAY(A534,2)+7)</f>
        <v/>
      </c>
      <c r="L534" s="9">
        <f>IF(B534="","",IF(D534="","Labor",IFERROR(VLOOKUP(D534,Settings!$E$5:$G$28,3,FALSE),"Labor")))</f>
        <v/>
      </c>
      <c r="M534" s="9">
        <f>IF(B534="","",IF(COUNTIF('Vendors &amp; Crew'!$A$5:$A$34,B534)=0,"Worker not in Crew table",IF(C534="","Missing Job ID",IF(COUNTIF(Jobs!$A$5:$A$44,C534)=0,"Unknown Job ID",IF(E534="","Missing hours",IF(A534="","Missing date",""))))))</f>
        <v/>
      </c>
      <c r="N534" s="35" t="n"/>
    </row>
    <row r="535">
      <c r="A535" s="40" t="n"/>
      <c r="B535" s="35" t="n"/>
      <c r="C535" s="35" t="n"/>
      <c r="D535" s="35" t="n"/>
      <c r="E535" s="61" t="n"/>
      <c r="F535" s="37" t="n"/>
      <c r="G535" s="39">
        <f>IF(B535="","",IF(F535&lt;&gt;"",F535,IFERROR(VLOOKUP(B535,'Vendors &amp; Crew'!$A$5:$D$34,3,FALSE),0)))</f>
        <v/>
      </c>
      <c r="H535" s="39">
        <f>IF(B535="","",E535*G535*(1+Settings!$B$18))</f>
        <v/>
      </c>
      <c r="I535" s="39">
        <f>IF(B535="","",IFERROR(VLOOKUP(B535,'Vendors &amp; Crew'!$A$5:$D$34,4,FALSE),0))</f>
        <v/>
      </c>
      <c r="J535" s="39">
        <f>IF(B535="","",E535*I535)</f>
        <v/>
      </c>
      <c r="K535" s="59">
        <f>IF(A535="","",A535-WEEKDAY(A535,2)+7)</f>
        <v/>
      </c>
      <c r="L535" s="9">
        <f>IF(B535="","",IF(D535="","Labor",IFERROR(VLOOKUP(D535,Settings!$E$5:$G$28,3,FALSE),"Labor")))</f>
        <v/>
      </c>
      <c r="M535" s="9">
        <f>IF(B535="","",IF(COUNTIF('Vendors &amp; Crew'!$A$5:$A$34,B535)=0,"Worker not in Crew table",IF(C535="","Missing Job ID",IF(COUNTIF(Jobs!$A$5:$A$44,C535)=0,"Unknown Job ID",IF(E535="","Missing hours",IF(A535="","Missing date",""))))))</f>
        <v/>
      </c>
      <c r="N535" s="35" t="n"/>
    </row>
    <row r="536">
      <c r="A536" s="40" t="n"/>
      <c r="B536" s="35" t="n"/>
      <c r="C536" s="35" t="n"/>
      <c r="D536" s="35" t="n"/>
      <c r="E536" s="61" t="n"/>
      <c r="F536" s="37" t="n"/>
      <c r="G536" s="39">
        <f>IF(B536="","",IF(F536&lt;&gt;"",F536,IFERROR(VLOOKUP(B536,'Vendors &amp; Crew'!$A$5:$D$34,3,FALSE),0)))</f>
        <v/>
      </c>
      <c r="H536" s="39">
        <f>IF(B536="","",E536*G536*(1+Settings!$B$18))</f>
        <v/>
      </c>
      <c r="I536" s="39">
        <f>IF(B536="","",IFERROR(VLOOKUP(B536,'Vendors &amp; Crew'!$A$5:$D$34,4,FALSE),0))</f>
        <v/>
      </c>
      <c r="J536" s="39">
        <f>IF(B536="","",E536*I536)</f>
        <v/>
      </c>
      <c r="K536" s="59">
        <f>IF(A536="","",A536-WEEKDAY(A536,2)+7)</f>
        <v/>
      </c>
      <c r="L536" s="9">
        <f>IF(B536="","",IF(D536="","Labor",IFERROR(VLOOKUP(D536,Settings!$E$5:$G$28,3,FALSE),"Labor")))</f>
        <v/>
      </c>
      <c r="M536" s="9">
        <f>IF(B536="","",IF(COUNTIF('Vendors &amp; Crew'!$A$5:$A$34,B536)=0,"Worker not in Crew table",IF(C536="","Missing Job ID",IF(COUNTIF(Jobs!$A$5:$A$44,C536)=0,"Unknown Job ID",IF(E536="","Missing hours",IF(A536="","Missing date",""))))))</f>
        <v/>
      </c>
      <c r="N536" s="35" t="n"/>
    </row>
    <row r="537">
      <c r="A537" s="40" t="n"/>
      <c r="B537" s="35" t="n"/>
      <c r="C537" s="35" t="n"/>
      <c r="D537" s="35" t="n"/>
      <c r="E537" s="61" t="n"/>
      <c r="F537" s="37" t="n"/>
      <c r="G537" s="39">
        <f>IF(B537="","",IF(F537&lt;&gt;"",F537,IFERROR(VLOOKUP(B537,'Vendors &amp; Crew'!$A$5:$D$34,3,FALSE),0)))</f>
        <v/>
      </c>
      <c r="H537" s="39">
        <f>IF(B537="","",E537*G537*(1+Settings!$B$18))</f>
        <v/>
      </c>
      <c r="I537" s="39">
        <f>IF(B537="","",IFERROR(VLOOKUP(B537,'Vendors &amp; Crew'!$A$5:$D$34,4,FALSE),0))</f>
        <v/>
      </c>
      <c r="J537" s="39">
        <f>IF(B537="","",E537*I537)</f>
        <v/>
      </c>
      <c r="K537" s="59">
        <f>IF(A537="","",A537-WEEKDAY(A537,2)+7)</f>
        <v/>
      </c>
      <c r="L537" s="9">
        <f>IF(B537="","",IF(D537="","Labor",IFERROR(VLOOKUP(D537,Settings!$E$5:$G$28,3,FALSE),"Labor")))</f>
        <v/>
      </c>
      <c r="M537" s="9">
        <f>IF(B537="","",IF(COUNTIF('Vendors &amp; Crew'!$A$5:$A$34,B537)=0,"Worker not in Crew table",IF(C537="","Missing Job ID",IF(COUNTIF(Jobs!$A$5:$A$44,C537)=0,"Unknown Job ID",IF(E537="","Missing hours",IF(A537="","Missing date",""))))))</f>
        <v/>
      </c>
      <c r="N537" s="35" t="n"/>
    </row>
    <row r="538">
      <c r="A538" s="40" t="n"/>
      <c r="B538" s="35" t="n"/>
      <c r="C538" s="35" t="n"/>
      <c r="D538" s="35" t="n"/>
      <c r="E538" s="61" t="n"/>
      <c r="F538" s="37" t="n"/>
      <c r="G538" s="39">
        <f>IF(B538="","",IF(F538&lt;&gt;"",F538,IFERROR(VLOOKUP(B538,'Vendors &amp; Crew'!$A$5:$D$34,3,FALSE),0)))</f>
        <v/>
      </c>
      <c r="H538" s="39">
        <f>IF(B538="","",E538*G538*(1+Settings!$B$18))</f>
        <v/>
      </c>
      <c r="I538" s="39">
        <f>IF(B538="","",IFERROR(VLOOKUP(B538,'Vendors &amp; Crew'!$A$5:$D$34,4,FALSE),0))</f>
        <v/>
      </c>
      <c r="J538" s="39">
        <f>IF(B538="","",E538*I538)</f>
        <v/>
      </c>
      <c r="K538" s="59">
        <f>IF(A538="","",A538-WEEKDAY(A538,2)+7)</f>
        <v/>
      </c>
      <c r="L538" s="9">
        <f>IF(B538="","",IF(D538="","Labor",IFERROR(VLOOKUP(D538,Settings!$E$5:$G$28,3,FALSE),"Labor")))</f>
        <v/>
      </c>
      <c r="M538" s="9">
        <f>IF(B538="","",IF(COUNTIF('Vendors &amp; Crew'!$A$5:$A$34,B538)=0,"Worker not in Crew table",IF(C538="","Missing Job ID",IF(COUNTIF(Jobs!$A$5:$A$44,C538)=0,"Unknown Job ID",IF(E538="","Missing hours",IF(A538="","Missing date",""))))))</f>
        <v/>
      </c>
      <c r="N538" s="35" t="n"/>
    </row>
    <row r="539">
      <c r="A539" s="40" t="n"/>
      <c r="B539" s="35" t="n"/>
      <c r="C539" s="35" t="n"/>
      <c r="D539" s="35" t="n"/>
      <c r="E539" s="61" t="n"/>
      <c r="F539" s="37" t="n"/>
      <c r="G539" s="39">
        <f>IF(B539="","",IF(F539&lt;&gt;"",F539,IFERROR(VLOOKUP(B539,'Vendors &amp; Crew'!$A$5:$D$34,3,FALSE),0)))</f>
        <v/>
      </c>
      <c r="H539" s="39">
        <f>IF(B539="","",E539*G539*(1+Settings!$B$18))</f>
        <v/>
      </c>
      <c r="I539" s="39">
        <f>IF(B539="","",IFERROR(VLOOKUP(B539,'Vendors &amp; Crew'!$A$5:$D$34,4,FALSE),0))</f>
        <v/>
      </c>
      <c r="J539" s="39">
        <f>IF(B539="","",E539*I539)</f>
        <v/>
      </c>
      <c r="K539" s="59">
        <f>IF(A539="","",A539-WEEKDAY(A539,2)+7)</f>
        <v/>
      </c>
      <c r="L539" s="9">
        <f>IF(B539="","",IF(D539="","Labor",IFERROR(VLOOKUP(D539,Settings!$E$5:$G$28,3,FALSE),"Labor")))</f>
        <v/>
      </c>
      <c r="M539" s="9">
        <f>IF(B539="","",IF(COUNTIF('Vendors &amp; Crew'!$A$5:$A$34,B539)=0,"Worker not in Crew table",IF(C539="","Missing Job ID",IF(COUNTIF(Jobs!$A$5:$A$44,C539)=0,"Unknown Job ID",IF(E539="","Missing hours",IF(A539="","Missing date",""))))))</f>
        <v/>
      </c>
      <c r="N539" s="35" t="n"/>
    </row>
    <row r="540">
      <c r="A540" s="40" t="n"/>
      <c r="B540" s="35" t="n"/>
      <c r="C540" s="35" t="n"/>
      <c r="D540" s="35" t="n"/>
      <c r="E540" s="61" t="n"/>
      <c r="F540" s="37" t="n"/>
      <c r="G540" s="39">
        <f>IF(B540="","",IF(F540&lt;&gt;"",F540,IFERROR(VLOOKUP(B540,'Vendors &amp; Crew'!$A$5:$D$34,3,FALSE),0)))</f>
        <v/>
      </c>
      <c r="H540" s="39">
        <f>IF(B540="","",E540*G540*(1+Settings!$B$18))</f>
        <v/>
      </c>
      <c r="I540" s="39">
        <f>IF(B540="","",IFERROR(VLOOKUP(B540,'Vendors &amp; Crew'!$A$5:$D$34,4,FALSE),0))</f>
        <v/>
      </c>
      <c r="J540" s="39">
        <f>IF(B540="","",E540*I540)</f>
        <v/>
      </c>
      <c r="K540" s="59">
        <f>IF(A540="","",A540-WEEKDAY(A540,2)+7)</f>
        <v/>
      </c>
      <c r="L540" s="9">
        <f>IF(B540="","",IF(D540="","Labor",IFERROR(VLOOKUP(D540,Settings!$E$5:$G$28,3,FALSE),"Labor")))</f>
        <v/>
      </c>
      <c r="M540" s="9">
        <f>IF(B540="","",IF(COUNTIF('Vendors &amp; Crew'!$A$5:$A$34,B540)=0,"Worker not in Crew table",IF(C540="","Missing Job ID",IF(COUNTIF(Jobs!$A$5:$A$44,C540)=0,"Unknown Job ID",IF(E540="","Missing hours",IF(A540="","Missing date",""))))))</f>
        <v/>
      </c>
      <c r="N540" s="35" t="n"/>
    </row>
    <row r="541">
      <c r="A541" s="40" t="n"/>
      <c r="B541" s="35" t="n"/>
      <c r="C541" s="35" t="n"/>
      <c r="D541" s="35" t="n"/>
      <c r="E541" s="61" t="n"/>
      <c r="F541" s="37" t="n"/>
      <c r="G541" s="39">
        <f>IF(B541="","",IF(F541&lt;&gt;"",F541,IFERROR(VLOOKUP(B541,'Vendors &amp; Crew'!$A$5:$D$34,3,FALSE),0)))</f>
        <v/>
      </c>
      <c r="H541" s="39">
        <f>IF(B541="","",E541*G541*(1+Settings!$B$18))</f>
        <v/>
      </c>
      <c r="I541" s="39">
        <f>IF(B541="","",IFERROR(VLOOKUP(B541,'Vendors &amp; Crew'!$A$5:$D$34,4,FALSE),0))</f>
        <v/>
      </c>
      <c r="J541" s="39">
        <f>IF(B541="","",E541*I541)</f>
        <v/>
      </c>
      <c r="K541" s="59">
        <f>IF(A541="","",A541-WEEKDAY(A541,2)+7)</f>
        <v/>
      </c>
      <c r="L541" s="9">
        <f>IF(B541="","",IF(D541="","Labor",IFERROR(VLOOKUP(D541,Settings!$E$5:$G$28,3,FALSE),"Labor")))</f>
        <v/>
      </c>
      <c r="M541" s="9">
        <f>IF(B541="","",IF(COUNTIF('Vendors &amp; Crew'!$A$5:$A$34,B541)=0,"Worker not in Crew table",IF(C541="","Missing Job ID",IF(COUNTIF(Jobs!$A$5:$A$44,C541)=0,"Unknown Job ID",IF(E541="","Missing hours",IF(A541="","Missing date",""))))))</f>
        <v/>
      </c>
      <c r="N541" s="35" t="n"/>
    </row>
    <row r="542">
      <c r="A542" s="40" t="n"/>
      <c r="B542" s="35" t="n"/>
      <c r="C542" s="35" t="n"/>
      <c r="D542" s="35" t="n"/>
      <c r="E542" s="61" t="n"/>
      <c r="F542" s="37" t="n"/>
      <c r="G542" s="39">
        <f>IF(B542="","",IF(F542&lt;&gt;"",F542,IFERROR(VLOOKUP(B542,'Vendors &amp; Crew'!$A$5:$D$34,3,FALSE),0)))</f>
        <v/>
      </c>
      <c r="H542" s="39">
        <f>IF(B542="","",E542*G542*(1+Settings!$B$18))</f>
        <v/>
      </c>
      <c r="I542" s="39">
        <f>IF(B542="","",IFERROR(VLOOKUP(B542,'Vendors &amp; Crew'!$A$5:$D$34,4,FALSE),0))</f>
        <v/>
      </c>
      <c r="J542" s="39">
        <f>IF(B542="","",E542*I542)</f>
        <v/>
      </c>
      <c r="K542" s="59">
        <f>IF(A542="","",A542-WEEKDAY(A542,2)+7)</f>
        <v/>
      </c>
      <c r="L542" s="9">
        <f>IF(B542="","",IF(D542="","Labor",IFERROR(VLOOKUP(D542,Settings!$E$5:$G$28,3,FALSE),"Labor")))</f>
        <v/>
      </c>
      <c r="M542" s="9">
        <f>IF(B542="","",IF(COUNTIF('Vendors &amp; Crew'!$A$5:$A$34,B542)=0,"Worker not in Crew table",IF(C542="","Missing Job ID",IF(COUNTIF(Jobs!$A$5:$A$44,C542)=0,"Unknown Job ID",IF(E542="","Missing hours",IF(A542="","Missing date",""))))))</f>
        <v/>
      </c>
      <c r="N542" s="35" t="n"/>
    </row>
    <row r="543">
      <c r="A543" s="40" t="n"/>
      <c r="B543" s="35" t="n"/>
      <c r="C543" s="35" t="n"/>
      <c r="D543" s="35" t="n"/>
      <c r="E543" s="61" t="n"/>
      <c r="F543" s="37" t="n"/>
      <c r="G543" s="39">
        <f>IF(B543="","",IF(F543&lt;&gt;"",F543,IFERROR(VLOOKUP(B543,'Vendors &amp; Crew'!$A$5:$D$34,3,FALSE),0)))</f>
        <v/>
      </c>
      <c r="H543" s="39">
        <f>IF(B543="","",E543*G543*(1+Settings!$B$18))</f>
        <v/>
      </c>
      <c r="I543" s="39">
        <f>IF(B543="","",IFERROR(VLOOKUP(B543,'Vendors &amp; Crew'!$A$5:$D$34,4,FALSE),0))</f>
        <v/>
      </c>
      <c r="J543" s="39">
        <f>IF(B543="","",E543*I543)</f>
        <v/>
      </c>
      <c r="K543" s="59">
        <f>IF(A543="","",A543-WEEKDAY(A543,2)+7)</f>
        <v/>
      </c>
      <c r="L543" s="9">
        <f>IF(B543="","",IF(D543="","Labor",IFERROR(VLOOKUP(D543,Settings!$E$5:$G$28,3,FALSE),"Labor")))</f>
        <v/>
      </c>
      <c r="M543" s="9">
        <f>IF(B543="","",IF(COUNTIF('Vendors &amp; Crew'!$A$5:$A$34,B543)=0,"Worker not in Crew table",IF(C543="","Missing Job ID",IF(COUNTIF(Jobs!$A$5:$A$44,C543)=0,"Unknown Job ID",IF(E543="","Missing hours",IF(A543="","Missing date",""))))))</f>
        <v/>
      </c>
      <c r="N543" s="35" t="n"/>
    </row>
    <row r="544">
      <c r="A544" s="40" t="n"/>
      <c r="B544" s="35" t="n"/>
      <c r="C544" s="35" t="n"/>
      <c r="D544" s="35" t="n"/>
      <c r="E544" s="61" t="n"/>
      <c r="F544" s="37" t="n"/>
      <c r="G544" s="39">
        <f>IF(B544="","",IF(F544&lt;&gt;"",F544,IFERROR(VLOOKUP(B544,'Vendors &amp; Crew'!$A$5:$D$34,3,FALSE),0)))</f>
        <v/>
      </c>
      <c r="H544" s="39">
        <f>IF(B544="","",E544*G544*(1+Settings!$B$18))</f>
        <v/>
      </c>
      <c r="I544" s="39">
        <f>IF(B544="","",IFERROR(VLOOKUP(B544,'Vendors &amp; Crew'!$A$5:$D$34,4,FALSE),0))</f>
        <v/>
      </c>
      <c r="J544" s="39">
        <f>IF(B544="","",E544*I544)</f>
        <v/>
      </c>
      <c r="K544" s="59">
        <f>IF(A544="","",A544-WEEKDAY(A544,2)+7)</f>
        <v/>
      </c>
      <c r="L544" s="9">
        <f>IF(B544="","",IF(D544="","Labor",IFERROR(VLOOKUP(D544,Settings!$E$5:$G$28,3,FALSE),"Labor")))</f>
        <v/>
      </c>
      <c r="M544" s="9">
        <f>IF(B544="","",IF(COUNTIF('Vendors &amp; Crew'!$A$5:$A$34,B544)=0,"Worker not in Crew table",IF(C544="","Missing Job ID",IF(COUNTIF(Jobs!$A$5:$A$44,C544)=0,"Unknown Job ID",IF(E544="","Missing hours",IF(A544="","Missing date",""))))))</f>
        <v/>
      </c>
      <c r="N544" s="35" t="n"/>
    </row>
    <row r="545">
      <c r="A545" s="40" t="n"/>
      <c r="B545" s="35" t="n"/>
      <c r="C545" s="35" t="n"/>
      <c r="D545" s="35" t="n"/>
      <c r="E545" s="61" t="n"/>
      <c r="F545" s="37" t="n"/>
      <c r="G545" s="39">
        <f>IF(B545="","",IF(F545&lt;&gt;"",F545,IFERROR(VLOOKUP(B545,'Vendors &amp; Crew'!$A$5:$D$34,3,FALSE),0)))</f>
        <v/>
      </c>
      <c r="H545" s="39">
        <f>IF(B545="","",E545*G545*(1+Settings!$B$18))</f>
        <v/>
      </c>
      <c r="I545" s="39">
        <f>IF(B545="","",IFERROR(VLOOKUP(B545,'Vendors &amp; Crew'!$A$5:$D$34,4,FALSE),0))</f>
        <v/>
      </c>
      <c r="J545" s="39">
        <f>IF(B545="","",E545*I545)</f>
        <v/>
      </c>
      <c r="K545" s="59">
        <f>IF(A545="","",A545-WEEKDAY(A545,2)+7)</f>
        <v/>
      </c>
      <c r="L545" s="9">
        <f>IF(B545="","",IF(D545="","Labor",IFERROR(VLOOKUP(D545,Settings!$E$5:$G$28,3,FALSE),"Labor")))</f>
        <v/>
      </c>
      <c r="M545" s="9">
        <f>IF(B545="","",IF(COUNTIF('Vendors &amp; Crew'!$A$5:$A$34,B545)=0,"Worker not in Crew table",IF(C545="","Missing Job ID",IF(COUNTIF(Jobs!$A$5:$A$44,C545)=0,"Unknown Job ID",IF(E545="","Missing hours",IF(A545="","Missing date",""))))))</f>
        <v/>
      </c>
      <c r="N545" s="35" t="n"/>
    </row>
    <row r="546">
      <c r="A546" s="40" t="n"/>
      <c r="B546" s="35" t="n"/>
      <c r="C546" s="35" t="n"/>
      <c r="D546" s="35" t="n"/>
      <c r="E546" s="61" t="n"/>
      <c r="F546" s="37" t="n"/>
      <c r="G546" s="39">
        <f>IF(B546="","",IF(F546&lt;&gt;"",F546,IFERROR(VLOOKUP(B546,'Vendors &amp; Crew'!$A$5:$D$34,3,FALSE),0)))</f>
        <v/>
      </c>
      <c r="H546" s="39">
        <f>IF(B546="","",E546*G546*(1+Settings!$B$18))</f>
        <v/>
      </c>
      <c r="I546" s="39">
        <f>IF(B546="","",IFERROR(VLOOKUP(B546,'Vendors &amp; Crew'!$A$5:$D$34,4,FALSE),0))</f>
        <v/>
      </c>
      <c r="J546" s="39">
        <f>IF(B546="","",E546*I546)</f>
        <v/>
      </c>
      <c r="K546" s="59">
        <f>IF(A546="","",A546-WEEKDAY(A546,2)+7)</f>
        <v/>
      </c>
      <c r="L546" s="9">
        <f>IF(B546="","",IF(D546="","Labor",IFERROR(VLOOKUP(D546,Settings!$E$5:$G$28,3,FALSE),"Labor")))</f>
        <v/>
      </c>
      <c r="M546" s="9">
        <f>IF(B546="","",IF(COUNTIF('Vendors &amp; Crew'!$A$5:$A$34,B546)=0,"Worker not in Crew table",IF(C546="","Missing Job ID",IF(COUNTIF(Jobs!$A$5:$A$44,C546)=0,"Unknown Job ID",IF(E546="","Missing hours",IF(A546="","Missing date",""))))))</f>
        <v/>
      </c>
      <c r="N546" s="35" t="n"/>
    </row>
    <row r="547">
      <c r="A547" s="40" t="n"/>
      <c r="B547" s="35" t="n"/>
      <c r="C547" s="35" t="n"/>
      <c r="D547" s="35" t="n"/>
      <c r="E547" s="61" t="n"/>
      <c r="F547" s="37" t="n"/>
      <c r="G547" s="39">
        <f>IF(B547="","",IF(F547&lt;&gt;"",F547,IFERROR(VLOOKUP(B547,'Vendors &amp; Crew'!$A$5:$D$34,3,FALSE),0)))</f>
        <v/>
      </c>
      <c r="H547" s="39">
        <f>IF(B547="","",E547*G547*(1+Settings!$B$18))</f>
        <v/>
      </c>
      <c r="I547" s="39">
        <f>IF(B547="","",IFERROR(VLOOKUP(B547,'Vendors &amp; Crew'!$A$5:$D$34,4,FALSE),0))</f>
        <v/>
      </c>
      <c r="J547" s="39">
        <f>IF(B547="","",E547*I547)</f>
        <v/>
      </c>
      <c r="K547" s="59">
        <f>IF(A547="","",A547-WEEKDAY(A547,2)+7)</f>
        <v/>
      </c>
      <c r="L547" s="9">
        <f>IF(B547="","",IF(D547="","Labor",IFERROR(VLOOKUP(D547,Settings!$E$5:$G$28,3,FALSE),"Labor")))</f>
        <v/>
      </c>
      <c r="M547" s="9">
        <f>IF(B547="","",IF(COUNTIF('Vendors &amp; Crew'!$A$5:$A$34,B547)=0,"Worker not in Crew table",IF(C547="","Missing Job ID",IF(COUNTIF(Jobs!$A$5:$A$44,C547)=0,"Unknown Job ID",IF(E547="","Missing hours",IF(A547="","Missing date",""))))))</f>
        <v/>
      </c>
      <c r="N547" s="35" t="n"/>
    </row>
    <row r="548">
      <c r="A548" s="40" t="n"/>
      <c r="B548" s="35" t="n"/>
      <c r="C548" s="35" t="n"/>
      <c r="D548" s="35" t="n"/>
      <c r="E548" s="61" t="n"/>
      <c r="F548" s="37" t="n"/>
      <c r="G548" s="39">
        <f>IF(B548="","",IF(F548&lt;&gt;"",F548,IFERROR(VLOOKUP(B548,'Vendors &amp; Crew'!$A$5:$D$34,3,FALSE),0)))</f>
        <v/>
      </c>
      <c r="H548" s="39">
        <f>IF(B548="","",E548*G548*(1+Settings!$B$18))</f>
        <v/>
      </c>
      <c r="I548" s="39">
        <f>IF(B548="","",IFERROR(VLOOKUP(B548,'Vendors &amp; Crew'!$A$5:$D$34,4,FALSE),0))</f>
        <v/>
      </c>
      <c r="J548" s="39">
        <f>IF(B548="","",E548*I548)</f>
        <v/>
      </c>
      <c r="K548" s="59">
        <f>IF(A548="","",A548-WEEKDAY(A548,2)+7)</f>
        <v/>
      </c>
      <c r="L548" s="9">
        <f>IF(B548="","",IF(D548="","Labor",IFERROR(VLOOKUP(D548,Settings!$E$5:$G$28,3,FALSE),"Labor")))</f>
        <v/>
      </c>
      <c r="M548" s="9">
        <f>IF(B548="","",IF(COUNTIF('Vendors &amp; Crew'!$A$5:$A$34,B548)=0,"Worker not in Crew table",IF(C548="","Missing Job ID",IF(COUNTIF(Jobs!$A$5:$A$44,C548)=0,"Unknown Job ID",IF(E548="","Missing hours",IF(A548="","Missing date",""))))))</f>
        <v/>
      </c>
      <c r="N548" s="35" t="n"/>
    </row>
    <row r="549">
      <c r="A549" s="40" t="n"/>
      <c r="B549" s="35" t="n"/>
      <c r="C549" s="35" t="n"/>
      <c r="D549" s="35" t="n"/>
      <c r="E549" s="61" t="n"/>
      <c r="F549" s="37" t="n"/>
      <c r="G549" s="39">
        <f>IF(B549="","",IF(F549&lt;&gt;"",F549,IFERROR(VLOOKUP(B549,'Vendors &amp; Crew'!$A$5:$D$34,3,FALSE),0)))</f>
        <v/>
      </c>
      <c r="H549" s="39">
        <f>IF(B549="","",E549*G549*(1+Settings!$B$18))</f>
        <v/>
      </c>
      <c r="I549" s="39">
        <f>IF(B549="","",IFERROR(VLOOKUP(B549,'Vendors &amp; Crew'!$A$5:$D$34,4,FALSE),0))</f>
        <v/>
      </c>
      <c r="J549" s="39">
        <f>IF(B549="","",E549*I549)</f>
        <v/>
      </c>
      <c r="K549" s="59">
        <f>IF(A549="","",A549-WEEKDAY(A549,2)+7)</f>
        <v/>
      </c>
      <c r="L549" s="9">
        <f>IF(B549="","",IF(D549="","Labor",IFERROR(VLOOKUP(D549,Settings!$E$5:$G$28,3,FALSE),"Labor")))</f>
        <v/>
      </c>
      <c r="M549" s="9">
        <f>IF(B549="","",IF(COUNTIF('Vendors &amp; Crew'!$A$5:$A$34,B549)=0,"Worker not in Crew table",IF(C549="","Missing Job ID",IF(COUNTIF(Jobs!$A$5:$A$44,C549)=0,"Unknown Job ID",IF(E549="","Missing hours",IF(A549="","Missing date",""))))))</f>
        <v/>
      </c>
      <c r="N549" s="35" t="n"/>
    </row>
    <row r="550">
      <c r="A550" s="40" t="n"/>
      <c r="B550" s="35" t="n"/>
      <c r="C550" s="35" t="n"/>
      <c r="D550" s="35" t="n"/>
      <c r="E550" s="61" t="n"/>
      <c r="F550" s="37" t="n"/>
      <c r="G550" s="39">
        <f>IF(B550="","",IF(F550&lt;&gt;"",F550,IFERROR(VLOOKUP(B550,'Vendors &amp; Crew'!$A$5:$D$34,3,FALSE),0)))</f>
        <v/>
      </c>
      <c r="H550" s="39">
        <f>IF(B550="","",E550*G550*(1+Settings!$B$18))</f>
        <v/>
      </c>
      <c r="I550" s="39">
        <f>IF(B550="","",IFERROR(VLOOKUP(B550,'Vendors &amp; Crew'!$A$5:$D$34,4,FALSE),0))</f>
        <v/>
      </c>
      <c r="J550" s="39">
        <f>IF(B550="","",E550*I550)</f>
        <v/>
      </c>
      <c r="K550" s="59">
        <f>IF(A550="","",A550-WEEKDAY(A550,2)+7)</f>
        <v/>
      </c>
      <c r="L550" s="9">
        <f>IF(B550="","",IF(D550="","Labor",IFERROR(VLOOKUP(D550,Settings!$E$5:$G$28,3,FALSE),"Labor")))</f>
        <v/>
      </c>
      <c r="M550" s="9">
        <f>IF(B550="","",IF(COUNTIF('Vendors &amp; Crew'!$A$5:$A$34,B550)=0,"Worker not in Crew table",IF(C550="","Missing Job ID",IF(COUNTIF(Jobs!$A$5:$A$44,C550)=0,"Unknown Job ID",IF(E550="","Missing hours",IF(A550="","Missing date",""))))))</f>
        <v/>
      </c>
      <c r="N550" s="35" t="n"/>
    </row>
    <row r="551">
      <c r="A551" s="40" t="n"/>
      <c r="B551" s="35" t="n"/>
      <c r="C551" s="35" t="n"/>
      <c r="D551" s="35" t="n"/>
      <c r="E551" s="61" t="n"/>
      <c r="F551" s="37" t="n"/>
      <c r="G551" s="39">
        <f>IF(B551="","",IF(F551&lt;&gt;"",F551,IFERROR(VLOOKUP(B551,'Vendors &amp; Crew'!$A$5:$D$34,3,FALSE),0)))</f>
        <v/>
      </c>
      <c r="H551" s="39">
        <f>IF(B551="","",E551*G551*(1+Settings!$B$18))</f>
        <v/>
      </c>
      <c r="I551" s="39">
        <f>IF(B551="","",IFERROR(VLOOKUP(B551,'Vendors &amp; Crew'!$A$5:$D$34,4,FALSE),0))</f>
        <v/>
      </c>
      <c r="J551" s="39">
        <f>IF(B551="","",E551*I551)</f>
        <v/>
      </c>
      <c r="K551" s="59">
        <f>IF(A551="","",A551-WEEKDAY(A551,2)+7)</f>
        <v/>
      </c>
      <c r="L551" s="9">
        <f>IF(B551="","",IF(D551="","Labor",IFERROR(VLOOKUP(D551,Settings!$E$5:$G$28,3,FALSE),"Labor")))</f>
        <v/>
      </c>
      <c r="M551" s="9">
        <f>IF(B551="","",IF(COUNTIF('Vendors &amp; Crew'!$A$5:$A$34,B551)=0,"Worker not in Crew table",IF(C551="","Missing Job ID",IF(COUNTIF(Jobs!$A$5:$A$44,C551)=0,"Unknown Job ID",IF(E551="","Missing hours",IF(A551="","Missing date",""))))))</f>
        <v/>
      </c>
      <c r="N551" s="35" t="n"/>
    </row>
    <row r="552">
      <c r="A552" s="40" t="n"/>
      <c r="B552" s="35" t="n"/>
      <c r="C552" s="35" t="n"/>
      <c r="D552" s="35" t="n"/>
      <c r="E552" s="61" t="n"/>
      <c r="F552" s="37" t="n"/>
      <c r="G552" s="39">
        <f>IF(B552="","",IF(F552&lt;&gt;"",F552,IFERROR(VLOOKUP(B552,'Vendors &amp; Crew'!$A$5:$D$34,3,FALSE),0)))</f>
        <v/>
      </c>
      <c r="H552" s="39">
        <f>IF(B552="","",E552*G552*(1+Settings!$B$18))</f>
        <v/>
      </c>
      <c r="I552" s="39">
        <f>IF(B552="","",IFERROR(VLOOKUP(B552,'Vendors &amp; Crew'!$A$5:$D$34,4,FALSE),0))</f>
        <v/>
      </c>
      <c r="J552" s="39">
        <f>IF(B552="","",E552*I552)</f>
        <v/>
      </c>
      <c r="K552" s="59">
        <f>IF(A552="","",A552-WEEKDAY(A552,2)+7)</f>
        <v/>
      </c>
      <c r="L552" s="9">
        <f>IF(B552="","",IF(D552="","Labor",IFERROR(VLOOKUP(D552,Settings!$E$5:$G$28,3,FALSE),"Labor")))</f>
        <v/>
      </c>
      <c r="M552" s="9">
        <f>IF(B552="","",IF(COUNTIF('Vendors &amp; Crew'!$A$5:$A$34,B552)=0,"Worker not in Crew table",IF(C552="","Missing Job ID",IF(COUNTIF(Jobs!$A$5:$A$44,C552)=0,"Unknown Job ID",IF(E552="","Missing hours",IF(A552="","Missing date",""))))))</f>
        <v/>
      </c>
      <c r="N552" s="35" t="n"/>
    </row>
    <row r="553">
      <c r="A553" s="40" t="n"/>
      <c r="B553" s="35" t="n"/>
      <c r="C553" s="35" t="n"/>
      <c r="D553" s="35" t="n"/>
      <c r="E553" s="61" t="n"/>
      <c r="F553" s="37" t="n"/>
      <c r="G553" s="39">
        <f>IF(B553="","",IF(F553&lt;&gt;"",F553,IFERROR(VLOOKUP(B553,'Vendors &amp; Crew'!$A$5:$D$34,3,FALSE),0)))</f>
        <v/>
      </c>
      <c r="H553" s="39">
        <f>IF(B553="","",E553*G553*(1+Settings!$B$18))</f>
        <v/>
      </c>
      <c r="I553" s="39">
        <f>IF(B553="","",IFERROR(VLOOKUP(B553,'Vendors &amp; Crew'!$A$5:$D$34,4,FALSE),0))</f>
        <v/>
      </c>
      <c r="J553" s="39">
        <f>IF(B553="","",E553*I553)</f>
        <v/>
      </c>
      <c r="K553" s="59">
        <f>IF(A553="","",A553-WEEKDAY(A553,2)+7)</f>
        <v/>
      </c>
      <c r="L553" s="9">
        <f>IF(B553="","",IF(D553="","Labor",IFERROR(VLOOKUP(D553,Settings!$E$5:$G$28,3,FALSE),"Labor")))</f>
        <v/>
      </c>
      <c r="M553" s="9">
        <f>IF(B553="","",IF(COUNTIF('Vendors &amp; Crew'!$A$5:$A$34,B553)=0,"Worker not in Crew table",IF(C553="","Missing Job ID",IF(COUNTIF(Jobs!$A$5:$A$44,C553)=0,"Unknown Job ID",IF(E553="","Missing hours",IF(A553="","Missing date",""))))))</f>
        <v/>
      </c>
      <c r="N553" s="35" t="n"/>
    </row>
    <row r="554">
      <c r="A554" s="40" t="n"/>
      <c r="B554" s="35" t="n"/>
      <c r="C554" s="35" t="n"/>
      <c r="D554" s="35" t="n"/>
      <c r="E554" s="61" t="n"/>
      <c r="F554" s="37" t="n"/>
      <c r="G554" s="39">
        <f>IF(B554="","",IF(F554&lt;&gt;"",F554,IFERROR(VLOOKUP(B554,'Vendors &amp; Crew'!$A$5:$D$34,3,FALSE),0)))</f>
        <v/>
      </c>
      <c r="H554" s="39">
        <f>IF(B554="","",E554*G554*(1+Settings!$B$18))</f>
        <v/>
      </c>
      <c r="I554" s="39">
        <f>IF(B554="","",IFERROR(VLOOKUP(B554,'Vendors &amp; Crew'!$A$5:$D$34,4,FALSE),0))</f>
        <v/>
      </c>
      <c r="J554" s="39">
        <f>IF(B554="","",E554*I554)</f>
        <v/>
      </c>
      <c r="K554" s="59">
        <f>IF(A554="","",A554-WEEKDAY(A554,2)+7)</f>
        <v/>
      </c>
      <c r="L554" s="9">
        <f>IF(B554="","",IF(D554="","Labor",IFERROR(VLOOKUP(D554,Settings!$E$5:$G$28,3,FALSE),"Labor")))</f>
        <v/>
      </c>
      <c r="M554" s="9">
        <f>IF(B554="","",IF(COUNTIF('Vendors &amp; Crew'!$A$5:$A$34,B554)=0,"Worker not in Crew table",IF(C554="","Missing Job ID",IF(COUNTIF(Jobs!$A$5:$A$44,C554)=0,"Unknown Job ID",IF(E554="","Missing hours",IF(A554="","Missing date",""))))))</f>
        <v/>
      </c>
      <c r="N554" s="35" t="n"/>
    </row>
    <row r="555">
      <c r="A555" s="40" t="n"/>
      <c r="B555" s="35" t="n"/>
      <c r="C555" s="35" t="n"/>
      <c r="D555" s="35" t="n"/>
      <c r="E555" s="61" t="n"/>
      <c r="F555" s="37" t="n"/>
      <c r="G555" s="39">
        <f>IF(B555="","",IF(F555&lt;&gt;"",F555,IFERROR(VLOOKUP(B555,'Vendors &amp; Crew'!$A$5:$D$34,3,FALSE),0)))</f>
        <v/>
      </c>
      <c r="H555" s="39">
        <f>IF(B555="","",E555*G555*(1+Settings!$B$18))</f>
        <v/>
      </c>
      <c r="I555" s="39">
        <f>IF(B555="","",IFERROR(VLOOKUP(B555,'Vendors &amp; Crew'!$A$5:$D$34,4,FALSE),0))</f>
        <v/>
      </c>
      <c r="J555" s="39">
        <f>IF(B555="","",E555*I555)</f>
        <v/>
      </c>
      <c r="K555" s="59">
        <f>IF(A555="","",A555-WEEKDAY(A555,2)+7)</f>
        <v/>
      </c>
      <c r="L555" s="9">
        <f>IF(B555="","",IF(D555="","Labor",IFERROR(VLOOKUP(D555,Settings!$E$5:$G$28,3,FALSE),"Labor")))</f>
        <v/>
      </c>
      <c r="M555" s="9">
        <f>IF(B555="","",IF(COUNTIF('Vendors &amp; Crew'!$A$5:$A$34,B555)=0,"Worker not in Crew table",IF(C555="","Missing Job ID",IF(COUNTIF(Jobs!$A$5:$A$44,C555)=0,"Unknown Job ID",IF(E555="","Missing hours",IF(A555="","Missing date",""))))))</f>
        <v/>
      </c>
      <c r="N555" s="35" t="n"/>
    </row>
    <row r="556">
      <c r="A556" s="40" t="n"/>
      <c r="B556" s="35" t="n"/>
      <c r="C556" s="35" t="n"/>
      <c r="D556" s="35" t="n"/>
      <c r="E556" s="61" t="n"/>
      <c r="F556" s="37" t="n"/>
      <c r="G556" s="39">
        <f>IF(B556="","",IF(F556&lt;&gt;"",F556,IFERROR(VLOOKUP(B556,'Vendors &amp; Crew'!$A$5:$D$34,3,FALSE),0)))</f>
        <v/>
      </c>
      <c r="H556" s="39">
        <f>IF(B556="","",E556*G556*(1+Settings!$B$18))</f>
        <v/>
      </c>
      <c r="I556" s="39">
        <f>IF(B556="","",IFERROR(VLOOKUP(B556,'Vendors &amp; Crew'!$A$5:$D$34,4,FALSE),0))</f>
        <v/>
      </c>
      <c r="J556" s="39">
        <f>IF(B556="","",E556*I556)</f>
        <v/>
      </c>
      <c r="K556" s="59">
        <f>IF(A556="","",A556-WEEKDAY(A556,2)+7)</f>
        <v/>
      </c>
      <c r="L556" s="9">
        <f>IF(B556="","",IF(D556="","Labor",IFERROR(VLOOKUP(D556,Settings!$E$5:$G$28,3,FALSE),"Labor")))</f>
        <v/>
      </c>
      <c r="M556" s="9">
        <f>IF(B556="","",IF(COUNTIF('Vendors &amp; Crew'!$A$5:$A$34,B556)=0,"Worker not in Crew table",IF(C556="","Missing Job ID",IF(COUNTIF(Jobs!$A$5:$A$44,C556)=0,"Unknown Job ID",IF(E556="","Missing hours",IF(A556="","Missing date",""))))))</f>
        <v/>
      </c>
      <c r="N556" s="35" t="n"/>
    </row>
    <row r="557">
      <c r="A557" s="40" t="n"/>
      <c r="B557" s="35" t="n"/>
      <c r="C557" s="35" t="n"/>
      <c r="D557" s="35" t="n"/>
      <c r="E557" s="61" t="n"/>
      <c r="F557" s="37" t="n"/>
      <c r="G557" s="39">
        <f>IF(B557="","",IF(F557&lt;&gt;"",F557,IFERROR(VLOOKUP(B557,'Vendors &amp; Crew'!$A$5:$D$34,3,FALSE),0)))</f>
        <v/>
      </c>
      <c r="H557" s="39">
        <f>IF(B557="","",E557*G557*(1+Settings!$B$18))</f>
        <v/>
      </c>
      <c r="I557" s="39">
        <f>IF(B557="","",IFERROR(VLOOKUP(B557,'Vendors &amp; Crew'!$A$5:$D$34,4,FALSE),0))</f>
        <v/>
      </c>
      <c r="J557" s="39">
        <f>IF(B557="","",E557*I557)</f>
        <v/>
      </c>
      <c r="K557" s="59">
        <f>IF(A557="","",A557-WEEKDAY(A557,2)+7)</f>
        <v/>
      </c>
      <c r="L557" s="9">
        <f>IF(B557="","",IF(D557="","Labor",IFERROR(VLOOKUP(D557,Settings!$E$5:$G$28,3,FALSE),"Labor")))</f>
        <v/>
      </c>
      <c r="M557" s="9">
        <f>IF(B557="","",IF(COUNTIF('Vendors &amp; Crew'!$A$5:$A$34,B557)=0,"Worker not in Crew table",IF(C557="","Missing Job ID",IF(COUNTIF(Jobs!$A$5:$A$44,C557)=0,"Unknown Job ID",IF(E557="","Missing hours",IF(A557="","Missing date",""))))))</f>
        <v/>
      </c>
      <c r="N557" s="35" t="n"/>
    </row>
    <row r="558">
      <c r="A558" s="40" t="n"/>
      <c r="B558" s="35" t="n"/>
      <c r="C558" s="35" t="n"/>
      <c r="D558" s="35" t="n"/>
      <c r="E558" s="61" t="n"/>
      <c r="F558" s="37" t="n"/>
      <c r="G558" s="39">
        <f>IF(B558="","",IF(F558&lt;&gt;"",F558,IFERROR(VLOOKUP(B558,'Vendors &amp; Crew'!$A$5:$D$34,3,FALSE),0)))</f>
        <v/>
      </c>
      <c r="H558" s="39">
        <f>IF(B558="","",E558*G558*(1+Settings!$B$18))</f>
        <v/>
      </c>
      <c r="I558" s="39">
        <f>IF(B558="","",IFERROR(VLOOKUP(B558,'Vendors &amp; Crew'!$A$5:$D$34,4,FALSE),0))</f>
        <v/>
      </c>
      <c r="J558" s="39">
        <f>IF(B558="","",E558*I558)</f>
        <v/>
      </c>
      <c r="K558" s="59">
        <f>IF(A558="","",A558-WEEKDAY(A558,2)+7)</f>
        <v/>
      </c>
      <c r="L558" s="9">
        <f>IF(B558="","",IF(D558="","Labor",IFERROR(VLOOKUP(D558,Settings!$E$5:$G$28,3,FALSE),"Labor")))</f>
        <v/>
      </c>
      <c r="M558" s="9">
        <f>IF(B558="","",IF(COUNTIF('Vendors &amp; Crew'!$A$5:$A$34,B558)=0,"Worker not in Crew table",IF(C558="","Missing Job ID",IF(COUNTIF(Jobs!$A$5:$A$44,C558)=0,"Unknown Job ID",IF(E558="","Missing hours",IF(A558="","Missing date",""))))))</f>
        <v/>
      </c>
      <c r="N558" s="35" t="n"/>
    </row>
    <row r="559">
      <c r="A559" s="40" t="n"/>
      <c r="B559" s="35" t="n"/>
      <c r="C559" s="35" t="n"/>
      <c r="D559" s="35" t="n"/>
      <c r="E559" s="61" t="n"/>
      <c r="F559" s="37" t="n"/>
      <c r="G559" s="39">
        <f>IF(B559="","",IF(F559&lt;&gt;"",F559,IFERROR(VLOOKUP(B559,'Vendors &amp; Crew'!$A$5:$D$34,3,FALSE),0)))</f>
        <v/>
      </c>
      <c r="H559" s="39">
        <f>IF(B559="","",E559*G559*(1+Settings!$B$18))</f>
        <v/>
      </c>
      <c r="I559" s="39">
        <f>IF(B559="","",IFERROR(VLOOKUP(B559,'Vendors &amp; Crew'!$A$5:$D$34,4,FALSE),0))</f>
        <v/>
      </c>
      <c r="J559" s="39">
        <f>IF(B559="","",E559*I559)</f>
        <v/>
      </c>
      <c r="K559" s="59">
        <f>IF(A559="","",A559-WEEKDAY(A559,2)+7)</f>
        <v/>
      </c>
      <c r="L559" s="9">
        <f>IF(B559="","",IF(D559="","Labor",IFERROR(VLOOKUP(D559,Settings!$E$5:$G$28,3,FALSE),"Labor")))</f>
        <v/>
      </c>
      <c r="M559" s="9">
        <f>IF(B559="","",IF(COUNTIF('Vendors &amp; Crew'!$A$5:$A$34,B559)=0,"Worker not in Crew table",IF(C559="","Missing Job ID",IF(COUNTIF(Jobs!$A$5:$A$44,C559)=0,"Unknown Job ID",IF(E559="","Missing hours",IF(A559="","Missing date",""))))))</f>
        <v/>
      </c>
      <c r="N559" s="35" t="n"/>
    </row>
    <row r="560">
      <c r="A560" s="40" t="n"/>
      <c r="B560" s="35" t="n"/>
      <c r="C560" s="35" t="n"/>
      <c r="D560" s="35" t="n"/>
      <c r="E560" s="61" t="n"/>
      <c r="F560" s="37" t="n"/>
      <c r="G560" s="39">
        <f>IF(B560="","",IF(F560&lt;&gt;"",F560,IFERROR(VLOOKUP(B560,'Vendors &amp; Crew'!$A$5:$D$34,3,FALSE),0)))</f>
        <v/>
      </c>
      <c r="H560" s="39">
        <f>IF(B560="","",E560*G560*(1+Settings!$B$18))</f>
        <v/>
      </c>
      <c r="I560" s="39">
        <f>IF(B560="","",IFERROR(VLOOKUP(B560,'Vendors &amp; Crew'!$A$5:$D$34,4,FALSE),0))</f>
        <v/>
      </c>
      <c r="J560" s="39">
        <f>IF(B560="","",E560*I560)</f>
        <v/>
      </c>
      <c r="K560" s="59">
        <f>IF(A560="","",A560-WEEKDAY(A560,2)+7)</f>
        <v/>
      </c>
      <c r="L560" s="9">
        <f>IF(B560="","",IF(D560="","Labor",IFERROR(VLOOKUP(D560,Settings!$E$5:$G$28,3,FALSE),"Labor")))</f>
        <v/>
      </c>
      <c r="M560" s="9">
        <f>IF(B560="","",IF(COUNTIF('Vendors &amp; Crew'!$A$5:$A$34,B560)=0,"Worker not in Crew table",IF(C560="","Missing Job ID",IF(COUNTIF(Jobs!$A$5:$A$44,C560)=0,"Unknown Job ID",IF(E560="","Missing hours",IF(A560="","Missing date",""))))))</f>
        <v/>
      </c>
      <c r="N560" s="35" t="n"/>
    </row>
    <row r="561">
      <c r="A561" s="40" t="n"/>
      <c r="B561" s="35" t="n"/>
      <c r="C561" s="35" t="n"/>
      <c r="D561" s="35" t="n"/>
      <c r="E561" s="61" t="n"/>
      <c r="F561" s="37" t="n"/>
      <c r="G561" s="39">
        <f>IF(B561="","",IF(F561&lt;&gt;"",F561,IFERROR(VLOOKUP(B561,'Vendors &amp; Crew'!$A$5:$D$34,3,FALSE),0)))</f>
        <v/>
      </c>
      <c r="H561" s="39">
        <f>IF(B561="","",E561*G561*(1+Settings!$B$18))</f>
        <v/>
      </c>
      <c r="I561" s="39">
        <f>IF(B561="","",IFERROR(VLOOKUP(B561,'Vendors &amp; Crew'!$A$5:$D$34,4,FALSE),0))</f>
        <v/>
      </c>
      <c r="J561" s="39">
        <f>IF(B561="","",E561*I561)</f>
        <v/>
      </c>
      <c r="K561" s="59">
        <f>IF(A561="","",A561-WEEKDAY(A561,2)+7)</f>
        <v/>
      </c>
      <c r="L561" s="9">
        <f>IF(B561="","",IF(D561="","Labor",IFERROR(VLOOKUP(D561,Settings!$E$5:$G$28,3,FALSE),"Labor")))</f>
        <v/>
      </c>
      <c r="M561" s="9">
        <f>IF(B561="","",IF(COUNTIF('Vendors &amp; Crew'!$A$5:$A$34,B561)=0,"Worker not in Crew table",IF(C561="","Missing Job ID",IF(COUNTIF(Jobs!$A$5:$A$44,C561)=0,"Unknown Job ID",IF(E561="","Missing hours",IF(A561="","Missing date",""))))))</f>
        <v/>
      </c>
      <c r="N561" s="35" t="n"/>
    </row>
    <row r="562">
      <c r="A562" s="40" t="n"/>
      <c r="B562" s="35" t="n"/>
      <c r="C562" s="35" t="n"/>
      <c r="D562" s="35" t="n"/>
      <c r="E562" s="61" t="n"/>
      <c r="F562" s="37" t="n"/>
      <c r="G562" s="39">
        <f>IF(B562="","",IF(F562&lt;&gt;"",F562,IFERROR(VLOOKUP(B562,'Vendors &amp; Crew'!$A$5:$D$34,3,FALSE),0)))</f>
        <v/>
      </c>
      <c r="H562" s="39">
        <f>IF(B562="","",E562*G562*(1+Settings!$B$18))</f>
        <v/>
      </c>
      <c r="I562" s="39">
        <f>IF(B562="","",IFERROR(VLOOKUP(B562,'Vendors &amp; Crew'!$A$5:$D$34,4,FALSE),0))</f>
        <v/>
      </c>
      <c r="J562" s="39">
        <f>IF(B562="","",E562*I562)</f>
        <v/>
      </c>
      <c r="K562" s="59">
        <f>IF(A562="","",A562-WEEKDAY(A562,2)+7)</f>
        <v/>
      </c>
      <c r="L562" s="9">
        <f>IF(B562="","",IF(D562="","Labor",IFERROR(VLOOKUP(D562,Settings!$E$5:$G$28,3,FALSE),"Labor")))</f>
        <v/>
      </c>
      <c r="M562" s="9">
        <f>IF(B562="","",IF(COUNTIF('Vendors &amp; Crew'!$A$5:$A$34,B562)=0,"Worker not in Crew table",IF(C562="","Missing Job ID",IF(COUNTIF(Jobs!$A$5:$A$44,C562)=0,"Unknown Job ID",IF(E562="","Missing hours",IF(A562="","Missing date",""))))))</f>
        <v/>
      </c>
      <c r="N562" s="35" t="n"/>
    </row>
    <row r="563">
      <c r="A563" s="40" t="n"/>
      <c r="B563" s="35" t="n"/>
      <c r="C563" s="35" t="n"/>
      <c r="D563" s="35" t="n"/>
      <c r="E563" s="61" t="n"/>
      <c r="F563" s="37" t="n"/>
      <c r="G563" s="39">
        <f>IF(B563="","",IF(F563&lt;&gt;"",F563,IFERROR(VLOOKUP(B563,'Vendors &amp; Crew'!$A$5:$D$34,3,FALSE),0)))</f>
        <v/>
      </c>
      <c r="H563" s="39">
        <f>IF(B563="","",E563*G563*(1+Settings!$B$18))</f>
        <v/>
      </c>
      <c r="I563" s="39">
        <f>IF(B563="","",IFERROR(VLOOKUP(B563,'Vendors &amp; Crew'!$A$5:$D$34,4,FALSE),0))</f>
        <v/>
      </c>
      <c r="J563" s="39">
        <f>IF(B563="","",E563*I563)</f>
        <v/>
      </c>
      <c r="K563" s="59">
        <f>IF(A563="","",A563-WEEKDAY(A563,2)+7)</f>
        <v/>
      </c>
      <c r="L563" s="9">
        <f>IF(B563="","",IF(D563="","Labor",IFERROR(VLOOKUP(D563,Settings!$E$5:$G$28,3,FALSE),"Labor")))</f>
        <v/>
      </c>
      <c r="M563" s="9">
        <f>IF(B563="","",IF(COUNTIF('Vendors &amp; Crew'!$A$5:$A$34,B563)=0,"Worker not in Crew table",IF(C563="","Missing Job ID",IF(COUNTIF(Jobs!$A$5:$A$44,C563)=0,"Unknown Job ID",IF(E563="","Missing hours",IF(A563="","Missing date",""))))))</f>
        <v/>
      </c>
      <c r="N563" s="35" t="n"/>
    </row>
    <row r="564">
      <c r="A564" s="40" t="n"/>
      <c r="B564" s="35" t="n"/>
      <c r="C564" s="35" t="n"/>
      <c r="D564" s="35" t="n"/>
      <c r="E564" s="61" t="n"/>
      <c r="F564" s="37" t="n"/>
      <c r="G564" s="39">
        <f>IF(B564="","",IF(F564&lt;&gt;"",F564,IFERROR(VLOOKUP(B564,'Vendors &amp; Crew'!$A$5:$D$34,3,FALSE),0)))</f>
        <v/>
      </c>
      <c r="H564" s="39">
        <f>IF(B564="","",E564*G564*(1+Settings!$B$18))</f>
        <v/>
      </c>
      <c r="I564" s="39">
        <f>IF(B564="","",IFERROR(VLOOKUP(B564,'Vendors &amp; Crew'!$A$5:$D$34,4,FALSE),0))</f>
        <v/>
      </c>
      <c r="J564" s="39">
        <f>IF(B564="","",E564*I564)</f>
        <v/>
      </c>
      <c r="K564" s="59">
        <f>IF(A564="","",A564-WEEKDAY(A564,2)+7)</f>
        <v/>
      </c>
      <c r="L564" s="9">
        <f>IF(B564="","",IF(D564="","Labor",IFERROR(VLOOKUP(D564,Settings!$E$5:$G$28,3,FALSE),"Labor")))</f>
        <v/>
      </c>
      <c r="M564" s="9">
        <f>IF(B564="","",IF(COUNTIF('Vendors &amp; Crew'!$A$5:$A$34,B564)=0,"Worker not in Crew table",IF(C564="","Missing Job ID",IF(COUNTIF(Jobs!$A$5:$A$44,C564)=0,"Unknown Job ID",IF(E564="","Missing hours",IF(A564="","Missing date",""))))))</f>
        <v/>
      </c>
      <c r="N564" s="35" t="n"/>
    </row>
    <row r="565">
      <c r="A565" s="40" t="n"/>
      <c r="B565" s="35" t="n"/>
      <c r="C565" s="35" t="n"/>
      <c r="D565" s="35" t="n"/>
      <c r="E565" s="61" t="n"/>
      <c r="F565" s="37" t="n"/>
      <c r="G565" s="39">
        <f>IF(B565="","",IF(F565&lt;&gt;"",F565,IFERROR(VLOOKUP(B565,'Vendors &amp; Crew'!$A$5:$D$34,3,FALSE),0)))</f>
        <v/>
      </c>
      <c r="H565" s="39">
        <f>IF(B565="","",E565*G565*(1+Settings!$B$18))</f>
        <v/>
      </c>
      <c r="I565" s="39">
        <f>IF(B565="","",IFERROR(VLOOKUP(B565,'Vendors &amp; Crew'!$A$5:$D$34,4,FALSE),0))</f>
        <v/>
      </c>
      <c r="J565" s="39">
        <f>IF(B565="","",E565*I565)</f>
        <v/>
      </c>
      <c r="K565" s="59">
        <f>IF(A565="","",A565-WEEKDAY(A565,2)+7)</f>
        <v/>
      </c>
      <c r="L565" s="9">
        <f>IF(B565="","",IF(D565="","Labor",IFERROR(VLOOKUP(D565,Settings!$E$5:$G$28,3,FALSE),"Labor")))</f>
        <v/>
      </c>
      <c r="M565" s="9">
        <f>IF(B565="","",IF(COUNTIF('Vendors &amp; Crew'!$A$5:$A$34,B565)=0,"Worker not in Crew table",IF(C565="","Missing Job ID",IF(COUNTIF(Jobs!$A$5:$A$44,C565)=0,"Unknown Job ID",IF(E565="","Missing hours",IF(A565="","Missing date",""))))))</f>
        <v/>
      </c>
      <c r="N565" s="35" t="n"/>
    </row>
    <row r="566">
      <c r="A566" s="40" t="n"/>
      <c r="B566" s="35" t="n"/>
      <c r="C566" s="35" t="n"/>
      <c r="D566" s="35" t="n"/>
      <c r="E566" s="61" t="n"/>
      <c r="F566" s="37" t="n"/>
      <c r="G566" s="39">
        <f>IF(B566="","",IF(F566&lt;&gt;"",F566,IFERROR(VLOOKUP(B566,'Vendors &amp; Crew'!$A$5:$D$34,3,FALSE),0)))</f>
        <v/>
      </c>
      <c r="H566" s="39">
        <f>IF(B566="","",E566*G566*(1+Settings!$B$18))</f>
        <v/>
      </c>
      <c r="I566" s="39">
        <f>IF(B566="","",IFERROR(VLOOKUP(B566,'Vendors &amp; Crew'!$A$5:$D$34,4,FALSE),0))</f>
        <v/>
      </c>
      <c r="J566" s="39">
        <f>IF(B566="","",E566*I566)</f>
        <v/>
      </c>
      <c r="K566" s="59">
        <f>IF(A566="","",A566-WEEKDAY(A566,2)+7)</f>
        <v/>
      </c>
      <c r="L566" s="9">
        <f>IF(B566="","",IF(D566="","Labor",IFERROR(VLOOKUP(D566,Settings!$E$5:$G$28,3,FALSE),"Labor")))</f>
        <v/>
      </c>
      <c r="M566" s="9">
        <f>IF(B566="","",IF(COUNTIF('Vendors &amp; Crew'!$A$5:$A$34,B566)=0,"Worker not in Crew table",IF(C566="","Missing Job ID",IF(COUNTIF(Jobs!$A$5:$A$44,C566)=0,"Unknown Job ID",IF(E566="","Missing hours",IF(A566="","Missing date",""))))))</f>
        <v/>
      </c>
      <c r="N566" s="35" t="n"/>
    </row>
    <row r="567">
      <c r="A567" s="40" t="n"/>
      <c r="B567" s="35" t="n"/>
      <c r="C567" s="35" t="n"/>
      <c r="D567" s="35" t="n"/>
      <c r="E567" s="61" t="n"/>
      <c r="F567" s="37" t="n"/>
      <c r="G567" s="39">
        <f>IF(B567="","",IF(F567&lt;&gt;"",F567,IFERROR(VLOOKUP(B567,'Vendors &amp; Crew'!$A$5:$D$34,3,FALSE),0)))</f>
        <v/>
      </c>
      <c r="H567" s="39">
        <f>IF(B567="","",E567*G567*(1+Settings!$B$18))</f>
        <v/>
      </c>
      <c r="I567" s="39">
        <f>IF(B567="","",IFERROR(VLOOKUP(B567,'Vendors &amp; Crew'!$A$5:$D$34,4,FALSE),0))</f>
        <v/>
      </c>
      <c r="J567" s="39">
        <f>IF(B567="","",E567*I567)</f>
        <v/>
      </c>
      <c r="K567" s="59">
        <f>IF(A567="","",A567-WEEKDAY(A567,2)+7)</f>
        <v/>
      </c>
      <c r="L567" s="9">
        <f>IF(B567="","",IF(D567="","Labor",IFERROR(VLOOKUP(D567,Settings!$E$5:$G$28,3,FALSE),"Labor")))</f>
        <v/>
      </c>
      <c r="M567" s="9">
        <f>IF(B567="","",IF(COUNTIF('Vendors &amp; Crew'!$A$5:$A$34,B567)=0,"Worker not in Crew table",IF(C567="","Missing Job ID",IF(COUNTIF(Jobs!$A$5:$A$44,C567)=0,"Unknown Job ID",IF(E567="","Missing hours",IF(A567="","Missing date",""))))))</f>
        <v/>
      </c>
      <c r="N567" s="35" t="n"/>
    </row>
    <row r="568">
      <c r="A568" s="40" t="n"/>
      <c r="B568" s="35" t="n"/>
      <c r="C568" s="35" t="n"/>
      <c r="D568" s="35" t="n"/>
      <c r="E568" s="61" t="n"/>
      <c r="F568" s="37" t="n"/>
      <c r="G568" s="39">
        <f>IF(B568="","",IF(F568&lt;&gt;"",F568,IFERROR(VLOOKUP(B568,'Vendors &amp; Crew'!$A$5:$D$34,3,FALSE),0)))</f>
        <v/>
      </c>
      <c r="H568" s="39">
        <f>IF(B568="","",E568*G568*(1+Settings!$B$18))</f>
        <v/>
      </c>
      <c r="I568" s="39">
        <f>IF(B568="","",IFERROR(VLOOKUP(B568,'Vendors &amp; Crew'!$A$5:$D$34,4,FALSE),0))</f>
        <v/>
      </c>
      <c r="J568" s="39">
        <f>IF(B568="","",E568*I568)</f>
        <v/>
      </c>
      <c r="K568" s="59">
        <f>IF(A568="","",A568-WEEKDAY(A568,2)+7)</f>
        <v/>
      </c>
      <c r="L568" s="9">
        <f>IF(B568="","",IF(D568="","Labor",IFERROR(VLOOKUP(D568,Settings!$E$5:$G$28,3,FALSE),"Labor")))</f>
        <v/>
      </c>
      <c r="M568" s="9">
        <f>IF(B568="","",IF(COUNTIF('Vendors &amp; Crew'!$A$5:$A$34,B568)=0,"Worker not in Crew table",IF(C568="","Missing Job ID",IF(COUNTIF(Jobs!$A$5:$A$44,C568)=0,"Unknown Job ID",IF(E568="","Missing hours",IF(A568="","Missing date",""))))))</f>
        <v/>
      </c>
      <c r="N568" s="35" t="n"/>
    </row>
    <row r="569">
      <c r="A569" s="40" t="n"/>
      <c r="B569" s="35" t="n"/>
      <c r="C569" s="35" t="n"/>
      <c r="D569" s="35" t="n"/>
      <c r="E569" s="61" t="n"/>
      <c r="F569" s="37" t="n"/>
      <c r="G569" s="39">
        <f>IF(B569="","",IF(F569&lt;&gt;"",F569,IFERROR(VLOOKUP(B569,'Vendors &amp; Crew'!$A$5:$D$34,3,FALSE),0)))</f>
        <v/>
      </c>
      <c r="H569" s="39">
        <f>IF(B569="","",E569*G569*(1+Settings!$B$18))</f>
        <v/>
      </c>
      <c r="I569" s="39">
        <f>IF(B569="","",IFERROR(VLOOKUP(B569,'Vendors &amp; Crew'!$A$5:$D$34,4,FALSE),0))</f>
        <v/>
      </c>
      <c r="J569" s="39">
        <f>IF(B569="","",E569*I569)</f>
        <v/>
      </c>
      <c r="K569" s="59">
        <f>IF(A569="","",A569-WEEKDAY(A569,2)+7)</f>
        <v/>
      </c>
      <c r="L569" s="9">
        <f>IF(B569="","",IF(D569="","Labor",IFERROR(VLOOKUP(D569,Settings!$E$5:$G$28,3,FALSE),"Labor")))</f>
        <v/>
      </c>
      <c r="M569" s="9">
        <f>IF(B569="","",IF(COUNTIF('Vendors &amp; Crew'!$A$5:$A$34,B569)=0,"Worker not in Crew table",IF(C569="","Missing Job ID",IF(COUNTIF(Jobs!$A$5:$A$44,C569)=0,"Unknown Job ID",IF(E569="","Missing hours",IF(A569="","Missing date",""))))))</f>
        <v/>
      </c>
      <c r="N569" s="35" t="n"/>
    </row>
    <row r="570">
      <c r="A570" s="40" t="n"/>
      <c r="B570" s="35" t="n"/>
      <c r="C570" s="35" t="n"/>
      <c r="D570" s="35" t="n"/>
      <c r="E570" s="61" t="n"/>
      <c r="F570" s="37" t="n"/>
      <c r="G570" s="39">
        <f>IF(B570="","",IF(F570&lt;&gt;"",F570,IFERROR(VLOOKUP(B570,'Vendors &amp; Crew'!$A$5:$D$34,3,FALSE),0)))</f>
        <v/>
      </c>
      <c r="H570" s="39">
        <f>IF(B570="","",E570*G570*(1+Settings!$B$18))</f>
        <v/>
      </c>
      <c r="I570" s="39">
        <f>IF(B570="","",IFERROR(VLOOKUP(B570,'Vendors &amp; Crew'!$A$5:$D$34,4,FALSE),0))</f>
        <v/>
      </c>
      <c r="J570" s="39">
        <f>IF(B570="","",E570*I570)</f>
        <v/>
      </c>
      <c r="K570" s="59">
        <f>IF(A570="","",A570-WEEKDAY(A570,2)+7)</f>
        <v/>
      </c>
      <c r="L570" s="9">
        <f>IF(B570="","",IF(D570="","Labor",IFERROR(VLOOKUP(D570,Settings!$E$5:$G$28,3,FALSE),"Labor")))</f>
        <v/>
      </c>
      <c r="M570" s="9">
        <f>IF(B570="","",IF(COUNTIF('Vendors &amp; Crew'!$A$5:$A$34,B570)=0,"Worker not in Crew table",IF(C570="","Missing Job ID",IF(COUNTIF(Jobs!$A$5:$A$44,C570)=0,"Unknown Job ID",IF(E570="","Missing hours",IF(A570="","Missing date",""))))))</f>
        <v/>
      </c>
      <c r="N570" s="35" t="n"/>
    </row>
    <row r="571">
      <c r="A571" s="40" t="n"/>
      <c r="B571" s="35" t="n"/>
      <c r="C571" s="35" t="n"/>
      <c r="D571" s="35" t="n"/>
      <c r="E571" s="61" t="n"/>
      <c r="F571" s="37" t="n"/>
      <c r="G571" s="39">
        <f>IF(B571="","",IF(F571&lt;&gt;"",F571,IFERROR(VLOOKUP(B571,'Vendors &amp; Crew'!$A$5:$D$34,3,FALSE),0)))</f>
        <v/>
      </c>
      <c r="H571" s="39">
        <f>IF(B571="","",E571*G571*(1+Settings!$B$18))</f>
        <v/>
      </c>
      <c r="I571" s="39">
        <f>IF(B571="","",IFERROR(VLOOKUP(B571,'Vendors &amp; Crew'!$A$5:$D$34,4,FALSE),0))</f>
        <v/>
      </c>
      <c r="J571" s="39">
        <f>IF(B571="","",E571*I571)</f>
        <v/>
      </c>
      <c r="K571" s="59">
        <f>IF(A571="","",A571-WEEKDAY(A571,2)+7)</f>
        <v/>
      </c>
      <c r="L571" s="9">
        <f>IF(B571="","",IF(D571="","Labor",IFERROR(VLOOKUP(D571,Settings!$E$5:$G$28,3,FALSE),"Labor")))</f>
        <v/>
      </c>
      <c r="M571" s="9">
        <f>IF(B571="","",IF(COUNTIF('Vendors &amp; Crew'!$A$5:$A$34,B571)=0,"Worker not in Crew table",IF(C571="","Missing Job ID",IF(COUNTIF(Jobs!$A$5:$A$44,C571)=0,"Unknown Job ID",IF(E571="","Missing hours",IF(A571="","Missing date",""))))))</f>
        <v/>
      </c>
      <c r="N571" s="35" t="n"/>
    </row>
    <row r="572">
      <c r="A572" s="40" t="n"/>
      <c r="B572" s="35" t="n"/>
      <c r="C572" s="35" t="n"/>
      <c r="D572" s="35" t="n"/>
      <c r="E572" s="61" t="n"/>
      <c r="F572" s="37" t="n"/>
      <c r="G572" s="39">
        <f>IF(B572="","",IF(F572&lt;&gt;"",F572,IFERROR(VLOOKUP(B572,'Vendors &amp; Crew'!$A$5:$D$34,3,FALSE),0)))</f>
        <v/>
      </c>
      <c r="H572" s="39">
        <f>IF(B572="","",E572*G572*(1+Settings!$B$18))</f>
        <v/>
      </c>
      <c r="I572" s="39">
        <f>IF(B572="","",IFERROR(VLOOKUP(B572,'Vendors &amp; Crew'!$A$5:$D$34,4,FALSE),0))</f>
        <v/>
      </c>
      <c r="J572" s="39">
        <f>IF(B572="","",E572*I572)</f>
        <v/>
      </c>
      <c r="K572" s="59">
        <f>IF(A572="","",A572-WEEKDAY(A572,2)+7)</f>
        <v/>
      </c>
      <c r="L572" s="9">
        <f>IF(B572="","",IF(D572="","Labor",IFERROR(VLOOKUP(D572,Settings!$E$5:$G$28,3,FALSE),"Labor")))</f>
        <v/>
      </c>
      <c r="M572" s="9">
        <f>IF(B572="","",IF(COUNTIF('Vendors &amp; Crew'!$A$5:$A$34,B572)=0,"Worker not in Crew table",IF(C572="","Missing Job ID",IF(COUNTIF(Jobs!$A$5:$A$44,C572)=0,"Unknown Job ID",IF(E572="","Missing hours",IF(A572="","Missing date",""))))))</f>
        <v/>
      </c>
      <c r="N572" s="35" t="n"/>
    </row>
    <row r="573">
      <c r="A573" s="40" t="n"/>
      <c r="B573" s="35" t="n"/>
      <c r="C573" s="35" t="n"/>
      <c r="D573" s="35" t="n"/>
      <c r="E573" s="61" t="n"/>
      <c r="F573" s="37" t="n"/>
      <c r="G573" s="39">
        <f>IF(B573="","",IF(F573&lt;&gt;"",F573,IFERROR(VLOOKUP(B573,'Vendors &amp; Crew'!$A$5:$D$34,3,FALSE),0)))</f>
        <v/>
      </c>
      <c r="H573" s="39">
        <f>IF(B573="","",E573*G573*(1+Settings!$B$18))</f>
        <v/>
      </c>
      <c r="I573" s="39">
        <f>IF(B573="","",IFERROR(VLOOKUP(B573,'Vendors &amp; Crew'!$A$5:$D$34,4,FALSE),0))</f>
        <v/>
      </c>
      <c r="J573" s="39">
        <f>IF(B573="","",E573*I573)</f>
        <v/>
      </c>
      <c r="K573" s="59">
        <f>IF(A573="","",A573-WEEKDAY(A573,2)+7)</f>
        <v/>
      </c>
      <c r="L573" s="9">
        <f>IF(B573="","",IF(D573="","Labor",IFERROR(VLOOKUP(D573,Settings!$E$5:$G$28,3,FALSE),"Labor")))</f>
        <v/>
      </c>
      <c r="M573" s="9">
        <f>IF(B573="","",IF(COUNTIF('Vendors &amp; Crew'!$A$5:$A$34,B573)=0,"Worker not in Crew table",IF(C573="","Missing Job ID",IF(COUNTIF(Jobs!$A$5:$A$44,C573)=0,"Unknown Job ID",IF(E573="","Missing hours",IF(A573="","Missing date",""))))))</f>
        <v/>
      </c>
      <c r="N573" s="35" t="n"/>
    </row>
    <row r="574">
      <c r="A574" s="40" t="n"/>
      <c r="B574" s="35" t="n"/>
      <c r="C574" s="35" t="n"/>
      <c r="D574" s="35" t="n"/>
      <c r="E574" s="61" t="n"/>
      <c r="F574" s="37" t="n"/>
      <c r="G574" s="39">
        <f>IF(B574="","",IF(F574&lt;&gt;"",F574,IFERROR(VLOOKUP(B574,'Vendors &amp; Crew'!$A$5:$D$34,3,FALSE),0)))</f>
        <v/>
      </c>
      <c r="H574" s="39">
        <f>IF(B574="","",E574*G574*(1+Settings!$B$18))</f>
        <v/>
      </c>
      <c r="I574" s="39">
        <f>IF(B574="","",IFERROR(VLOOKUP(B574,'Vendors &amp; Crew'!$A$5:$D$34,4,FALSE),0))</f>
        <v/>
      </c>
      <c r="J574" s="39">
        <f>IF(B574="","",E574*I574)</f>
        <v/>
      </c>
      <c r="K574" s="59">
        <f>IF(A574="","",A574-WEEKDAY(A574,2)+7)</f>
        <v/>
      </c>
      <c r="L574" s="9">
        <f>IF(B574="","",IF(D574="","Labor",IFERROR(VLOOKUP(D574,Settings!$E$5:$G$28,3,FALSE),"Labor")))</f>
        <v/>
      </c>
      <c r="M574" s="9">
        <f>IF(B574="","",IF(COUNTIF('Vendors &amp; Crew'!$A$5:$A$34,B574)=0,"Worker not in Crew table",IF(C574="","Missing Job ID",IF(COUNTIF(Jobs!$A$5:$A$44,C574)=0,"Unknown Job ID",IF(E574="","Missing hours",IF(A574="","Missing date",""))))))</f>
        <v/>
      </c>
      <c r="N574" s="35" t="n"/>
    </row>
    <row r="575">
      <c r="A575" s="40" t="n"/>
      <c r="B575" s="35" t="n"/>
      <c r="C575" s="35" t="n"/>
      <c r="D575" s="35" t="n"/>
      <c r="E575" s="61" t="n"/>
      <c r="F575" s="37" t="n"/>
      <c r="G575" s="39">
        <f>IF(B575="","",IF(F575&lt;&gt;"",F575,IFERROR(VLOOKUP(B575,'Vendors &amp; Crew'!$A$5:$D$34,3,FALSE),0)))</f>
        <v/>
      </c>
      <c r="H575" s="39">
        <f>IF(B575="","",E575*G575*(1+Settings!$B$18))</f>
        <v/>
      </c>
      <c r="I575" s="39">
        <f>IF(B575="","",IFERROR(VLOOKUP(B575,'Vendors &amp; Crew'!$A$5:$D$34,4,FALSE),0))</f>
        <v/>
      </c>
      <c r="J575" s="39">
        <f>IF(B575="","",E575*I575)</f>
        <v/>
      </c>
      <c r="K575" s="59">
        <f>IF(A575="","",A575-WEEKDAY(A575,2)+7)</f>
        <v/>
      </c>
      <c r="L575" s="9">
        <f>IF(B575="","",IF(D575="","Labor",IFERROR(VLOOKUP(D575,Settings!$E$5:$G$28,3,FALSE),"Labor")))</f>
        <v/>
      </c>
      <c r="M575" s="9">
        <f>IF(B575="","",IF(COUNTIF('Vendors &amp; Crew'!$A$5:$A$34,B575)=0,"Worker not in Crew table",IF(C575="","Missing Job ID",IF(COUNTIF(Jobs!$A$5:$A$44,C575)=0,"Unknown Job ID",IF(E575="","Missing hours",IF(A575="","Missing date",""))))))</f>
        <v/>
      </c>
      <c r="N575" s="35" t="n"/>
    </row>
    <row r="576">
      <c r="A576" s="40" t="n"/>
      <c r="B576" s="35" t="n"/>
      <c r="C576" s="35" t="n"/>
      <c r="D576" s="35" t="n"/>
      <c r="E576" s="61" t="n"/>
      <c r="F576" s="37" t="n"/>
      <c r="G576" s="39">
        <f>IF(B576="","",IF(F576&lt;&gt;"",F576,IFERROR(VLOOKUP(B576,'Vendors &amp; Crew'!$A$5:$D$34,3,FALSE),0)))</f>
        <v/>
      </c>
      <c r="H576" s="39">
        <f>IF(B576="","",E576*G576*(1+Settings!$B$18))</f>
        <v/>
      </c>
      <c r="I576" s="39">
        <f>IF(B576="","",IFERROR(VLOOKUP(B576,'Vendors &amp; Crew'!$A$5:$D$34,4,FALSE),0))</f>
        <v/>
      </c>
      <c r="J576" s="39">
        <f>IF(B576="","",E576*I576)</f>
        <v/>
      </c>
      <c r="K576" s="59">
        <f>IF(A576="","",A576-WEEKDAY(A576,2)+7)</f>
        <v/>
      </c>
      <c r="L576" s="9">
        <f>IF(B576="","",IF(D576="","Labor",IFERROR(VLOOKUP(D576,Settings!$E$5:$G$28,3,FALSE),"Labor")))</f>
        <v/>
      </c>
      <c r="M576" s="9">
        <f>IF(B576="","",IF(COUNTIF('Vendors &amp; Crew'!$A$5:$A$34,B576)=0,"Worker not in Crew table",IF(C576="","Missing Job ID",IF(COUNTIF(Jobs!$A$5:$A$44,C576)=0,"Unknown Job ID",IF(E576="","Missing hours",IF(A576="","Missing date",""))))))</f>
        <v/>
      </c>
      <c r="N576" s="35" t="n"/>
    </row>
    <row r="577">
      <c r="A577" s="40" t="n"/>
      <c r="B577" s="35" t="n"/>
      <c r="C577" s="35" t="n"/>
      <c r="D577" s="35" t="n"/>
      <c r="E577" s="61" t="n"/>
      <c r="F577" s="37" t="n"/>
      <c r="G577" s="39">
        <f>IF(B577="","",IF(F577&lt;&gt;"",F577,IFERROR(VLOOKUP(B577,'Vendors &amp; Crew'!$A$5:$D$34,3,FALSE),0)))</f>
        <v/>
      </c>
      <c r="H577" s="39">
        <f>IF(B577="","",E577*G577*(1+Settings!$B$18))</f>
        <v/>
      </c>
      <c r="I577" s="39">
        <f>IF(B577="","",IFERROR(VLOOKUP(B577,'Vendors &amp; Crew'!$A$5:$D$34,4,FALSE),0))</f>
        <v/>
      </c>
      <c r="J577" s="39">
        <f>IF(B577="","",E577*I577)</f>
        <v/>
      </c>
      <c r="K577" s="59">
        <f>IF(A577="","",A577-WEEKDAY(A577,2)+7)</f>
        <v/>
      </c>
      <c r="L577" s="9">
        <f>IF(B577="","",IF(D577="","Labor",IFERROR(VLOOKUP(D577,Settings!$E$5:$G$28,3,FALSE),"Labor")))</f>
        <v/>
      </c>
      <c r="M577" s="9">
        <f>IF(B577="","",IF(COUNTIF('Vendors &amp; Crew'!$A$5:$A$34,B577)=0,"Worker not in Crew table",IF(C577="","Missing Job ID",IF(COUNTIF(Jobs!$A$5:$A$44,C577)=0,"Unknown Job ID",IF(E577="","Missing hours",IF(A577="","Missing date",""))))))</f>
        <v/>
      </c>
      <c r="N577" s="35" t="n"/>
    </row>
    <row r="578">
      <c r="A578" s="40" t="n"/>
      <c r="B578" s="35" t="n"/>
      <c r="C578" s="35" t="n"/>
      <c r="D578" s="35" t="n"/>
      <c r="E578" s="61" t="n"/>
      <c r="F578" s="37" t="n"/>
      <c r="G578" s="39">
        <f>IF(B578="","",IF(F578&lt;&gt;"",F578,IFERROR(VLOOKUP(B578,'Vendors &amp; Crew'!$A$5:$D$34,3,FALSE),0)))</f>
        <v/>
      </c>
      <c r="H578" s="39">
        <f>IF(B578="","",E578*G578*(1+Settings!$B$18))</f>
        <v/>
      </c>
      <c r="I578" s="39">
        <f>IF(B578="","",IFERROR(VLOOKUP(B578,'Vendors &amp; Crew'!$A$5:$D$34,4,FALSE),0))</f>
        <v/>
      </c>
      <c r="J578" s="39">
        <f>IF(B578="","",E578*I578)</f>
        <v/>
      </c>
      <c r="K578" s="59">
        <f>IF(A578="","",A578-WEEKDAY(A578,2)+7)</f>
        <v/>
      </c>
      <c r="L578" s="9">
        <f>IF(B578="","",IF(D578="","Labor",IFERROR(VLOOKUP(D578,Settings!$E$5:$G$28,3,FALSE),"Labor")))</f>
        <v/>
      </c>
      <c r="M578" s="9">
        <f>IF(B578="","",IF(COUNTIF('Vendors &amp; Crew'!$A$5:$A$34,B578)=0,"Worker not in Crew table",IF(C578="","Missing Job ID",IF(COUNTIF(Jobs!$A$5:$A$44,C578)=0,"Unknown Job ID",IF(E578="","Missing hours",IF(A578="","Missing date",""))))))</f>
        <v/>
      </c>
      <c r="N578" s="35" t="n"/>
    </row>
    <row r="579">
      <c r="A579" s="40" t="n"/>
      <c r="B579" s="35" t="n"/>
      <c r="C579" s="35" t="n"/>
      <c r="D579" s="35" t="n"/>
      <c r="E579" s="61" t="n"/>
      <c r="F579" s="37" t="n"/>
      <c r="G579" s="39">
        <f>IF(B579="","",IF(F579&lt;&gt;"",F579,IFERROR(VLOOKUP(B579,'Vendors &amp; Crew'!$A$5:$D$34,3,FALSE),0)))</f>
        <v/>
      </c>
      <c r="H579" s="39">
        <f>IF(B579="","",E579*G579*(1+Settings!$B$18))</f>
        <v/>
      </c>
      <c r="I579" s="39">
        <f>IF(B579="","",IFERROR(VLOOKUP(B579,'Vendors &amp; Crew'!$A$5:$D$34,4,FALSE),0))</f>
        <v/>
      </c>
      <c r="J579" s="39">
        <f>IF(B579="","",E579*I579)</f>
        <v/>
      </c>
      <c r="K579" s="59">
        <f>IF(A579="","",A579-WEEKDAY(A579,2)+7)</f>
        <v/>
      </c>
      <c r="L579" s="9">
        <f>IF(B579="","",IF(D579="","Labor",IFERROR(VLOOKUP(D579,Settings!$E$5:$G$28,3,FALSE),"Labor")))</f>
        <v/>
      </c>
      <c r="M579" s="9">
        <f>IF(B579="","",IF(COUNTIF('Vendors &amp; Crew'!$A$5:$A$34,B579)=0,"Worker not in Crew table",IF(C579="","Missing Job ID",IF(COUNTIF(Jobs!$A$5:$A$44,C579)=0,"Unknown Job ID",IF(E579="","Missing hours",IF(A579="","Missing date",""))))))</f>
        <v/>
      </c>
      <c r="N579" s="35" t="n"/>
    </row>
    <row r="580">
      <c r="A580" s="40" t="n"/>
      <c r="B580" s="35" t="n"/>
      <c r="C580" s="35" t="n"/>
      <c r="D580" s="35" t="n"/>
      <c r="E580" s="61" t="n"/>
      <c r="F580" s="37" t="n"/>
      <c r="G580" s="39">
        <f>IF(B580="","",IF(F580&lt;&gt;"",F580,IFERROR(VLOOKUP(B580,'Vendors &amp; Crew'!$A$5:$D$34,3,FALSE),0)))</f>
        <v/>
      </c>
      <c r="H580" s="39">
        <f>IF(B580="","",E580*G580*(1+Settings!$B$18))</f>
        <v/>
      </c>
      <c r="I580" s="39">
        <f>IF(B580="","",IFERROR(VLOOKUP(B580,'Vendors &amp; Crew'!$A$5:$D$34,4,FALSE),0))</f>
        <v/>
      </c>
      <c r="J580" s="39">
        <f>IF(B580="","",E580*I580)</f>
        <v/>
      </c>
      <c r="K580" s="59">
        <f>IF(A580="","",A580-WEEKDAY(A580,2)+7)</f>
        <v/>
      </c>
      <c r="L580" s="9">
        <f>IF(B580="","",IF(D580="","Labor",IFERROR(VLOOKUP(D580,Settings!$E$5:$G$28,3,FALSE),"Labor")))</f>
        <v/>
      </c>
      <c r="M580" s="9">
        <f>IF(B580="","",IF(COUNTIF('Vendors &amp; Crew'!$A$5:$A$34,B580)=0,"Worker not in Crew table",IF(C580="","Missing Job ID",IF(COUNTIF(Jobs!$A$5:$A$44,C580)=0,"Unknown Job ID",IF(E580="","Missing hours",IF(A580="","Missing date",""))))))</f>
        <v/>
      </c>
      <c r="N580" s="35" t="n"/>
    </row>
    <row r="581">
      <c r="A581" s="40" t="n"/>
      <c r="B581" s="35" t="n"/>
      <c r="C581" s="35" t="n"/>
      <c r="D581" s="35" t="n"/>
      <c r="E581" s="61" t="n"/>
      <c r="F581" s="37" t="n"/>
      <c r="G581" s="39">
        <f>IF(B581="","",IF(F581&lt;&gt;"",F581,IFERROR(VLOOKUP(B581,'Vendors &amp; Crew'!$A$5:$D$34,3,FALSE),0)))</f>
        <v/>
      </c>
      <c r="H581" s="39">
        <f>IF(B581="","",E581*G581*(1+Settings!$B$18))</f>
        <v/>
      </c>
      <c r="I581" s="39">
        <f>IF(B581="","",IFERROR(VLOOKUP(B581,'Vendors &amp; Crew'!$A$5:$D$34,4,FALSE),0))</f>
        <v/>
      </c>
      <c r="J581" s="39">
        <f>IF(B581="","",E581*I581)</f>
        <v/>
      </c>
      <c r="K581" s="59">
        <f>IF(A581="","",A581-WEEKDAY(A581,2)+7)</f>
        <v/>
      </c>
      <c r="L581" s="9">
        <f>IF(B581="","",IF(D581="","Labor",IFERROR(VLOOKUP(D581,Settings!$E$5:$G$28,3,FALSE),"Labor")))</f>
        <v/>
      </c>
      <c r="M581" s="9">
        <f>IF(B581="","",IF(COUNTIF('Vendors &amp; Crew'!$A$5:$A$34,B581)=0,"Worker not in Crew table",IF(C581="","Missing Job ID",IF(COUNTIF(Jobs!$A$5:$A$44,C581)=0,"Unknown Job ID",IF(E581="","Missing hours",IF(A581="","Missing date",""))))))</f>
        <v/>
      </c>
      <c r="N581" s="35" t="n"/>
    </row>
    <row r="582">
      <c r="A582" s="40" t="n"/>
      <c r="B582" s="35" t="n"/>
      <c r="C582" s="35" t="n"/>
      <c r="D582" s="35" t="n"/>
      <c r="E582" s="61" t="n"/>
      <c r="F582" s="37" t="n"/>
      <c r="G582" s="39">
        <f>IF(B582="","",IF(F582&lt;&gt;"",F582,IFERROR(VLOOKUP(B582,'Vendors &amp; Crew'!$A$5:$D$34,3,FALSE),0)))</f>
        <v/>
      </c>
      <c r="H582" s="39">
        <f>IF(B582="","",E582*G582*(1+Settings!$B$18))</f>
        <v/>
      </c>
      <c r="I582" s="39">
        <f>IF(B582="","",IFERROR(VLOOKUP(B582,'Vendors &amp; Crew'!$A$5:$D$34,4,FALSE),0))</f>
        <v/>
      </c>
      <c r="J582" s="39">
        <f>IF(B582="","",E582*I582)</f>
        <v/>
      </c>
      <c r="K582" s="59">
        <f>IF(A582="","",A582-WEEKDAY(A582,2)+7)</f>
        <v/>
      </c>
      <c r="L582" s="9">
        <f>IF(B582="","",IF(D582="","Labor",IFERROR(VLOOKUP(D582,Settings!$E$5:$G$28,3,FALSE),"Labor")))</f>
        <v/>
      </c>
      <c r="M582" s="9">
        <f>IF(B582="","",IF(COUNTIF('Vendors &amp; Crew'!$A$5:$A$34,B582)=0,"Worker not in Crew table",IF(C582="","Missing Job ID",IF(COUNTIF(Jobs!$A$5:$A$44,C582)=0,"Unknown Job ID",IF(E582="","Missing hours",IF(A582="","Missing date",""))))))</f>
        <v/>
      </c>
      <c r="N582" s="35" t="n"/>
    </row>
    <row r="583">
      <c r="A583" s="40" t="n"/>
      <c r="B583" s="35" t="n"/>
      <c r="C583" s="35" t="n"/>
      <c r="D583" s="35" t="n"/>
      <c r="E583" s="61" t="n"/>
      <c r="F583" s="37" t="n"/>
      <c r="G583" s="39">
        <f>IF(B583="","",IF(F583&lt;&gt;"",F583,IFERROR(VLOOKUP(B583,'Vendors &amp; Crew'!$A$5:$D$34,3,FALSE),0)))</f>
        <v/>
      </c>
      <c r="H583" s="39">
        <f>IF(B583="","",E583*G583*(1+Settings!$B$18))</f>
        <v/>
      </c>
      <c r="I583" s="39">
        <f>IF(B583="","",IFERROR(VLOOKUP(B583,'Vendors &amp; Crew'!$A$5:$D$34,4,FALSE),0))</f>
        <v/>
      </c>
      <c r="J583" s="39">
        <f>IF(B583="","",E583*I583)</f>
        <v/>
      </c>
      <c r="K583" s="59">
        <f>IF(A583="","",A583-WEEKDAY(A583,2)+7)</f>
        <v/>
      </c>
      <c r="L583" s="9">
        <f>IF(B583="","",IF(D583="","Labor",IFERROR(VLOOKUP(D583,Settings!$E$5:$G$28,3,FALSE),"Labor")))</f>
        <v/>
      </c>
      <c r="M583" s="9">
        <f>IF(B583="","",IF(COUNTIF('Vendors &amp; Crew'!$A$5:$A$34,B583)=0,"Worker not in Crew table",IF(C583="","Missing Job ID",IF(COUNTIF(Jobs!$A$5:$A$44,C583)=0,"Unknown Job ID",IF(E583="","Missing hours",IF(A583="","Missing date",""))))))</f>
        <v/>
      </c>
      <c r="N583" s="35" t="n"/>
    </row>
    <row r="584">
      <c r="A584" s="40" t="n"/>
      <c r="B584" s="35" t="n"/>
      <c r="C584" s="35" t="n"/>
      <c r="D584" s="35" t="n"/>
      <c r="E584" s="61" t="n"/>
      <c r="F584" s="37" t="n"/>
      <c r="G584" s="39">
        <f>IF(B584="","",IF(F584&lt;&gt;"",F584,IFERROR(VLOOKUP(B584,'Vendors &amp; Crew'!$A$5:$D$34,3,FALSE),0)))</f>
        <v/>
      </c>
      <c r="H584" s="39">
        <f>IF(B584="","",E584*G584*(1+Settings!$B$18))</f>
        <v/>
      </c>
      <c r="I584" s="39">
        <f>IF(B584="","",IFERROR(VLOOKUP(B584,'Vendors &amp; Crew'!$A$5:$D$34,4,FALSE),0))</f>
        <v/>
      </c>
      <c r="J584" s="39">
        <f>IF(B584="","",E584*I584)</f>
        <v/>
      </c>
      <c r="K584" s="59">
        <f>IF(A584="","",A584-WEEKDAY(A584,2)+7)</f>
        <v/>
      </c>
      <c r="L584" s="9">
        <f>IF(B584="","",IF(D584="","Labor",IFERROR(VLOOKUP(D584,Settings!$E$5:$G$28,3,FALSE),"Labor")))</f>
        <v/>
      </c>
      <c r="M584" s="9">
        <f>IF(B584="","",IF(COUNTIF('Vendors &amp; Crew'!$A$5:$A$34,B584)=0,"Worker not in Crew table",IF(C584="","Missing Job ID",IF(COUNTIF(Jobs!$A$5:$A$44,C584)=0,"Unknown Job ID",IF(E584="","Missing hours",IF(A584="","Missing date",""))))))</f>
        <v/>
      </c>
      <c r="N584" s="35" t="n"/>
    </row>
    <row r="585">
      <c r="A585" s="40" t="n"/>
      <c r="B585" s="35" t="n"/>
      <c r="C585" s="35" t="n"/>
      <c r="D585" s="35" t="n"/>
      <c r="E585" s="61" t="n"/>
      <c r="F585" s="37" t="n"/>
      <c r="G585" s="39">
        <f>IF(B585="","",IF(F585&lt;&gt;"",F585,IFERROR(VLOOKUP(B585,'Vendors &amp; Crew'!$A$5:$D$34,3,FALSE),0)))</f>
        <v/>
      </c>
      <c r="H585" s="39">
        <f>IF(B585="","",E585*G585*(1+Settings!$B$18))</f>
        <v/>
      </c>
      <c r="I585" s="39">
        <f>IF(B585="","",IFERROR(VLOOKUP(B585,'Vendors &amp; Crew'!$A$5:$D$34,4,FALSE),0))</f>
        <v/>
      </c>
      <c r="J585" s="39">
        <f>IF(B585="","",E585*I585)</f>
        <v/>
      </c>
      <c r="K585" s="59">
        <f>IF(A585="","",A585-WEEKDAY(A585,2)+7)</f>
        <v/>
      </c>
      <c r="L585" s="9">
        <f>IF(B585="","",IF(D585="","Labor",IFERROR(VLOOKUP(D585,Settings!$E$5:$G$28,3,FALSE),"Labor")))</f>
        <v/>
      </c>
      <c r="M585" s="9">
        <f>IF(B585="","",IF(COUNTIF('Vendors &amp; Crew'!$A$5:$A$34,B585)=0,"Worker not in Crew table",IF(C585="","Missing Job ID",IF(COUNTIF(Jobs!$A$5:$A$44,C585)=0,"Unknown Job ID",IF(E585="","Missing hours",IF(A585="","Missing date",""))))))</f>
        <v/>
      </c>
      <c r="N585" s="35" t="n"/>
    </row>
    <row r="586">
      <c r="A586" s="40" t="n"/>
      <c r="B586" s="35" t="n"/>
      <c r="C586" s="35" t="n"/>
      <c r="D586" s="35" t="n"/>
      <c r="E586" s="61" t="n"/>
      <c r="F586" s="37" t="n"/>
      <c r="G586" s="39">
        <f>IF(B586="","",IF(F586&lt;&gt;"",F586,IFERROR(VLOOKUP(B586,'Vendors &amp; Crew'!$A$5:$D$34,3,FALSE),0)))</f>
        <v/>
      </c>
      <c r="H586" s="39">
        <f>IF(B586="","",E586*G586*(1+Settings!$B$18))</f>
        <v/>
      </c>
      <c r="I586" s="39">
        <f>IF(B586="","",IFERROR(VLOOKUP(B586,'Vendors &amp; Crew'!$A$5:$D$34,4,FALSE),0))</f>
        <v/>
      </c>
      <c r="J586" s="39">
        <f>IF(B586="","",E586*I586)</f>
        <v/>
      </c>
      <c r="K586" s="59">
        <f>IF(A586="","",A586-WEEKDAY(A586,2)+7)</f>
        <v/>
      </c>
      <c r="L586" s="9">
        <f>IF(B586="","",IF(D586="","Labor",IFERROR(VLOOKUP(D586,Settings!$E$5:$G$28,3,FALSE),"Labor")))</f>
        <v/>
      </c>
      <c r="M586" s="9">
        <f>IF(B586="","",IF(COUNTIF('Vendors &amp; Crew'!$A$5:$A$34,B586)=0,"Worker not in Crew table",IF(C586="","Missing Job ID",IF(COUNTIF(Jobs!$A$5:$A$44,C586)=0,"Unknown Job ID",IF(E586="","Missing hours",IF(A586="","Missing date",""))))))</f>
        <v/>
      </c>
      <c r="N586" s="35" t="n"/>
    </row>
    <row r="587">
      <c r="A587" s="40" t="n"/>
      <c r="B587" s="35" t="n"/>
      <c r="C587" s="35" t="n"/>
      <c r="D587" s="35" t="n"/>
      <c r="E587" s="61" t="n"/>
      <c r="F587" s="37" t="n"/>
      <c r="G587" s="39">
        <f>IF(B587="","",IF(F587&lt;&gt;"",F587,IFERROR(VLOOKUP(B587,'Vendors &amp; Crew'!$A$5:$D$34,3,FALSE),0)))</f>
        <v/>
      </c>
      <c r="H587" s="39">
        <f>IF(B587="","",E587*G587*(1+Settings!$B$18))</f>
        <v/>
      </c>
      <c r="I587" s="39">
        <f>IF(B587="","",IFERROR(VLOOKUP(B587,'Vendors &amp; Crew'!$A$5:$D$34,4,FALSE),0))</f>
        <v/>
      </c>
      <c r="J587" s="39">
        <f>IF(B587="","",E587*I587)</f>
        <v/>
      </c>
      <c r="K587" s="59">
        <f>IF(A587="","",A587-WEEKDAY(A587,2)+7)</f>
        <v/>
      </c>
      <c r="L587" s="9">
        <f>IF(B587="","",IF(D587="","Labor",IFERROR(VLOOKUP(D587,Settings!$E$5:$G$28,3,FALSE),"Labor")))</f>
        <v/>
      </c>
      <c r="M587" s="9">
        <f>IF(B587="","",IF(COUNTIF('Vendors &amp; Crew'!$A$5:$A$34,B587)=0,"Worker not in Crew table",IF(C587="","Missing Job ID",IF(COUNTIF(Jobs!$A$5:$A$44,C587)=0,"Unknown Job ID",IF(E587="","Missing hours",IF(A587="","Missing date",""))))))</f>
        <v/>
      </c>
      <c r="N587" s="35" t="n"/>
    </row>
    <row r="588">
      <c r="A588" s="40" t="n"/>
      <c r="B588" s="35" t="n"/>
      <c r="C588" s="35" t="n"/>
      <c r="D588" s="35" t="n"/>
      <c r="E588" s="61" t="n"/>
      <c r="F588" s="37" t="n"/>
      <c r="G588" s="39">
        <f>IF(B588="","",IF(F588&lt;&gt;"",F588,IFERROR(VLOOKUP(B588,'Vendors &amp; Crew'!$A$5:$D$34,3,FALSE),0)))</f>
        <v/>
      </c>
      <c r="H588" s="39">
        <f>IF(B588="","",E588*G588*(1+Settings!$B$18))</f>
        <v/>
      </c>
      <c r="I588" s="39">
        <f>IF(B588="","",IFERROR(VLOOKUP(B588,'Vendors &amp; Crew'!$A$5:$D$34,4,FALSE),0))</f>
        <v/>
      </c>
      <c r="J588" s="39">
        <f>IF(B588="","",E588*I588)</f>
        <v/>
      </c>
      <c r="K588" s="59">
        <f>IF(A588="","",A588-WEEKDAY(A588,2)+7)</f>
        <v/>
      </c>
      <c r="L588" s="9">
        <f>IF(B588="","",IF(D588="","Labor",IFERROR(VLOOKUP(D588,Settings!$E$5:$G$28,3,FALSE),"Labor")))</f>
        <v/>
      </c>
      <c r="M588" s="9">
        <f>IF(B588="","",IF(COUNTIF('Vendors &amp; Crew'!$A$5:$A$34,B588)=0,"Worker not in Crew table",IF(C588="","Missing Job ID",IF(COUNTIF(Jobs!$A$5:$A$44,C588)=0,"Unknown Job ID",IF(E588="","Missing hours",IF(A588="","Missing date",""))))))</f>
        <v/>
      </c>
      <c r="N588" s="35" t="n"/>
    </row>
    <row r="589">
      <c r="A589" s="40" t="n"/>
      <c r="B589" s="35" t="n"/>
      <c r="C589" s="35" t="n"/>
      <c r="D589" s="35" t="n"/>
      <c r="E589" s="61" t="n"/>
      <c r="F589" s="37" t="n"/>
      <c r="G589" s="39">
        <f>IF(B589="","",IF(F589&lt;&gt;"",F589,IFERROR(VLOOKUP(B589,'Vendors &amp; Crew'!$A$5:$D$34,3,FALSE),0)))</f>
        <v/>
      </c>
      <c r="H589" s="39">
        <f>IF(B589="","",E589*G589*(1+Settings!$B$18))</f>
        <v/>
      </c>
      <c r="I589" s="39">
        <f>IF(B589="","",IFERROR(VLOOKUP(B589,'Vendors &amp; Crew'!$A$5:$D$34,4,FALSE),0))</f>
        <v/>
      </c>
      <c r="J589" s="39">
        <f>IF(B589="","",E589*I589)</f>
        <v/>
      </c>
      <c r="K589" s="59">
        <f>IF(A589="","",A589-WEEKDAY(A589,2)+7)</f>
        <v/>
      </c>
      <c r="L589" s="9">
        <f>IF(B589="","",IF(D589="","Labor",IFERROR(VLOOKUP(D589,Settings!$E$5:$G$28,3,FALSE),"Labor")))</f>
        <v/>
      </c>
      <c r="M589" s="9">
        <f>IF(B589="","",IF(COUNTIF('Vendors &amp; Crew'!$A$5:$A$34,B589)=0,"Worker not in Crew table",IF(C589="","Missing Job ID",IF(COUNTIF(Jobs!$A$5:$A$44,C589)=0,"Unknown Job ID",IF(E589="","Missing hours",IF(A589="","Missing date",""))))))</f>
        <v/>
      </c>
      <c r="N589" s="35" t="n"/>
    </row>
    <row r="590">
      <c r="A590" s="40" t="n"/>
      <c r="B590" s="35" t="n"/>
      <c r="C590" s="35" t="n"/>
      <c r="D590" s="35" t="n"/>
      <c r="E590" s="61" t="n"/>
      <c r="F590" s="37" t="n"/>
      <c r="G590" s="39">
        <f>IF(B590="","",IF(F590&lt;&gt;"",F590,IFERROR(VLOOKUP(B590,'Vendors &amp; Crew'!$A$5:$D$34,3,FALSE),0)))</f>
        <v/>
      </c>
      <c r="H590" s="39">
        <f>IF(B590="","",E590*G590*(1+Settings!$B$18))</f>
        <v/>
      </c>
      <c r="I590" s="39">
        <f>IF(B590="","",IFERROR(VLOOKUP(B590,'Vendors &amp; Crew'!$A$5:$D$34,4,FALSE),0))</f>
        <v/>
      </c>
      <c r="J590" s="39">
        <f>IF(B590="","",E590*I590)</f>
        <v/>
      </c>
      <c r="K590" s="59">
        <f>IF(A590="","",A590-WEEKDAY(A590,2)+7)</f>
        <v/>
      </c>
      <c r="L590" s="9">
        <f>IF(B590="","",IF(D590="","Labor",IFERROR(VLOOKUP(D590,Settings!$E$5:$G$28,3,FALSE),"Labor")))</f>
        <v/>
      </c>
      <c r="M590" s="9">
        <f>IF(B590="","",IF(COUNTIF('Vendors &amp; Crew'!$A$5:$A$34,B590)=0,"Worker not in Crew table",IF(C590="","Missing Job ID",IF(COUNTIF(Jobs!$A$5:$A$44,C590)=0,"Unknown Job ID",IF(E590="","Missing hours",IF(A590="","Missing date",""))))))</f>
        <v/>
      </c>
      <c r="N590" s="35" t="n"/>
    </row>
    <row r="591">
      <c r="A591" s="40" t="n"/>
      <c r="B591" s="35" t="n"/>
      <c r="C591" s="35" t="n"/>
      <c r="D591" s="35" t="n"/>
      <c r="E591" s="61" t="n"/>
      <c r="F591" s="37" t="n"/>
      <c r="G591" s="39">
        <f>IF(B591="","",IF(F591&lt;&gt;"",F591,IFERROR(VLOOKUP(B591,'Vendors &amp; Crew'!$A$5:$D$34,3,FALSE),0)))</f>
        <v/>
      </c>
      <c r="H591" s="39">
        <f>IF(B591="","",E591*G591*(1+Settings!$B$18))</f>
        <v/>
      </c>
      <c r="I591" s="39">
        <f>IF(B591="","",IFERROR(VLOOKUP(B591,'Vendors &amp; Crew'!$A$5:$D$34,4,FALSE),0))</f>
        <v/>
      </c>
      <c r="J591" s="39">
        <f>IF(B591="","",E591*I591)</f>
        <v/>
      </c>
      <c r="K591" s="59">
        <f>IF(A591="","",A591-WEEKDAY(A591,2)+7)</f>
        <v/>
      </c>
      <c r="L591" s="9">
        <f>IF(B591="","",IF(D591="","Labor",IFERROR(VLOOKUP(D591,Settings!$E$5:$G$28,3,FALSE),"Labor")))</f>
        <v/>
      </c>
      <c r="M591" s="9">
        <f>IF(B591="","",IF(COUNTIF('Vendors &amp; Crew'!$A$5:$A$34,B591)=0,"Worker not in Crew table",IF(C591="","Missing Job ID",IF(COUNTIF(Jobs!$A$5:$A$44,C591)=0,"Unknown Job ID",IF(E591="","Missing hours",IF(A591="","Missing date",""))))))</f>
        <v/>
      </c>
      <c r="N591" s="35" t="n"/>
    </row>
    <row r="592">
      <c r="A592" s="40" t="n"/>
      <c r="B592" s="35" t="n"/>
      <c r="C592" s="35" t="n"/>
      <c r="D592" s="35" t="n"/>
      <c r="E592" s="61" t="n"/>
      <c r="F592" s="37" t="n"/>
      <c r="G592" s="39">
        <f>IF(B592="","",IF(F592&lt;&gt;"",F592,IFERROR(VLOOKUP(B592,'Vendors &amp; Crew'!$A$5:$D$34,3,FALSE),0)))</f>
        <v/>
      </c>
      <c r="H592" s="39">
        <f>IF(B592="","",E592*G592*(1+Settings!$B$18))</f>
        <v/>
      </c>
      <c r="I592" s="39">
        <f>IF(B592="","",IFERROR(VLOOKUP(B592,'Vendors &amp; Crew'!$A$5:$D$34,4,FALSE),0))</f>
        <v/>
      </c>
      <c r="J592" s="39">
        <f>IF(B592="","",E592*I592)</f>
        <v/>
      </c>
      <c r="K592" s="59">
        <f>IF(A592="","",A592-WEEKDAY(A592,2)+7)</f>
        <v/>
      </c>
      <c r="L592" s="9">
        <f>IF(B592="","",IF(D592="","Labor",IFERROR(VLOOKUP(D592,Settings!$E$5:$G$28,3,FALSE),"Labor")))</f>
        <v/>
      </c>
      <c r="M592" s="9">
        <f>IF(B592="","",IF(COUNTIF('Vendors &amp; Crew'!$A$5:$A$34,B592)=0,"Worker not in Crew table",IF(C592="","Missing Job ID",IF(COUNTIF(Jobs!$A$5:$A$44,C592)=0,"Unknown Job ID",IF(E592="","Missing hours",IF(A592="","Missing date",""))))))</f>
        <v/>
      </c>
      <c r="N592" s="35" t="n"/>
    </row>
    <row r="593">
      <c r="A593" s="40" t="n"/>
      <c r="B593" s="35" t="n"/>
      <c r="C593" s="35" t="n"/>
      <c r="D593" s="35" t="n"/>
      <c r="E593" s="61" t="n"/>
      <c r="F593" s="37" t="n"/>
      <c r="G593" s="39">
        <f>IF(B593="","",IF(F593&lt;&gt;"",F593,IFERROR(VLOOKUP(B593,'Vendors &amp; Crew'!$A$5:$D$34,3,FALSE),0)))</f>
        <v/>
      </c>
      <c r="H593" s="39">
        <f>IF(B593="","",E593*G593*(1+Settings!$B$18))</f>
        <v/>
      </c>
      <c r="I593" s="39">
        <f>IF(B593="","",IFERROR(VLOOKUP(B593,'Vendors &amp; Crew'!$A$5:$D$34,4,FALSE),0))</f>
        <v/>
      </c>
      <c r="J593" s="39">
        <f>IF(B593="","",E593*I593)</f>
        <v/>
      </c>
      <c r="K593" s="59">
        <f>IF(A593="","",A593-WEEKDAY(A593,2)+7)</f>
        <v/>
      </c>
      <c r="L593" s="9">
        <f>IF(B593="","",IF(D593="","Labor",IFERROR(VLOOKUP(D593,Settings!$E$5:$G$28,3,FALSE),"Labor")))</f>
        <v/>
      </c>
      <c r="M593" s="9">
        <f>IF(B593="","",IF(COUNTIF('Vendors &amp; Crew'!$A$5:$A$34,B593)=0,"Worker not in Crew table",IF(C593="","Missing Job ID",IF(COUNTIF(Jobs!$A$5:$A$44,C593)=0,"Unknown Job ID",IF(E593="","Missing hours",IF(A593="","Missing date",""))))))</f>
        <v/>
      </c>
      <c r="N593" s="35" t="n"/>
    </row>
    <row r="594">
      <c r="A594" s="40" t="n"/>
      <c r="B594" s="35" t="n"/>
      <c r="C594" s="35" t="n"/>
      <c r="D594" s="35" t="n"/>
      <c r="E594" s="61" t="n"/>
      <c r="F594" s="37" t="n"/>
      <c r="G594" s="39">
        <f>IF(B594="","",IF(F594&lt;&gt;"",F594,IFERROR(VLOOKUP(B594,'Vendors &amp; Crew'!$A$5:$D$34,3,FALSE),0)))</f>
        <v/>
      </c>
      <c r="H594" s="39">
        <f>IF(B594="","",E594*G594*(1+Settings!$B$18))</f>
        <v/>
      </c>
      <c r="I594" s="39">
        <f>IF(B594="","",IFERROR(VLOOKUP(B594,'Vendors &amp; Crew'!$A$5:$D$34,4,FALSE),0))</f>
        <v/>
      </c>
      <c r="J594" s="39">
        <f>IF(B594="","",E594*I594)</f>
        <v/>
      </c>
      <c r="K594" s="59">
        <f>IF(A594="","",A594-WEEKDAY(A594,2)+7)</f>
        <v/>
      </c>
      <c r="L594" s="9">
        <f>IF(B594="","",IF(D594="","Labor",IFERROR(VLOOKUP(D594,Settings!$E$5:$G$28,3,FALSE),"Labor")))</f>
        <v/>
      </c>
      <c r="M594" s="9">
        <f>IF(B594="","",IF(COUNTIF('Vendors &amp; Crew'!$A$5:$A$34,B594)=0,"Worker not in Crew table",IF(C594="","Missing Job ID",IF(COUNTIF(Jobs!$A$5:$A$44,C594)=0,"Unknown Job ID",IF(E594="","Missing hours",IF(A594="","Missing date",""))))))</f>
        <v/>
      </c>
      <c r="N594" s="35" t="n"/>
    </row>
    <row r="595">
      <c r="A595" s="40" t="n"/>
      <c r="B595" s="35" t="n"/>
      <c r="C595" s="35" t="n"/>
      <c r="D595" s="35" t="n"/>
      <c r="E595" s="61" t="n"/>
      <c r="F595" s="37" t="n"/>
      <c r="G595" s="39">
        <f>IF(B595="","",IF(F595&lt;&gt;"",F595,IFERROR(VLOOKUP(B595,'Vendors &amp; Crew'!$A$5:$D$34,3,FALSE),0)))</f>
        <v/>
      </c>
      <c r="H595" s="39">
        <f>IF(B595="","",E595*G595*(1+Settings!$B$18))</f>
        <v/>
      </c>
      <c r="I595" s="39">
        <f>IF(B595="","",IFERROR(VLOOKUP(B595,'Vendors &amp; Crew'!$A$5:$D$34,4,FALSE),0))</f>
        <v/>
      </c>
      <c r="J595" s="39">
        <f>IF(B595="","",E595*I595)</f>
        <v/>
      </c>
      <c r="K595" s="59">
        <f>IF(A595="","",A595-WEEKDAY(A595,2)+7)</f>
        <v/>
      </c>
      <c r="L595" s="9">
        <f>IF(B595="","",IF(D595="","Labor",IFERROR(VLOOKUP(D595,Settings!$E$5:$G$28,3,FALSE),"Labor")))</f>
        <v/>
      </c>
      <c r="M595" s="9">
        <f>IF(B595="","",IF(COUNTIF('Vendors &amp; Crew'!$A$5:$A$34,B595)=0,"Worker not in Crew table",IF(C595="","Missing Job ID",IF(COUNTIF(Jobs!$A$5:$A$44,C595)=0,"Unknown Job ID",IF(E595="","Missing hours",IF(A595="","Missing date",""))))))</f>
        <v/>
      </c>
      <c r="N595" s="35" t="n"/>
    </row>
    <row r="596">
      <c r="A596" s="40" t="n"/>
      <c r="B596" s="35" t="n"/>
      <c r="C596" s="35" t="n"/>
      <c r="D596" s="35" t="n"/>
      <c r="E596" s="61" t="n"/>
      <c r="F596" s="37" t="n"/>
      <c r="G596" s="39">
        <f>IF(B596="","",IF(F596&lt;&gt;"",F596,IFERROR(VLOOKUP(B596,'Vendors &amp; Crew'!$A$5:$D$34,3,FALSE),0)))</f>
        <v/>
      </c>
      <c r="H596" s="39">
        <f>IF(B596="","",E596*G596*(1+Settings!$B$18))</f>
        <v/>
      </c>
      <c r="I596" s="39">
        <f>IF(B596="","",IFERROR(VLOOKUP(B596,'Vendors &amp; Crew'!$A$5:$D$34,4,FALSE),0))</f>
        <v/>
      </c>
      <c r="J596" s="39">
        <f>IF(B596="","",E596*I596)</f>
        <v/>
      </c>
      <c r="K596" s="59">
        <f>IF(A596="","",A596-WEEKDAY(A596,2)+7)</f>
        <v/>
      </c>
      <c r="L596" s="9">
        <f>IF(B596="","",IF(D596="","Labor",IFERROR(VLOOKUP(D596,Settings!$E$5:$G$28,3,FALSE),"Labor")))</f>
        <v/>
      </c>
      <c r="M596" s="9">
        <f>IF(B596="","",IF(COUNTIF('Vendors &amp; Crew'!$A$5:$A$34,B596)=0,"Worker not in Crew table",IF(C596="","Missing Job ID",IF(COUNTIF(Jobs!$A$5:$A$44,C596)=0,"Unknown Job ID",IF(E596="","Missing hours",IF(A596="","Missing date",""))))))</f>
        <v/>
      </c>
      <c r="N596" s="35" t="n"/>
    </row>
    <row r="597">
      <c r="A597" s="40" t="n"/>
      <c r="B597" s="35" t="n"/>
      <c r="C597" s="35" t="n"/>
      <c r="D597" s="35" t="n"/>
      <c r="E597" s="61" t="n"/>
      <c r="F597" s="37" t="n"/>
      <c r="G597" s="39">
        <f>IF(B597="","",IF(F597&lt;&gt;"",F597,IFERROR(VLOOKUP(B597,'Vendors &amp; Crew'!$A$5:$D$34,3,FALSE),0)))</f>
        <v/>
      </c>
      <c r="H597" s="39">
        <f>IF(B597="","",E597*G597*(1+Settings!$B$18))</f>
        <v/>
      </c>
      <c r="I597" s="39">
        <f>IF(B597="","",IFERROR(VLOOKUP(B597,'Vendors &amp; Crew'!$A$5:$D$34,4,FALSE),0))</f>
        <v/>
      </c>
      <c r="J597" s="39">
        <f>IF(B597="","",E597*I597)</f>
        <v/>
      </c>
      <c r="K597" s="59">
        <f>IF(A597="","",A597-WEEKDAY(A597,2)+7)</f>
        <v/>
      </c>
      <c r="L597" s="9">
        <f>IF(B597="","",IF(D597="","Labor",IFERROR(VLOOKUP(D597,Settings!$E$5:$G$28,3,FALSE),"Labor")))</f>
        <v/>
      </c>
      <c r="M597" s="9">
        <f>IF(B597="","",IF(COUNTIF('Vendors &amp; Crew'!$A$5:$A$34,B597)=0,"Worker not in Crew table",IF(C597="","Missing Job ID",IF(COUNTIF(Jobs!$A$5:$A$44,C597)=0,"Unknown Job ID",IF(E597="","Missing hours",IF(A597="","Missing date",""))))))</f>
        <v/>
      </c>
      <c r="N597" s="35" t="n"/>
    </row>
    <row r="598">
      <c r="A598" s="40" t="n"/>
      <c r="B598" s="35" t="n"/>
      <c r="C598" s="35" t="n"/>
      <c r="D598" s="35" t="n"/>
      <c r="E598" s="61" t="n"/>
      <c r="F598" s="37" t="n"/>
      <c r="G598" s="39">
        <f>IF(B598="","",IF(F598&lt;&gt;"",F598,IFERROR(VLOOKUP(B598,'Vendors &amp; Crew'!$A$5:$D$34,3,FALSE),0)))</f>
        <v/>
      </c>
      <c r="H598" s="39">
        <f>IF(B598="","",E598*G598*(1+Settings!$B$18))</f>
        <v/>
      </c>
      <c r="I598" s="39">
        <f>IF(B598="","",IFERROR(VLOOKUP(B598,'Vendors &amp; Crew'!$A$5:$D$34,4,FALSE),0))</f>
        <v/>
      </c>
      <c r="J598" s="39">
        <f>IF(B598="","",E598*I598)</f>
        <v/>
      </c>
      <c r="K598" s="59">
        <f>IF(A598="","",A598-WEEKDAY(A598,2)+7)</f>
        <v/>
      </c>
      <c r="L598" s="9">
        <f>IF(B598="","",IF(D598="","Labor",IFERROR(VLOOKUP(D598,Settings!$E$5:$G$28,3,FALSE),"Labor")))</f>
        <v/>
      </c>
      <c r="M598" s="9">
        <f>IF(B598="","",IF(COUNTIF('Vendors &amp; Crew'!$A$5:$A$34,B598)=0,"Worker not in Crew table",IF(C598="","Missing Job ID",IF(COUNTIF(Jobs!$A$5:$A$44,C598)=0,"Unknown Job ID",IF(E598="","Missing hours",IF(A598="","Missing date",""))))))</f>
        <v/>
      </c>
      <c r="N598" s="35" t="n"/>
    </row>
    <row r="599">
      <c r="A599" s="40" t="n"/>
      <c r="B599" s="35" t="n"/>
      <c r="C599" s="35" t="n"/>
      <c r="D599" s="35" t="n"/>
      <c r="E599" s="61" t="n"/>
      <c r="F599" s="37" t="n"/>
      <c r="G599" s="39">
        <f>IF(B599="","",IF(F599&lt;&gt;"",F599,IFERROR(VLOOKUP(B599,'Vendors &amp; Crew'!$A$5:$D$34,3,FALSE),0)))</f>
        <v/>
      </c>
      <c r="H599" s="39">
        <f>IF(B599="","",E599*G599*(1+Settings!$B$18))</f>
        <v/>
      </c>
      <c r="I599" s="39">
        <f>IF(B599="","",IFERROR(VLOOKUP(B599,'Vendors &amp; Crew'!$A$5:$D$34,4,FALSE),0))</f>
        <v/>
      </c>
      <c r="J599" s="39">
        <f>IF(B599="","",E599*I599)</f>
        <v/>
      </c>
      <c r="K599" s="59">
        <f>IF(A599="","",A599-WEEKDAY(A599,2)+7)</f>
        <v/>
      </c>
      <c r="L599" s="9">
        <f>IF(B599="","",IF(D599="","Labor",IFERROR(VLOOKUP(D599,Settings!$E$5:$G$28,3,FALSE),"Labor")))</f>
        <v/>
      </c>
      <c r="M599" s="9">
        <f>IF(B599="","",IF(COUNTIF('Vendors &amp; Crew'!$A$5:$A$34,B599)=0,"Worker not in Crew table",IF(C599="","Missing Job ID",IF(COUNTIF(Jobs!$A$5:$A$44,C599)=0,"Unknown Job ID",IF(E599="","Missing hours",IF(A599="","Missing date",""))))))</f>
        <v/>
      </c>
      <c r="N599" s="35" t="n"/>
    </row>
    <row r="600">
      <c r="A600" s="40" t="n"/>
      <c r="B600" s="35" t="n"/>
      <c r="C600" s="35" t="n"/>
      <c r="D600" s="35" t="n"/>
      <c r="E600" s="61" t="n"/>
      <c r="F600" s="37" t="n"/>
      <c r="G600" s="39">
        <f>IF(B600="","",IF(F600&lt;&gt;"",F600,IFERROR(VLOOKUP(B600,'Vendors &amp; Crew'!$A$5:$D$34,3,FALSE),0)))</f>
        <v/>
      </c>
      <c r="H600" s="39">
        <f>IF(B600="","",E600*G600*(1+Settings!$B$18))</f>
        <v/>
      </c>
      <c r="I600" s="39">
        <f>IF(B600="","",IFERROR(VLOOKUP(B600,'Vendors &amp; Crew'!$A$5:$D$34,4,FALSE),0))</f>
        <v/>
      </c>
      <c r="J600" s="39">
        <f>IF(B600="","",E600*I600)</f>
        <v/>
      </c>
      <c r="K600" s="59">
        <f>IF(A600="","",A600-WEEKDAY(A600,2)+7)</f>
        <v/>
      </c>
      <c r="L600" s="9">
        <f>IF(B600="","",IF(D600="","Labor",IFERROR(VLOOKUP(D600,Settings!$E$5:$G$28,3,FALSE),"Labor")))</f>
        <v/>
      </c>
      <c r="M600" s="9">
        <f>IF(B600="","",IF(COUNTIF('Vendors &amp; Crew'!$A$5:$A$34,B600)=0,"Worker not in Crew table",IF(C600="","Missing Job ID",IF(COUNTIF(Jobs!$A$5:$A$44,C600)=0,"Unknown Job ID",IF(E600="","Missing hours",IF(A600="","Missing date",""))))))</f>
        <v/>
      </c>
      <c r="N600" s="35" t="n"/>
    </row>
    <row r="601">
      <c r="A601" s="40" t="n"/>
      <c r="B601" s="35" t="n"/>
      <c r="C601" s="35" t="n"/>
      <c r="D601" s="35" t="n"/>
      <c r="E601" s="61" t="n"/>
      <c r="F601" s="37" t="n"/>
      <c r="G601" s="39">
        <f>IF(B601="","",IF(F601&lt;&gt;"",F601,IFERROR(VLOOKUP(B601,'Vendors &amp; Crew'!$A$5:$D$34,3,FALSE),0)))</f>
        <v/>
      </c>
      <c r="H601" s="39">
        <f>IF(B601="","",E601*G601*(1+Settings!$B$18))</f>
        <v/>
      </c>
      <c r="I601" s="39">
        <f>IF(B601="","",IFERROR(VLOOKUP(B601,'Vendors &amp; Crew'!$A$5:$D$34,4,FALSE),0))</f>
        <v/>
      </c>
      <c r="J601" s="39">
        <f>IF(B601="","",E601*I601)</f>
        <v/>
      </c>
      <c r="K601" s="59">
        <f>IF(A601="","",A601-WEEKDAY(A601,2)+7)</f>
        <v/>
      </c>
      <c r="L601" s="9">
        <f>IF(B601="","",IF(D601="","Labor",IFERROR(VLOOKUP(D601,Settings!$E$5:$G$28,3,FALSE),"Labor")))</f>
        <v/>
      </c>
      <c r="M601" s="9">
        <f>IF(B601="","",IF(COUNTIF('Vendors &amp; Crew'!$A$5:$A$34,B601)=0,"Worker not in Crew table",IF(C601="","Missing Job ID",IF(COUNTIF(Jobs!$A$5:$A$44,C601)=0,"Unknown Job ID",IF(E601="","Missing hours",IF(A601="","Missing date",""))))))</f>
        <v/>
      </c>
      <c r="N601" s="35" t="n"/>
    </row>
    <row r="602">
      <c r="A602" s="40" t="n"/>
      <c r="B602" s="35" t="n"/>
      <c r="C602" s="35" t="n"/>
      <c r="D602" s="35" t="n"/>
      <c r="E602" s="61" t="n"/>
      <c r="F602" s="37" t="n"/>
      <c r="G602" s="39">
        <f>IF(B602="","",IF(F602&lt;&gt;"",F602,IFERROR(VLOOKUP(B602,'Vendors &amp; Crew'!$A$5:$D$34,3,FALSE),0)))</f>
        <v/>
      </c>
      <c r="H602" s="39">
        <f>IF(B602="","",E602*G602*(1+Settings!$B$18))</f>
        <v/>
      </c>
      <c r="I602" s="39">
        <f>IF(B602="","",IFERROR(VLOOKUP(B602,'Vendors &amp; Crew'!$A$5:$D$34,4,FALSE),0))</f>
        <v/>
      </c>
      <c r="J602" s="39">
        <f>IF(B602="","",E602*I602)</f>
        <v/>
      </c>
      <c r="K602" s="59">
        <f>IF(A602="","",A602-WEEKDAY(A602,2)+7)</f>
        <v/>
      </c>
      <c r="L602" s="9">
        <f>IF(B602="","",IF(D602="","Labor",IFERROR(VLOOKUP(D602,Settings!$E$5:$G$28,3,FALSE),"Labor")))</f>
        <v/>
      </c>
      <c r="M602" s="9">
        <f>IF(B602="","",IF(COUNTIF('Vendors &amp; Crew'!$A$5:$A$34,B602)=0,"Worker not in Crew table",IF(C602="","Missing Job ID",IF(COUNTIF(Jobs!$A$5:$A$44,C602)=0,"Unknown Job ID",IF(E602="","Missing hours",IF(A602="","Missing date",""))))))</f>
        <v/>
      </c>
      <c r="N602" s="35" t="n"/>
    </row>
    <row r="603">
      <c r="A603" s="40" t="n"/>
      <c r="B603" s="35" t="n"/>
      <c r="C603" s="35" t="n"/>
      <c r="D603" s="35" t="n"/>
      <c r="E603" s="61" t="n"/>
      <c r="F603" s="37" t="n"/>
      <c r="G603" s="39">
        <f>IF(B603="","",IF(F603&lt;&gt;"",F603,IFERROR(VLOOKUP(B603,'Vendors &amp; Crew'!$A$5:$D$34,3,FALSE),0)))</f>
        <v/>
      </c>
      <c r="H603" s="39">
        <f>IF(B603="","",E603*G603*(1+Settings!$B$18))</f>
        <v/>
      </c>
      <c r="I603" s="39">
        <f>IF(B603="","",IFERROR(VLOOKUP(B603,'Vendors &amp; Crew'!$A$5:$D$34,4,FALSE),0))</f>
        <v/>
      </c>
      <c r="J603" s="39">
        <f>IF(B603="","",E603*I603)</f>
        <v/>
      </c>
      <c r="K603" s="59">
        <f>IF(A603="","",A603-WEEKDAY(A603,2)+7)</f>
        <v/>
      </c>
      <c r="L603" s="9">
        <f>IF(B603="","",IF(D603="","Labor",IFERROR(VLOOKUP(D603,Settings!$E$5:$G$28,3,FALSE),"Labor")))</f>
        <v/>
      </c>
      <c r="M603" s="9">
        <f>IF(B603="","",IF(COUNTIF('Vendors &amp; Crew'!$A$5:$A$34,B603)=0,"Worker not in Crew table",IF(C603="","Missing Job ID",IF(COUNTIF(Jobs!$A$5:$A$44,C603)=0,"Unknown Job ID",IF(E603="","Missing hours",IF(A603="","Missing date",""))))))</f>
        <v/>
      </c>
      <c r="N603" s="35" t="n"/>
    </row>
    <row r="604">
      <c r="A604" s="40" t="n"/>
      <c r="B604" s="35" t="n"/>
      <c r="C604" s="35" t="n"/>
      <c r="D604" s="35" t="n"/>
      <c r="E604" s="61" t="n"/>
      <c r="F604" s="37" t="n"/>
      <c r="G604" s="39">
        <f>IF(B604="","",IF(F604&lt;&gt;"",F604,IFERROR(VLOOKUP(B604,'Vendors &amp; Crew'!$A$5:$D$34,3,FALSE),0)))</f>
        <v/>
      </c>
      <c r="H604" s="39">
        <f>IF(B604="","",E604*G604*(1+Settings!$B$18))</f>
        <v/>
      </c>
      <c r="I604" s="39">
        <f>IF(B604="","",IFERROR(VLOOKUP(B604,'Vendors &amp; Crew'!$A$5:$D$34,4,FALSE),0))</f>
        <v/>
      </c>
      <c r="J604" s="39">
        <f>IF(B604="","",E604*I604)</f>
        <v/>
      </c>
      <c r="K604" s="59">
        <f>IF(A604="","",A604-WEEKDAY(A604,2)+7)</f>
        <v/>
      </c>
      <c r="L604" s="9">
        <f>IF(B604="","",IF(D604="","Labor",IFERROR(VLOOKUP(D604,Settings!$E$5:$G$28,3,FALSE),"Labor")))</f>
        <v/>
      </c>
      <c r="M604" s="9">
        <f>IF(B604="","",IF(COUNTIF('Vendors &amp; Crew'!$A$5:$A$34,B604)=0,"Worker not in Crew table",IF(C604="","Missing Job ID",IF(COUNTIF(Jobs!$A$5:$A$44,C604)=0,"Unknown Job ID",IF(E604="","Missing hours",IF(A604="","Missing date",""))))))</f>
        <v/>
      </c>
      <c r="N604" s="35" t="n"/>
    </row>
    <row r="605">
      <c r="A605" s="40" t="n"/>
      <c r="B605" s="35" t="n"/>
      <c r="C605" s="35" t="n"/>
      <c r="D605" s="35" t="n"/>
      <c r="E605" s="61" t="n"/>
      <c r="F605" s="37" t="n"/>
      <c r="G605" s="39">
        <f>IF(B605="","",IF(F605&lt;&gt;"",F605,IFERROR(VLOOKUP(B605,'Vendors &amp; Crew'!$A$5:$D$34,3,FALSE),0)))</f>
        <v/>
      </c>
      <c r="H605" s="39">
        <f>IF(B605="","",E605*G605*(1+Settings!$B$18))</f>
        <v/>
      </c>
      <c r="I605" s="39">
        <f>IF(B605="","",IFERROR(VLOOKUP(B605,'Vendors &amp; Crew'!$A$5:$D$34,4,FALSE),0))</f>
        <v/>
      </c>
      <c r="J605" s="39">
        <f>IF(B605="","",E605*I605)</f>
        <v/>
      </c>
      <c r="K605" s="59">
        <f>IF(A605="","",A605-WEEKDAY(A605,2)+7)</f>
        <v/>
      </c>
      <c r="L605" s="9">
        <f>IF(B605="","",IF(D605="","Labor",IFERROR(VLOOKUP(D605,Settings!$E$5:$G$28,3,FALSE),"Labor")))</f>
        <v/>
      </c>
      <c r="M605" s="9">
        <f>IF(B605="","",IF(COUNTIF('Vendors &amp; Crew'!$A$5:$A$34,B605)=0,"Worker not in Crew table",IF(C605="","Missing Job ID",IF(COUNTIF(Jobs!$A$5:$A$44,C605)=0,"Unknown Job ID",IF(E605="","Missing hours",IF(A605="","Missing date",""))))))</f>
        <v/>
      </c>
      <c r="N605" s="35" t="n"/>
    </row>
    <row r="606">
      <c r="A606" s="40" t="n"/>
      <c r="B606" s="35" t="n"/>
      <c r="C606" s="35" t="n"/>
      <c r="D606" s="35" t="n"/>
      <c r="E606" s="61" t="n"/>
      <c r="F606" s="37" t="n"/>
      <c r="G606" s="39">
        <f>IF(B606="","",IF(F606&lt;&gt;"",F606,IFERROR(VLOOKUP(B606,'Vendors &amp; Crew'!$A$5:$D$34,3,FALSE),0)))</f>
        <v/>
      </c>
      <c r="H606" s="39">
        <f>IF(B606="","",E606*G606*(1+Settings!$B$18))</f>
        <v/>
      </c>
      <c r="I606" s="39">
        <f>IF(B606="","",IFERROR(VLOOKUP(B606,'Vendors &amp; Crew'!$A$5:$D$34,4,FALSE),0))</f>
        <v/>
      </c>
      <c r="J606" s="39">
        <f>IF(B606="","",E606*I606)</f>
        <v/>
      </c>
      <c r="K606" s="59">
        <f>IF(A606="","",A606-WEEKDAY(A606,2)+7)</f>
        <v/>
      </c>
      <c r="L606" s="9">
        <f>IF(B606="","",IF(D606="","Labor",IFERROR(VLOOKUP(D606,Settings!$E$5:$G$28,3,FALSE),"Labor")))</f>
        <v/>
      </c>
      <c r="M606" s="9">
        <f>IF(B606="","",IF(COUNTIF('Vendors &amp; Crew'!$A$5:$A$34,B606)=0,"Worker not in Crew table",IF(C606="","Missing Job ID",IF(COUNTIF(Jobs!$A$5:$A$44,C606)=0,"Unknown Job ID",IF(E606="","Missing hours",IF(A606="","Missing date",""))))))</f>
        <v/>
      </c>
      <c r="N606" s="35" t="n"/>
    </row>
    <row r="607">
      <c r="A607" s="40" t="n"/>
      <c r="B607" s="35" t="n"/>
      <c r="C607" s="35" t="n"/>
      <c r="D607" s="35" t="n"/>
      <c r="E607" s="61" t="n"/>
      <c r="F607" s="37" t="n"/>
      <c r="G607" s="39">
        <f>IF(B607="","",IF(F607&lt;&gt;"",F607,IFERROR(VLOOKUP(B607,'Vendors &amp; Crew'!$A$5:$D$34,3,FALSE),0)))</f>
        <v/>
      </c>
      <c r="H607" s="39">
        <f>IF(B607="","",E607*G607*(1+Settings!$B$18))</f>
        <v/>
      </c>
      <c r="I607" s="39">
        <f>IF(B607="","",IFERROR(VLOOKUP(B607,'Vendors &amp; Crew'!$A$5:$D$34,4,FALSE),0))</f>
        <v/>
      </c>
      <c r="J607" s="39">
        <f>IF(B607="","",E607*I607)</f>
        <v/>
      </c>
      <c r="K607" s="59">
        <f>IF(A607="","",A607-WEEKDAY(A607,2)+7)</f>
        <v/>
      </c>
      <c r="L607" s="9">
        <f>IF(B607="","",IF(D607="","Labor",IFERROR(VLOOKUP(D607,Settings!$E$5:$G$28,3,FALSE),"Labor")))</f>
        <v/>
      </c>
      <c r="M607" s="9">
        <f>IF(B607="","",IF(COUNTIF('Vendors &amp; Crew'!$A$5:$A$34,B607)=0,"Worker not in Crew table",IF(C607="","Missing Job ID",IF(COUNTIF(Jobs!$A$5:$A$44,C607)=0,"Unknown Job ID",IF(E607="","Missing hours",IF(A607="","Missing date",""))))))</f>
        <v/>
      </c>
      <c r="N607" s="35" t="n"/>
    </row>
    <row r="608">
      <c r="A608" s="40" t="n"/>
      <c r="B608" s="35" t="n"/>
      <c r="C608" s="35" t="n"/>
      <c r="D608" s="35" t="n"/>
      <c r="E608" s="61" t="n"/>
      <c r="F608" s="37" t="n"/>
      <c r="G608" s="39">
        <f>IF(B608="","",IF(F608&lt;&gt;"",F608,IFERROR(VLOOKUP(B608,'Vendors &amp; Crew'!$A$5:$D$34,3,FALSE),0)))</f>
        <v/>
      </c>
      <c r="H608" s="39">
        <f>IF(B608="","",E608*G608*(1+Settings!$B$18))</f>
        <v/>
      </c>
      <c r="I608" s="39">
        <f>IF(B608="","",IFERROR(VLOOKUP(B608,'Vendors &amp; Crew'!$A$5:$D$34,4,FALSE),0))</f>
        <v/>
      </c>
      <c r="J608" s="39">
        <f>IF(B608="","",E608*I608)</f>
        <v/>
      </c>
      <c r="K608" s="59">
        <f>IF(A608="","",A608-WEEKDAY(A608,2)+7)</f>
        <v/>
      </c>
      <c r="L608" s="9">
        <f>IF(B608="","",IF(D608="","Labor",IFERROR(VLOOKUP(D608,Settings!$E$5:$G$28,3,FALSE),"Labor")))</f>
        <v/>
      </c>
      <c r="M608" s="9">
        <f>IF(B608="","",IF(COUNTIF('Vendors &amp; Crew'!$A$5:$A$34,B608)=0,"Worker not in Crew table",IF(C608="","Missing Job ID",IF(COUNTIF(Jobs!$A$5:$A$44,C608)=0,"Unknown Job ID",IF(E608="","Missing hours",IF(A608="","Missing date",""))))))</f>
        <v/>
      </c>
      <c r="N608" s="35" t="n"/>
    </row>
    <row r="609">
      <c r="A609" s="40" t="n"/>
      <c r="B609" s="35" t="n"/>
      <c r="C609" s="35" t="n"/>
      <c r="D609" s="35" t="n"/>
      <c r="E609" s="61" t="n"/>
      <c r="F609" s="37" t="n"/>
      <c r="G609" s="39">
        <f>IF(B609="","",IF(F609&lt;&gt;"",F609,IFERROR(VLOOKUP(B609,'Vendors &amp; Crew'!$A$5:$D$34,3,FALSE),0)))</f>
        <v/>
      </c>
      <c r="H609" s="39">
        <f>IF(B609="","",E609*G609*(1+Settings!$B$18))</f>
        <v/>
      </c>
      <c r="I609" s="39">
        <f>IF(B609="","",IFERROR(VLOOKUP(B609,'Vendors &amp; Crew'!$A$5:$D$34,4,FALSE),0))</f>
        <v/>
      </c>
      <c r="J609" s="39">
        <f>IF(B609="","",E609*I609)</f>
        <v/>
      </c>
      <c r="K609" s="59">
        <f>IF(A609="","",A609-WEEKDAY(A609,2)+7)</f>
        <v/>
      </c>
      <c r="L609" s="9">
        <f>IF(B609="","",IF(D609="","Labor",IFERROR(VLOOKUP(D609,Settings!$E$5:$G$28,3,FALSE),"Labor")))</f>
        <v/>
      </c>
      <c r="M609" s="9">
        <f>IF(B609="","",IF(COUNTIF('Vendors &amp; Crew'!$A$5:$A$34,B609)=0,"Worker not in Crew table",IF(C609="","Missing Job ID",IF(COUNTIF(Jobs!$A$5:$A$44,C609)=0,"Unknown Job ID",IF(E609="","Missing hours",IF(A609="","Missing date",""))))))</f>
        <v/>
      </c>
      <c r="N609" s="35" t="n"/>
    </row>
    <row r="610">
      <c r="A610" s="40" t="n"/>
      <c r="B610" s="35" t="n"/>
      <c r="C610" s="35" t="n"/>
      <c r="D610" s="35" t="n"/>
      <c r="E610" s="61" t="n"/>
      <c r="F610" s="37" t="n"/>
      <c r="G610" s="39">
        <f>IF(B610="","",IF(F610&lt;&gt;"",F610,IFERROR(VLOOKUP(B610,'Vendors &amp; Crew'!$A$5:$D$34,3,FALSE),0)))</f>
        <v/>
      </c>
      <c r="H610" s="39">
        <f>IF(B610="","",E610*G610*(1+Settings!$B$18))</f>
        <v/>
      </c>
      <c r="I610" s="39">
        <f>IF(B610="","",IFERROR(VLOOKUP(B610,'Vendors &amp; Crew'!$A$5:$D$34,4,FALSE),0))</f>
        <v/>
      </c>
      <c r="J610" s="39">
        <f>IF(B610="","",E610*I610)</f>
        <v/>
      </c>
      <c r="K610" s="59">
        <f>IF(A610="","",A610-WEEKDAY(A610,2)+7)</f>
        <v/>
      </c>
      <c r="L610" s="9">
        <f>IF(B610="","",IF(D610="","Labor",IFERROR(VLOOKUP(D610,Settings!$E$5:$G$28,3,FALSE),"Labor")))</f>
        <v/>
      </c>
      <c r="M610" s="9">
        <f>IF(B610="","",IF(COUNTIF('Vendors &amp; Crew'!$A$5:$A$34,B610)=0,"Worker not in Crew table",IF(C610="","Missing Job ID",IF(COUNTIF(Jobs!$A$5:$A$44,C610)=0,"Unknown Job ID",IF(E610="","Missing hours",IF(A610="","Missing date",""))))))</f>
        <v/>
      </c>
      <c r="N610" s="35" t="n"/>
    </row>
    <row r="611">
      <c r="A611" s="40" t="n"/>
      <c r="B611" s="35" t="n"/>
      <c r="C611" s="35" t="n"/>
      <c r="D611" s="35" t="n"/>
      <c r="E611" s="61" t="n"/>
      <c r="F611" s="37" t="n"/>
      <c r="G611" s="39">
        <f>IF(B611="","",IF(F611&lt;&gt;"",F611,IFERROR(VLOOKUP(B611,'Vendors &amp; Crew'!$A$5:$D$34,3,FALSE),0)))</f>
        <v/>
      </c>
      <c r="H611" s="39">
        <f>IF(B611="","",E611*G611*(1+Settings!$B$18))</f>
        <v/>
      </c>
      <c r="I611" s="39">
        <f>IF(B611="","",IFERROR(VLOOKUP(B611,'Vendors &amp; Crew'!$A$5:$D$34,4,FALSE),0))</f>
        <v/>
      </c>
      <c r="J611" s="39">
        <f>IF(B611="","",E611*I611)</f>
        <v/>
      </c>
      <c r="K611" s="59">
        <f>IF(A611="","",A611-WEEKDAY(A611,2)+7)</f>
        <v/>
      </c>
      <c r="L611" s="9">
        <f>IF(B611="","",IF(D611="","Labor",IFERROR(VLOOKUP(D611,Settings!$E$5:$G$28,3,FALSE),"Labor")))</f>
        <v/>
      </c>
      <c r="M611" s="9">
        <f>IF(B611="","",IF(COUNTIF('Vendors &amp; Crew'!$A$5:$A$34,B611)=0,"Worker not in Crew table",IF(C611="","Missing Job ID",IF(COUNTIF(Jobs!$A$5:$A$44,C611)=0,"Unknown Job ID",IF(E611="","Missing hours",IF(A611="","Missing date",""))))))</f>
        <v/>
      </c>
      <c r="N611" s="35" t="n"/>
    </row>
    <row r="612">
      <c r="A612" s="40" t="n"/>
      <c r="B612" s="35" t="n"/>
      <c r="C612" s="35" t="n"/>
      <c r="D612" s="35" t="n"/>
      <c r="E612" s="61" t="n"/>
      <c r="F612" s="37" t="n"/>
      <c r="G612" s="39">
        <f>IF(B612="","",IF(F612&lt;&gt;"",F612,IFERROR(VLOOKUP(B612,'Vendors &amp; Crew'!$A$5:$D$34,3,FALSE),0)))</f>
        <v/>
      </c>
      <c r="H612" s="39">
        <f>IF(B612="","",E612*G612*(1+Settings!$B$18))</f>
        <v/>
      </c>
      <c r="I612" s="39">
        <f>IF(B612="","",IFERROR(VLOOKUP(B612,'Vendors &amp; Crew'!$A$5:$D$34,4,FALSE),0))</f>
        <v/>
      </c>
      <c r="J612" s="39">
        <f>IF(B612="","",E612*I612)</f>
        <v/>
      </c>
      <c r="K612" s="59">
        <f>IF(A612="","",A612-WEEKDAY(A612,2)+7)</f>
        <v/>
      </c>
      <c r="L612" s="9">
        <f>IF(B612="","",IF(D612="","Labor",IFERROR(VLOOKUP(D612,Settings!$E$5:$G$28,3,FALSE),"Labor")))</f>
        <v/>
      </c>
      <c r="M612" s="9">
        <f>IF(B612="","",IF(COUNTIF('Vendors &amp; Crew'!$A$5:$A$34,B612)=0,"Worker not in Crew table",IF(C612="","Missing Job ID",IF(COUNTIF(Jobs!$A$5:$A$44,C612)=0,"Unknown Job ID",IF(E612="","Missing hours",IF(A612="","Missing date",""))))))</f>
        <v/>
      </c>
      <c r="N612" s="35" t="n"/>
    </row>
    <row r="613">
      <c r="A613" s="40" t="n"/>
      <c r="B613" s="35" t="n"/>
      <c r="C613" s="35" t="n"/>
      <c r="D613" s="35" t="n"/>
      <c r="E613" s="61" t="n"/>
      <c r="F613" s="37" t="n"/>
      <c r="G613" s="39">
        <f>IF(B613="","",IF(F613&lt;&gt;"",F613,IFERROR(VLOOKUP(B613,'Vendors &amp; Crew'!$A$5:$D$34,3,FALSE),0)))</f>
        <v/>
      </c>
      <c r="H613" s="39">
        <f>IF(B613="","",E613*G613*(1+Settings!$B$18))</f>
        <v/>
      </c>
      <c r="I613" s="39">
        <f>IF(B613="","",IFERROR(VLOOKUP(B613,'Vendors &amp; Crew'!$A$5:$D$34,4,FALSE),0))</f>
        <v/>
      </c>
      <c r="J613" s="39">
        <f>IF(B613="","",E613*I613)</f>
        <v/>
      </c>
      <c r="K613" s="59">
        <f>IF(A613="","",A613-WEEKDAY(A613,2)+7)</f>
        <v/>
      </c>
      <c r="L613" s="9">
        <f>IF(B613="","",IF(D613="","Labor",IFERROR(VLOOKUP(D613,Settings!$E$5:$G$28,3,FALSE),"Labor")))</f>
        <v/>
      </c>
      <c r="M613" s="9">
        <f>IF(B613="","",IF(COUNTIF('Vendors &amp; Crew'!$A$5:$A$34,B613)=0,"Worker not in Crew table",IF(C613="","Missing Job ID",IF(COUNTIF(Jobs!$A$5:$A$44,C613)=0,"Unknown Job ID",IF(E613="","Missing hours",IF(A613="","Missing date",""))))))</f>
        <v/>
      </c>
      <c r="N613" s="35" t="n"/>
    </row>
    <row r="614">
      <c r="A614" s="40" t="n"/>
      <c r="B614" s="35" t="n"/>
      <c r="C614" s="35" t="n"/>
      <c r="D614" s="35" t="n"/>
      <c r="E614" s="61" t="n"/>
      <c r="F614" s="37" t="n"/>
      <c r="G614" s="39">
        <f>IF(B614="","",IF(F614&lt;&gt;"",F614,IFERROR(VLOOKUP(B614,'Vendors &amp; Crew'!$A$5:$D$34,3,FALSE),0)))</f>
        <v/>
      </c>
      <c r="H614" s="39">
        <f>IF(B614="","",E614*G614*(1+Settings!$B$18))</f>
        <v/>
      </c>
      <c r="I614" s="39">
        <f>IF(B614="","",IFERROR(VLOOKUP(B614,'Vendors &amp; Crew'!$A$5:$D$34,4,FALSE),0))</f>
        <v/>
      </c>
      <c r="J614" s="39">
        <f>IF(B614="","",E614*I614)</f>
        <v/>
      </c>
      <c r="K614" s="59">
        <f>IF(A614="","",A614-WEEKDAY(A614,2)+7)</f>
        <v/>
      </c>
      <c r="L614" s="9">
        <f>IF(B614="","",IF(D614="","Labor",IFERROR(VLOOKUP(D614,Settings!$E$5:$G$28,3,FALSE),"Labor")))</f>
        <v/>
      </c>
      <c r="M614" s="9">
        <f>IF(B614="","",IF(COUNTIF('Vendors &amp; Crew'!$A$5:$A$34,B614)=0,"Worker not in Crew table",IF(C614="","Missing Job ID",IF(COUNTIF(Jobs!$A$5:$A$44,C614)=0,"Unknown Job ID",IF(E614="","Missing hours",IF(A614="","Missing date",""))))))</f>
        <v/>
      </c>
      <c r="N614" s="35" t="n"/>
    </row>
    <row r="615">
      <c r="A615" s="40" t="n"/>
      <c r="B615" s="35" t="n"/>
      <c r="C615" s="35" t="n"/>
      <c r="D615" s="35" t="n"/>
      <c r="E615" s="61" t="n"/>
      <c r="F615" s="37" t="n"/>
      <c r="G615" s="39">
        <f>IF(B615="","",IF(F615&lt;&gt;"",F615,IFERROR(VLOOKUP(B615,'Vendors &amp; Crew'!$A$5:$D$34,3,FALSE),0)))</f>
        <v/>
      </c>
      <c r="H615" s="39">
        <f>IF(B615="","",E615*G615*(1+Settings!$B$18))</f>
        <v/>
      </c>
      <c r="I615" s="39">
        <f>IF(B615="","",IFERROR(VLOOKUP(B615,'Vendors &amp; Crew'!$A$5:$D$34,4,FALSE),0))</f>
        <v/>
      </c>
      <c r="J615" s="39">
        <f>IF(B615="","",E615*I615)</f>
        <v/>
      </c>
      <c r="K615" s="59">
        <f>IF(A615="","",A615-WEEKDAY(A615,2)+7)</f>
        <v/>
      </c>
      <c r="L615" s="9">
        <f>IF(B615="","",IF(D615="","Labor",IFERROR(VLOOKUP(D615,Settings!$E$5:$G$28,3,FALSE),"Labor")))</f>
        <v/>
      </c>
      <c r="M615" s="9">
        <f>IF(B615="","",IF(COUNTIF('Vendors &amp; Crew'!$A$5:$A$34,B615)=0,"Worker not in Crew table",IF(C615="","Missing Job ID",IF(COUNTIF(Jobs!$A$5:$A$44,C615)=0,"Unknown Job ID",IF(E615="","Missing hours",IF(A615="","Missing date",""))))))</f>
        <v/>
      </c>
      <c r="N615" s="35" t="n"/>
    </row>
    <row r="616">
      <c r="A616" s="40" t="n"/>
      <c r="B616" s="35" t="n"/>
      <c r="C616" s="35" t="n"/>
      <c r="D616" s="35" t="n"/>
      <c r="E616" s="61" t="n"/>
      <c r="F616" s="37" t="n"/>
      <c r="G616" s="39">
        <f>IF(B616="","",IF(F616&lt;&gt;"",F616,IFERROR(VLOOKUP(B616,'Vendors &amp; Crew'!$A$5:$D$34,3,FALSE),0)))</f>
        <v/>
      </c>
      <c r="H616" s="39">
        <f>IF(B616="","",E616*G616*(1+Settings!$B$18))</f>
        <v/>
      </c>
      <c r="I616" s="39">
        <f>IF(B616="","",IFERROR(VLOOKUP(B616,'Vendors &amp; Crew'!$A$5:$D$34,4,FALSE),0))</f>
        <v/>
      </c>
      <c r="J616" s="39">
        <f>IF(B616="","",E616*I616)</f>
        <v/>
      </c>
      <c r="K616" s="59">
        <f>IF(A616="","",A616-WEEKDAY(A616,2)+7)</f>
        <v/>
      </c>
      <c r="L616" s="9">
        <f>IF(B616="","",IF(D616="","Labor",IFERROR(VLOOKUP(D616,Settings!$E$5:$G$28,3,FALSE),"Labor")))</f>
        <v/>
      </c>
      <c r="M616" s="9">
        <f>IF(B616="","",IF(COUNTIF('Vendors &amp; Crew'!$A$5:$A$34,B616)=0,"Worker not in Crew table",IF(C616="","Missing Job ID",IF(COUNTIF(Jobs!$A$5:$A$44,C616)=0,"Unknown Job ID",IF(E616="","Missing hours",IF(A616="","Missing date",""))))))</f>
        <v/>
      </c>
      <c r="N616" s="35" t="n"/>
    </row>
    <row r="617">
      <c r="A617" s="40" t="n"/>
      <c r="B617" s="35" t="n"/>
      <c r="C617" s="35" t="n"/>
      <c r="D617" s="35" t="n"/>
      <c r="E617" s="61" t="n"/>
      <c r="F617" s="37" t="n"/>
      <c r="G617" s="39">
        <f>IF(B617="","",IF(F617&lt;&gt;"",F617,IFERROR(VLOOKUP(B617,'Vendors &amp; Crew'!$A$5:$D$34,3,FALSE),0)))</f>
        <v/>
      </c>
      <c r="H617" s="39">
        <f>IF(B617="","",E617*G617*(1+Settings!$B$18))</f>
        <v/>
      </c>
      <c r="I617" s="39">
        <f>IF(B617="","",IFERROR(VLOOKUP(B617,'Vendors &amp; Crew'!$A$5:$D$34,4,FALSE),0))</f>
        <v/>
      </c>
      <c r="J617" s="39">
        <f>IF(B617="","",E617*I617)</f>
        <v/>
      </c>
      <c r="K617" s="59">
        <f>IF(A617="","",A617-WEEKDAY(A617,2)+7)</f>
        <v/>
      </c>
      <c r="L617" s="9">
        <f>IF(B617="","",IF(D617="","Labor",IFERROR(VLOOKUP(D617,Settings!$E$5:$G$28,3,FALSE),"Labor")))</f>
        <v/>
      </c>
      <c r="M617" s="9">
        <f>IF(B617="","",IF(COUNTIF('Vendors &amp; Crew'!$A$5:$A$34,B617)=0,"Worker not in Crew table",IF(C617="","Missing Job ID",IF(COUNTIF(Jobs!$A$5:$A$44,C617)=0,"Unknown Job ID",IF(E617="","Missing hours",IF(A617="","Missing date",""))))))</f>
        <v/>
      </c>
      <c r="N617" s="35" t="n"/>
    </row>
    <row r="618">
      <c r="A618" s="40" t="n"/>
      <c r="B618" s="35" t="n"/>
      <c r="C618" s="35" t="n"/>
      <c r="D618" s="35" t="n"/>
      <c r="E618" s="61" t="n"/>
      <c r="F618" s="37" t="n"/>
      <c r="G618" s="39">
        <f>IF(B618="","",IF(F618&lt;&gt;"",F618,IFERROR(VLOOKUP(B618,'Vendors &amp; Crew'!$A$5:$D$34,3,FALSE),0)))</f>
        <v/>
      </c>
      <c r="H618" s="39">
        <f>IF(B618="","",E618*G618*(1+Settings!$B$18))</f>
        <v/>
      </c>
      <c r="I618" s="39">
        <f>IF(B618="","",IFERROR(VLOOKUP(B618,'Vendors &amp; Crew'!$A$5:$D$34,4,FALSE),0))</f>
        <v/>
      </c>
      <c r="J618" s="39">
        <f>IF(B618="","",E618*I618)</f>
        <v/>
      </c>
      <c r="K618" s="59">
        <f>IF(A618="","",A618-WEEKDAY(A618,2)+7)</f>
        <v/>
      </c>
      <c r="L618" s="9">
        <f>IF(B618="","",IF(D618="","Labor",IFERROR(VLOOKUP(D618,Settings!$E$5:$G$28,3,FALSE),"Labor")))</f>
        <v/>
      </c>
      <c r="M618" s="9">
        <f>IF(B618="","",IF(COUNTIF('Vendors &amp; Crew'!$A$5:$A$34,B618)=0,"Worker not in Crew table",IF(C618="","Missing Job ID",IF(COUNTIF(Jobs!$A$5:$A$44,C618)=0,"Unknown Job ID",IF(E618="","Missing hours",IF(A618="","Missing date",""))))))</f>
        <v/>
      </c>
      <c r="N618" s="35" t="n"/>
    </row>
    <row r="619">
      <c r="A619" s="40" t="n"/>
      <c r="B619" s="35" t="n"/>
      <c r="C619" s="35" t="n"/>
      <c r="D619" s="35" t="n"/>
      <c r="E619" s="61" t="n"/>
      <c r="F619" s="37" t="n"/>
      <c r="G619" s="39">
        <f>IF(B619="","",IF(F619&lt;&gt;"",F619,IFERROR(VLOOKUP(B619,'Vendors &amp; Crew'!$A$5:$D$34,3,FALSE),0)))</f>
        <v/>
      </c>
      <c r="H619" s="39">
        <f>IF(B619="","",E619*G619*(1+Settings!$B$18))</f>
        <v/>
      </c>
      <c r="I619" s="39">
        <f>IF(B619="","",IFERROR(VLOOKUP(B619,'Vendors &amp; Crew'!$A$5:$D$34,4,FALSE),0))</f>
        <v/>
      </c>
      <c r="J619" s="39">
        <f>IF(B619="","",E619*I619)</f>
        <v/>
      </c>
      <c r="K619" s="59">
        <f>IF(A619="","",A619-WEEKDAY(A619,2)+7)</f>
        <v/>
      </c>
      <c r="L619" s="9">
        <f>IF(B619="","",IF(D619="","Labor",IFERROR(VLOOKUP(D619,Settings!$E$5:$G$28,3,FALSE),"Labor")))</f>
        <v/>
      </c>
      <c r="M619" s="9">
        <f>IF(B619="","",IF(COUNTIF('Vendors &amp; Crew'!$A$5:$A$34,B619)=0,"Worker not in Crew table",IF(C619="","Missing Job ID",IF(COUNTIF(Jobs!$A$5:$A$44,C619)=0,"Unknown Job ID",IF(E619="","Missing hours",IF(A619="","Missing date",""))))))</f>
        <v/>
      </c>
      <c r="N619" s="35" t="n"/>
    </row>
    <row r="620">
      <c r="A620" s="40" t="n"/>
      <c r="B620" s="35" t="n"/>
      <c r="C620" s="35" t="n"/>
      <c r="D620" s="35" t="n"/>
      <c r="E620" s="61" t="n"/>
      <c r="F620" s="37" t="n"/>
      <c r="G620" s="39">
        <f>IF(B620="","",IF(F620&lt;&gt;"",F620,IFERROR(VLOOKUP(B620,'Vendors &amp; Crew'!$A$5:$D$34,3,FALSE),0)))</f>
        <v/>
      </c>
      <c r="H620" s="39">
        <f>IF(B620="","",E620*G620*(1+Settings!$B$18))</f>
        <v/>
      </c>
      <c r="I620" s="39">
        <f>IF(B620="","",IFERROR(VLOOKUP(B620,'Vendors &amp; Crew'!$A$5:$D$34,4,FALSE),0))</f>
        <v/>
      </c>
      <c r="J620" s="39">
        <f>IF(B620="","",E620*I620)</f>
        <v/>
      </c>
      <c r="K620" s="59">
        <f>IF(A620="","",A620-WEEKDAY(A620,2)+7)</f>
        <v/>
      </c>
      <c r="L620" s="9">
        <f>IF(B620="","",IF(D620="","Labor",IFERROR(VLOOKUP(D620,Settings!$E$5:$G$28,3,FALSE),"Labor")))</f>
        <v/>
      </c>
      <c r="M620" s="9">
        <f>IF(B620="","",IF(COUNTIF('Vendors &amp; Crew'!$A$5:$A$34,B620)=0,"Worker not in Crew table",IF(C620="","Missing Job ID",IF(COUNTIF(Jobs!$A$5:$A$44,C620)=0,"Unknown Job ID",IF(E620="","Missing hours",IF(A620="","Missing date",""))))))</f>
        <v/>
      </c>
      <c r="N620" s="35" t="n"/>
    </row>
    <row r="621">
      <c r="A621" s="40" t="n"/>
      <c r="B621" s="35" t="n"/>
      <c r="C621" s="35" t="n"/>
      <c r="D621" s="35" t="n"/>
      <c r="E621" s="61" t="n"/>
      <c r="F621" s="37" t="n"/>
      <c r="G621" s="39">
        <f>IF(B621="","",IF(F621&lt;&gt;"",F621,IFERROR(VLOOKUP(B621,'Vendors &amp; Crew'!$A$5:$D$34,3,FALSE),0)))</f>
        <v/>
      </c>
      <c r="H621" s="39">
        <f>IF(B621="","",E621*G621*(1+Settings!$B$18))</f>
        <v/>
      </c>
      <c r="I621" s="39">
        <f>IF(B621="","",IFERROR(VLOOKUP(B621,'Vendors &amp; Crew'!$A$5:$D$34,4,FALSE),0))</f>
        <v/>
      </c>
      <c r="J621" s="39">
        <f>IF(B621="","",E621*I621)</f>
        <v/>
      </c>
      <c r="K621" s="59">
        <f>IF(A621="","",A621-WEEKDAY(A621,2)+7)</f>
        <v/>
      </c>
      <c r="L621" s="9">
        <f>IF(B621="","",IF(D621="","Labor",IFERROR(VLOOKUP(D621,Settings!$E$5:$G$28,3,FALSE),"Labor")))</f>
        <v/>
      </c>
      <c r="M621" s="9">
        <f>IF(B621="","",IF(COUNTIF('Vendors &amp; Crew'!$A$5:$A$34,B621)=0,"Worker not in Crew table",IF(C621="","Missing Job ID",IF(COUNTIF(Jobs!$A$5:$A$44,C621)=0,"Unknown Job ID",IF(E621="","Missing hours",IF(A621="","Missing date",""))))))</f>
        <v/>
      </c>
      <c r="N621" s="35" t="n"/>
    </row>
    <row r="622">
      <c r="A622" s="40" t="n"/>
      <c r="B622" s="35" t="n"/>
      <c r="C622" s="35" t="n"/>
      <c r="D622" s="35" t="n"/>
      <c r="E622" s="61" t="n"/>
      <c r="F622" s="37" t="n"/>
      <c r="G622" s="39">
        <f>IF(B622="","",IF(F622&lt;&gt;"",F622,IFERROR(VLOOKUP(B622,'Vendors &amp; Crew'!$A$5:$D$34,3,FALSE),0)))</f>
        <v/>
      </c>
      <c r="H622" s="39">
        <f>IF(B622="","",E622*G622*(1+Settings!$B$18))</f>
        <v/>
      </c>
      <c r="I622" s="39">
        <f>IF(B622="","",IFERROR(VLOOKUP(B622,'Vendors &amp; Crew'!$A$5:$D$34,4,FALSE),0))</f>
        <v/>
      </c>
      <c r="J622" s="39">
        <f>IF(B622="","",E622*I622)</f>
        <v/>
      </c>
      <c r="K622" s="59">
        <f>IF(A622="","",A622-WEEKDAY(A622,2)+7)</f>
        <v/>
      </c>
      <c r="L622" s="9">
        <f>IF(B622="","",IF(D622="","Labor",IFERROR(VLOOKUP(D622,Settings!$E$5:$G$28,3,FALSE),"Labor")))</f>
        <v/>
      </c>
      <c r="M622" s="9">
        <f>IF(B622="","",IF(COUNTIF('Vendors &amp; Crew'!$A$5:$A$34,B622)=0,"Worker not in Crew table",IF(C622="","Missing Job ID",IF(COUNTIF(Jobs!$A$5:$A$44,C622)=0,"Unknown Job ID",IF(E622="","Missing hours",IF(A622="","Missing date",""))))))</f>
        <v/>
      </c>
      <c r="N622" s="35" t="n"/>
    </row>
    <row r="623">
      <c r="A623" s="40" t="n"/>
      <c r="B623" s="35" t="n"/>
      <c r="C623" s="35" t="n"/>
      <c r="D623" s="35" t="n"/>
      <c r="E623" s="61" t="n"/>
      <c r="F623" s="37" t="n"/>
      <c r="G623" s="39">
        <f>IF(B623="","",IF(F623&lt;&gt;"",F623,IFERROR(VLOOKUP(B623,'Vendors &amp; Crew'!$A$5:$D$34,3,FALSE),0)))</f>
        <v/>
      </c>
      <c r="H623" s="39">
        <f>IF(B623="","",E623*G623*(1+Settings!$B$18))</f>
        <v/>
      </c>
      <c r="I623" s="39">
        <f>IF(B623="","",IFERROR(VLOOKUP(B623,'Vendors &amp; Crew'!$A$5:$D$34,4,FALSE),0))</f>
        <v/>
      </c>
      <c r="J623" s="39">
        <f>IF(B623="","",E623*I623)</f>
        <v/>
      </c>
      <c r="K623" s="59">
        <f>IF(A623="","",A623-WEEKDAY(A623,2)+7)</f>
        <v/>
      </c>
      <c r="L623" s="9">
        <f>IF(B623="","",IF(D623="","Labor",IFERROR(VLOOKUP(D623,Settings!$E$5:$G$28,3,FALSE),"Labor")))</f>
        <v/>
      </c>
      <c r="M623" s="9">
        <f>IF(B623="","",IF(COUNTIF('Vendors &amp; Crew'!$A$5:$A$34,B623)=0,"Worker not in Crew table",IF(C623="","Missing Job ID",IF(COUNTIF(Jobs!$A$5:$A$44,C623)=0,"Unknown Job ID",IF(E623="","Missing hours",IF(A623="","Missing date",""))))))</f>
        <v/>
      </c>
      <c r="N623" s="35" t="n"/>
    </row>
    <row r="624">
      <c r="A624" s="40" t="n"/>
      <c r="B624" s="35" t="n"/>
      <c r="C624" s="35" t="n"/>
      <c r="D624" s="35" t="n"/>
      <c r="E624" s="61" t="n"/>
      <c r="F624" s="37" t="n"/>
      <c r="G624" s="39">
        <f>IF(B624="","",IF(F624&lt;&gt;"",F624,IFERROR(VLOOKUP(B624,'Vendors &amp; Crew'!$A$5:$D$34,3,FALSE),0)))</f>
        <v/>
      </c>
      <c r="H624" s="39">
        <f>IF(B624="","",E624*G624*(1+Settings!$B$18))</f>
        <v/>
      </c>
      <c r="I624" s="39">
        <f>IF(B624="","",IFERROR(VLOOKUP(B624,'Vendors &amp; Crew'!$A$5:$D$34,4,FALSE),0))</f>
        <v/>
      </c>
      <c r="J624" s="39">
        <f>IF(B624="","",E624*I624)</f>
        <v/>
      </c>
      <c r="K624" s="59">
        <f>IF(A624="","",A624-WEEKDAY(A624,2)+7)</f>
        <v/>
      </c>
      <c r="L624" s="9">
        <f>IF(B624="","",IF(D624="","Labor",IFERROR(VLOOKUP(D624,Settings!$E$5:$G$28,3,FALSE),"Labor")))</f>
        <v/>
      </c>
      <c r="M624" s="9">
        <f>IF(B624="","",IF(COUNTIF('Vendors &amp; Crew'!$A$5:$A$34,B624)=0,"Worker not in Crew table",IF(C624="","Missing Job ID",IF(COUNTIF(Jobs!$A$5:$A$44,C624)=0,"Unknown Job ID",IF(E624="","Missing hours",IF(A624="","Missing date",""))))))</f>
        <v/>
      </c>
      <c r="N624" s="35" t="n"/>
    </row>
    <row r="625">
      <c r="A625" s="40" t="n"/>
      <c r="B625" s="35" t="n"/>
      <c r="C625" s="35" t="n"/>
      <c r="D625" s="35" t="n"/>
      <c r="E625" s="61" t="n"/>
      <c r="F625" s="37" t="n"/>
      <c r="G625" s="39">
        <f>IF(B625="","",IF(F625&lt;&gt;"",F625,IFERROR(VLOOKUP(B625,'Vendors &amp; Crew'!$A$5:$D$34,3,FALSE),0)))</f>
        <v/>
      </c>
      <c r="H625" s="39">
        <f>IF(B625="","",E625*G625*(1+Settings!$B$18))</f>
        <v/>
      </c>
      <c r="I625" s="39">
        <f>IF(B625="","",IFERROR(VLOOKUP(B625,'Vendors &amp; Crew'!$A$5:$D$34,4,FALSE),0))</f>
        <v/>
      </c>
      <c r="J625" s="39">
        <f>IF(B625="","",E625*I625)</f>
        <v/>
      </c>
      <c r="K625" s="59">
        <f>IF(A625="","",A625-WEEKDAY(A625,2)+7)</f>
        <v/>
      </c>
      <c r="L625" s="9">
        <f>IF(B625="","",IF(D625="","Labor",IFERROR(VLOOKUP(D625,Settings!$E$5:$G$28,3,FALSE),"Labor")))</f>
        <v/>
      </c>
      <c r="M625" s="9">
        <f>IF(B625="","",IF(COUNTIF('Vendors &amp; Crew'!$A$5:$A$34,B625)=0,"Worker not in Crew table",IF(C625="","Missing Job ID",IF(COUNTIF(Jobs!$A$5:$A$44,C625)=0,"Unknown Job ID",IF(E625="","Missing hours",IF(A625="","Missing date",""))))))</f>
        <v/>
      </c>
      <c r="N625" s="35" t="n"/>
    </row>
    <row r="626">
      <c r="A626" s="40" t="n"/>
      <c r="B626" s="35" t="n"/>
      <c r="C626" s="35" t="n"/>
      <c r="D626" s="35" t="n"/>
      <c r="E626" s="61" t="n"/>
      <c r="F626" s="37" t="n"/>
      <c r="G626" s="39">
        <f>IF(B626="","",IF(F626&lt;&gt;"",F626,IFERROR(VLOOKUP(B626,'Vendors &amp; Crew'!$A$5:$D$34,3,FALSE),0)))</f>
        <v/>
      </c>
      <c r="H626" s="39">
        <f>IF(B626="","",E626*G626*(1+Settings!$B$18))</f>
        <v/>
      </c>
      <c r="I626" s="39">
        <f>IF(B626="","",IFERROR(VLOOKUP(B626,'Vendors &amp; Crew'!$A$5:$D$34,4,FALSE),0))</f>
        <v/>
      </c>
      <c r="J626" s="39">
        <f>IF(B626="","",E626*I626)</f>
        <v/>
      </c>
      <c r="K626" s="59">
        <f>IF(A626="","",A626-WEEKDAY(A626,2)+7)</f>
        <v/>
      </c>
      <c r="L626" s="9">
        <f>IF(B626="","",IF(D626="","Labor",IFERROR(VLOOKUP(D626,Settings!$E$5:$G$28,3,FALSE),"Labor")))</f>
        <v/>
      </c>
      <c r="M626" s="9">
        <f>IF(B626="","",IF(COUNTIF('Vendors &amp; Crew'!$A$5:$A$34,B626)=0,"Worker not in Crew table",IF(C626="","Missing Job ID",IF(COUNTIF(Jobs!$A$5:$A$44,C626)=0,"Unknown Job ID",IF(E626="","Missing hours",IF(A626="","Missing date",""))))))</f>
        <v/>
      </c>
      <c r="N626" s="35" t="n"/>
    </row>
    <row r="627">
      <c r="A627" s="40" t="n"/>
      <c r="B627" s="35" t="n"/>
      <c r="C627" s="35" t="n"/>
      <c r="D627" s="35" t="n"/>
      <c r="E627" s="61" t="n"/>
      <c r="F627" s="37" t="n"/>
      <c r="G627" s="39">
        <f>IF(B627="","",IF(F627&lt;&gt;"",F627,IFERROR(VLOOKUP(B627,'Vendors &amp; Crew'!$A$5:$D$34,3,FALSE),0)))</f>
        <v/>
      </c>
      <c r="H627" s="39">
        <f>IF(B627="","",E627*G627*(1+Settings!$B$18))</f>
        <v/>
      </c>
      <c r="I627" s="39">
        <f>IF(B627="","",IFERROR(VLOOKUP(B627,'Vendors &amp; Crew'!$A$5:$D$34,4,FALSE),0))</f>
        <v/>
      </c>
      <c r="J627" s="39">
        <f>IF(B627="","",E627*I627)</f>
        <v/>
      </c>
      <c r="K627" s="59">
        <f>IF(A627="","",A627-WEEKDAY(A627,2)+7)</f>
        <v/>
      </c>
      <c r="L627" s="9">
        <f>IF(B627="","",IF(D627="","Labor",IFERROR(VLOOKUP(D627,Settings!$E$5:$G$28,3,FALSE),"Labor")))</f>
        <v/>
      </c>
      <c r="M627" s="9">
        <f>IF(B627="","",IF(COUNTIF('Vendors &amp; Crew'!$A$5:$A$34,B627)=0,"Worker not in Crew table",IF(C627="","Missing Job ID",IF(COUNTIF(Jobs!$A$5:$A$44,C627)=0,"Unknown Job ID",IF(E627="","Missing hours",IF(A627="","Missing date",""))))))</f>
        <v/>
      </c>
      <c r="N627" s="35" t="n"/>
    </row>
    <row r="628">
      <c r="A628" s="40" t="n"/>
      <c r="B628" s="35" t="n"/>
      <c r="C628" s="35" t="n"/>
      <c r="D628" s="35" t="n"/>
      <c r="E628" s="61" t="n"/>
      <c r="F628" s="37" t="n"/>
      <c r="G628" s="39">
        <f>IF(B628="","",IF(F628&lt;&gt;"",F628,IFERROR(VLOOKUP(B628,'Vendors &amp; Crew'!$A$5:$D$34,3,FALSE),0)))</f>
        <v/>
      </c>
      <c r="H628" s="39">
        <f>IF(B628="","",E628*G628*(1+Settings!$B$18))</f>
        <v/>
      </c>
      <c r="I628" s="39">
        <f>IF(B628="","",IFERROR(VLOOKUP(B628,'Vendors &amp; Crew'!$A$5:$D$34,4,FALSE),0))</f>
        <v/>
      </c>
      <c r="J628" s="39">
        <f>IF(B628="","",E628*I628)</f>
        <v/>
      </c>
      <c r="K628" s="59">
        <f>IF(A628="","",A628-WEEKDAY(A628,2)+7)</f>
        <v/>
      </c>
      <c r="L628" s="9">
        <f>IF(B628="","",IF(D628="","Labor",IFERROR(VLOOKUP(D628,Settings!$E$5:$G$28,3,FALSE),"Labor")))</f>
        <v/>
      </c>
      <c r="M628" s="9">
        <f>IF(B628="","",IF(COUNTIF('Vendors &amp; Crew'!$A$5:$A$34,B628)=0,"Worker not in Crew table",IF(C628="","Missing Job ID",IF(COUNTIF(Jobs!$A$5:$A$44,C628)=0,"Unknown Job ID",IF(E628="","Missing hours",IF(A628="","Missing date",""))))))</f>
        <v/>
      </c>
      <c r="N628" s="35" t="n"/>
    </row>
    <row r="629">
      <c r="A629" s="40" t="n"/>
      <c r="B629" s="35" t="n"/>
      <c r="C629" s="35" t="n"/>
      <c r="D629" s="35" t="n"/>
      <c r="E629" s="61" t="n"/>
      <c r="F629" s="37" t="n"/>
      <c r="G629" s="39">
        <f>IF(B629="","",IF(F629&lt;&gt;"",F629,IFERROR(VLOOKUP(B629,'Vendors &amp; Crew'!$A$5:$D$34,3,FALSE),0)))</f>
        <v/>
      </c>
      <c r="H629" s="39">
        <f>IF(B629="","",E629*G629*(1+Settings!$B$18))</f>
        <v/>
      </c>
      <c r="I629" s="39">
        <f>IF(B629="","",IFERROR(VLOOKUP(B629,'Vendors &amp; Crew'!$A$5:$D$34,4,FALSE),0))</f>
        <v/>
      </c>
      <c r="J629" s="39">
        <f>IF(B629="","",E629*I629)</f>
        <v/>
      </c>
      <c r="K629" s="59">
        <f>IF(A629="","",A629-WEEKDAY(A629,2)+7)</f>
        <v/>
      </c>
      <c r="L629" s="9">
        <f>IF(B629="","",IF(D629="","Labor",IFERROR(VLOOKUP(D629,Settings!$E$5:$G$28,3,FALSE),"Labor")))</f>
        <v/>
      </c>
      <c r="M629" s="9">
        <f>IF(B629="","",IF(COUNTIF('Vendors &amp; Crew'!$A$5:$A$34,B629)=0,"Worker not in Crew table",IF(C629="","Missing Job ID",IF(COUNTIF(Jobs!$A$5:$A$44,C629)=0,"Unknown Job ID",IF(E629="","Missing hours",IF(A629="","Missing date",""))))))</f>
        <v/>
      </c>
      <c r="N629" s="35" t="n"/>
    </row>
    <row r="630">
      <c r="A630" s="40" t="n"/>
      <c r="B630" s="35" t="n"/>
      <c r="C630" s="35" t="n"/>
      <c r="D630" s="35" t="n"/>
      <c r="E630" s="61" t="n"/>
      <c r="F630" s="37" t="n"/>
      <c r="G630" s="39">
        <f>IF(B630="","",IF(F630&lt;&gt;"",F630,IFERROR(VLOOKUP(B630,'Vendors &amp; Crew'!$A$5:$D$34,3,FALSE),0)))</f>
        <v/>
      </c>
      <c r="H630" s="39">
        <f>IF(B630="","",E630*G630*(1+Settings!$B$18))</f>
        <v/>
      </c>
      <c r="I630" s="39">
        <f>IF(B630="","",IFERROR(VLOOKUP(B630,'Vendors &amp; Crew'!$A$5:$D$34,4,FALSE),0))</f>
        <v/>
      </c>
      <c r="J630" s="39">
        <f>IF(B630="","",E630*I630)</f>
        <v/>
      </c>
      <c r="K630" s="59">
        <f>IF(A630="","",A630-WEEKDAY(A630,2)+7)</f>
        <v/>
      </c>
      <c r="L630" s="9">
        <f>IF(B630="","",IF(D630="","Labor",IFERROR(VLOOKUP(D630,Settings!$E$5:$G$28,3,FALSE),"Labor")))</f>
        <v/>
      </c>
      <c r="M630" s="9">
        <f>IF(B630="","",IF(COUNTIF('Vendors &amp; Crew'!$A$5:$A$34,B630)=0,"Worker not in Crew table",IF(C630="","Missing Job ID",IF(COUNTIF(Jobs!$A$5:$A$44,C630)=0,"Unknown Job ID",IF(E630="","Missing hours",IF(A630="","Missing date",""))))))</f>
        <v/>
      </c>
      <c r="N630" s="35" t="n"/>
    </row>
    <row r="631">
      <c r="A631" s="40" t="n"/>
      <c r="B631" s="35" t="n"/>
      <c r="C631" s="35" t="n"/>
      <c r="D631" s="35" t="n"/>
      <c r="E631" s="61" t="n"/>
      <c r="F631" s="37" t="n"/>
      <c r="G631" s="39">
        <f>IF(B631="","",IF(F631&lt;&gt;"",F631,IFERROR(VLOOKUP(B631,'Vendors &amp; Crew'!$A$5:$D$34,3,FALSE),0)))</f>
        <v/>
      </c>
      <c r="H631" s="39">
        <f>IF(B631="","",E631*G631*(1+Settings!$B$18))</f>
        <v/>
      </c>
      <c r="I631" s="39">
        <f>IF(B631="","",IFERROR(VLOOKUP(B631,'Vendors &amp; Crew'!$A$5:$D$34,4,FALSE),0))</f>
        <v/>
      </c>
      <c r="J631" s="39">
        <f>IF(B631="","",E631*I631)</f>
        <v/>
      </c>
      <c r="K631" s="59">
        <f>IF(A631="","",A631-WEEKDAY(A631,2)+7)</f>
        <v/>
      </c>
      <c r="L631" s="9">
        <f>IF(B631="","",IF(D631="","Labor",IFERROR(VLOOKUP(D631,Settings!$E$5:$G$28,3,FALSE),"Labor")))</f>
        <v/>
      </c>
      <c r="M631" s="9">
        <f>IF(B631="","",IF(COUNTIF('Vendors &amp; Crew'!$A$5:$A$34,B631)=0,"Worker not in Crew table",IF(C631="","Missing Job ID",IF(COUNTIF(Jobs!$A$5:$A$44,C631)=0,"Unknown Job ID",IF(E631="","Missing hours",IF(A631="","Missing date",""))))))</f>
        <v/>
      </c>
      <c r="N631" s="35" t="n"/>
    </row>
    <row r="632">
      <c r="A632" s="40" t="n"/>
      <c r="B632" s="35" t="n"/>
      <c r="C632" s="35" t="n"/>
      <c r="D632" s="35" t="n"/>
      <c r="E632" s="61" t="n"/>
      <c r="F632" s="37" t="n"/>
      <c r="G632" s="39">
        <f>IF(B632="","",IF(F632&lt;&gt;"",F632,IFERROR(VLOOKUP(B632,'Vendors &amp; Crew'!$A$5:$D$34,3,FALSE),0)))</f>
        <v/>
      </c>
      <c r="H632" s="39">
        <f>IF(B632="","",E632*G632*(1+Settings!$B$18))</f>
        <v/>
      </c>
      <c r="I632" s="39">
        <f>IF(B632="","",IFERROR(VLOOKUP(B632,'Vendors &amp; Crew'!$A$5:$D$34,4,FALSE),0))</f>
        <v/>
      </c>
      <c r="J632" s="39">
        <f>IF(B632="","",E632*I632)</f>
        <v/>
      </c>
      <c r="K632" s="59">
        <f>IF(A632="","",A632-WEEKDAY(A632,2)+7)</f>
        <v/>
      </c>
      <c r="L632" s="9">
        <f>IF(B632="","",IF(D632="","Labor",IFERROR(VLOOKUP(D632,Settings!$E$5:$G$28,3,FALSE),"Labor")))</f>
        <v/>
      </c>
      <c r="M632" s="9">
        <f>IF(B632="","",IF(COUNTIF('Vendors &amp; Crew'!$A$5:$A$34,B632)=0,"Worker not in Crew table",IF(C632="","Missing Job ID",IF(COUNTIF(Jobs!$A$5:$A$44,C632)=0,"Unknown Job ID",IF(E632="","Missing hours",IF(A632="","Missing date",""))))))</f>
        <v/>
      </c>
      <c r="N632" s="35" t="n"/>
    </row>
    <row r="633">
      <c r="A633" s="40" t="n"/>
      <c r="B633" s="35" t="n"/>
      <c r="C633" s="35" t="n"/>
      <c r="D633" s="35" t="n"/>
      <c r="E633" s="61" t="n"/>
      <c r="F633" s="37" t="n"/>
      <c r="G633" s="39">
        <f>IF(B633="","",IF(F633&lt;&gt;"",F633,IFERROR(VLOOKUP(B633,'Vendors &amp; Crew'!$A$5:$D$34,3,FALSE),0)))</f>
        <v/>
      </c>
      <c r="H633" s="39">
        <f>IF(B633="","",E633*G633*(1+Settings!$B$18))</f>
        <v/>
      </c>
      <c r="I633" s="39">
        <f>IF(B633="","",IFERROR(VLOOKUP(B633,'Vendors &amp; Crew'!$A$5:$D$34,4,FALSE),0))</f>
        <v/>
      </c>
      <c r="J633" s="39">
        <f>IF(B633="","",E633*I633)</f>
        <v/>
      </c>
      <c r="K633" s="59">
        <f>IF(A633="","",A633-WEEKDAY(A633,2)+7)</f>
        <v/>
      </c>
      <c r="L633" s="9">
        <f>IF(B633="","",IF(D633="","Labor",IFERROR(VLOOKUP(D633,Settings!$E$5:$G$28,3,FALSE),"Labor")))</f>
        <v/>
      </c>
      <c r="M633" s="9">
        <f>IF(B633="","",IF(COUNTIF('Vendors &amp; Crew'!$A$5:$A$34,B633)=0,"Worker not in Crew table",IF(C633="","Missing Job ID",IF(COUNTIF(Jobs!$A$5:$A$44,C633)=0,"Unknown Job ID",IF(E633="","Missing hours",IF(A633="","Missing date",""))))))</f>
        <v/>
      </c>
      <c r="N633" s="35" t="n"/>
    </row>
    <row r="634">
      <c r="A634" s="40" t="n"/>
      <c r="B634" s="35" t="n"/>
      <c r="C634" s="35" t="n"/>
      <c r="D634" s="35" t="n"/>
      <c r="E634" s="61" t="n"/>
      <c r="F634" s="37" t="n"/>
      <c r="G634" s="39">
        <f>IF(B634="","",IF(F634&lt;&gt;"",F634,IFERROR(VLOOKUP(B634,'Vendors &amp; Crew'!$A$5:$D$34,3,FALSE),0)))</f>
        <v/>
      </c>
      <c r="H634" s="39">
        <f>IF(B634="","",E634*G634*(1+Settings!$B$18))</f>
        <v/>
      </c>
      <c r="I634" s="39">
        <f>IF(B634="","",IFERROR(VLOOKUP(B634,'Vendors &amp; Crew'!$A$5:$D$34,4,FALSE),0))</f>
        <v/>
      </c>
      <c r="J634" s="39">
        <f>IF(B634="","",E634*I634)</f>
        <v/>
      </c>
      <c r="K634" s="59">
        <f>IF(A634="","",A634-WEEKDAY(A634,2)+7)</f>
        <v/>
      </c>
      <c r="L634" s="9">
        <f>IF(B634="","",IF(D634="","Labor",IFERROR(VLOOKUP(D634,Settings!$E$5:$G$28,3,FALSE),"Labor")))</f>
        <v/>
      </c>
      <c r="M634" s="9">
        <f>IF(B634="","",IF(COUNTIF('Vendors &amp; Crew'!$A$5:$A$34,B634)=0,"Worker not in Crew table",IF(C634="","Missing Job ID",IF(COUNTIF(Jobs!$A$5:$A$44,C634)=0,"Unknown Job ID",IF(E634="","Missing hours",IF(A634="","Missing date",""))))))</f>
        <v/>
      </c>
      <c r="N634" s="35" t="n"/>
    </row>
    <row r="635">
      <c r="A635" s="40" t="n"/>
      <c r="B635" s="35" t="n"/>
      <c r="C635" s="35" t="n"/>
      <c r="D635" s="35" t="n"/>
      <c r="E635" s="61" t="n"/>
      <c r="F635" s="37" t="n"/>
      <c r="G635" s="39">
        <f>IF(B635="","",IF(F635&lt;&gt;"",F635,IFERROR(VLOOKUP(B635,'Vendors &amp; Crew'!$A$5:$D$34,3,FALSE),0)))</f>
        <v/>
      </c>
      <c r="H635" s="39">
        <f>IF(B635="","",E635*G635*(1+Settings!$B$18))</f>
        <v/>
      </c>
      <c r="I635" s="39">
        <f>IF(B635="","",IFERROR(VLOOKUP(B635,'Vendors &amp; Crew'!$A$5:$D$34,4,FALSE),0))</f>
        <v/>
      </c>
      <c r="J635" s="39">
        <f>IF(B635="","",E635*I635)</f>
        <v/>
      </c>
      <c r="K635" s="59">
        <f>IF(A635="","",A635-WEEKDAY(A635,2)+7)</f>
        <v/>
      </c>
      <c r="L635" s="9">
        <f>IF(B635="","",IF(D635="","Labor",IFERROR(VLOOKUP(D635,Settings!$E$5:$G$28,3,FALSE),"Labor")))</f>
        <v/>
      </c>
      <c r="M635" s="9">
        <f>IF(B635="","",IF(COUNTIF('Vendors &amp; Crew'!$A$5:$A$34,B635)=0,"Worker not in Crew table",IF(C635="","Missing Job ID",IF(COUNTIF(Jobs!$A$5:$A$44,C635)=0,"Unknown Job ID",IF(E635="","Missing hours",IF(A635="","Missing date",""))))))</f>
        <v/>
      </c>
      <c r="N635" s="35" t="n"/>
    </row>
    <row r="636">
      <c r="A636" s="40" t="n"/>
      <c r="B636" s="35" t="n"/>
      <c r="C636" s="35" t="n"/>
      <c r="D636" s="35" t="n"/>
      <c r="E636" s="61" t="n"/>
      <c r="F636" s="37" t="n"/>
      <c r="G636" s="39">
        <f>IF(B636="","",IF(F636&lt;&gt;"",F636,IFERROR(VLOOKUP(B636,'Vendors &amp; Crew'!$A$5:$D$34,3,FALSE),0)))</f>
        <v/>
      </c>
      <c r="H636" s="39">
        <f>IF(B636="","",E636*G636*(1+Settings!$B$18))</f>
        <v/>
      </c>
      <c r="I636" s="39">
        <f>IF(B636="","",IFERROR(VLOOKUP(B636,'Vendors &amp; Crew'!$A$5:$D$34,4,FALSE),0))</f>
        <v/>
      </c>
      <c r="J636" s="39">
        <f>IF(B636="","",E636*I636)</f>
        <v/>
      </c>
      <c r="K636" s="59">
        <f>IF(A636="","",A636-WEEKDAY(A636,2)+7)</f>
        <v/>
      </c>
      <c r="L636" s="9">
        <f>IF(B636="","",IF(D636="","Labor",IFERROR(VLOOKUP(D636,Settings!$E$5:$G$28,3,FALSE),"Labor")))</f>
        <v/>
      </c>
      <c r="M636" s="9">
        <f>IF(B636="","",IF(COUNTIF('Vendors &amp; Crew'!$A$5:$A$34,B636)=0,"Worker not in Crew table",IF(C636="","Missing Job ID",IF(COUNTIF(Jobs!$A$5:$A$44,C636)=0,"Unknown Job ID",IF(E636="","Missing hours",IF(A636="","Missing date",""))))))</f>
        <v/>
      </c>
      <c r="N636" s="35" t="n"/>
    </row>
    <row r="637">
      <c r="A637" s="40" t="n"/>
      <c r="B637" s="35" t="n"/>
      <c r="C637" s="35" t="n"/>
      <c r="D637" s="35" t="n"/>
      <c r="E637" s="61" t="n"/>
      <c r="F637" s="37" t="n"/>
      <c r="G637" s="39">
        <f>IF(B637="","",IF(F637&lt;&gt;"",F637,IFERROR(VLOOKUP(B637,'Vendors &amp; Crew'!$A$5:$D$34,3,FALSE),0)))</f>
        <v/>
      </c>
      <c r="H637" s="39">
        <f>IF(B637="","",E637*G637*(1+Settings!$B$18))</f>
        <v/>
      </c>
      <c r="I637" s="39">
        <f>IF(B637="","",IFERROR(VLOOKUP(B637,'Vendors &amp; Crew'!$A$5:$D$34,4,FALSE),0))</f>
        <v/>
      </c>
      <c r="J637" s="39">
        <f>IF(B637="","",E637*I637)</f>
        <v/>
      </c>
      <c r="K637" s="59">
        <f>IF(A637="","",A637-WEEKDAY(A637,2)+7)</f>
        <v/>
      </c>
      <c r="L637" s="9">
        <f>IF(B637="","",IF(D637="","Labor",IFERROR(VLOOKUP(D637,Settings!$E$5:$G$28,3,FALSE),"Labor")))</f>
        <v/>
      </c>
      <c r="M637" s="9">
        <f>IF(B637="","",IF(COUNTIF('Vendors &amp; Crew'!$A$5:$A$34,B637)=0,"Worker not in Crew table",IF(C637="","Missing Job ID",IF(COUNTIF(Jobs!$A$5:$A$44,C637)=0,"Unknown Job ID",IF(E637="","Missing hours",IF(A637="","Missing date",""))))))</f>
        <v/>
      </c>
      <c r="N637" s="35" t="n"/>
    </row>
    <row r="638">
      <c r="A638" s="40" t="n"/>
      <c r="B638" s="35" t="n"/>
      <c r="C638" s="35" t="n"/>
      <c r="D638" s="35" t="n"/>
      <c r="E638" s="61" t="n"/>
      <c r="F638" s="37" t="n"/>
      <c r="G638" s="39">
        <f>IF(B638="","",IF(F638&lt;&gt;"",F638,IFERROR(VLOOKUP(B638,'Vendors &amp; Crew'!$A$5:$D$34,3,FALSE),0)))</f>
        <v/>
      </c>
      <c r="H638" s="39">
        <f>IF(B638="","",E638*G638*(1+Settings!$B$18))</f>
        <v/>
      </c>
      <c r="I638" s="39">
        <f>IF(B638="","",IFERROR(VLOOKUP(B638,'Vendors &amp; Crew'!$A$5:$D$34,4,FALSE),0))</f>
        <v/>
      </c>
      <c r="J638" s="39">
        <f>IF(B638="","",E638*I638)</f>
        <v/>
      </c>
      <c r="K638" s="59">
        <f>IF(A638="","",A638-WEEKDAY(A638,2)+7)</f>
        <v/>
      </c>
      <c r="L638" s="9">
        <f>IF(B638="","",IF(D638="","Labor",IFERROR(VLOOKUP(D638,Settings!$E$5:$G$28,3,FALSE),"Labor")))</f>
        <v/>
      </c>
      <c r="M638" s="9">
        <f>IF(B638="","",IF(COUNTIF('Vendors &amp; Crew'!$A$5:$A$34,B638)=0,"Worker not in Crew table",IF(C638="","Missing Job ID",IF(COUNTIF(Jobs!$A$5:$A$44,C638)=0,"Unknown Job ID",IF(E638="","Missing hours",IF(A638="","Missing date",""))))))</f>
        <v/>
      </c>
      <c r="N638" s="35" t="n"/>
    </row>
    <row r="639">
      <c r="A639" s="40" t="n"/>
      <c r="B639" s="35" t="n"/>
      <c r="C639" s="35" t="n"/>
      <c r="D639" s="35" t="n"/>
      <c r="E639" s="61" t="n"/>
      <c r="F639" s="37" t="n"/>
      <c r="G639" s="39">
        <f>IF(B639="","",IF(F639&lt;&gt;"",F639,IFERROR(VLOOKUP(B639,'Vendors &amp; Crew'!$A$5:$D$34,3,FALSE),0)))</f>
        <v/>
      </c>
      <c r="H639" s="39">
        <f>IF(B639="","",E639*G639*(1+Settings!$B$18))</f>
        <v/>
      </c>
      <c r="I639" s="39">
        <f>IF(B639="","",IFERROR(VLOOKUP(B639,'Vendors &amp; Crew'!$A$5:$D$34,4,FALSE),0))</f>
        <v/>
      </c>
      <c r="J639" s="39">
        <f>IF(B639="","",E639*I639)</f>
        <v/>
      </c>
      <c r="K639" s="59">
        <f>IF(A639="","",A639-WEEKDAY(A639,2)+7)</f>
        <v/>
      </c>
      <c r="L639" s="9">
        <f>IF(B639="","",IF(D639="","Labor",IFERROR(VLOOKUP(D639,Settings!$E$5:$G$28,3,FALSE),"Labor")))</f>
        <v/>
      </c>
      <c r="M639" s="9">
        <f>IF(B639="","",IF(COUNTIF('Vendors &amp; Crew'!$A$5:$A$34,B639)=0,"Worker not in Crew table",IF(C639="","Missing Job ID",IF(COUNTIF(Jobs!$A$5:$A$44,C639)=0,"Unknown Job ID",IF(E639="","Missing hours",IF(A639="","Missing date",""))))))</f>
        <v/>
      </c>
      <c r="N639" s="35" t="n"/>
    </row>
    <row r="640">
      <c r="A640" s="40" t="n"/>
      <c r="B640" s="35" t="n"/>
      <c r="C640" s="35" t="n"/>
      <c r="D640" s="35" t="n"/>
      <c r="E640" s="61" t="n"/>
      <c r="F640" s="37" t="n"/>
      <c r="G640" s="39">
        <f>IF(B640="","",IF(F640&lt;&gt;"",F640,IFERROR(VLOOKUP(B640,'Vendors &amp; Crew'!$A$5:$D$34,3,FALSE),0)))</f>
        <v/>
      </c>
      <c r="H640" s="39">
        <f>IF(B640="","",E640*G640*(1+Settings!$B$18))</f>
        <v/>
      </c>
      <c r="I640" s="39">
        <f>IF(B640="","",IFERROR(VLOOKUP(B640,'Vendors &amp; Crew'!$A$5:$D$34,4,FALSE),0))</f>
        <v/>
      </c>
      <c r="J640" s="39">
        <f>IF(B640="","",E640*I640)</f>
        <v/>
      </c>
      <c r="K640" s="59">
        <f>IF(A640="","",A640-WEEKDAY(A640,2)+7)</f>
        <v/>
      </c>
      <c r="L640" s="9">
        <f>IF(B640="","",IF(D640="","Labor",IFERROR(VLOOKUP(D640,Settings!$E$5:$G$28,3,FALSE),"Labor")))</f>
        <v/>
      </c>
      <c r="M640" s="9">
        <f>IF(B640="","",IF(COUNTIF('Vendors &amp; Crew'!$A$5:$A$34,B640)=0,"Worker not in Crew table",IF(C640="","Missing Job ID",IF(COUNTIF(Jobs!$A$5:$A$44,C640)=0,"Unknown Job ID",IF(E640="","Missing hours",IF(A640="","Missing date",""))))))</f>
        <v/>
      </c>
      <c r="N640" s="35" t="n"/>
    </row>
    <row r="641">
      <c r="A641" s="40" t="n"/>
      <c r="B641" s="35" t="n"/>
      <c r="C641" s="35" t="n"/>
      <c r="D641" s="35" t="n"/>
      <c r="E641" s="61" t="n"/>
      <c r="F641" s="37" t="n"/>
      <c r="G641" s="39">
        <f>IF(B641="","",IF(F641&lt;&gt;"",F641,IFERROR(VLOOKUP(B641,'Vendors &amp; Crew'!$A$5:$D$34,3,FALSE),0)))</f>
        <v/>
      </c>
      <c r="H641" s="39">
        <f>IF(B641="","",E641*G641*(1+Settings!$B$18))</f>
        <v/>
      </c>
      <c r="I641" s="39">
        <f>IF(B641="","",IFERROR(VLOOKUP(B641,'Vendors &amp; Crew'!$A$5:$D$34,4,FALSE),0))</f>
        <v/>
      </c>
      <c r="J641" s="39">
        <f>IF(B641="","",E641*I641)</f>
        <v/>
      </c>
      <c r="K641" s="59">
        <f>IF(A641="","",A641-WEEKDAY(A641,2)+7)</f>
        <v/>
      </c>
      <c r="L641" s="9">
        <f>IF(B641="","",IF(D641="","Labor",IFERROR(VLOOKUP(D641,Settings!$E$5:$G$28,3,FALSE),"Labor")))</f>
        <v/>
      </c>
      <c r="M641" s="9">
        <f>IF(B641="","",IF(COUNTIF('Vendors &amp; Crew'!$A$5:$A$34,B641)=0,"Worker not in Crew table",IF(C641="","Missing Job ID",IF(COUNTIF(Jobs!$A$5:$A$44,C641)=0,"Unknown Job ID",IF(E641="","Missing hours",IF(A641="","Missing date",""))))))</f>
        <v/>
      </c>
      <c r="N641" s="35" t="n"/>
    </row>
    <row r="642">
      <c r="A642" s="40" t="n"/>
      <c r="B642" s="35" t="n"/>
      <c r="C642" s="35" t="n"/>
      <c r="D642" s="35" t="n"/>
      <c r="E642" s="61" t="n"/>
      <c r="F642" s="37" t="n"/>
      <c r="G642" s="39">
        <f>IF(B642="","",IF(F642&lt;&gt;"",F642,IFERROR(VLOOKUP(B642,'Vendors &amp; Crew'!$A$5:$D$34,3,FALSE),0)))</f>
        <v/>
      </c>
      <c r="H642" s="39">
        <f>IF(B642="","",E642*G642*(1+Settings!$B$18))</f>
        <v/>
      </c>
      <c r="I642" s="39">
        <f>IF(B642="","",IFERROR(VLOOKUP(B642,'Vendors &amp; Crew'!$A$5:$D$34,4,FALSE),0))</f>
        <v/>
      </c>
      <c r="J642" s="39">
        <f>IF(B642="","",E642*I642)</f>
        <v/>
      </c>
      <c r="K642" s="59">
        <f>IF(A642="","",A642-WEEKDAY(A642,2)+7)</f>
        <v/>
      </c>
      <c r="L642" s="9">
        <f>IF(B642="","",IF(D642="","Labor",IFERROR(VLOOKUP(D642,Settings!$E$5:$G$28,3,FALSE),"Labor")))</f>
        <v/>
      </c>
      <c r="M642" s="9">
        <f>IF(B642="","",IF(COUNTIF('Vendors &amp; Crew'!$A$5:$A$34,B642)=0,"Worker not in Crew table",IF(C642="","Missing Job ID",IF(COUNTIF(Jobs!$A$5:$A$44,C642)=0,"Unknown Job ID",IF(E642="","Missing hours",IF(A642="","Missing date",""))))))</f>
        <v/>
      </c>
      <c r="N642" s="35" t="n"/>
    </row>
    <row r="643">
      <c r="A643" s="40" t="n"/>
      <c r="B643" s="35" t="n"/>
      <c r="C643" s="35" t="n"/>
      <c r="D643" s="35" t="n"/>
      <c r="E643" s="61" t="n"/>
      <c r="F643" s="37" t="n"/>
      <c r="G643" s="39">
        <f>IF(B643="","",IF(F643&lt;&gt;"",F643,IFERROR(VLOOKUP(B643,'Vendors &amp; Crew'!$A$5:$D$34,3,FALSE),0)))</f>
        <v/>
      </c>
      <c r="H643" s="39">
        <f>IF(B643="","",E643*G643*(1+Settings!$B$18))</f>
        <v/>
      </c>
      <c r="I643" s="39">
        <f>IF(B643="","",IFERROR(VLOOKUP(B643,'Vendors &amp; Crew'!$A$5:$D$34,4,FALSE),0))</f>
        <v/>
      </c>
      <c r="J643" s="39">
        <f>IF(B643="","",E643*I643)</f>
        <v/>
      </c>
      <c r="K643" s="59">
        <f>IF(A643="","",A643-WEEKDAY(A643,2)+7)</f>
        <v/>
      </c>
      <c r="L643" s="9">
        <f>IF(B643="","",IF(D643="","Labor",IFERROR(VLOOKUP(D643,Settings!$E$5:$G$28,3,FALSE),"Labor")))</f>
        <v/>
      </c>
      <c r="M643" s="9">
        <f>IF(B643="","",IF(COUNTIF('Vendors &amp; Crew'!$A$5:$A$34,B643)=0,"Worker not in Crew table",IF(C643="","Missing Job ID",IF(COUNTIF(Jobs!$A$5:$A$44,C643)=0,"Unknown Job ID",IF(E643="","Missing hours",IF(A643="","Missing date",""))))))</f>
        <v/>
      </c>
      <c r="N643" s="35" t="n"/>
    </row>
    <row r="644">
      <c r="A644" s="40" t="n"/>
      <c r="B644" s="35" t="n"/>
      <c r="C644" s="35" t="n"/>
      <c r="D644" s="35" t="n"/>
      <c r="E644" s="61" t="n"/>
      <c r="F644" s="37" t="n"/>
      <c r="G644" s="39">
        <f>IF(B644="","",IF(F644&lt;&gt;"",F644,IFERROR(VLOOKUP(B644,'Vendors &amp; Crew'!$A$5:$D$34,3,FALSE),0)))</f>
        <v/>
      </c>
      <c r="H644" s="39">
        <f>IF(B644="","",E644*G644*(1+Settings!$B$18))</f>
        <v/>
      </c>
      <c r="I644" s="39">
        <f>IF(B644="","",IFERROR(VLOOKUP(B644,'Vendors &amp; Crew'!$A$5:$D$34,4,FALSE),0))</f>
        <v/>
      </c>
      <c r="J644" s="39">
        <f>IF(B644="","",E644*I644)</f>
        <v/>
      </c>
      <c r="K644" s="59">
        <f>IF(A644="","",A644-WEEKDAY(A644,2)+7)</f>
        <v/>
      </c>
      <c r="L644" s="9">
        <f>IF(B644="","",IF(D644="","Labor",IFERROR(VLOOKUP(D644,Settings!$E$5:$G$28,3,FALSE),"Labor")))</f>
        <v/>
      </c>
      <c r="M644" s="9">
        <f>IF(B644="","",IF(COUNTIF('Vendors &amp; Crew'!$A$5:$A$34,B644)=0,"Worker not in Crew table",IF(C644="","Missing Job ID",IF(COUNTIF(Jobs!$A$5:$A$44,C644)=0,"Unknown Job ID",IF(E644="","Missing hours",IF(A644="","Missing date",""))))))</f>
        <v/>
      </c>
      <c r="N644" s="35" t="n"/>
    </row>
    <row r="645">
      <c r="A645" s="40" t="n"/>
      <c r="B645" s="35" t="n"/>
      <c r="C645" s="35" t="n"/>
      <c r="D645" s="35" t="n"/>
      <c r="E645" s="61" t="n"/>
      <c r="F645" s="37" t="n"/>
      <c r="G645" s="39">
        <f>IF(B645="","",IF(F645&lt;&gt;"",F645,IFERROR(VLOOKUP(B645,'Vendors &amp; Crew'!$A$5:$D$34,3,FALSE),0)))</f>
        <v/>
      </c>
      <c r="H645" s="39">
        <f>IF(B645="","",E645*G645*(1+Settings!$B$18))</f>
        <v/>
      </c>
      <c r="I645" s="39">
        <f>IF(B645="","",IFERROR(VLOOKUP(B645,'Vendors &amp; Crew'!$A$5:$D$34,4,FALSE),0))</f>
        <v/>
      </c>
      <c r="J645" s="39">
        <f>IF(B645="","",E645*I645)</f>
        <v/>
      </c>
      <c r="K645" s="59">
        <f>IF(A645="","",A645-WEEKDAY(A645,2)+7)</f>
        <v/>
      </c>
      <c r="L645" s="9">
        <f>IF(B645="","",IF(D645="","Labor",IFERROR(VLOOKUP(D645,Settings!$E$5:$G$28,3,FALSE),"Labor")))</f>
        <v/>
      </c>
      <c r="M645" s="9">
        <f>IF(B645="","",IF(COUNTIF('Vendors &amp; Crew'!$A$5:$A$34,B645)=0,"Worker not in Crew table",IF(C645="","Missing Job ID",IF(COUNTIF(Jobs!$A$5:$A$44,C645)=0,"Unknown Job ID",IF(E645="","Missing hours",IF(A645="","Missing date",""))))))</f>
        <v/>
      </c>
      <c r="N645" s="35" t="n"/>
    </row>
    <row r="646">
      <c r="A646" s="40" t="n"/>
      <c r="B646" s="35" t="n"/>
      <c r="C646" s="35" t="n"/>
      <c r="D646" s="35" t="n"/>
      <c r="E646" s="61" t="n"/>
      <c r="F646" s="37" t="n"/>
      <c r="G646" s="39">
        <f>IF(B646="","",IF(F646&lt;&gt;"",F646,IFERROR(VLOOKUP(B646,'Vendors &amp; Crew'!$A$5:$D$34,3,FALSE),0)))</f>
        <v/>
      </c>
      <c r="H646" s="39">
        <f>IF(B646="","",E646*G646*(1+Settings!$B$18))</f>
        <v/>
      </c>
      <c r="I646" s="39">
        <f>IF(B646="","",IFERROR(VLOOKUP(B646,'Vendors &amp; Crew'!$A$5:$D$34,4,FALSE),0))</f>
        <v/>
      </c>
      <c r="J646" s="39">
        <f>IF(B646="","",E646*I646)</f>
        <v/>
      </c>
      <c r="K646" s="59">
        <f>IF(A646="","",A646-WEEKDAY(A646,2)+7)</f>
        <v/>
      </c>
      <c r="L646" s="9">
        <f>IF(B646="","",IF(D646="","Labor",IFERROR(VLOOKUP(D646,Settings!$E$5:$G$28,3,FALSE),"Labor")))</f>
        <v/>
      </c>
      <c r="M646" s="9">
        <f>IF(B646="","",IF(COUNTIF('Vendors &amp; Crew'!$A$5:$A$34,B646)=0,"Worker not in Crew table",IF(C646="","Missing Job ID",IF(COUNTIF(Jobs!$A$5:$A$44,C646)=0,"Unknown Job ID",IF(E646="","Missing hours",IF(A646="","Missing date",""))))))</f>
        <v/>
      </c>
      <c r="N646" s="35" t="n"/>
    </row>
    <row r="647">
      <c r="A647" s="40" t="n"/>
      <c r="B647" s="35" t="n"/>
      <c r="C647" s="35" t="n"/>
      <c r="D647" s="35" t="n"/>
      <c r="E647" s="61" t="n"/>
      <c r="F647" s="37" t="n"/>
      <c r="G647" s="39">
        <f>IF(B647="","",IF(F647&lt;&gt;"",F647,IFERROR(VLOOKUP(B647,'Vendors &amp; Crew'!$A$5:$D$34,3,FALSE),0)))</f>
        <v/>
      </c>
      <c r="H647" s="39">
        <f>IF(B647="","",E647*G647*(1+Settings!$B$18))</f>
        <v/>
      </c>
      <c r="I647" s="39">
        <f>IF(B647="","",IFERROR(VLOOKUP(B647,'Vendors &amp; Crew'!$A$5:$D$34,4,FALSE),0))</f>
        <v/>
      </c>
      <c r="J647" s="39">
        <f>IF(B647="","",E647*I647)</f>
        <v/>
      </c>
      <c r="K647" s="59">
        <f>IF(A647="","",A647-WEEKDAY(A647,2)+7)</f>
        <v/>
      </c>
      <c r="L647" s="9">
        <f>IF(B647="","",IF(D647="","Labor",IFERROR(VLOOKUP(D647,Settings!$E$5:$G$28,3,FALSE),"Labor")))</f>
        <v/>
      </c>
      <c r="M647" s="9">
        <f>IF(B647="","",IF(COUNTIF('Vendors &amp; Crew'!$A$5:$A$34,B647)=0,"Worker not in Crew table",IF(C647="","Missing Job ID",IF(COUNTIF(Jobs!$A$5:$A$44,C647)=0,"Unknown Job ID",IF(E647="","Missing hours",IF(A647="","Missing date",""))))))</f>
        <v/>
      </c>
      <c r="N647" s="35" t="n"/>
    </row>
    <row r="648">
      <c r="A648" s="40" t="n"/>
      <c r="B648" s="35" t="n"/>
      <c r="C648" s="35" t="n"/>
      <c r="D648" s="35" t="n"/>
      <c r="E648" s="61" t="n"/>
      <c r="F648" s="37" t="n"/>
      <c r="G648" s="39">
        <f>IF(B648="","",IF(F648&lt;&gt;"",F648,IFERROR(VLOOKUP(B648,'Vendors &amp; Crew'!$A$5:$D$34,3,FALSE),0)))</f>
        <v/>
      </c>
      <c r="H648" s="39">
        <f>IF(B648="","",E648*G648*(1+Settings!$B$18))</f>
        <v/>
      </c>
      <c r="I648" s="39">
        <f>IF(B648="","",IFERROR(VLOOKUP(B648,'Vendors &amp; Crew'!$A$5:$D$34,4,FALSE),0))</f>
        <v/>
      </c>
      <c r="J648" s="39">
        <f>IF(B648="","",E648*I648)</f>
        <v/>
      </c>
      <c r="K648" s="59">
        <f>IF(A648="","",A648-WEEKDAY(A648,2)+7)</f>
        <v/>
      </c>
      <c r="L648" s="9">
        <f>IF(B648="","",IF(D648="","Labor",IFERROR(VLOOKUP(D648,Settings!$E$5:$G$28,3,FALSE),"Labor")))</f>
        <v/>
      </c>
      <c r="M648" s="9">
        <f>IF(B648="","",IF(COUNTIF('Vendors &amp; Crew'!$A$5:$A$34,B648)=0,"Worker not in Crew table",IF(C648="","Missing Job ID",IF(COUNTIF(Jobs!$A$5:$A$44,C648)=0,"Unknown Job ID",IF(E648="","Missing hours",IF(A648="","Missing date",""))))))</f>
        <v/>
      </c>
      <c r="N648" s="35" t="n"/>
    </row>
    <row r="649">
      <c r="A649" s="40" t="n"/>
      <c r="B649" s="35" t="n"/>
      <c r="C649" s="35" t="n"/>
      <c r="D649" s="35" t="n"/>
      <c r="E649" s="61" t="n"/>
      <c r="F649" s="37" t="n"/>
      <c r="G649" s="39">
        <f>IF(B649="","",IF(F649&lt;&gt;"",F649,IFERROR(VLOOKUP(B649,'Vendors &amp; Crew'!$A$5:$D$34,3,FALSE),0)))</f>
        <v/>
      </c>
      <c r="H649" s="39">
        <f>IF(B649="","",E649*G649*(1+Settings!$B$18))</f>
        <v/>
      </c>
      <c r="I649" s="39">
        <f>IF(B649="","",IFERROR(VLOOKUP(B649,'Vendors &amp; Crew'!$A$5:$D$34,4,FALSE),0))</f>
        <v/>
      </c>
      <c r="J649" s="39">
        <f>IF(B649="","",E649*I649)</f>
        <v/>
      </c>
      <c r="K649" s="59">
        <f>IF(A649="","",A649-WEEKDAY(A649,2)+7)</f>
        <v/>
      </c>
      <c r="L649" s="9">
        <f>IF(B649="","",IF(D649="","Labor",IFERROR(VLOOKUP(D649,Settings!$E$5:$G$28,3,FALSE),"Labor")))</f>
        <v/>
      </c>
      <c r="M649" s="9">
        <f>IF(B649="","",IF(COUNTIF('Vendors &amp; Crew'!$A$5:$A$34,B649)=0,"Worker not in Crew table",IF(C649="","Missing Job ID",IF(COUNTIF(Jobs!$A$5:$A$44,C649)=0,"Unknown Job ID",IF(E649="","Missing hours",IF(A649="","Missing date",""))))))</f>
        <v/>
      </c>
      <c r="N649" s="35" t="n"/>
    </row>
    <row r="650">
      <c r="A650" s="40" t="n"/>
      <c r="B650" s="35" t="n"/>
      <c r="C650" s="35" t="n"/>
      <c r="D650" s="35" t="n"/>
      <c r="E650" s="61" t="n"/>
      <c r="F650" s="37" t="n"/>
      <c r="G650" s="39">
        <f>IF(B650="","",IF(F650&lt;&gt;"",F650,IFERROR(VLOOKUP(B650,'Vendors &amp; Crew'!$A$5:$D$34,3,FALSE),0)))</f>
        <v/>
      </c>
      <c r="H650" s="39">
        <f>IF(B650="","",E650*G650*(1+Settings!$B$18))</f>
        <v/>
      </c>
      <c r="I650" s="39">
        <f>IF(B650="","",IFERROR(VLOOKUP(B650,'Vendors &amp; Crew'!$A$5:$D$34,4,FALSE),0))</f>
        <v/>
      </c>
      <c r="J650" s="39">
        <f>IF(B650="","",E650*I650)</f>
        <v/>
      </c>
      <c r="K650" s="59">
        <f>IF(A650="","",A650-WEEKDAY(A650,2)+7)</f>
        <v/>
      </c>
      <c r="L650" s="9">
        <f>IF(B650="","",IF(D650="","Labor",IFERROR(VLOOKUP(D650,Settings!$E$5:$G$28,3,FALSE),"Labor")))</f>
        <v/>
      </c>
      <c r="M650" s="9">
        <f>IF(B650="","",IF(COUNTIF('Vendors &amp; Crew'!$A$5:$A$34,B650)=0,"Worker not in Crew table",IF(C650="","Missing Job ID",IF(COUNTIF(Jobs!$A$5:$A$44,C650)=0,"Unknown Job ID",IF(E650="","Missing hours",IF(A650="","Missing date",""))))))</f>
        <v/>
      </c>
      <c r="N650" s="35" t="n"/>
    </row>
    <row r="651">
      <c r="A651" s="40" t="n"/>
      <c r="B651" s="35" t="n"/>
      <c r="C651" s="35" t="n"/>
      <c r="D651" s="35" t="n"/>
      <c r="E651" s="61" t="n"/>
      <c r="F651" s="37" t="n"/>
      <c r="G651" s="39">
        <f>IF(B651="","",IF(F651&lt;&gt;"",F651,IFERROR(VLOOKUP(B651,'Vendors &amp; Crew'!$A$5:$D$34,3,FALSE),0)))</f>
        <v/>
      </c>
      <c r="H651" s="39">
        <f>IF(B651="","",E651*G651*(1+Settings!$B$18))</f>
        <v/>
      </c>
      <c r="I651" s="39">
        <f>IF(B651="","",IFERROR(VLOOKUP(B651,'Vendors &amp; Crew'!$A$5:$D$34,4,FALSE),0))</f>
        <v/>
      </c>
      <c r="J651" s="39">
        <f>IF(B651="","",E651*I651)</f>
        <v/>
      </c>
      <c r="K651" s="59">
        <f>IF(A651="","",A651-WEEKDAY(A651,2)+7)</f>
        <v/>
      </c>
      <c r="L651" s="9">
        <f>IF(B651="","",IF(D651="","Labor",IFERROR(VLOOKUP(D651,Settings!$E$5:$G$28,3,FALSE),"Labor")))</f>
        <v/>
      </c>
      <c r="M651" s="9">
        <f>IF(B651="","",IF(COUNTIF('Vendors &amp; Crew'!$A$5:$A$34,B651)=0,"Worker not in Crew table",IF(C651="","Missing Job ID",IF(COUNTIF(Jobs!$A$5:$A$44,C651)=0,"Unknown Job ID",IF(E651="","Missing hours",IF(A651="","Missing date",""))))))</f>
        <v/>
      </c>
      <c r="N651" s="35" t="n"/>
    </row>
    <row r="652">
      <c r="A652" s="40" t="n"/>
      <c r="B652" s="35" t="n"/>
      <c r="C652" s="35" t="n"/>
      <c r="D652" s="35" t="n"/>
      <c r="E652" s="61" t="n"/>
      <c r="F652" s="37" t="n"/>
      <c r="G652" s="39">
        <f>IF(B652="","",IF(F652&lt;&gt;"",F652,IFERROR(VLOOKUP(B652,'Vendors &amp; Crew'!$A$5:$D$34,3,FALSE),0)))</f>
        <v/>
      </c>
      <c r="H652" s="39">
        <f>IF(B652="","",E652*G652*(1+Settings!$B$18))</f>
        <v/>
      </c>
      <c r="I652" s="39">
        <f>IF(B652="","",IFERROR(VLOOKUP(B652,'Vendors &amp; Crew'!$A$5:$D$34,4,FALSE),0))</f>
        <v/>
      </c>
      <c r="J652" s="39">
        <f>IF(B652="","",E652*I652)</f>
        <v/>
      </c>
      <c r="K652" s="59">
        <f>IF(A652="","",A652-WEEKDAY(A652,2)+7)</f>
        <v/>
      </c>
      <c r="L652" s="9">
        <f>IF(B652="","",IF(D652="","Labor",IFERROR(VLOOKUP(D652,Settings!$E$5:$G$28,3,FALSE),"Labor")))</f>
        <v/>
      </c>
      <c r="M652" s="9">
        <f>IF(B652="","",IF(COUNTIF('Vendors &amp; Crew'!$A$5:$A$34,B652)=0,"Worker not in Crew table",IF(C652="","Missing Job ID",IF(COUNTIF(Jobs!$A$5:$A$44,C652)=0,"Unknown Job ID",IF(E652="","Missing hours",IF(A652="","Missing date",""))))))</f>
        <v/>
      </c>
      <c r="N652" s="35" t="n"/>
    </row>
    <row r="653">
      <c r="A653" s="40" t="n"/>
      <c r="B653" s="35" t="n"/>
      <c r="C653" s="35" t="n"/>
      <c r="D653" s="35" t="n"/>
      <c r="E653" s="61" t="n"/>
      <c r="F653" s="37" t="n"/>
      <c r="G653" s="39">
        <f>IF(B653="","",IF(F653&lt;&gt;"",F653,IFERROR(VLOOKUP(B653,'Vendors &amp; Crew'!$A$5:$D$34,3,FALSE),0)))</f>
        <v/>
      </c>
      <c r="H653" s="39">
        <f>IF(B653="","",E653*G653*(1+Settings!$B$18))</f>
        <v/>
      </c>
      <c r="I653" s="39">
        <f>IF(B653="","",IFERROR(VLOOKUP(B653,'Vendors &amp; Crew'!$A$5:$D$34,4,FALSE),0))</f>
        <v/>
      </c>
      <c r="J653" s="39">
        <f>IF(B653="","",E653*I653)</f>
        <v/>
      </c>
      <c r="K653" s="59">
        <f>IF(A653="","",A653-WEEKDAY(A653,2)+7)</f>
        <v/>
      </c>
      <c r="L653" s="9">
        <f>IF(B653="","",IF(D653="","Labor",IFERROR(VLOOKUP(D653,Settings!$E$5:$G$28,3,FALSE),"Labor")))</f>
        <v/>
      </c>
      <c r="M653" s="9">
        <f>IF(B653="","",IF(COUNTIF('Vendors &amp; Crew'!$A$5:$A$34,B653)=0,"Worker not in Crew table",IF(C653="","Missing Job ID",IF(COUNTIF(Jobs!$A$5:$A$44,C653)=0,"Unknown Job ID",IF(E653="","Missing hours",IF(A653="","Missing date",""))))))</f>
        <v/>
      </c>
      <c r="N653" s="35" t="n"/>
    </row>
    <row r="654">
      <c r="A654" s="40" t="n"/>
      <c r="B654" s="35" t="n"/>
      <c r="C654" s="35" t="n"/>
      <c r="D654" s="35" t="n"/>
      <c r="E654" s="61" t="n"/>
      <c r="F654" s="37" t="n"/>
      <c r="G654" s="39">
        <f>IF(B654="","",IF(F654&lt;&gt;"",F654,IFERROR(VLOOKUP(B654,'Vendors &amp; Crew'!$A$5:$D$34,3,FALSE),0)))</f>
        <v/>
      </c>
      <c r="H654" s="39">
        <f>IF(B654="","",E654*G654*(1+Settings!$B$18))</f>
        <v/>
      </c>
      <c r="I654" s="39">
        <f>IF(B654="","",IFERROR(VLOOKUP(B654,'Vendors &amp; Crew'!$A$5:$D$34,4,FALSE),0))</f>
        <v/>
      </c>
      <c r="J654" s="39">
        <f>IF(B654="","",E654*I654)</f>
        <v/>
      </c>
      <c r="K654" s="59">
        <f>IF(A654="","",A654-WEEKDAY(A654,2)+7)</f>
        <v/>
      </c>
      <c r="L654" s="9">
        <f>IF(B654="","",IF(D654="","Labor",IFERROR(VLOOKUP(D654,Settings!$E$5:$G$28,3,FALSE),"Labor")))</f>
        <v/>
      </c>
      <c r="M654" s="9">
        <f>IF(B654="","",IF(COUNTIF('Vendors &amp; Crew'!$A$5:$A$34,B654)=0,"Worker not in Crew table",IF(C654="","Missing Job ID",IF(COUNTIF(Jobs!$A$5:$A$44,C654)=0,"Unknown Job ID",IF(E654="","Missing hours",IF(A654="","Missing date",""))))))</f>
        <v/>
      </c>
      <c r="N654" s="35" t="n"/>
    </row>
    <row r="655">
      <c r="A655" s="40" t="n"/>
      <c r="B655" s="35" t="n"/>
      <c r="C655" s="35" t="n"/>
      <c r="D655" s="35" t="n"/>
      <c r="E655" s="61" t="n"/>
      <c r="F655" s="37" t="n"/>
      <c r="G655" s="39">
        <f>IF(B655="","",IF(F655&lt;&gt;"",F655,IFERROR(VLOOKUP(B655,'Vendors &amp; Crew'!$A$5:$D$34,3,FALSE),0)))</f>
        <v/>
      </c>
      <c r="H655" s="39">
        <f>IF(B655="","",E655*G655*(1+Settings!$B$18))</f>
        <v/>
      </c>
      <c r="I655" s="39">
        <f>IF(B655="","",IFERROR(VLOOKUP(B655,'Vendors &amp; Crew'!$A$5:$D$34,4,FALSE),0))</f>
        <v/>
      </c>
      <c r="J655" s="39">
        <f>IF(B655="","",E655*I655)</f>
        <v/>
      </c>
      <c r="K655" s="59">
        <f>IF(A655="","",A655-WEEKDAY(A655,2)+7)</f>
        <v/>
      </c>
      <c r="L655" s="9">
        <f>IF(B655="","",IF(D655="","Labor",IFERROR(VLOOKUP(D655,Settings!$E$5:$G$28,3,FALSE),"Labor")))</f>
        <v/>
      </c>
      <c r="M655" s="9">
        <f>IF(B655="","",IF(COUNTIF('Vendors &amp; Crew'!$A$5:$A$34,B655)=0,"Worker not in Crew table",IF(C655="","Missing Job ID",IF(COUNTIF(Jobs!$A$5:$A$44,C655)=0,"Unknown Job ID",IF(E655="","Missing hours",IF(A655="","Missing date",""))))))</f>
        <v/>
      </c>
      <c r="N655" s="35" t="n"/>
    </row>
    <row r="656">
      <c r="A656" s="40" t="n"/>
      <c r="B656" s="35" t="n"/>
      <c r="C656" s="35" t="n"/>
      <c r="D656" s="35" t="n"/>
      <c r="E656" s="61" t="n"/>
      <c r="F656" s="37" t="n"/>
      <c r="G656" s="39">
        <f>IF(B656="","",IF(F656&lt;&gt;"",F656,IFERROR(VLOOKUP(B656,'Vendors &amp; Crew'!$A$5:$D$34,3,FALSE),0)))</f>
        <v/>
      </c>
      <c r="H656" s="39">
        <f>IF(B656="","",E656*G656*(1+Settings!$B$18))</f>
        <v/>
      </c>
      <c r="I656" s="39">
        <f>IF(B656="","",IFERROR(VLOOKUP(B656,'Vendors &amp; Crew'!$A$5:$D$34,4,FALSE),0))</f>
        <v/>
      </c>
      <c r="J656" s="39">
        <f>IF(B656="","",E656*I656)</f>
        <v/>
      </c>
      <c r="K656" s="59">
        <f>IF(A656="","",A656-WEEKDAY(A656,2)+7)</f>
        <v/>
      </c>
      <c r="L656" s="9">
        <f>IF(B656="","",IF(D656="","Labor",IFERROR(VLOOKUP(D656,Settings!$E$5:$G$28,3,FALSE),"Labor")))</f>
        <v/>
      </c>
      <c r="M656" s="9">
        <f>IF(B656="","",IF(COUNTIF('Vendors &amp; Crew'!$A$5:$A$34,B656)=0,"Worker not in Crew table",IF(C656="","Missing Job ID",IF(COUNTIF(Jobs!$A$5:$A$44,C656)=0,"Unknown Job ID",IF(E656="","Missing hours",IF(A656="","Missing date",""))))))</f>
        <v/>
      </c>
      <c r="N656" s="35" t="n"/>
    </row>
    <row r="657">
      <c r="A657" s="40" t="n"/>
      <c r="B657" s="35" t="n"/>
      <c r="C657" s="35" t="n"/>
      <c r="D657" s="35" t="n"/>
      <c r="E657" s="61" t="n"/>
      <c r="F657" s="37" t="n"/>
      <c r="G657" s="39">
        <f>IF(B657="","",IF(F657&lt;&gt;"",F657,IFERROR(VLOOKUP(B657,'Vendors &amp; Crew'!$A$5:$D$34,3,FALSE),0)))</f>
        <v/>
      </c>
      <c r="H657" s="39">
        <f>IF(B657="","",E657*G657*(1+Settings!$B$18))</f>
        <v/>
      </c>
      <c r="I657" s="39">
        <f>IF(B657="","",IFERROR(VLOOKUP(B657,'Vendors &amp; Crew'!$A$5:$D$34,4,FALSE),0))</f>
        <v/>
      </c>
      <c r="J657" s="39">
        <f>IF(B657="","",E657*I657)</f>
        <v/>
      </c>
      <c r="K657" s="59">
        <f>IF(A657="","",A657-WEEKDAY(A657,2)+7)</f>
        <v/>
      </c>
      <c r="L657" s="9">
        <f>IF(B657="","",IF(D657="","Labor",IFERROR(VLOOKUP(D657,Settings!$E$5:$G$28,3,FALSE),"Labor")))</f>
        <v/>
      </c>
      <c r="M657" s="9">
        <f>IF(B657="","",IF(COUNTIF('Vendors &amp; Crew'!$A$5:$A$34,B657)=0,"Worker not in Crew table",IF(C657="","Missing Job ID",IF(COUNTIF(Jobs!$A$5:$A$44,C657)=0,"Unknown Job ID",IF(E657="","Missing hours",IF(A657="","Missing date",""))))))</f>
        <v/>
      </c>
      <c r="N657" s="35" t="n"/>
    </row>
    <row r="658">
      <c r="A658" s="40" t="n"/>
      <c r="B658" s="35" t="n"/>
      <c r="C658" s="35" t="n"/>
      <c r="D658" s="35" t="n"/>
      <c r="E658" s="61" t="n"/>
      <c r="F658" s="37" t="n"/>
      <c r="G658" s="39">
        <f>IF(B658="","",IF(F658&lt;&gt;"",F658,IFERROR(VLOOKUP(B658,'Vendors &amp; Crew'!$A$5:$D$34,3,FALSE),0)))</f>
        <v/>
      </c>
      <c r="H658" s="39">
        <f>IF(B658="","",E658*G658*(1+Settings!$B$18))</f>
        <v/>
      </c>
      <c r="I658" s="39">
        <f>IF(B658="","",IFERROR(VLOOKUP(B658,'Vendors &amp; Crew'!$A$5:$D$34,4,FALSE),0))</f>
        <v/>
      </c>
      <c r="J658" s="39">
        <f>IF(B658="","",E658*I658)</f>
        <v/>
      </c>
      <c r="K658" s="59">
        <f>IF(A658="","",A658-WEEKDAY(A658,2)+7)</f>
        <v/>
      </c>
      <c r="L658" s="9">
        <f>IF(B658="","",IF(D658="","Labor",IFERROR(VLOOKUP(D658,Settings!$E$5:$G$28,3,FALSE),"Labor")))</f>
        <v/>
      </c>
      <c r="M658" s="9">
        <f>IF(B658="","",IF(COUNTIF('Vendors &amp; Crew'!$A$5:$A$34,B658)=0,"Worker not in Crew table",IF(C658="","Missing Job ID",IF(COUNTIF(Jobs!$A$5:$A$44,C658)=0,"Unknown Job ID",IF(E658="","Missing hours",IF(A658="","Missing date",""))))))</f>
        <v/>
      </c>
      <c r="N658" s="35" t="n"/>
    </row>
    <row r="659">
      <c r="A659" s="40" t="n"/>
      <c r="B659" s="35" t="n"/>
      <c r="C659" s="35" t="n"/>
      <c r="D659" s="35" t="n"/>
      <c r="E659" s="61" t="n"/>
      <c r="F659" s="37" t="n"/>
      <c r="G659" s="39">
        <f>IF(B659="","",IF(F659&lt;&gt;"",F659,IFERROR(VLOOKUP(B659,'Vendors &amp; Crew'!$A$5:$D$34,3,FALSE),0)))</f>
        <v/>
      </c>
      <c r="H659" s="39">
        <f>IF(B659="","",E659*G659*(1+Settings!$B$18))</f>
        <v/>
      </c>
      <c r="I659" s="39">
        <f>IF(B659="","",IFERROR(VLOOKUP(B659,'Vendors &amp; Crew'!$A$5:$D$34,4,FALSE),0))</f>
        <v/>
      </c>
      <c r="J659" s="39">
        <f>IF(B659="","",E659*I659)</f>
        <v/>
      </c>
      <c r="K659" s="59">
        <f>IF(A659="","",A659-WEEKDAY(A659,2)+7)</f>
        <v/>
      </c>
      <c r="L659" s="9">
        <f>IF(B659="","",IF(D659="","Labor",IFERROR(VLOOKUP(D659,Settings!$E$5:$G$28,3,FALSE),"Labor")))</f>
        <v/>
      </c>
      <c r="M659" s="9">
        <f>IF(B659="","",IF(COUNTIF('Vendors &amp; Crew'!$A$5:$A$34,B659)=0,"Worker not in Crew table",IF(C659="","Missing Job ID",IF(COUNTIF(Jobs!$A$5:$A$44,C659)=0,"Unknown Job ID",IF(E659="","Missing hours",IF(A659="","Missing date",""))))))</f>
        <v/>
      </c>
      <c r="N659" s="35" t="n"/>
    </row>
    <row r="660">
      <c r="A660" s="40" t="n"/>
      <c r="B660" s="35" t="n"/>
      <c r="C660" s="35" t="n"/>
      <c r="D660" s="35" t="n"/>
      <c r="E660" s="61" t="n"/>
      <c r="F660" s="37" t="n"/>
      <c r="G660" s="39">
        <f>IF(B660="","",IF(F660&lt;&gt;"",F660,IFERROR(VLOOKUP(B660,'Vendors &amp; Crew'!$A$5:$D$34,3,FALSE),0)))</f>
        <v/>
      </c>
      <c r="H660" s="39">
        <f>IF(B660="","",E660*G660*(1+Settings!$B$18))</f>
        <v/>
      </c>
      <c r="I660" s="39">
        <f>IF(B660="","",IFERROR(VLOOKUP(B660,'Vendors &amp; Crew'!$A$5:$D$34,4,FALSE),0))</f>
        <v/>
      </c>
      <c r="J660" s="39">
        <f>IF(B660="","",E660*I660)</f>
        <v/>
      </c>
      <c r="K660" s="59">
        <f>IF(A660="","",A660-WEEKDAY(A660,2)+7)</f>
        <v/>
      </c>
      <c r="L660" s="9">
        <f>IF(B660="","",IF(D660="","Labor",IFERROR(VLOOKUP(D660,Settings!$E$5:$G$28,3,FALSE),"Labor")))</f>
        <v/>
      </c>
      <c r="M660" s="9">
        <f>IF(B660="","",IF(COUNTIF('Vendors &amp; Crew'!$A$5:$A$34,B660)=0,"Worker not in Crew table",IF(C660="","Missing Job ID",IF(COUNTIF(Jobs!$A$5:$A$44,C660)=0,"Unknown Job ID",IF(E660="","Missing hours",IF(A660="","Missing date",""))))))</f>
        <v/>
      </c>
      <c r="N660" s="35" t="n"/>
    </row>
    <row r="661">
      <c r="A661" s="40" t="n"/>
      <c r="B661" s="35" t="n"/>
      <c r="C661" s="35" t="n"/>
      <c r="D661" s="35" t="n"/>
      <c r="E661" s="61" t="n"/>
      <c r="F661" s="37" t="n"/>
      <c r="G661" s="39">
        <f>IF(B661="","",IF(F661&lt;&gt;"",F661,IFERROR(VLOOKUP(B661,'Vendors &amp; Crew'!$A$5:$D$34,3,FALSE),0)))</f>
        <v/>
      </c>
      <c r="H661" s="39">
        <f>IF(B661="","",E661*G661*(1+Settings!$B$18))</f>
        <v/>
      </c>
      <c r="I661" s="39">
        <f>IF(B661="","",IFERROR(VLOOKUP(B661,'Vendors &amp; Crew'!$A$5:$D$34,4,FALSE),0))</f>
        <v/>
      </c>
      <c r="J661" s="39">
        <f>IF(B661="","",E661*I661)</f>
        <v/>
      </c>
      <c r="K661" s="59">
        <f>IF(A661="","",A661-WEEKDAY(A661,2)+7)</f>
        <v/>
      </c>
      <c r="L661" s="9">
        <f>IF(B661="","",IF(D661="","Labor",IFERROR(VLOOKUP(D661,Settings!$E$5:$G$28,3,FALSE),"Labor")))</f>
        <v/>
      </c>
      <c r="M661" s="9">
        <f>IF(B661="","",IF(COUNTIF('Vendors &amp; Crew'!$A$5:$A$34,B661)=0,"Worker not in Crew table",IF(C661="","Missing Job ID",IF(COUNTIF(Jobs!$A$5:$A$44,C661)=0,"Unknown Job ID",IF(E661="","Missing hours",IF(A661="","Missing date",""))))))</f>
        <v/>
      </c>
      <c r="N661" s="35" t="n"/>
    </row>
    <row r="662">
      <c r="A662" s="40" t="n"/>
      <c r="B662" s="35" t="n"/>
      <c r="C662" s="35" t="n"/>
      <c r="D662" s="35" t="n"/>
      <c r="E662" s="61" t="n"/>
      <c r="F662" s="37" t="n"/>
      <c r="G662" s="39">
        <f>IF(B662="","",IF(F662&lt;&gt;"",F662,IFERROR(VLOOKUP(B662,'Vendors &amp; Crew'!$A$5:$D$34,3,FALSE),0)))</f>
        <v/>
      </c>
      <c r="H662" s="39">
        <f>IF(B662="","",E662*G662*(1+Settings!$B$18))</f>
        <v/>
      </c>
      <c r="I662" s="39">
        <f>IF(B662="","",IFERROR(VLOOKUP(B662,'Vendors &amp; Crew'!$A$5:$D$34,4,FALSE),0))</f>
        <v/>
      </c>
      <c r="J662" s="39">
        <f>IF(B662="","",E662*I662)</f>
        <v/>
      </c>
      <c r="K662" s="59">
        <f>IF(A662="","",A662-WEEKDAY(A662,2)+7)</f>
        <v/>
      </c>
      <c r="L662" s="9">
        <f>IF(B662="","",IF(D662="","Labor",IFERROR(VLOOKUP(D662,Settings!$E$5:$G$28,3,FALSE),"Labor")))</f>
        <v/>
      </c>
      <c r="M662" s="9">
        <f>IF(B662="","",IF(COUNTIF('Vendors &amp; Crew'!$A$5:$A$34,B662)=0,"Worker not in Crew table",IF(C662="","Missing Job ID",IF(COUNTIF(Jobs!$A$5:$A$44,C662)=0,"Unknown Job ID",IF(E662="","Missing hours",IF(A662="","Missing date",""))))))</f>
        <v/>
      </c>
      <c r="N662" s="35" t="n"/>
    </row>
    <row r="663">
      <c r="A663" s="40" t="n"/>
      <c r="B663" s="35" t="n"/>
      <c r="C663" s="35" t="n"/>
      <c r="D663" s="35" t="n"/>
      <c r="E663" s="61" t="n"/>
      <c r="F663" s="37" t="n"/>
      <c r="G663" s="39">
        <f>IF(B663="","",IF(F663&lt;&gt;"",F663,IFERROR(VLOOKUP(B663,'Vendors &amp; Crew'!$A$5:$D$34,3,FALSE),0)))</f>
        <v/>
      </c>
      <c r="H663" s="39">
        <f>IF(B663="","",E663*G663*(1+Settings!$B$18))</f>
        <v/>
      </c>
      <c r="I663" s="39">
        <f>IF(B663="","",IFERROR(VLOOKUP(B663,'Vendors &amp; Crew'!$A$5:$D$34,4,FALSE),0))</f>
        <v/>
      </c>
      <c r="J663" s="39">
        <f>IF(B663="","",E663*I663)</f>
        <v/>
      </c>
      <c r="K663" s="59">
        <f>IF(A663="","",A663-WEEKDAY(A663,2)+7)</f>
        <v/>
      </c>
      <c r="L663" s="9">
        <f>IF(B663="","",IF(D663="","Labor",IFERROR(VLOOKUP(D663,Settings!$E$5:$G$28,3,FALSE),"Labor")))</f>
        <v/>
      </c>
      <c r="M663" s="9">
        <f>IF(B663="","",IF(COUNTIF('Vendors &amp; Crew'!$A$5:$A$34,B663)=0,"Worker not in Crew table",IF(C663="","Missing Job ID",IF(COUNTIF(Jobs!$A$5:$A$44,C663)=0,"Unknown Job ID",IF(E663="","Missing hours",IF(A663="","Missing date",""))))))</f>
        <v/>
      </c>
      <c r="N663" s="35" t="n"/>
    </row>
    <row r="664">
      <c r="A664" s="40" t="n"/>
      <c r="B664" s="35" t="n"/>
      <c r="C664" s="35" t="n"/>
      <c r="D664" s="35" t="n"/>
      <c r="E664" s="61" t="n"/>
      <c r="F664" s="37" t="n"/>
      <c r="G664" s="39">
        <f>IF(B664="","",IF(F664&lt;&gt;"",F664,IFERROR(VLOOKUP(B664,'Vendors &amp; Crew'!$A$5:$D$34,3,FALSE),0)))</f>
        <v/>
      </c>
      <c r="H664" s="39">
        <f>IF(B664="","",E664*G664*(1+Settings!$B$18))</f>
        <v/>
      </c>
      <c r="I664" s="39">
        <f>IF(B664="","",IFERROR(VLOOKUP(B664,'Vendors &amp; Crew'!$A$5:$D$34,4,FALSE),0))</f>
        <v/>
      </c>
      <c r="J664" s="39">
        <f>IF(B664="","",E664*I664)</f>
        <v/>
      </c>
      <c r="K664" s="59">
        <f>IF(A664="","",A664-WEEKDAY(A664,2)+7)</f>
        <v/>
      </c>
      <c r="L664" s="9">
        <f>IF(B664="","",IF(D664="","Labor",IFERROR(VLOOKUP(D664,Settings!$E$5:$G$28,3,FALSE),"Labor")))</f>
        <v/>
      </c>
      <c r="M664" s="9">
        <f>IF(B664="","",IF(COUNTIF('Vendors &amp; Crew'!$A$5:$A$34,B664)=0,"Worker not in Crew table",IF(C664="","Missing Job ID",IF(COUNTIF(Jobs!$A$5:$A$44,C664)=0,"Unknown Job ID",IF(E664="","Missing hours",IF(A664="","Missing date",""))))))</f>
        <v/>
      </c>
      <c r="N664" s="35" t="n"/>
    </row>
    <row r="665">
      <c r="A665" s="40" t="n"/>
      <c r="B665" s="35" t="n"/>
      <c r="C665" s="35" t="n"/>
      <c r="D665" s="35" t="n"/>
      <c r="E665" s="61" t="n"/>
      <c r="F665" s="37" t="n"/>
      <c r="G665" s="39">
        <f>IF(B665="","",IF(F665&lt;&gt;"",F665,IFERROR(VLOOKUP(B665,'Vendors &amp; Crew'!$A$5:$D$34,3,FALSE),0)))</f>
        <v/>
      </c>
      <c r="H665" s="39">
        <f>IF(B665="","",E665*G665*(1+Settings!$B$18))</f>
        <v/>
      </c>
      <c r="I665" s="39">
        <f>IF(B665="","",IFERROR(VLOOKUP(B665,'Vendors &amp; Crew'!$A$5:$D$34,4,FALSE),0))</f>
        <v/>
      </c>
      <c r="J665" s="39">
        <f>IF(B665="","",E665*I665)</f>
        <v/>
      </c>
      <c r="K665" s="59">
        <f>IF(A665="","",A665-WEEKDAY(A665,2)+7)</f>
        <v/>
      </c>
      <c r="L665" s="9">
        <f>IF(B665="","",IF(D665="","Labor",IFERROR(VLOOKUP(D665,Settings!$E$5:$G$28,3,FALSE),"Labor")))</f>
        <v/>
      </c>
      <c r="M665" s="9">
        <f>IF(B665="","",IF(COUNTIF('Vendors &amp; Crew'!$A$5:$A$34,B665)=0,"Worker not in Crew table",IF(C665="","Missing Job ID",IF(COUNTIF(Jobs!$A$5:$A$44,C665)=0,"Unknown Job ID",IF(E665="","Missing hours",IF(A665="","Missing date",""))))))</f>
        <v/>
      </c>
      <c r="N665" s="35" t="n"/>
    </row>
    <row r="666">
      <c r="A666" s="40" t="n"/>
      <c r="B666" s="35" t="n"/>
      <c r="C666" s="35" t="n"/>
      <c r="D666" s="35" t="n"/>
      <c r="E666" s="61" t="n"/>
      <c r="F666" s="37" t="n"/>
      <c r="G666" s="39">
        <f>IF(B666="","",IF(F666&lt;&gt;"",F666,IFERROR(VLOOKUP(B666,'Vendors &amp; Crew'!$A$5:$D$34,3,FALSE),0)))</f>
        <v/>
      </c>
      <c r="H666" s="39">
        <f>IF(B666="","",E666*G666*(1+Settings!$B$18))</f>
        <v/>
      </c>
      <c r="I666" s="39">
        <f>IF(B666="","",IFERROR(VLOOKUP(B666,'Vendors &amp; Crew'!$A$5:$D$34,4,FALSE),0))</f>
        <v/>
      </c>
      <c r="J666" s="39">
        <f>IF(B666="","",E666*I666)</f>
        <v/>
      </c>
      <c r="K666" s="59">
        <f>IF(A666="","",A666-WEEKDAY(A666,2)+7)</f>
        <v/>
      </c>
      <c r="L666" s="9">
        <f>IF(B666="","",IF(D666="","Labor",IFERROR(VLOOKUP(D666,Settings!$E$5:$G$28,3,FALSE),"Labor")))</f>
        <v/>
      </c>
      <c r="M666" s="9">
        <f>IF(B666="","",IF(COUNTIF('Vendors &amp; Crew'!$A$5:$A$34,B666)=0,"Worker not in Crew table",IF(C666="","Missing Job ID",IF(COUNTIF(Jobs!$A$5:$A$44,C666)=0,"Unknown Job ID",IF(E666="","Missing hours",IF(A666="","Missing date",""))))))</f>
        <v/>
      </c>
      <c r="N666" s="35" t="n"/>
    </row>
    <row r="667">
      <c r="A667" s="40" t="n"/>
      <c r="B667" s="35" t="n"/>
      <c r="C667" s="35" t="n"/>
      <c r="D667" s="35" t="n"/>
      <c r="E667" s="61" t="n"/>
      <c r="F667" s="37" t="n"/>
      <c r="G667" s="39">
        <f>IF(B667="","",IF(F667&lt;&gt;"",F667,IFERROR(VLOOKUP(B667,'Vendors &amp; Crew'!$A$5:$D$34,3,FALSE),0)))</f>
        <v/>
      </c>
      <c r="H667" s="39">
        <f>IF(B667="","",E667*G667*(1+Settings!$B$18))</f>
        <v/>
      </c>
      <c r="I667" s="39">
        <f>IF(B667="","",IFERROR(VLOOKUP(B667,'Vendors &amp; Crew'!$A$5:$D$34,4,FALSE),0))</f>
        <v/>
      </c>
      <c r="J667" s="39">
        <f>IF(B667="","",E667*I667)</f>
        <v/>
      </c>
      <c r="K667" s="59">
        <f>IF(A667="","",A667-WEEKDAY(A667,2)+7)</f>
        <v/>
      </c>
      <c r="L667" s="9">
        <f>IF(B667="","",IF(D667="","Labor",IFERROR(VLOOKUP(D667,Settings!$E$5:$G$28,3,FALSE),"Labor")))</f>
        <v/>
      </c>
      <c r="M667" s="9">
        <f>IF(B667="","",IF(COUNTIF('Vendors &amp; Crew'!$A$5:$A$34,B667)=0,"Worker not in Crew table",IF(C667="","Missing Job ID",IF(COUNTIF(Jobs!$A$5:$A$44,C667)=0,"Unknown Job ID",IF(E667="","Missing hours",IF(A667="","Missing date",""))))))</f>
        <v/>
      </c>
      <c r="N667" s="35" t="n"/>
    </row>
    <row r="668">
      <c r="A668" s="40" t="n"/>
      <c r="B668" s="35" t="n"/>
      <c r="C668" s="35" t="n"/>
      <c r="D668" s="35" t="n"/>
      <c r="E668" s="61" t="n"/>
      <c r="F668" s="37" t="n"/>
      <c r="G668" s="39">
        <f>IF(B668="","",IF(F668&lt;&gt;"",F668,IFERROR(VLOOKUP(B668,'Vendors &amp; Crew'!$A$5:$D$34,3,FALSE),0)))</f>
        <v/>
      </c>
      <c r="H668" s="39">
        <f>IF(B668="","",E668*G668*(1+Settings!$B$18))</f>
        <v/>
      </c>
      <c r="I668" s="39">
        <f>IF(B668="","",IFERROR(VLOOKUP(B668,'Vendors &amp; Crew'!$A$5:$D$34,4,FALSE),0))</f>
        <v/>
      </c>
      <c r="J668" s="39">
        <f>IF(B668="","",E668*I668)</f>
        <v/>
      </c>
      <c r="K668" s="59">
        <f>IF(A668="","",A668-WEEKDAY(A668,2)+7)</f>
        <v/>
      </c>
      <c r="L668" s="9">
        <f>IF(B668="","",IF(D668="","Labor",IFERROR(VLOOKUP(D668,Settings!$E$5:$G$28,3,FALSE),"Labor")))</f>
        <v/>
      </c>
      <c r="M668" s="9">
        <f>IF(B668="","",IF(COUNTIF('Vendors &amp; Crew'!$A$5:$A$34,B668)=0,"Worker not in Crew table",IF(C668="","Missing Job ID",IF(COUNTIF(Jobs!$A$5:$A$44,C668)=0,"Unknown Job ID",IF(E668="","Missing hours",IF(A668="","Missing date",""))))))</f>
        <v/>
      </c>
      <c r="N668" s="35" t="n"/>
    </row>
    <row r="669">
      <c r="A669" s="40" t="n"/>
      <c r="B669" s="35" t="n"/>
      <c r="C669" s="35" t="n"/>
      <c r="D669" s="35" t="n"/>
      <c r="E669" s="61" t="n"/>
      <c r="F669" s="37" t="n"/>
      <c r="G669" s="39">
        <f>IF(B669="","",IF(F669&lt;&gt;"",F669,IFERROR(VLOOKUP(B669,'Vendors &amp; Crew'!$A$5:$D$34,3,FALSE),0)))</f>
        <v/>
      </c>
      <c r="H669" s="39">
        <f>IF(B669="","",E669*G669*(1+Settings!$B$18))</f>
        <v/>
      </c>
      <c r="I669" s="39">
        <f>IF(B669="","",IFERROR(VLOOKUP(B669,'Vendors &amp; Crew'!$A$5:$D$34,4,FALSE),0))</f>
        <v/>
      </c>
      <c r="J669" s="39">
        <f>IF(B669="","",E669*I669)</f>
        <v/>
      </c>
      <c r="K669" s="59">
        <f>IF(A669="","",A669-WEEKDAY(A669,2)+7)</f>
        <v/>
      </c>
      <c r="L669" s="9">
        <f>IF(B669="","",IF(D669="","Labor",IFERROR(VLOOKUP(D669,Settings!$E$5:$G$28,3,FALSE),"Labor")))</f>
        <v/>
      </c>
      <c r="M669" s="9">
        <f>IF(B669="","",IF(COUNTIF('Vendors &amp; Crew'!$A$5:$A$34,B669)=0,"Worker not in Crew table",IF(C669="","Missing Job ID",IF(COUNTIF(Jobs!$A$5:$A$44,C669)=0,"Unknown Job ID",IF(E669="","Missing hours",IF(A669="","Missing date",""))))))</f>
        <v/>
      </c>
      <c r="N669" s="35" t="n"/>
    </row>
    <row r="670">
      <c r="A670" s="40" t="n"/>
      <c r="B670" s="35" t="n"/>
      <c r="C670" s="35" t="n"/>
      <c r="D670" s="35" t="n"/>
      <c r="E670" s="61" t="n"/>
      <c r="F670" s="37" t="n"/>
      <c r="G670" s="39">
        <f>IF(B670="","",IF(F670&lt;&gt;"",F670,IFERROR(VLOOKUP(B670,'Vendors &amp; Crew'!$A$5:$D$34,3,FALSE),0)))</f>
        <v/>
      </c>
      <c r="H670" s="39">
        <f>IF(B670="","",E670*G670*(1+Settings!$B$18))</f>
        <v/>
      </c>
      <c r="I670" s="39">
        <f>IF(B670="","",IFERROR(VLOOKUP(B670,'Vendors &amp; Crew'!$A$5:$D$34,4,FALSE),0))</f>
        <v/>
      </c>
      <c r="J670" s="39">
        <f>IF(B670="","",E670*I670)</f>
        <v/>
      </c>
      <c r="K670" s="59">
        <f>IF(A670="","",A670-WEEKDAY(A670,2)+7)</f>
        <v/>
      </c>
      <c r="L670" s="9">
        <f>IF(B670="","",IF(D670="","Labor",IFERROR(VLOOKUP(D670,Settings!$E$5:$G$28,3,FALSE),"Labor")))</f>
        <v/>
      </c>
      <c r="M670" s="9">
        <f>IF(B670="","",IF(COUNTIF('Vendors &amp; Crew'!$A$5:$A$34,B670)=0,"Worker not in Crew table",IF(C670="","Missing Job ID",IF(COUNTIF(Jobs!$A$5:$A$44,C670)=0,"Unknown Job ID",IF(E670="","Missing hours",IF(A670="","Missing date",""))))))</f>
        <v/>
      </c>
      <c r="N670" s="35" t="n"/>
    </row>
    <row r="671">
      <c r="A671" s="40" t="n"/>
      <c r="B671" s="35" t="n"/>
      <c r="C671" s="35" t="n"/>
      <c r="D671" s="35" t="n"/>
      <c r="E671" s="61" t="n"/>
      <c r="F671" s="37" t="n"/>
      <c r="G671" s="39">
        <f>IF(B671="","",IF(F671&lt;&gt;"",F671,IFERROR(VLOOKUP(B671,'Vendors &amp; Crew'!$A$5:$D$34,3,FALSE),0)))</f>
        <v/>
      </c>
      <c r="H671" s="39">
        <f>IF(B671="","",E671*G671*(1+Settings!$B$18))</f>
        <v/>
      </c>
      <c r="I671" s="39">
        <f>IF(B671="","",IFERROR(VLOOKUP(B671,'Vendors &amp; Crew'!$A$5:$D$34,4,FALSE),0))</f>
        <v/>
      </c>
      <c r="J671" s="39">
        <f>IF(B671="","",E671*I671)</f>
        <v/>
      </c>
      <c r="K671" s="59">
        <f>IF(A671="","",A671-WEEKDAY(A671,2)+7)</f>
        <v/>
      </c>
      <c r="L671" s="9">
        <f>IF(B671="","",IF(D671="","Labor",IFERROR(VLOOKUP(D671,Settings!$E$5:$G$28,3,FALSE),"Labor")))</f>
        <v/>
      </c>
      <c r="M671" s="9">
        <f>IF(B671="","",IF(COUNTIF('Vendors &amp; Crew'!$A$5:$A$34,B671)=0,"Worker not in Crew table",IF(C671="","Missing Job ID",IF(COUNTIF(Jobs!$A$5:$A$44,C671)=0,"Unknown Job ID",IF(E671="","Missing hours",IF(A671="","Missing date",""))))))</f>
        <v/>
      </c>
      <c r="N671" s="35" t="n"/>
    </row>
    <row r="672">
      <c r="A672" s="40" t="n"/>
      <c r="B672" s="35" t="n"/>
      <c r="C672" s="35" t="n"/>
      <c r="D672" s="35" t="n"/>
      <c r="E672" s="61" t="n"/>
      <c r="F672" s="37" t="n"/>
      <c r="G672" s="39">
        <f>IF(B672="","",IF(F672&lt;&gt;"",F672,IFERROR(VLOOKUP(B672,'Vendors &amp; Crew'!$A$5:$D$34,3,FALSE),0)))</f>
        <v/>
      </c>
      <c r="H672" s="39">
        <f>IF(B672="","",E672*G672*(1+Settings!$B$18))</f>
        <v/>
      </c>
      <c r="I672" s="39">
        <f>IF(B672="","",IFERROR(VLOOKUP(B672,'Vendors &amp; Crew'!$A$5:$D$34,4,FALSE),0))</f>
        <v/>
      </c>
      <c r="J672" s="39">
        <f>IF(B672="","",E672*I672)</f>
        <v/>
      </c>
      <c r="K672" s="59">
        <f>IF(A672="","",A672-WEEKDAY(A672,2)+7)</f>
        <v/>
      </c>
      <c r="L672" s="9">
        <f>IF(B672="","",IF(D672="","Labor",IFERROR(VLOOKUP(D672,Settings!$E$5:$G$28,3,FALSE),"Labor")))</f>
        <v/>
      </c>
      <c r="M672" s="9">
        <f>IF(B672="","",IF(COUNTIF('Vendors &amp; Crew'!$A$5:$A$34,B672)=0,"Worker not in Crew table",IF(C672="","Missing Job ID",IF(COUNTIF(Jobs!$A$5:$A$44,C672)=0,"Unknown Job ID",IF(E672="","Missing hours",IF(A672="","Missing date",""))))))</f>
        <v/>
      </c>
      <c r="N672" s="35" t="n"/>
    </row>
    <row r="673">
      <c r="A673" s="40" t="n"/>
      <c r="B673" s="35" t="n"/>
      <c r="C673" s="35" t="n"/>
      <c r="D673" s="35" t="n"/>
      <c r="E673" s="61" t="n"/>
      <c r="F673" s="37" t="n"/>
      <c r="G673" s="39">
        <f>IF(B673="","",IF(F673&lt;&gt;"",F673,IFERROR(VLOOKUP(B673,'Vendors &amp; Crew'!$A$5:$D$34,3,FALSE),0)))</f>
        <v/>
      </c>
      <c r="H673" s="39">
        <f>IF(B673="","",E673*G673*(1+Settings!$B$18))</f>
        <v/>
      </c>
      <c r="I673" s="39">
        <f>IF(B673="","",IFERROR(VLOOKUP(B673,'Vendors &amp; Crew'!$A$5:$D$34,4,FALSE),0))</f>
        <v/>
      </c>
      <c r="J673" s="39">
        <f>IF(B673="","",E673*I673)</f>
        <v/>
      </c>
      <c r="K673" s="59">
        <f>IF(A673="","",A673-WEEKDAY(A673,2)+7)</f>
        <v/>
      </c>
      <c r="L673" s="9">
        <f>IF(B673="","",IF(D673="","Labor",IFERROR(VLOOKUP(D673,Settings!$E$5:$G$28,3,FALSE),"Labor")))</f>
        <v/>
      </c>
      <c r="M673" s="9">
        <f>IF(B673="","",IF(COUNTIF('Vendors &amp; Crew'!$A$5:$A$34,B673)=0,"Worker not in Crew table",IF(C673="","Missing Job ID",IF(COUNTIF(Jobs!$A$5:$A$44,C673)=0,"Unknown Job ID",IF(E673="","Missing hours",IF(A673="","Missing date",""))))))</f>
        <v/>
      </c>
      <c r="N673" s="35" t="n"/>
    </row>
    <row r="674">
      <c r="A674" s="40" t="n"/>
      <c r="B674" s="35" t="n"/>
      <c r="C674" s="35" t="n"/>
      <c r="D674" s="35" t="n"/>
      <c r="E674" s="61" t="n"/>
      <c r="F674" s="37" t="n"/>
      <c r="G674" s="39">
        <f>IF(B674="","",IF(F674&lt;&gt;"",F674,IFERROR(VLOOKUP(B674,'Vendors &amp; Crew'!$A$5:$D$34,3,FALSE),0)))</f>
        <v/>
      </c>
      <c r="H674" s="39">
        <f>IF(B674="","",E674*G674*(1+Settings!$B$18))</f>
        <v/>
      </c>
      <c r="I674" s="39">
        <f>IF(B674="","",IFERROR(VLOOKUP(B674,'Vendors &amp; Crew'!$A$5:$D$34,4,FALSE),0))</f>
        <v/>
      </c>
      <c r="J674" s="39">
        <f>IF(B674="","",E674*I674)</f>
        <v/>
      </c>
      <c r="K674" s="59">
        <f>IF(A674="","",A674-WEEKDAY(A674,2)+7)</f>
        <v/>
      </c>
      <c r="L674" s="9">
        <f>IF(B674="","",IF(D674="","Labor",IFERROR(VLOOKUP(D674,Settings!$E$5:$G$28,3,FALSE),"Labor")))</f>
        <v/>
      </c>
      <c r="M674" s="9">
        <f>IF(B674="","",IF(COUNTIF('Vendors &amp; Crew'!$A$5:$A$34,B674)=0,"Worker not in Crew table",IF(C674="","Missing Job ID",IF(COUNTIF(Jobs!$A$5:$A$44,C674)=0,"Unknown Job ID",IF(E674="","Missing hours",IF(A674="","Missing date",""))))))</f>
        <v/>
      </c>
      <c r="N674" s="35" t="n"/>
    </row>
    <row r="675">
      <c r="A675" s="40" t="n"/>
      <c r="B675" s="35" t="n"/>
      <c r="C675" s="35" t="n"/>
      <c r="D675" s="35" t="n"/>
      <c r="E675" s="61" t="n"/>
      <c r="F675" s="37" t="n"/>
      <c r="G675" s="39">
        <f>IF(B675="","",IF(F675&lt;&gt;"",F675,IFERROR(VLOOKUP(B675,'Vendors &amp; Crew'!$A$5:$D$34,3,FALSE),0)))</f>
        <v/>
      </c>
      <c r="H675" s="39">
        <f>IF(B675="","",E675*G675*(1+Settings!$B$18))</f>
        <v/>
      </c>
      <c r="I675" s="39">
        <f>IF(B675="","",IFERROR(VLOOKUP(B675,'Vendors &amp; Crew'!$A$5:$D$34,4,FALSE),0))</f>
        <v/>
      </c>
      <c r="J675" s="39">
        <f>IF(B675="","",E675*I675)</f>
        <v/>
      </c>
      <c r="K675" s="59">
        <f>IF(A675="","",A675-WEEKDAY(A675,2)+7)</f>
        <v/>
      </c>
      <c r="L675" s="9">
        <f>IF(B675="","",IF(D675="","Labor",IFERROR(VLOOKUP(D675,Settings!$E$5:$G$28,3,FALSE),"Labor")))</f>
        <v/>
      </c>
      <c r="M675" s="9">
        <f>IF(B675="","",IF(COUNTIF('Vendors &amp; Crew'!$A$5:$A$34,B675)=0,"Worker not in Crew table",IF(C675="","Missing Job ID",IF(COUNTIF(Jobs!$A$5:$A$44,C675)=0,"Unknown Job ID",IF(E675="","Missing hours",IF(A675="","Missing date",""))))))</f>
        <v/>
      </c>
      <c r="N675" s="35" t="n"/>
    </row>
    <row r="676">
      <c r="A676" s="40" t="n"/>
      <c r="B676" s="35" t="n"/>
      <c r="C676" s="35" t="n"/>
      <c r="D676" s="35" t="n"/>
      <c r="E676" s="61" t="n"/>
      <c r="F676" s="37" t="n"/>
      <c r="G676" s="39">
        <f>IF(B676="","",IF(F676&lt;&gt;"",F676,IFERROR(VLOOKUP(B676,'Vendors &amp; Crew'!$A$5:$D$34,3,FALSE),0)))</f>
        <v/>
      </c>
      <c r="H676" s="39">
        <f>IF(B676="","",E676*G676*(1+Settings!$B$18))</f>
        <v/>
      </c>
      <c r="I676" s="39">
        <f>IF(B676="","",IFERROR(VLOOKUP(B676,'Vendors &amp; Crew'!$A$5:$D$34,4,FALSE),0))</f>
        <v/>
      </c>
      <c r="J676" s="39">
        <f>IF(B676="","",E676*I676)</f>
        <v/>
      </c>
      <c r="K676" s="59">
        <f>IF(A676="","",A676-WEEKDAY(A676,2)+7)</f>
        <v/>
      </c>
      <c r="L676" s="9">
        <f>IF(B676="","",IF(D676="","Labor",IFERROR(VLOOKUP(D676,Settings!$E$5:$G$28,3,FALSE),"Labor")))</f>
        <v/>
      </c>
      <c r="M676" s="9">
        <f>IF(B676="","",IF(COUNTIF('Vendors &amp; Crew'!$A$5:$A$34,B676)=0,"Worker not in Crew table",IF(C676="","Missing Job ID",IF(COUNTIF(Jobs!$A$5:$A$44,C676)=0,"Unknown Job ID",IF(E676="","Missing hours",IF(A676="","Missing date",""))))))</f>
        <v/>
      </c>
      <c r="N676" s="35" t="n"/>
    </row>
    <row r="677">
      <c r="A677" s="40" t="n"/>
      <c r="B677" s="35" t="n"/>
      <c r="C677" s="35" t="n"/>
      <c r="D677" s="35" t="n"/>
      <c r="E677" s="61" t="n"/>
      <c r="F677" s="37" t="n"/>
      <c r="G677" s="39">
        <f>IF(B677="","",IF(F677&lt;&gt;"",F677,IFERROR(VLOOKUP(B677,'Vendors &amp; Crew'!$A$5:$D$34,3,FALSE),0)))</f>
        <v/>
      </c>
      <c r="H677" s="39">
        <f>IF(B677="","",E677*G677*(1+Settings!$B$18))</f>
        <v/>
      </c>
      <c r="I677" s="39">
        <f>IF(B677="","",IFERROR(VLOOKUP(B677,'Vendors &amp; Crew'!$A$5:$D$34,4,FALSE),0))</f>
        <v/>
      </c>
      <c r="J677" s="39">
        <f>IF(B677="","",E677*I677)</f>
        <v/>
      </c>
      <c r="K677" s="59">
        <f>IF(A677="","",A677-WEEKDAY(A677,2)+7)</f>
        <v/>
      </c>
      <c r="L677" s="9">
        <f>IF(B677="","",IF(D677="","Labor",IFERROR(VLOOKUP(D677,Settings!$E$5:$G$28,3,FALSE),"Labor")))</f>
        <v/>
      </c>
      <c r="M677" s="9">
        <f>IF(B677="","",IF(COUNTIF('Vendors &amp; Crew'!$A$5:$A$34,B677)=0,"Worker not in Crew table",IF(C677="","Missing Job ID",IF(COUNTIF(Jobs!$A$5:$A$44,C677)=0,"Unknown Job ID",IF(E677="","Missing hours",IF(A677="","Missing date",""))))))</f>
        <v/>
      </c>
      <c r="N677" s="35" t="n"/>
    </row>
    <row r="678">
      <c r="A678" s="40" t="n"/>
      <c r="B678" s="35" t="n"/>
      <c r="C678" s="35" t="n"/>
      <c r="D678" s="35" t="n"/>
      <c r="E678" s="61" t="n"/>
      <c r="F678" s="37" t="n"/>
      <c r="G678" s="39">
        <f>IF(B678="","",IF(F678&lt;&gt;"",F678,IFERROR(VLOOKUP(B678,'Vendors &amp; Crew'!$A$5:$D$34,3,FALSE),0)))</f>
        <v/>
      </c>
      <c r="H678" s="39">
        <f>IF(B678="","",E678*G678*(1+Settings!$B$18))</f>
        <v/>
      </c>
      <c r="I678" s="39">
        <f>IF(B678="","",IFERROR(VLOOKUP(B678,'Vendors &amp; Crew'!$A$5:$D$34,4,FALSE),0))</f>
        <v/>
      </c>
      <c r="J678" s="39">
        <f>IF(B678="","",E678*I678)</f>
        <v/>
      </c>
      <c r="K678" s="59">
        <f>IF(A678="","",A678-WEEKDAY(A678,2)+7)</f>
        <v/>
      </c>
      <c r="L678" s="9">
        <f>IF(B678="","",IF(D678="","Labor",IFERROR(VLOOKUP(D678,Settings!$E$5:$G$28,3,FALSE),"Labor")))</f>
        <v/>
      </c>
      <c r="M678" s="9">
        <f>IF(B678="","",IF(COUNTIF('Vendors &amp; Crew'!$A$5:$A$34,B678)=0,"Worker not in Crew table",IF(C678="","Missing Job ID",IF(COUNTIF(Jobs!$A$5:$A$44,C678)=0,"Unknown Job ID",IF(E678="","Missing hours",IF(A678="","Missing date",""))))))</f>
        <v/>
      </c>
      <c r="N678" s="35" t="n"/>
    </row>
    <row r="679">
      <c r="A679" s="40" t="n"/>
      <c r="B679" s="35" t="n"/>
      <c r="C679" s="35" t="n"/>
      <c r="D679" s="35" t="n"/>
      <c r="E679" s="61" t="n"/>
      <c r="F679" s="37" t="n"/>
      <c r="G679" s="39">
        <f>IF(B679="","",IF(F679&lt;&gt;"",F679,IFERROR(VLOOKUP(B679,'Vendors &amp; Crew'!$A$5:$D$34,3,FALSE),0)))</f>
        <v/>
      </c>
      <c r="H679" s="39">
        <f>IF(B679="","",E679*G679*(1+Settings!$B$18))</f>
        <v/>
      </c>
      <c r="I679" s="39">
        <f>IF(B679="","",IFERROR(VLOOKUP(B679,'Vendors &amp; Crew'!$A$5:$D$34,4,FALSE),0))</f>
        <v/>
      </c>
      <c r="J679" s="39">
        <f>IF(B679="","",E679*I679)</f>
        <v/>
      </c>
      <c r="K679" s="59">
        <f>IF(A679="","",A679-WEEKDAY(A679,2)+7)</f>
        <v/>
      </c>
      <c r="L679" s="9">
        <f>IF(B679="","",IF(D679="","Labor",IFERROR(VLOOKUP(D679,Settings!$E$5:$G$28,3,FALSE),"Labor")))</f>
        <v/>
      </c>
      <c r="M679" s="9">
        <f>IF(B679="","",IF(COUNTIF('Vendors &amp; Crew'!$A$5:$A$34,B679)=0,"Worker not in Crew table",IF(C679="","Missing Job ID",IF(COUNTIF(Jobs!$A$5:$A$44,C679)=0,"Unknown Job ID",IF(E679="","Missing hours",IF(A679="","Missing date",""))))))</f>
        <v/>
      </c>
      <c r="N679" s="35" t="n"/>
    </row>
    <row r="680">
      <c r="A680" s="40" t="n"/>
      <c r="B680" s="35" t="n"/>
      <c r="C680" s="35" t="n"/>
      <c r="D680" s="35" t="n"/>
      <c r="E680" s="61" t="n"/>
      <c r="F680" s="37" t="n"/>
      <c r="G680" s="39">
        <f>IF(B680="","",IF(F680&lt;&gt;"",F680,IFERROR(VLOOKUP(B680,'Vendors &amp; Crew'!$A$5:$D$34,3,FALSE),0)))</f>
        <v/>
      </c>
      <c r="H680" s="39">
        <f>IF(B680="","",E680*G680*(1+Settings!$B$18))</f>
        <v/>
      </c>
      <c r="I680" s="39">
        <f>IF(B680="","",IFERROR(VLOOKUP(B680,'Vendors &amp; Crew'!$A$5:$D$34,4,FALSE),0))</f>
        <v/>
      </c>
      <c r="J680" s="39">
        <f>IF(B680="","",E680*I680)</f>
        <v/>
      </c>
      <c r="K680" s="59">
        <f>IF(A680="","",A680-WEEKDAY(A680,2)+7)</f>
        <v/>
      </c>
      <c r="L680" s="9">
        <f>IF(B680="","",IF(D680="","Labor",IFERROR(VLOOKUP(D680,Settings!$E$5:$G$28,3,FALSE),"Labor")))</f>
        <v/>
      </c>
      <c r="M680" s="9">
        <f>IF(B680="","",IF(COUNTIF('Vendors &amp; Crew'!$A$5:$A$34,B680)=0,"Worker not in Crew table",IF(C680="","Missing Job ID",IF(COUNTIF(Jobs!$A$5:$A$44,C680)=0,"Unknown Job ID",IF(E680="","Missing hours",IF(A680="","Missing date",""))))))</f>
        <v/>
      </c>
      <c r="N680" s="35" t="n"/>
    </row>
    <row r="681">
      <c r="A681" s="40" t="n"/>
      <c r="B681" s="35" t="n"/>
      <c r="C681" s="35" t="n"/>
      <c r="D681" s="35" t="n"/>
      <c r="E681" s="61" t="n"/>
      <c r="F681" s="37" t="n"/>
      <c r="G681" s="39">
        <f>IF(B681="","",IF(F681&lt;&gt;"",F681,IFERROR(VLOOKUP(B681,'Vendors &amp; Crew'!$A$5:$D$34,3,FALSE),0)))</f>
        <v/>
      </c>
      <c r="H681" s="39">
        <f>IF(B681="","",E681*G681*(1+Settings!$B$18))</f>
        <v/>
      </c>
      <c r="I681" s="39">
        <f>IF(B681="","",IFERROR(VLOOKUP(B681,'Vendors &amp; Crew'!$A$5:$D$34,4,FALSE),0))</f>
        <v/>
      </c>
      <c r="J681" s="39">
        <f>IF(B681="","",E681*I681)</f>
        <v/>
      </c>
      <c r="K681" s="59">
        <f>IF(A681="","",A681-WEEKDAY(A681,2)+7)</f>
        <v/>
      </c>
      <c r="L681" s="9">
        <f>IF(B681="","",IF(D681="","Labor",IFERROR(VLOOKUP(D681,Settings!$E$5:$G$28,3,FALSE),"Labor")))</f>
        <v/>
      </c>
      <c r="M681" s="9">
        <f>IF(B681="","",IF(COUNTIF('Vendors &amp; Crew'!$A$5:$A$34,B681)=0,"Worker not in Crew table",IF(C681="","Missing Job ID",IF(COUNTIF(Jobs!$A$5:$A$44,C681)=0,"Unknown Job ID",IF(E681="","Missing hours",IF(A681="","Missing date",""))))))</f>
        <v/>
      </c>
      <c r="N681" s="35" t="n"/>
    </row>
    <row r="682">
      <c r="A682" s="40" t="n"/>
      <c r="B682" s="35" t="n"/>
      <c r="C682" s="35" t="n"/>
      <c r="D682" s="35" t="n"/>
      <c r="E682" s="61" t="n"/>
      <c r="F682" s="37" t="n"/>
      <c r="G682" s="39">
        <f>IF(B682="","",IF(F682&lt;&gt;"",F682,IFERROR(VLOOKUP(B682,'Vendors &amp; Crew'!$A$5:$D$34,3,FALSE),0)))</f>
        <v/>
      </c>
      <c r="H682" s="39">
        <f>IF(B682="","",E682*G682*(1+Settings!$B$18))</f>
        <v/>
      </c>
      <c r="I682" s="39">
        <f>IF(B682="","",IFERROR(VLOOKUP(B682,'Vendors &amp; Crew'!$A$5:$D$34,4,FALSE),0))</f>
        <v/>
      </c>
      <c r="J682" s="39">
        <f>IF(B682="","",E682*I682)</f>
        <v/>
      </c>
      <c r="K682" s="59">
        <f>IF(A682="","",A682-WEEKDAY(A682,2)+7)</f>
        <v/>
      </c>
      <c r="L682" s="9">
        <f>IF(B682="","",IF(D682="","Labor",IFERROR(VLOOKUP(D682,Settings!$E$5:$G$28,3,FALSE),"Labor")))</f>
        <v/>
      </c>
      <c r="M682" s="9">
        <f>IF(B682="","",IF(COUNTIF('Vendors &amp; Crew'!$A$5:$A$34,B682)=0,"Worker not in Crew table",IF(C682="","Missing Job ID",IF(COUNTIF(Jobs!$A$5:$A$44,C682)=0,"Unknown Job ID",IF(E682="","Missing hours",IF(A682="","Missing date",""))))))</f>
        <v/>
      </c>
      <c r="N682" s="35" t="n"/>
    </row>
    <row r="683">
      <c r="A683" s="40" t="n"/>
      <c r="B683" s="35" t="n"/>
      <c r="C683" s="35" t="n"/>
      <c r="D683" s="35" t="n"/>
      <c r="E683" s="61" t="n"/>
      <c r="F683" s="37" t="n"/>
      <c r="G683" s="39">
        <f>IF(B683="","",IF(F683&lt;&gt;"",F683,IFERROR(VLOOKUP(B683,'Vendors &amp; Crew'!$A$5:$D$34,3,FALSE),0)))</f>
        <v/>
      </c>
      <c r="H683" s="39">
        <f>IF(B683="","",E683*G683*(1+Settings!$B$18))</f>
        <v/>
      </c>
      <c r="I683" s="39">
        <f>IF(B683="","",IFERROR(VLOOKUP(B683,'Vendors &amp; Crew'!$A$5:$D$34,4,FALSE),0))</f>
        <v/>
      </c>
      <c r="J683" s="39">
        <f>IF(B683="","",E683*I683)</f>
        <v/>
      </c>
      <c r="K683" s="59">
        <f>IF(A683="","",A683-WEEKDAY(A683,2)+7)</f>
        <v/>
      </c>
      <c r="L683" s="9">
        <f>IF(B683="","",IF(D683="","Labor",IFERROR(VLOOKUP(D683,Settings!$E$5:$G$28,3,FALSE),"Labor")))</f>
        <v/>
      </c>
      <c r="M683" s="9">
        <f>IF(B683="","",IF(COUNTIF('Vendors &amp; Crew'!$A$5:$A$34,B683)=0,"Worker not in Crew table",IF(C683="","Missing Job ID",IF(COUNTIF(Jobs!$A$5:$A$44,C683)=0,"Unknown Job ID",IF(E683="","Missing hours",IF(A683="","Missing date",""))))))</f>
        <v/>
      </c>
      <c r="N683" s="35" t="n"/>
    </row>
    <row r="684">
      <c r="A684" s="40" t="n"/>
      <c r="B684" s="35" t="n"/>
      <c r="C684" s="35" t="n"/>
      <c r="D684" s="35" t="n"/>
      <c r="E684" s="61" t="n"/>
      <c r="F684" s="37" t="n"/>
      <c r="G684" s="39">
        <f>IF(B684="","",IF(F684&lt;&gt;"",F684,IFERROR(VLOOKUP(B684,'Vendors &amp; Crew'!$A$5:$D$34,3,FALSE),0)))</f>
        <v/>
      </c>
      <c r="H684" s="39">
        <f>IF(B684="","",E684*G684*(1+Settings!$B$18))</f>
        <v/>
      </c>
      <c r="I684" s="39">
        <f>IF(B684="","",IFERROR(VLOOKUP(B684,'Vendors &amp; Crew'!$A$5:$D$34,4,FALSE),0))</f>
        <v/>
      </c>
      <c r="J684" s="39">
        <f>IF(B684="","",E684*I684)</f>
        <v/>
      </c>
      <c r="K684" s="59">
        <f>IF(A684="","",A684-WEEKDAY(A684,2)+7)</f>
        <v/>
      </c>
      <c r="L684" s="9">
        <f>IF(B684="","",IF(D684="","Labor",IFERROR(VLOOKUP(D684,Settings!$E$5:$G$28,3,FALSE),"Labor")))</f>
        <v/>
      </c>
      <c r="M684" s="9">
        <f>IF(B684="","",IF(COUNTIF('Vendors &amp; Crew'!$A$5:$A$34,B684)=0,"Worker not in Crew table",IF(C684="","Missing Job ID",IF(COUNTIF(Jobs!$A$5:$A$44,C684)=0,"Unknown Job ID",IF(E684="","Missing hours",IF(A684="","Missing date",""))))))</f>
        <v/>
      </c>
      <c r="N684" s="35" t="n"/>
    </row>
    <row r="685">
      <c r="A685" s="40" t="n"/>
      <c r="B685" s="35" t="n"/>
      <c r="C685" s="35" t="n"/>
      <c r="D685" s="35" t="n"/>
      <c r="E685" s="61" t="n"/>
      <c r="F685" s="37" t="n"/>
      <c r="G685" s="39">
        <f>IF(B685="","",IF(F685&lt;&gt;"",F685,IFERROR(VLOOKUP(B685,'Vendors &amp; Crew'!$A$5:$D$34,3,FALSE),0)))</f>
        <v/>
      </c>
      <c r="H685" s="39">
        <f>IF(B685="","",E685*G685*(1+Settings!$B$18))</f>
        <v/>
      </c>
      <c r="I685" s="39">
        <f>IF(B685="","",IFERROR(VLOOKUP(B685,'Vendors &amp; Crew'!$A$5:$D$34,4,FALSE),0))</f>
        <v/>
      </c>
      <c r="J685" s="39">
        <f>IF(B685="","",E685*I685)</f>
        <v/>
      </c>
      <c r="K685" s="59">
        <f>IF(A685="","",A685-WEEKDAY(A685,2)+7)</f>
        <v/>
      </c>
      <c r="L685" s="9">
        <f>IF(B685="","",IF(D685="","Labor",IFERROR(VLOOKUP(D685,Settings!$E$5:$G$28,3,FALSE),"Labor")))</f>
        <v/>
      </c>
      <c r="M685" s="9">
        <f>IF(B685="","",IF(COUNTIF('Vendors &amp; Crew'!$A$5:$A$34,B685)=0,"Worker not in Crew table",IF(C685="","Missing Job ID",IF(COUNTIF(Jobs!$A$5:$A$44,C685)=0,"Unknown Job ID",IF(E685="","Missing hours",IF(A685="","Missing date",""))))))</f>
        <v/>
      </c>
      <c r="N685" s="35" t="n"/>
    </row>
    <row r="686">
      <c r="A686" s="40" t="n"/>
      <c r="B686" s="35" t="n"/>
      <c r="C686" s="35" t="n"/>
      <c r="D686" s="35" t="n"/>
      <c r="E686" s="61" t="n"/>
      <c r="F686" s="37" t="n"/>
      <c r="G686" s="39">
        <f>IF(B686="","",IF(F686&lt;&gt;"",F686,IFERROR(VLOOKUP(B686,'Vendors &amp; Crew'!$A$5:$D$34,3,FALSE),0)))</f>
        <v/>
      </c>
      <c r="H686" s="39">
        <f>IF(B686="","",E686*G686*(1+Settings!$B$18))</f>
        <v/>
      </c>
      <c r="I686" s="39">
        <f>IF(B686="","",IFERROR(VLOOKUP(B686,'Vendors &amp; Crew'!$A$5:$D$34,4,FALSE),0))</f>
        <v/>
      </c>
      <c r="J686" s="39">
        <f>IF(B686="","",E686*I686)</f>
        <v/>
      </c>
      <c r="K686" s="59">
        <f>IF(A686="","",A686-WEEKDAY(A686,2)+7)</f>
        <v/>
      </c>
      <c r="L686" s="9">
        <f>IF(B686="","",IF(D686="","Labor",IFERROR(VLOOKUP(D686,Settings!$E$5:$G$28,3,FALSE),"Labor")))</f>
        <v/>
      </c>
      <c r="M686" s="9">
        <f>IF(B686="","",IF(COUNTIF('Vendors &amp; Crew'!$A$5:$A$34,B686)=0,"Worker not in Crew table",IF(C686="","Missing Job ID",IF(COUNTIF(Jobs!$A$5:$A$44,C686)=0,"Unknown Job ID",IF(E686="","Missing hours",IF(A686="","Missing date",""))))))</f>
        <v/>
      </c>
      <c r="N686" s="35" t="n"/>
    </row>
    <row r="687">
      <c r="A687" s="40" t="n"/>
      <c r="B687" s="35" t="n"/>
      <c r="C687" s="35" t="n"/>
      <c r="D687" s="35" t="n"/>
      <c r="E687" s="61" t="n"/>
      <c r="F687" s="37" t="n"/>
      <c r="G687" s="39">
        <f>IF(B687="","",IF(F687&lt;&gt;"",F687,IFERROR(VLOOKUP(B687,'Vendors &amp; Crew'!$A$5:$D$34,3,FALSE),0)))</f>
        <v/>
      </c>
      <c r="H687" s="39">
        <f>IF(B687="","",E687*G687*(1+Settings!$B$18))</f>
        <v/>
      </c>
      <c r="I687" s="39">
        <f>IF(B687="","",IFERROR(VLOOKUP(B687,'Vendors &amp; Crew'!$A$5:$D$34,4,FALSE),0))</f>
        <v/>
      </c>
      <c r="J687" s="39">
        <f>IF(B687="","",E687*I687)</f>
        <v/>
      </c>
      <c r="K687" s="59">
        <f>IF(A687="","",A687-WEEKDAY(A687,2)+7)</f>
        <v/>
      </c>
      <c r="L687" s="9">
        <f>IF(B687="","",IF(D687="","Labor",IFERROR(VLOOKUP(D687,Settings!$E$5:$G$28,3,FALSE),"Labor")))</f>
        <v/>
      </c>
      <c r="M687" s="9">
        <f>IF(B687="","",IF(COUNTIF('Vendors &amp; Crew'!$A$5:$A$34,B687)=0,"Worker not in Crew table",IF(C687="","Missing Job ID",IF(COUNTIF(Jobs!$A$5:$A$44,C687)=0,"Unknown Job ID",IF(E687="","Missing hours",IF(A687="","Missing date",""))))))</f>
        <v/>
      </c>
      <c r="N687" s="35" t="n"/>
    </row>
    <row r="688">
      <c r="A688" s="40" t="n"/>
      <c r="B688" s="35" t="n"/>
      <c r="C688" s="35" t="n"/>
      <c r="D688" s="35" t="n"/>
      <c r="E688" s="61" t="n"/>
      <c r="F688" s="37" t="n"/>
      <c r="G688" s="39">
        <f>IF(B688="","",IF(F688&lt;&gt;"",F688,IFERROR(VLOOKUP(B688,'Vendors &amp; Crew'!$A$5:$D$34,3,FALSE),0)))</f>
        <v/>
      </c>
      <c r="H688" s="39">
        <f>IF(B688="","",E688*G688*(1+Settings!$B$18))</f>
        <v/>
      </c>
      <c r="I688" s="39">
        <f>IF(B688="","",IFERROR(VLOOKUP(B688,'Vendors &amp; Crew'!$A$5:$D$34,4,FALSE),0))</f>
        <v/>
      </c>
      <c r="J688" s="39">
        <f>IF(B688="","",E688*I688)</f>
        <v/>
      </c>
      <c r="K688" s="59">
        <f>IF(A688="","",A688-WEEKDAY(A688,2)+7)</f>
        <v/>
      </c>
      <c r="L688" s="9">
        <f>IF(B688="","",IF(D688="","Labor",IFERROR(VLOOKUP(D688,Settings!$E$5:$G$28,3,FALSE),"Labor")))</f>
        <v/>
      </c>
      <c r="M688" s="9">
        <f>IF(B688="","",IF(COUNTIF('Vendors &amp; Crew'!$A$5:$A$34,B688)=0,"Worker not in Crew table",IF(C688="","Missing Job ID",IF(COUNTIF(Jobs!$A$5:$A$44,C688)=0,"Unknown Job ID",IF(E688="","Missing hours",IF(A688="","Missing date",""))))))</f>
        <v/>
      </c>
      <c r="N688" s="35" t="n"/>
    </row>
    <row r="689">
      <c r="A689" s="40" t="n"/>
      <c r="B689" s="35" t="n"/>
      <c r="C689" s="35" t="n"/>
      <c r="D689" s="35" t="n"/>
      <c r="E689" s="61" t="n"/>
      <c r="F689" s="37" t="n"/>
      <c r="G689" s="39">
        <f>IF(B689="","",IF(F689&lt;&gt;"",F689,IFERROR(VLOOKUP(B689,'Vendors &amp; Crew'!$A$5:$D$34,3,FALSE),0)))</f>
        <v/>
      </c>
      <c r="H689" s="39">
        <f>IF(B689="","",E689*G689*(1+Settings!$B$18))</f>
        <v/>
      </c>
      <c r="I689" s="39">
        <f>IF(B689="","",IFERROR(VLOOKUP(B689,'Vendors &amp; Crew'!$A$5:$D$34,4,FALSE),0))</f>
        <v/>
      </c>
      <c r="J689" s="39">
        <f>IF(B689="","",E689*I689)</f>
        <v/>
      </c>
      <c r="K689" s="59">
        <f>IF(A689="","",A689-WEEKDAY(A689,2)+7)</f>
        <v/>
      </c>
      <c r="L689" s="9">
        <f>IF(B689="","",IF(D689="","Labor",IFERROR(VLOOKUP(D689,Settings!$E$5:$G$28,3,FALSE),"Labor")))</f>
        <v/>
      </c>
      <c r="M689" s="9">
        <f>IF(B689="","",IF(COUNTIF('Vendors &amp; Crew'!$A$5:$A$34,B689)=0,"Worker not in Crew table",IF(C689="","Missing Job ID",IF(COUNTIF(Jobs!$A$5:$A$44,C689)=0,"Unknown Job ID",IF(E689="","Missing hours",IF(A689="","Missing date",""))))))</f>
        <v/>
      </c>
      <c r="N689" s="35" t="n"/>
    </row>
    <row r="690">
      <c r="A690" s="40" t="n"/>
      <c r="B690" s="35" t="n"/>
      <c r="C690" s="35" t="n"/>
      <c r="D690" s="35" t="n"/>
      <c r="E690" s="61" t="n"/>
      <c r="F690" s="37" t="n"/>
      <c r="G690" s="39">
        <f>IF(B690="","",IF(F690&lt;&gt;"",F690,IFERROR(VLOOKUP(B690,'Vendors &amp; Crew'!$A$5:$D$34,3,FALSE),0)))</f>
        <v/>
      </c>
      <c r="H690" s="39">
        <f>IF(B690="","",E690*G690*(1+Settings!$B$18))</f>
        <v/>
      </c>
      <c r="I690" s="39">
        <f>IF(B690="","",IFERROR(VLOOKUP(B690,'Vendors &amp; Crew'!$A$5:$D$34,4,FALSE),0))</f>
        <v/>
      </c>
      <c r="J690" s="39">
        <f>IF(B690="","",E690*I690)</f>
        <v/>
      </c>
      <c r="K690" s="59">
        <f>IF(A690="","",A690-WEEKDAY(A690,2)+7)</f>
        <v/>
      </c>
      <c r="L690" s="9">
        <f>IF(B690="","",IF(D690="","Labor",IFERROR(VLOOKUP(D690,Settings!$E$5:$G$28,3,FALSE),"Labor")))</f>
        <v/>
      </c>
      <c r="M690" s="9">
        <f>IF(B690="","",IF(COUNTIF('Vendors &amp; Crew'!$A$5:$A$34,B690)=0,"Worker not in Crew table",IF(C690="","Missing Job ID",IF(COUNTIF(Jobs!$A$5:$A$44,C690)=0,"Unknown Job ID",IF(E690="","Missing hours",IF(A690="","Missing date",""))))))</f>
        <v/>
      </c>
      <c r="N690" s="35" t="n"/>
    </row>
    <row r="691">
      <c r="A691" s="40" t="n"/>
      <c r="B691" s="35" t="n"/>
      <c r="C691" s="35" t="n"/>
      <c r="D691" s="35" t="n"/>
      <c r="E691" s="61" t="n"/>
      <c r="F691" s="37" t="n"/>
      <c r="G691" s="39">
        <f>IF(B691="","",IF(F691&lt;&gt;"",F691,IFERROR(VLOOKUP(B691,'Vendors &amp; Crew'!$A$5:$D$34,3,FALSE),0)))</f>
        <v/>
      </c>
      <c r="H691" s="39">
        <f>IF(B691="","",E691*G691*(1+Settings!$B$18))</f>
        <v/>
      </c>
      <c r="I691" s="39">
        <f>IF(B691="","",IFERROR(VLOOKUP(B691,'Vendors &amp; Crew'!$A$5:$D$34,4,FALSE),0))</f>
        <v/>
      </c>
      <c r="J691" s="39">
        <f>IF(B691="","",E691*I691)</f>
        <v/>
      </c>
      <c r="K691" s="59">
        <f>IF(A691="","",A691-WEEKDAY(A691,2)+7)</f>
        <v/>
      </c>
      <c r="L691" s="9">
        <f>IF(B691="","",IF(D691="","Labor",IFERROR(VLOOKUP(D691,Settings!$E$5:$G$28,3,FALSE),"Labor")))</f>
        <v/>
      </c>
      <c r="M691" s="9">
        <f>IF(B691="","",IF(COUNTIF('Vendors &amp; Crew'!$A$5:$A$34,B691)=0,"Worker not in Crew table",IF(C691="","Missing Job ID",IF(COUNTIF(Jobs!$A$5:$A$44,C691)=0,"Unknown Job ID",IF(E691="","Missing hours",IF(A691="","Missing date",""))))))</f>
        <v/>
      </c>
      <c r="N691" s="35" t="n"/>
    </row>
    <row r="692">
      <c r="A692" s="40" t="n"/>
      <c r="B692" s="35" t="n"/>
      <c r="C692" s="35" t="n"/>
      <c r="D692" s="35" t="n"/>
      <c r="E692" s="61" t="n"/>
      <c r="F692" s="37" t="n"/>
      <c r="G692" s="39">
        <f>IF(B692="","",IF(F692&lt;&gt;"",F692,IFERROR(VLOOKUP(B692,'Vendors &amp; Crew'!$A$5:$D$34,3,FALSE),0)))</f>
        <v/>
      </c>
      <c r="H692" s="39">
        <f>IF(B692="","",E692*G692*(1+Settings!$B$18))</f>
        <v/>
      </c>
      <c r="I692" s="39">
        <f>IF(B692="","",IFERROR(VLOOKUP(B692,'Vendors &amp; Crew'!$A$5:$D$34,4,FALSE),0))</f>
        <v/>
      </c>
      <c r="J692" s="39">
        <f>IF(B692="","",E692*I692)</f>
        <v/>
      </c>
      <c r="K692" s="59">
        <f>IF(A692="","",A692-WEEKDAY(A692,2)+7)</f>
        <v/>
      </c>
      <c r="L692" s="9">
        <f>IF(B692="","",IF(D692="","Labor",IFERROR(VLOOKUP(D692,Settings!$E$5:$G$28,3,FALSE),"Labor")))</f>
        <v/>
      </c>
      <c r="M692" s="9">
        <f>IF(B692="","",IF(COUNTIF('Vendors &amp; Crew'!$A$5:$A$34,B692)=0,"Worker not in Crew table",IF(C692="","Missing Job ID",IF(COUNTIF(Jobs!$A$5:$A$44,C692)=0,"Unknown Job ID",IF(E692="","Missing hours",IF(A692="","Missing date",""))))))</f>
        <v/>
      </c>
      <c r="N692" s="35" t="n"/>
    </row>
    <row r="693">
      <c r="A693" s="40" t="n"/>
      <c r="B693" s="35" t="n"/>
      <c r="C693" s="35" t="n"/>
      <c r="D693" s="35" t="n"/>
      <c r="E693" s="61" t="n"/>
      <c r="F693" s="37" t="n"/>
      <c r="G693" s="39">
        <f>IF(B693="","",IF(F693&lt;&gt;"",F693,IFERROR(VLOOKUP(B693,'Vendors &amp; Crew'!$A$5:$D$34,3,FALSE),0)))</f>
        <v/>
      </c>
      <c r="H693" s="39">
        <f>IF(B693="","",E693*G693*(1+Settings!$B$18))</f>
        <v/>
      </c>
      <c r="I693" s="39">
        <f>IF(B693="","",IFERROR(VLOOKUP(B693,'Vendors &amp; Crew'!$A$5:$D$34,4,FALSE),0))</f>
        <v/>
      </c>
      <c r="J693" s="39">
        <f>IF(B693="","",E693*I693)</f>
        <v/>
      </c>
      <c r="K693" s="59">
        <f>IF(A693="","",A693-WEEKDAY(A693,2)+7)</f>
        <v/>
      </c>
      <c r="L693" s="9">
        <f>IF(B693="","",IF(D693="","Labor",IFERROR(VLOOKUP(D693,Settings!$E$5:$G$28,3,FALSE),"Labor")))</f>
        <v/>
      </c>
      <c r="M693" s="9">
        <f>IF(B693="","",IF(COUNTIF('Vendors &amp; Crew'!$A$5:$A$34,B693)=0,"Worker not in Crew table",IF(C693="","Missing Job ID",IF(COUNTIF(Jobs!$A$5:$A$44,C693)=0,"Unknown Job ID",IF(E693="","Missing hours",IF(A693="","Missing date",""))))))</f>
        <v/>
      </c>
      <c r="N693" s="35" t="n"/>
    </row>
    <row r="694">
      <c r="A694" s="40" t="n"/>
      <c r="B694" s="35" t="n"/>
      <c r="C694" s="35" t="n"/>
      <c r="D694" s="35" t="n"/>
      <c r="E694" s="61" t="n"/>
      <c r="F694" s="37" t="n"/>
      <c r="G694" s="39">
        <f>IF(B694="","",IF(F694&lt;&gt;"",F694,IFERROR(VLOOKUP(B694,'Vendors &amp; Crew'!$A$5:$D$34,3,FALSE),0)))</f>
        <v/>
      </c>
      <c r="H694" s="39">
        <f>IF(B694="","",E694*G694*(1+Settings!$B$18))</f>
        <v/>
      </c>
      <c r="I694" s="39">
        <f>IF(B694="","",IFERROR(VLOOKUP(B694,'Vendors &amp; Crew'!$A$5:$D$34,4,FALSE),0))</f>
        <v/>
      </c>
      <c r="J694" s="39">
        <f>IF(B694="","",E694*I694)</f>
        <v/>
      </c>
      <c r="K694" s="59">
        <f>IF(A694="","",A694-WEEKDAY(A694,2)+7)</f>
        <v/>
      </c>
      <c r="L694" s="9">
        <f>IF(B694="","",IF(D694="","Labor",IFERROR(VLOOKUP(D694,Settings!$E$5:$G$28,3,FALSE),"Labor")))</f>
        <v/>
      </c>
      <c r="M694" s="9">
        <f>IF(B694="","",IF(COUNTIF('Vendors &amp; Crew'!$A$5:$A$34,B694)=0,"Worker not in Crew table",IF(C694="","Missing Job ID",IF(COUNTIF(Jobs!$A$5:$A$44,C694)=0,"Unknown Job ID",IF(E694="","Missing hours",IF(A694="","Missing date",""))))))</f>
        <v/>
      </c>
      <c r="N694" s="35" t="n"/>
    </row>
    <row r="695">
      <c r="A695" s="40" t="n"/>
      <c r="B695" s="35" t="n"/>
      <c r="C695" s="35" t="n"/>
      <c r="D695" s="35" t="n"/>
      <c r="E695" s="61" t="n"/>
      <c r="F695" s="37" t="n"/>
      <c r="G695" s="39">
        <f>IF(B695="","",IF(F695&lt;&gt;"",F695,IFERROR(VLOOKUP(B695,'Vendors &amp; Crew'!$A$5:$D$34,3,FALSE),0)))</f>
        <v/>
      </c>
      <c r="H695" s="39">
        <f>IF(B695="","",E695*G695*(1+Settings!$B$18))</f>
        <v/>
      </c>
      <c r="I695" s="39">
        <f>IF(B695="","",IFERROR(VLOOKUP(B695,'Vendors &amp; Crew'!$A$5:$D$34,4,FALSE),0))</f>
        <v/>
      </c>
      <c r="J695" s="39">
        <f>IF(B695="","",E695*I695)</f>
        <v/>
      </c>
      <c r="K695" s="59">
        <f>IF(A695="","",A695-WEEKDAY(A695,2)+7)</f>
        <v/>
      </c>
      <c r="L695" s="9">
        <f>IF(B695="","",IF(D695="","Labor",IFERROR(VLOOKUP(D695,Settings!$E$5:$G$28,3,FALSE),"Labor")))</f>
        <v/>
      </c>
      <c r="M695" s="9">
        <f>IF(B695="","",IF(COUNTIF('Vendors &amp; Crew'!$A$5:$A$34,B695)=0,"Worker not in Crew table",IF(C695="","Missing Job ID",IF(COUNTIF(Jobs!$A$5:$A$44,C695)=0,"Unknown Job ID",IF(E695="","Missing hours",IF(A695="","Missing date",""))))))</f>
        <v/>
      </c>
      <c r="N695" s="35" t="n"/>
    </row>
    <row r="696">
      <c r="A696" s="40" t="n"/>
      <c r="B696" s="35" t="n"/>
      <c r="C696" s="35" t="n"/>
      <c r="D696" s="35" t="n"/>
      <c r="E696" s="61" t="n"/>
      <c r="F696" s="37" t="n"/>
      <c r="G696" s="39">
        <f>IF(B696="","",IF(F696&lt;&gt;"",F696,IFERROR(VLOOKUP(B696,'Vendors &amp; Crew'!$A$5:$D$34,3,FALSE),0)))</f>
        <v/>
      </c>
      <c r="H696" s="39">
        <f>IF(B696="","",E696*G696*(1+Settings!$B$18))</f>
        <v/>
      </c>
      <c r="I696" s="39">
        <f>IF(B696="","",IFERROR(VLOOKUP(B696,'Vendors &amp; Crew'!$A$5:$D$34,4,FALSE),0))</f>
        <v/>
      </c>
      <c r="J696" s="39">
        <f>IF(B696="","",E696*I696)</f>
        <v/>
      </c>
      <c r="K696" s="59">
        <f>IF(A696="","",A696-WEEKDAY(A696,2)+7)</f>
        <v/>
      </c>
      <c r="L696" s="9">
        <f>IF(B696="","",IF(D696="","Labor",IFERROR(VLOOKUP(D696,Settings!$E$5:$G$28,3,FALSE),"Labor")))</f>
        <v/>
      </c>
      <c r="M696" s="9">
        <f>IF(B696="","",IF(COUNTIF('Vendors &amp; Crew'!$A$5:$A$34,B696)=0,"Worker not in Crew table",IF(C696="","Missing Job ID",IF(COUNTIF(Jobs!$A$5:$A$44,C696)=0,"Unknown Job ID",IF(E696="","Missing hours",IF(A696="","Missing date",""))))))</f>
        <v/>
      </c>
      <c r="N696" s="35" t="n"/>
    </row>
    <row r="697">
      <c r="A697" s="40" t="n"/>
      <c r="B697" s="35" t="n"/>
      <c r="C697" s="35" t="n"/>
      <c r="D697" s="35" t="n"/>
      <c r="E697" s="61" t="n"/>
      <c r="F697" s="37" t="n"/>
      <c r="G697" s="39">
        <f>IF(B697="","",IF(F697&lt;&gt;"",F697,IFERROR(VLOOKUP(B697,'Vendors &amp; Crew'!$A$5:$D$34,3,FALSE),0)))</f>
        <v/>
      </c>
      <c r="H697" s="39">
        <f>IF(B697="","",E697*G697*(1+Settings!$B$18))</f>
        <v/>
      </c>
      <c r="I697" s="39">
        <f>IF(B697="","",IFERROR(VLOOKUP(B697,'Vendors &amp; Crew'!$A$5:$D$34,4,FALSE),0))</f>
        <v/>
      </c>
      <c r="J697" s="39">
        <f>IF(B697="","",E697*I697)</f>
        <v/>
      </c>
      <c r="K697" s="59">
        <f>IF(A697="","",A697-WEEKDAY(A697,2)+7)</f>
        <v/>
      </c>
      <c r="L697" s="9">
        <f>IF(B697="","",IF(D697="","Labor",IFERROR(VLOOKUP(D697,Settings!$E$5:$G$28,3,FALSE),"Labor")))</f>
        <v/>
      </c>
      <c r="M697" s="9">
        <f>IF(B697="","",IF(COUNTIF('Vendors &amp; Crew'!$A$5:$A$34,B697)=0,"Worker not in Crew table",IF(C697="","Missing Job ID",IF(COUNTIF(Jobs!$A$5:$A$44,C697)=0,"Unknown Job ID",IF(E697="","Missing hours",IF(A697="","Missing date",""))))))</f>
        <v/>
      </c>
      <c r="N697" s="35" t="n"/>
    </row>
    <row r="698">
      <c r="A698" s="40" t="n"/>
      <c r="B698" s="35" t="n"/>
      <c r="C698" s="35" t="n"/>
      <c r="D698" s="35" t="n"/>
      <c r="E698" s="61" t="n"/>
      <c r="F698" s="37" t="n"/>
      <c r="G698" s="39">
        <f>IF(B698="","",IF(F698&lt;&gt;"",F698,IFERROR(VLOOKUP(B698,'Vendors &amp; Crew'!$A$5:$D$34,3,FALSE),0)))</f>
        <v/>
      </c>
      <c r="H698" s="39">
        <f>IF(B698="","",E698*G698*(1+Settings!$B$18))</f>
        <v/>
      </c>
      <c r="I698" s="39">
        <f>IF(B698="","",IFERROR(VLOOKUP(B698,'Vendors &amp; Crew'!$A$5:$D$34,4,FALSE),0))</f>
        <v/>
      </c>
      <c r="J698" s="39">
        <f>IF(B698="","",E698*I698)</f>
        <v/>
      </c>
      <c r="K698" s="59">
        <f>IF(A698="","",A698-WEEKDAY(A698,2)+7)</f>
        <v/>
      </c>
      <c r="L698" s="9">
        <f>IF(B698="","",IF(D698="","Labor",IFERROR(VLOOKUP(D698,Settings!$E$5:$G$28,3,FALSE),"Labor")))</f>
        <v/>
      </c>
      <c r="M698" s="9">
        <f>IF(B698="","",IF(COUNTIF('Vendors &amp; Crew'!$A$5:$A$34,B698)=0,"Worker not in Crew table",IF(C698="","Missing Job ID",IF(COUNTIF(Jobs!$A$5:$A$44,C698)=0,"Unknown Job ID",IF(E698="","Missing hours",IF(A698="","Missing date",""))))))</f>
        <v/>
      </c>
      <c r="N698" s="35" t="n"/>
    </row>
    <row r="699">
      <c r="A699" s="40" t="n"/>
      <c r="B699" s="35" t="n"/>
      <c r="C699" s="35" t="n"/>
      <c r="D699" s="35" t="n"/>
      <c r="E699" s="61" t="n"/>
      <c r="F699" s="37" t="n"/>
      <c r="G699" s="39">
        <f>IF(B699="","",IF(F699&lt;&gt;"",F699,IFERROR(VLOOKUP(B699,'Vendors &amp; Crew'!$A$5:$D$34,3,FALSE),0)))</f>
        <v/>
      </c>
      <c r="H699" s="39">
        <f>IF(B699="","",E699*G699*(1+Settings!$B$18))</f>
        <v/>
      </c>
      <c r="I699" s="39">
        <f>IF(B699="","",IFERROR(VLOOKUP(B699,'Vendors &amp; Crew'!$A$5:$D$34,4,FALSE),0))</f>
        <v/>
      </c>
      <c r="J699" s="39">
        <f>IF(B699="","",E699*I699)</f>
        <v/>
      </c>
      <c r="K699" s="59">
        <f>IF(A699="","",A699-WEEKDAY(A699,2)+7)</f>
        <v/>
      </c>
      <c r="L699" s="9">
        <f>IF(B699="","",IF(D699="","Labor",IFERROR(VLOOKUP(D699,Settings!$E$5:$G$28,3,FALSE),"Labor")))</f>
        <v/>
      </c>
      <c r="M699" s="9">
        <f>IF(B699="","",IF(COUNTIF('Vendors &amp; Crew'!$A$5:$A$34,B699)=0,"Worker not in Crew table",IF(C699="","Missing Job ID",IF(COUNTIF(Jobs!$A$5:$A$44,C699)=0,"Unknown Job ID",IF(E699="","Missing hours",IF(A699="","Missing date",""))))))</f>
        <v/>
      </c>
      <c r="N699" s="35" t="n"/>
    </row>
    <row r="700">
      <c r="A700" s="40" t="n"/>
      <c r="B700" s="35" t="n"/>
      <c r="C700" s="35" t="n"/>
      <c r="D700" s="35" t="n"/>
      <c r="E700" s="61" t="n"/>
      <c r="F700" s="37" t="n"/>
      <c r="G700" s="39">
        <f>IF(B700="","",IF(F700&lt;&gt;"",F700,IFERROR(VLOOKUP(B700,'Vendors &amp; Crew'!$A$5:$D$34,3,FALSE),0)))</f>
        <v/>
      </c>
      <c r="H700" s="39">
        <f>IF(B700="","",E700*G700*(1+Settings!$B$18))</f>
        <v/>
      </c>
      <c r="I700" s="39">
        <f>IF(B700="","",IFERROR(VLOOKUP(B700,'Vendors &amp; Crew'!$A$5:$D$34,4,FALSE),0))</f>
        <v/>
      </c>
      <c r="J700" s="39">
        <f>IF(B700="","",E700*I700)</f>
        <v/>
      </c>
      <c r="K700" s="59">
        <f>IF(A700="","",A700-WEEKDAY(A700,2)+7)</f>
        <v/>
      </c>
      <c r="L700" s="9">
        <f>IF(B700="","",IF(D700="","Labor",IFERROR(VLOOKUP(D700,Settings!$E$5:$G$28,3,FALSE),"Labor")))</f>
        <v/>
      </c>
      <c r="M700" s="9">
        <f>IF(B700="","",IF(COUNTIF('Vendors &amp; Crew'!$A$5:$A$34,B700)=0,"Worker not in Crew table",IF(C700="","Missing Job ID",IF(COUNTIF(Jobs!$A$5:$A$44,C700)=0,"Unknown Job ID",IF(E700="","Missing hours",IF(A700="","Missing date",""))))))</f>
        <v/>
      </c>
      <c r="N700" s="35" t="n"/>
    </row>
    <row r="701">
      <c r="A701" s="40" t="n"/>
      <c r="B701" s="35" t="n"/>
      <c r="C701" s="35" t="n"/>
      <c r="D701" s="35" t="n"/>
      <c r="E701" s="61" t="n"/>
      <c r="F701" s="37" t="n"/>
      <c r="G701" s="39">
        <f>IF(B701="","",IF(F701&lt;&gt;"",F701,IFERROR(VLOOKUP(B701,'Vendors &amp; Crew'!$A$5:$D$34,3,FALSE),0)))</f>
        <v/>
      </c>
      <c r="H701" s="39">
        <f>IF(B701="","",E701*G701*(1+Settings!$B$18))</f>
        <v/>
      </c>
      <c r="I701" s="39">
        <f>IF(B701="","",IFERROR(VLOOKUP(B701,'Vendors &amp; Crew'!$A$5:$D$34,4,FALSE),0))</f>
        <v/>
      </c>
      <c r="J701" s="39">
        <f>IF(B701="","",E701*I701)</f>
        <v/>
      </c>
      <c r="K701" s="59">
        <f>IF(A701="","",A701-WEEKDAY(A701,2)+7)</f>
        <v/>
      </c>
      <c r="L701" s="9">
        <f>IF(B701="","",IF(D701="","Labor",IFERROR(VLOOKUP(D701,Settings!$E$5:$G$28,3,FALSE),"Labor")))</f>
        <v/>
      </c>
      <c r="M701" s="9">
        <f>IF(B701="","",IF(COUNTIF('Vendors &amp; Crew'!$A$5:$A$34,B701)=0,"Worker not in Crew table",IF(C701="","Missing Job ID",IF(COUNTIF(Jobs!$A$5:$A$44,C701)=0,"Unknown Job ID",IF(E701="","Missing hours",IF(A701="","Missing date",""))))))</f>
        <v/>
      </c>
      <c r="N701" s="35" t="n"/>
    </row>
    <row r="702">
      <c r="A702" s="40" t="n"/>
      <c r="B702" s="35" t="n"/>
      <c r="C702" s="35" t="n"/>
      <c r="D702" s="35" t="n"/>
      <c r="E702" s="61" t="n"/>
      <c r="F702" s="37" t="n"/>
      <c r="G702" s="39">
        <f>IF(B702="","",IF(F702&lt;&gt;"",F702,IFERROR(VLOOKUP(B702,'Vendors &amp; Crew'!$A$5:$D$34,3,FALSE),0)))</f>
        <v/>
      </c>
      <c r="H702" s="39">
        <f>IF(B702="","",E702*G702*(1+Settings!$B$18))</f>
        <v/>
      </c>
      <c r="I702" s="39">
        <f>IF(B702="","",IFERROR(VLOOKUP(B702,'Vendors &amp; Crew'!$A$5:$D$34,4,FALSE),0))</f>
        <v/>
      </c>
      <c r="J702" s="39">
        <f>IF(B702="","",E702*I702)</f>
        <v/>
      </c>
      <c r="K702" s="59">
        <f>IF(A702="","",A702-WEEKDAY(A702,2)+7)</f>
        <v/>
      </c>
      <c r="L702" s="9">
        <f>IF(B702="","",IF(D702="","Labor",IFERROR(VLOOKUP(D702,Settings!$E$5:$G$28,3,FALSE),"Labor")))</f>
        <v/>
      </c>
      <c r="M702" s="9">
        <f>IF(B702="","",IF(COUNTIF('Vendors &amp; Crew'!$A$5:$A$34,B702)=0,"Worker not in Crew table",IF(C702="","Missing Job ID",IF(COUNTIF(Jobs!$A$5:$A$44,C702)=0,"Unknown Job ID",IF(E702="","Missing hours",IF(A702="","Missing date",""))))))</f>
        <v/>
      </c>
      <c r="N702" s="35" t="n"/>
    </row>
    <row r="703">
      <c r="A703" s="40" t="n"/>
      <c r="B703" s="35" t="n"/>
      <c r="C703" s="35" t="n"/>
      <c r="D703" s="35" t="n"/>
      <c r="E703" s="61" t="n"/>
      <c r="F703" s="37" t="n"/>
      <c r="G703" s="39">
        <f>IF(B703="","",IF(F703&lt;&gt;"",F703,IFERROR(VLOOKUP(B703,'Vendors &amp; Crew'!$A$5:$D$34,3,FALSE),0)))</f>
        <v/>
      </c>
      <c r="H703" s="39">
        <f>IF(B703="","",E703*G703*(1+Settings!$B$18))</f>
        <v/>
      </c>
      <c r="I703" s="39">
        <f>IF(B703="","",IFERROR(VLOOKUP(B703,'Vendors &amp; Crew'!$A$5:$D$34,4,FALSE),0))</f>
        <v/>
      </c>
      <c r="J703" s="39">
        <f>IF(B703="","",E703*I703)</f>
        <v/>
      </c>
      <c r="K703" s="59">
        <f>IF(A703="","",A703-WEEKDAY(A703,2)+7)</f>
        <v/>
      </c>
      <c r="L703" s="9">
        <f>IF(B703="","",IF(D703="","Labor",IFERROR(VLOOKUP(D703,Settings!$E$5:$G$28,3,FALSE),"Labor")))</f>
        <v/>
      </c>
      <c r="M703" s="9">
        <f>IF(B703="","",IF(COUNTIF('Vendors &amp; Crew'!$A$5:$A$34,B703)=0,"Worker not in Crew table",IF(C703="","Missing Job ID",IF(COUNTIF(Jobs!$A$5:$A$44,C703)=0,"Unknown Job ID",IF(E703="","Missing hours",IF(A703="","Missing date",""))))))</f>
        <v/>
      </c>
      <c r="N703" s="35" t="n"/>
    </row>
    <row r="704">
      <c r="A704" s="40" t="n"/>
      <c r="B704" s="35" t="n"/>
      <c r="C704" s="35" t="n"/>
      <c r="D704" s="35" t="n"/>
      <c r="E704" s="61" t="n"/>
      <c r="F704" s="37" t="n"/>
      <c r="G704" s="39">
        <f>IF(B704="","",IF(F704&lt;&gt;"",F704,IFERROR(VLOOKUP(B704,'Vendors &amp; Crew'!$A$5:$D$34,3,FALSE),0)))</f>
        <v/>
      </c>
      <c r="H704" s="39">
        <f>IF(B704="","",E704*G704*(1+Settings!$B$18))</f>
        <v/>
      </c>
      <c r="I704" s="39">
        <f>IF(B704="","",IFERROR(VLOOKUP(B704,'Vendors &amp; Crew'!$A$5:$D$34,4,FALSE),0))</f>
        <v/>
      </c>
      <c r="J704" s="39">
        <f>IF(B704="","",E704*I704)</f>
        <v/>
      </c>
      <c r="K704" s="59">
        <f>IF(A704="","",A704-WEEKDAY(A704,2)+7)</f>
        <v/>
      </c>
      <c r="L704" s="9">
        <f>IF(B704="","",IF(D704="","Labor",IFERROR(VLOOKUP(D704,Settings!$E$5:$G$28,3,FALSE),"Labor")))</f>
        <v/>
      </c>
      <c r="M704" s="9">
        <f>IF(B704="","",IF(COUNTIF('Vendors &amp; Crew'!$A$5:$A$34,B704)=0,"Worker not in Crew table",IF(C704="","Missing Job ID",IF(COUNTIF(Jobs!$A$5:$A$44,C704)=0,"Unknown Job ID",IF(E704="","Missing hours",IF(A704="","Missing date",""))))))</f>
        <v/>
      </c>
      <c r="N704" s="35" t="n"/>
    </row>
    <row r="705">
      <c r="A705" s="40" t="n"/>
      <c r="B705" s="35" t="n"/>
      <c r="C705" s="35" t="n"/>
      <c r="D705" s="35" t="n"/>
      <c r="E705" s="61" t="n"/>
      <c r="F705" s="37" t="n"/>
      <c r="G705" s="39">
        <f>IF(B705="","",IF(F705&lt;&gt;"",F705,IFERROR(VLOOKUP(B705,'Vendors &amp; Crew'!$A$5:$D$34,3,FALSE),0)))</f>
        <v/>
      </c>
      <c r="H705" s="39">
        <f>IF(B705="","",E705*G705*(1+Settings!$B$18))</f>
        <v/>
      </c>
      <c r="I705" s="39">
        <f>IF(B705="","",IFERROR(VLOOKUP(B705,'Vendors &amp; Crew'!$A$5:$D$34,4,FALSE),0))</f>
        <v/>
      </c>
      <c r="J705" s="39">
        <f>IF(B705="","",E705*I705)</f>
        <v/>
      </c>
      <c r="K705" s="59">
        <f>IF(A705="","",A705-WEEKDAY(A705,2)+7)</f>
        <v/>
      </c>
      <c r="L705" s="9">
        <f>IF(B705="","",IF(D705="","Labor",IFERROR(VLOOKUP(D705,Settings!$E$5:$G$28,3,FALSE),"Labor")))</f>
        <v/>
      </c>
      <c r="M705" s="9">
        <f>IF(B705="","",IF(COUNTIF('Vendors &amp; Crew'!$A$5:$A$34,B705)=0,"Worker not in Crew table",IF(C705="","Missing Job ID",IF(COUNTIF(Jobs!$A$5:$A$44,C705)=0,"Unknown Job ID",IF(E705="","Missing hours",IF(A705="","Missing date",""))))))</f>
        <v/>
      </c>
      <c r="N705" s="35" t="n"/>
    </row>
    <row r="706">
      <c r="A706" s="40" t="n"/>
      <c r="B706" s="35" t="n"/>
      <c r="C706" s="35" t="n"/>
      <c r="D706" s="35" t="n"/>
      <c r="E706" s="61" t="n"/>
      <c r="F706" s="37" t="n"/>
      <c r="G706" s="39">
        <f>IF(B706="","",IF(F706&lt;&gt;"",F706,IFERROR(VLOOKUP(B706,'Vendors &amp; Crew'!$A$5:$D$34,3,FALSE),0)))</f>
        <v/>
      </c>
      <c r="H706" s="39">
        <f>IF(B706="","",E706*G706*(1+Settings!$B$18))</f>
        <v/>
      </c>
      <c r="I706" s="39">
        <f>IF(B706="","",IFERROR(VLOOKUP(B706,'Vendors &amp; Crew'!$A$5:$D$34,4,FALSE),0))</f>
        <v/>
      </c>
      <c r="J706" s="39">
        <f>IF(B706="","",E706*I706)</f>
        <v/>
      </c>
      <c r="K706" s="59">
        <f>IF(A706="","",A706-WEEKDAY(A706,2)+7)</f>
        <v/>
      </c>
      <c r="L706" s="9">
        <f>IF(B706="","",IF(D706="","Labor",IFERROR(VLOOKUP(D706,Settings!$E$5:$G$28,3,FALSE),"Labor")))</f>
        <v/>
      </c>
      <c r="M706" s="9">
        <f>IF(B706="","",IF(COUNTIF('Vendors &amp; Crew'!$A$5:$A$34,B706)=0,"Worker not in Crew table",IF(C706="","Missing Job ID",IF(COUNTIF(Jobs!$A$5:$A$44,C706)=0,"Unknown Job ID",IF(E706="","Missing hours",IF(A706="","Missing date",""))))))</f>
        <v/>
      </c>
      <c r="N706" s="35" t="n"/>
    </row>
    <row r="707">
      <c r="A707" s="40" t="n"/>
      <c r="B707" s="35" t="n"/>
      <c r="C707" s="35" t="n"/>
      <c r="D707" s="35" t="n"/>
      <c r="E707" s="61" t="n"/>
      <c r="F707" s="37" t="n"/>
      <c r="G707" s="39">
        <f>IF(B707="","",IF(F707&lt;&gt;"",F707,IFERROR(VLOOKUP(B707,'Vendors &amp; Crew'!$A$5:$D$34,3,FALSE),0)))</f>
        <v/>
      </c>
      <c r="H707" s="39">
        <f>IF(B707="","",E707*G707*(1+Settings!$B$18))</f>
        <v/>
      </c>
      <c r="I707" s="39">
        <f>IF(B707="","",IFERROR(VLOOKUP(B707,'Vendors &amp; Crew'!$A$5:$D$34,4,FALSE),0))</f>
        <v/>
      </c>
      <c r="J707" s="39">
        <f>IF(B707="","",E707*I707)</f>
        <v/>
      </c>
      <c r="K707" s="59">
        <f>IF(A707="","",A707-WEEKDAY(A707,2)+7)</f>
        <v/>
      </c>
      <c r="L707" s="9">
        <f>IF(B707="","",IF(D707="","Labor",IFERROR(VLOOKUP(D707,Settings!$E$5:$G$28,3,FALSE),"Labor")))</f>
        <v/>
      </c>
      <c r="M707" s="9">
        <f>IF(B707="","",IF(COUNTIF('Vendors &amp; Crew'!$A$5:$A$34,B707)=0,"Worker not in Crew table",IF(C707="","Missing Job ID",IF(COUNTIF(Jobs!$A$5:$A$44,C707)=0,"Unknown Job ID",IF(E707="","Missing hours",IF(A707="","Missing date",""))))))</f>
        <v/>
      </c>
      <c r="N707" s="35" t="n"/>
    </row>
    <row r="708">
      <c r="A708" s="40" t="n"/>
      <c r="B708" s="35" t="n"/>
      <c r="C708" s="35" t="n"/>
      <c r="D708" s="35" t="n"/>
      <c r="E708" s="61" t="n"/>
      <c r="F708" s="37" t="n"/>
      <c r="G708" s="39">
        <f>IF(B708="","",IF(F708&lt;&gt;"",F708,IFERROR(VLOOKUP(B708,'Vendors &amp; Crew'!$A$5:$D$34,3,FALSE),0)))</f>
        <v/>
      </c>
      <c r="H708" s="39">
        <f>IF(B708="","",E708*G708*(1+Settings!$B$18))</f>
        <v/>
      </c>
      <c r="I708" s="39">
        <f>IF(B708="","",IFERROR(VLOOKUP(B708,'Vendors &amp; Crew'!$A$5:$D$34,4,FALSE),0))</f>
        <v/>
      </c>
      <c r="J708" s="39">
        <f>IF(B708="","",E708*I708)</f>
        <v/>
      </c>
      <c r="K708" s="59">
        <f>IF(A708="","",A708-WEEKDAY(A708,2)+7)</f>
        <v/>
      </c>
      <c r="L708" s="9">
        <f>IF(B708="","",IF(D708="","Labor",IFERROR(VLOOKUP(D708,Settings!$E$5:$G$28,3,FALSE),"Labor")))</f>
        <v/>
      </c>
      <c r="M708" s="9">
        <f>IF(B708="","",IF(COUNTIF('Vendors &amp; Crew'!$A$5:$A$34,B708)=0,"Worker not in Crew table",IF(C708="","Missing Job ID",IF(COUNTIF(Jobs!$A$5:$A$44,C708)=0,"Unknown Job ID",IF(E708="","Missing hours",IF(A708="","Missing date",""))))))</f>
        <v/>
      </c>
      <c r="N708" s="35" t="n"/>
    </row>
    <row r="709">
      <c r="A709" s="40" t="n"/>
      <c r="B709" s="35" t="n"/>
      <c r="C709" s="35" t="n"/>
      <c r="D709" s="35" t="n"/>
      <c r="E709" s="61" t="n"/>
      <c r="F709" s="37" t="n"/>
      <c r="G709" s="39">
        <f>IF(B709="","",IF(F709&lt;&gt;"",F709,IFERROR(VLOOKUP(B709,'Vendors &amp; Crew'!$A$5:$D$34,3,FALSE),0)))</f>
        <v/>
      </c>
      <c r="H709" s="39">
        <f>IF(B709="","",E709*G709*(1+Settings!$B$18))</f>
        <v/>
      </c>
      <c r="I709" s="39">
        <f>IF(B709="","",IFERROR(VLOOKUP(B709,'Vendors &amp; Crew'!$A$5:$D$34,4,FALSE),0))</f>
        <v/>
      </c>
      <c r="J709" s="39">
        <f>IF(B709="","",E709*I709)</f>
        <v/>
      </c>
      <c r="K709" s="59">
        <f>IF(A709="","",A709-WEEKDAY(A709,2)+7)</f>
        <v/>
      </c>
      <c r="L709" s="9">
        <f>IF(B709="","",IF(D709="","Labor",IFERROR(VLOOKUP(D709,Settings!$E$5:$G$28,3,FALSE),"Labor")))</f>
        <v/>
      </c>
      <c r="M709" s="9">
        <f>IF(B709="","",IF(COUNTIF('Vendors &amp; Crew'!$A$5:$A$34,B709)=0,"Worker not in Crew table",IF(C709="","Missing Job ID",IF(COUNTIF(Jobs!$A$5:$A$44,C709)=0,"Unknown Job ID",IF(E709="","Missing hours",IF(A709="","Missing date",""))))))</f>
        <v/>
      </c>
      <c r="N709" s="35" t="n"/>
    </row>
    <row r="710">
      <c r="A710" s="40" t="n"/>
      <c r="B710" s="35" t="n"/>
      <c r="C710" s="35" t="n"/>
      <c r="D710" s="35" t="n"/>
      <c r="E710" s="61" t="n"/>
      <c r="F710" s="37" t="n"/>
      <c r="G710" s="39">
        <f>IF(B710="","",IF(F710&lt;&gt;"",F710,IFERROR(VLOOKUP(B710,'Vendors &amp; Crew'!$A$5:$D$34,3,FALSE),0)))</f>
        <v/>
      </c>
      <c r="H710" s="39">
        <f>IF(B710="","",E710*G710*(1+Settings!$B$18))</f>
        <v/>
      </c>
      <c r="I710" s="39">
        <f>IF(B710="","",IFERROR(VLOOKUP(B710,'Vendors &amp; Crew'!$A$5:$D$34,4,FALSE),0))</f>
        <v/>
      </c>
      <c r="J710" s="39">
        <f>IF(B710="","",E710*I710)</f>
        <v/>
      </c>
      <c r="K710" s="59">
        <f>IF(A710="","",A710-WEEKDAY(A710,2)+7)</f>
        <v/>
      </c>
      <c r="L710" s="9">
        <f>IF(B710="","",IF(D710="","Labor",IFERROR(VLOOKUP(D710,Settings!$E$5:$G$28,3,FALSE),"Labor")))</f>
        <v/>
      </c>
      <c r="M710" s="9">
        <f>IF(B710="","",IF(COUNTIF('Vendors &amp; Crew'!$A$5:$A$34,B710)=0,"Worker not in Crew table",IF(C710="","Missing Job ID",IF(COUNTIF(Jobs!$A$5:$A$44,C710)=0,"Unknown Job ID",IF(E710="","Missing hours",IF(A710="","Missing date",""))))))</f>
        <v/>
      </c>
      <c r="N710" s="35" t="n"/>
    </row>
    <row r="711">
      <c r="A711" s="40" t="n"/>
      <c r="B711" s="35" t="n"/>
      <c r="C711" s="35" t="n"/>
      <c r="D711" s="35" t="n"/>
      <c r="E711" s="61" t="n"/>
      <c r="F711" s="37" t="n"/>
      <c r="G711" s="39">
        <f>IF(B711="","",IF(F711&lt;&gt;"",F711,IFERROR(VLOOKUP(B711,'Vendors &amp; Crew'!$A$5:$D$34,3,FALSE),0)))</f>
        <v/>
      </c>
      <c r="H711" s="39">
        <f>IF(B711="","",E711*G711*(1+Settings!$B$18))</f>
        <v/>
      </c>
      <c r="I711" s="39">
        <f>IF(B711="","",IFERROR(VLOOKUP(B711,'Vendors &amp; Crew'!$A$5:$D$34,4,FALSE),0))</f>
        <v/>
      </c>
      <c r="J711" s="39">
        <f>IF(B711="","",E711*I711)</f>
        <v/>
      </c>
      <c r="K711" s="59">
        <f>IF(A711="","",A711-WEEKDAY(A711,2)+7)</f>
        <v/>
      </c>
      <c r="L711" s="9">
        <f>IF(B711="","",IF(D711="","Labor",IFERROR(VLOOKUP(D711,Settings!$E$5:$G$28,3,FALSE),"Labor")))</f>
        <v/>
      </c>
      <c r="M711" s="9">
        <f>IF(B711="","",IF(COUNTIF('Vendors &amp; Crew'!$A$5:$A$34,B711)=0,"Worker not in Crew table",IF(C711="","Missing Job ID",IF(COUNTIF(Jobs!$A$5:$A$44,C711)=0,"Unknown Job ID",IF(E711="","Missing hours",IF(A711="","Missing date",""))))))</f>
        <v/>
      </c>
      <c r="N711" s="35" t="n"/>
    </row>
    <row r="712">
      <c r="A712" s="40" t="n"/>
      <c r="B712" s="35" t="n"/>
      <c r="C712" s="35" t="n"/>
      <c r="D712" s="35" t="n"/>
      <c r="E712" s="61" t="n"/>
      <c r="F712" s="37" t="n"/>
      <c r="G712" s="39">
        <f>IF(B712="","",IF(F712&lt;&gt;"",F712,IFERROR(VLOOKUP(B712,'Vendors &amp; Crew'!$A$5:$D$34,3,FALSE),0)))</f>
        <v/>
      </c>
      <c r="H712" s="39">
        <f>IF(B712="","",E712*G712*(1+Settings!$B$18))</f>
        <v/>
      </c>
      <c r="I712" s="39">
        <f>IF(B712="","",IFERROR(VLOOKUP(B712,'Vendors &amp; Crew'!$A$5:$D$34,4,FALSE),0))</f>
        <v/>
      </c>
      <c r="J712" s="39">
        <f>IF(B712="","",E712*I712)</f>
        <v/>
      </c>
      <c r="K712" s="59">
        <f>IF(A712="","",A712-WEEKDAY(A712,2)+7)</f>
        <v/>
      </c>
      <c r="L712" s="9">
        <f>IF(B712="","",IF(D712="","Labor",IFERROR(VLOOKUP(D712,Settings!$E$5:$G$28,3,FALSE),"Labor")))</f>
        <v/>
      </c>
      <c r="M712" s="9">
        <f>IF(B712="","",IF(COUNTIF('Vendors &amp; Crew'!$A$5:$A$34,B712)=0,"Worker not in Crew table",IF(C712="","Missing Job ID",IF(COUNTIF(Jobs!$A$5:$A$44,C712)=0,"Unknown Job ID",IF(E712="","Missing hours",IF(A712="","Missing date",""))))))</f>
        <v/>
      </c>
      <c r="N712" s="35" t="n"/>
    </row>
    <row r="713">
      <c r="A713" s="40" t="n"/>
      <c r="B713" s="35" t="n"/>
      <c r="C713" s="35" t="n"/>
      <c r="D713" s="35" t="n"/>
      <c r="E713" s="61" t="n"/>
      <c r="F713" s="37" t="n"/>
      <c r="G713" s="39">
        <f>IF(B713="","",IF(F713&lt;&gt;"",F713,IFERROR(VLOOKUP(B713,'Vendors &amp; Crew'!$A$5:$D$34,3,FALSE),0)))</f>
        <v/>
      </c>
      <c r="H713" s="39">
        <f>IF(B713="","",E713*G713*(1+Settings!$B$18))</f>
        <v/>
      </c>
      <c r="I713" s="39">
        <f>IF(B713="","",IFERROR(VLOOKUP(B713,'Vendors &amp; Crew'!$A$5:$D$34,4,FALSE),0))</f>
        <v/>
      </c>
      <c r="J713" s="39">
        <f>IF(B713="","",E713*I713)</f>
        <v/>
      </c>
      <c r="K713" s="59">
        <f>IF(A713="","",A713-WEEKDAY(A713,2)+7)</f>
        <v/>
      </c>
      <c r="L713" s="9">
        <f>IF(B713="","",IF(D713="","Labor",IFERROR(VLOOKUP(D713,Settings!$E$5:$G$28,3,FALSE),"Labor")))</f>
        <v/>
      </c>
      <c r="M713" s="9">
        <f>IF(B713="","",IF(COUNTIF('Vendors &amp; Crew'!$A$5:$A$34,B713)=0,"Worker not in Crew table",IF(C713="","Missing Job ID",IF(COUNTIF(Jobs!$A$5:$A$44,C713)=0,"Unknown Job ID",IF(E713="","Missing hours",IF(A713="","Missing date",""))))))</f>
        <v/>
      </c>
      <c r="N713" s="35" t="n"/>
    </row>
    <row r="714">
      <c r="A714" s="40" t="n"/>
      <c r="B714" s="35" t="n"/>
      <c r="C714" s="35" t="n"/>
      <c r="D714" s="35" t="n"/>
      <c r="E714" s="61" t="n"/>
      <c r="F714" s="37" t="n"/>
      <c r="G714" s="39">
        <f>IF(B714="","",IF(F714&lt;&gt;"",F714,IFERROR(VLOOKUP(B714,'Vendors &amp; Crew'!$A$5:$D$34,3,FALSE),0)))</f>
        <v/>
      </c>
      <c r="H714" s="39">
        <f>IF(B714="","",E714*G714*(1+Settings!$B$18))</f>
        <v/>
      </c>
      <c r="I714" s="39">
        <f>IF(B714="","",IFERROR(VLOOKUP(B714,'Vendors &amp; Crew'!$A$5:$D$34,4,FALSE),0))</f>
        <v/>
      </c>
      <c r="J714" s="39">
        <f>IF(B714="","",E714*I714)</f>
        <v/>
      </c>
      <c r="K714" s="59">
        <f>IF(A714="","",A714-WEEKDAY(A714,2)+7)</f>
        <v/>
      </c>
      <c r="L714" s="9">
        <f>IF(B714="","",IF(D714="","Labor",IFERROR(VLOOKUP(D714,Settings!$E$5:$G$28,3,FALSE),"Labor")))</f>
        <v/>
      </c>
      <c r="M714" s="9">
        <f>IF(B714="","",IF(COUNTIF('Vendors &amp; Crew'!$A$5:$A$34,B714)=0,"Worker not in Crew table",IF(C714="","Missing Job ID",IF(COUNTIF(Jobs!$A$5:$A$44,C714)=0,"Unknown Job ID",IF(E714="","Missing hours",IF(A714="","Missing date",""))))))</f>
        <v/>
      </c>
      <c r="N714" s="35" t="n"/>
    </row>
    <row r="715">
      <c r="A715" s="40" t="n"/>
      <c r="B715" s="35" t="n"/>
      <c r="C715" s="35" t="n"/>
      <c r="D715" s="35" t="n"/>
      <c r="E715" s="61" t="n"/>
      <c r="F715" s="37" t="n"/>
      <c r="G715" s="39">
        <f>IF(B715="","",IF(F715&lt;&gt;"",F715,IFERROR(VLOOKUP(B715,'Vendors &amp; Crew'!$A$5:$D$34,3,FALSE),0)))</f>
        <v/>
      </c>
      <c r="H715" s="39">
        <f>IF(B715="","",E715*G715*(1+Settings!$B$18))</f>
        <v/>
      </c>
      <c r="I715" s="39">
        <f>IF(B715="","",IFERROR(VLOOKUP(B715,'Vendors &amp; Crew'!$A$5:$D$34,4,FALSE),0))</f>
        <v/>
      </c>
      <c r="J715" s="39">
        <f>IF(B715="","",E715*I715)</f>
        <v/>
      </c>
      <c r="K715" s="59">
        <f>IF(A715="","",A715-WEEKDAY(A715,2)+7)</f>
        <v/>
      </c>
      <c r="L715" s="9">
        <f>IF(B715="","",IF(D715="","Labor",IFERROR(VLOOKUP(D715,Settings!$E$5:$G$28,3,FALSE),"Labor")))</f>
        <v/>
      </c>
      <c r="M715" s="9">
        <f>IF(B715="","",IF(COUNTIF('Vendors &amp; Crew'!$A$5:$A$34,B715)=0,"Worker not in Crew table",IF(C715="","Missing Job ID",IF(COUNTIF(Jobs!$A$5:$A$44,C715)=0,"Unknown Job ID",IF(E715="","Missing hours",IF(A715="","Missing date",""))))))</f>
        <v/>
      </c>
      <c r="N715" s="35" t="n"/>
    </row>
    <row r="716">
      <c r="A716" s="40" t="n"/>
      <c r="B716" s="35" t="n"/>
      <c r="C716" s="35" t="n"/>
      <c r="D716" s="35" t="n"/>
      <c r="E716" s="61" t="n"/>
      <c r="F716" s="37" t="n"/>
      <c r="G716" s="39">
        <f>IF(B716="","",IF(F716&lt;&gt;"",F716,IFERROR(VLOOKUP(B716,'Vendors &amp; Crew'!$A$5:$D$34,3,FALSE),0)))</f>
        <v/>
      </c>
      <c r="H716" s="39">
        <f>IF(B716="","",E716*G716*(1+Settings!$B$18))</f>
        <v/>
      </c>
      <c r="I716" s="39">
        <f>IF(B716="","",IFERROR(VLOOKUP(B716,'Vendors &amp; Crew'!$A$5:$D$34,4,FALSE),0))</f>
        <v/>
      </c>
      <c r="J716" s="39">
        <f>IF(B716="","",E716*I716)</f>
        <v/>
      </c>
      <c r="K716" s="59">
        <f>IF(A716="","",A716-WEEKDAY(A716,2)+7)</f>
        <v/>
      </c>
      <c r="L716" s="9">
        <f>IF(B716="","",IF(D716="","Labor",IFERROR(VLOOKUP(D716,Settings!$E$5:$G$28,3,FALSE),"Labor")))</f>
        <v/>
      </c>
      <c r="M716" s="9">
        <f>IF(B716="","",IF(COUNTIF('Vendors &amp; Crew'!$A$5:$A$34,B716)=0,"Worker not in Crew table",IF(C716="","Missing Job ID",IF(COUNTIF(Jobs!$A$5:$A$44,C716)=0,"Unknown Job ID",IF(E716="","Missing hours",IF(A716="","Missing date",""))))))</f>
        <v/>
      </c>
      <c r="N716" s="35" t="n"/>
    </row>
    <row r="717">
      <c r="A717" s="40" t="n"/>
      <c r="B717" s="35" t="n"/>
      <c r="C717" s="35" t="n"/>
      <c r="D717" s="35" t="n"/>
      <c r="E717" s="61" t="n"/>
      <c r="F717" s="37" t="n"/>
      <c r="G717" s="39">
        <f>IF(B717="","",IF(F717&lt;&gt;"",F717,IFERROR(VLOOKUP(B717,'Vendors &amp; Crew'!$A$5:$D$34,3,FALSE),0)))</f>
        <v/>
      </c>
      <c r="H717" s="39">
        <f>IF(B717="","",E717*G717*(1+Settings!$B$18))</f>
        <v/>
      </c>
      <c r="I717" s="39">
        <f>IF(B717="","",IFERROR(VLOOKUP(B717,'Vendors &amp; Crew'!$A$5:$D$34,4,FALSE),0))</f>
        <v/>
      </c>
      <c r="J717" s="39">
        <f>IF(B717="","",E717*I717)</f>
        <v/>
      </c>
      <c r="K717" s="59">
        <f>IF(A717="","",A717-WEEKDAY(A717,2)+7)</f>
        <v/>
      </c>
      <c r="L717" s="9">
        <f>IF(B717="","",IF(D717="","Labor",IFERROR(VLOOKUP(D717,Settings!$E$5:$G$28,3,FALSE),"Labor")))</f>
        <v/>
      </c>
      <c r="M717" s="9">
        <f>IF(B717="","",IF(COUNTIF('Vendors &amp; Crew'!$A$5:$A$34,B717)=0,"Worker not in Crew table",IF(C717="","Missing Job ID",IF(COUNTIF(Jobs!$A$5:$A$44,C717)=0,"Unknown Job ID",IF(E717="","Missing hours",IF(A717="","Missing date",""))))))</f>
        <v/>
      </c>
      <c r="N717" s="35" t="n"/>
    </row>
    <row r="718">
      <c r="A718" s="40" t="n"/>
      <c r="B718" s="35" t="n"/>
      <c r="C718" s="35" t="n"/>
      <c r="D718" s="35" t="n"/>
      <c r="E718" s="61" t="n"/>
      <c r="F718" s="37" t="n"/>
      <c r="G718" s="39">
        <f>IF(B718="","",IF(F718&lt;&gt;"",F718,IFERROR(VLOOKUP(B718,'Vendors &amp; Crew'!$A$5:$D$34,3,FALSE),0)))</f>
        <v/>
      </c>
      <c r="H718" s="39">
        <f>IF(B718="","",E718*G718*(1+Settings!$B$18))</f>
        <v/>
      </c>
      <c r="I718" s="39">
        <f>IF(B718="","",IFERROR(VLOOKUP(B718,'Vendors &amp; Crew'!$A$5:$D$34,4,FALSE),0))</f>
        <v/>
      </c>
      <c r="J718" s="39">
        <f>IF(B718="","",E718*I718)</f>
        <v/>
      </c>
      <c r="K718" s="59">
        <f>IF(A718="","",A718-WEEKDAY(A718,2)+7)</f>
        <v/>
      </c>
      <c r="L718" s="9">
        <f>IF(B718="","",IF(D718="","Labor",IFERROR(VLOOKUP(D718,Settings!$E$5:$G$28,3,FALSE),"Labor")))</f>
        <v/>
      </c>
      <c r="M718" s="9">
        <f>IF(B718="","",IF(COUNTIF('Vendors &amp; Crew'!$A$5:$A$34,B718)=0,"Worker not in Crew table",IF(C718="","Missing Job ID",IF(COUNTIF(Jobs!$A$5:$A$44,C718)=0,"Unknown Job ID",IF(E718="","Missing hours",IF(A718="","Missing date",""))))))</f>
        <v/>
      </c>
      <c r="N718" s="35" t="n"/>
    </row>
    <row r="719">
      <c r="A719" s="40" t="n"/>
      <c r="B719" s="35" t="n"/>
      <c r="C719" s="35" t="n"/>
      <c r="D719" s="35" t="n"/>
      <c r="E719" s="61" t="n"/>
      <c r="F719" s="37" t="n"/>
      <c r="G719" s="39">
        <f>IF(B719="","",IF(F719&lt;&gt;"",F719,IFERROR(VLOOKUP(B719,'Vendors &amp; Crew'!$A$5:$D$34,3,FALSE),0)))</f>
        <v/>
      </c>
      <c r="H719" s="39">
        <f>IF(B719="","",E719*G719*(1+Settings!$B$18))</f>
        <v/>
      </c>
      <c r="I719" s="39">
        <f>IF(B719="","",IFERROR(VLOOKUP(B719,'Vendors &amp; Crew'!$A$5:$D$34,4,FALSE),0))</f>
        <v/>
      </c>
      <c r="J719" s="39">
        <f>IF(B719="","",E719*I719)</f>
        <v/>
      </c>
      <c r="K719" s="59">
        <f>IF(A719="","",A719-WEEKDAY(A719,2)+7)</f>
        <v/>
      </c>
      <c r="L719" s="9">
        <f>IF(B719="","",IF(D719="","Labor",IFERROR(VLOOKUP(D719,Settings!$E$5:$G$28,3,FALSE),"Labor")))</f>
        <v/>
      </c>
      <c r="M719" s="9">
        <f>IF(B719="","",IF(COUNTIF('Vendors &amp; Crew'!$A$5:$A$34,B719)=0,"Worker not in Crew table",IF(C719="","Missing Job ID",IF(COUNTIF(Jobs!$A$5:$A$44,C719)=0,"Unknown Job ID",IF(E719="","Missing hours",IF(A719="","Missing date",""))))))</f>
        <v/>
      </c>
      <c r="N719" s="35" t="n"/>
    </row>
    <row r="720">
      <c r="A720" s="40" t="n"/>
      <c r="B720" s="35" t="n"/>
      <c r="C720" s="35" t="n"/>
      <c r="D720" s="35" t="n"/>
      <c r="E720" s="61" t="n"/>
      <c r="F720" s="37" t="n"/>
      <c r="G720" s="39">
        <f>IF(B720="","",IF(F720&lt;&gt;"",F720,IFERROR(VLOOKUP(B720,'Vendors &amp; Crew'!$A$5:$D$34,3,FALSE),0)))</f>
        <v/>
      </c>
      <c r="H720" s="39">
        <f>IF(B720="","",E720*G720*(1+Settings!$B$18))</f>
        <v/>
      </c>
      <c r="I720" s="39">
        <f>IF(B720="","",IFERROR(VLOOKUP(B720,'Vendors &amp; Crew'!$A$5:$D$34,4,FALSE),0))</f>
        <v/>
      </c>
      <c r="J720" s="39">
        <f>IF(B720="","",E720*I720)</f>
        <v/>
      </c>
      <c r="K720" s="59">
        <f>IF(A720="","",A720-WEEKDAY(A720,2)+7)</f>
        <v/>
      </c>
      <c r="L720" s="9">
        <f>IF(B720="","",IF(D720="","Labor",IFERROR(VLOOKUP(D720,Settings!$E$5:$G$28,3,FALSE),"Labor")))</f>
        <v/>
      </c>
      <c r="M720" s="9">
        <f>IF(B720="","",IF(COUNTIF('Vendors &amp; Crew'!$A$5:$A$34,B720)=0,"Worker not in Crew table",IF(C720="","Missing Job ID",IF(COUNTIF(Jobs!$A$5:$A$44,C720)=0,"Unknown Job ID",IF(E720="","Missing hours",IF(A720="","Missing date",""))))))</f>
        <v/>
      </c>
      <c r="N720" s="35" t="n"/>
    </row>
    <row r="721">
      <c r="A721" s="40" t="n"/>
      <c r="B721" s="35" t="n"/>
      <c r="C721" s="35" t="n"/>
      <c r="D721" s="35" t="n"/>
      <c r="E721" s="61" t="n"/>
      <c r="F721" s="37" t="n"/>
      <c r="G721" s="39">
        <f>IF(B721="","",IF(F721&lt;&gt;"",F721,IFERROR(VLOOKUP(B721,'Vendors &amp; Crew'!$A$5:$D$34,3,FALSE),0)))</f>
        <v/>
      </c>
      <c r="H721" s="39">
        <f>IF(B721="","",E721*G721*(1+Settings!$B$18))</f>
        <v/>
      </c>
      <c r="I721" s="39">
        <f>IF(B721="","",IFERROR(VLOOKUP(B721,'Vendors &amp; Crew'!$A$5:$D$34,4,FALSE),0))</f>
        <v/>
      </c>
      <c r="J721" s="39">
        <f>IF(B721="","",E721*I721)</f>
        <v/>
      </c>
      <c r="K721" s="59">
        <f>IF(A721="","",A721-WEEKDAY(A721,2)+7)</f>
        <v/>
      </c>
      <c r="L721" s="9">
        <f>IF(B721="","",IF(D721="","Labor",IFERROR(VLOOKUP(D721,Settings!$E$5:$G$28,3,FALSE),"Labor")))</f>
        <v/>
      </c>
      <c r="M721" s="9">
        <f>IF(B721="","",IF(COUNTIF('Vendors &amp; Crew'!$A$5:$A$34,B721)=0,"Worker not in Crew table",IF(C721="","Missing Job ID",IF(COUNTIF(Jobs!$A$5:$A$44,C721)=0,"Unknown Job ID",IF(E721="","Missing hours",IF(A721="","Missing date",""))))))</f>
        <v/>
      </c>
      <c r="N721" s="35" t="n"/>
    </row>
    <row r="722">
      <c r="A722" s="40" t="n"/>
      <c r="B722" s="35" t="n"/>
      <c r="C722" s="35" t="n"/>
      <c r="D722" s="35" t="n"/>
      <c r="E722" s="61" t="n"/>
      <c r="F722" s="37" t="n"/>
      <c r="G722" s="39">
        <f>IF(B722="","",IF(F722&lt;&gt;"",F722,IFERROR(VLOOKUP(B722,'Vendors &amp; Crew'!$A$5:$D$34,3,FALSE),0)))</f>
        <v/>
      </c>
      <c r="H722" s="39">
        <f>IF(B722="","",E722*G722*(1+Settings!$B$18))</f>
        <v/>
      </c>
      <c r="I722" s="39">
        <f>IF(B722="","",IFERROR(VLOOKUP(B722,'Vendors &amp; Crew'!$A$5:$D$34,4,FALSE),0))</f>
        <v/>
      </c>
      <c r="J722" s="39">
        <f>IF(B722="","",E722*I722)</f>
        <v/>
      </c>
      <c r="K722" s="59">
        <f>IF(A722="","",A722-WEEKDAY(A722,2)+7)</f>
        <v/>
      </c>
      <c r="L722" s="9">
        <f>IF(B722="","",IF(D722="","Labor",IFERROR(VLOOKUP(D722,Settings!$E$5:$G$28,3,FALSE),"Labor")))</f>
        <v/>
      </c>
      <c r="M722" s="9">
        <f>IF(B722="","",IF(COUNTIF('Vendors &amp; Crew'!$A$5:$A$34,B722)=0,"Worker not in Crew table",IF(C722="","Missing Job ID",IF(COUNTIF(Jobs!$A$5:$A$44,C722)=0,"Unknown Job ID",IF(E722="","Missing hours",IF(A722="","Missing date",""))))))</f>
        <v/>
      </c>
      <c r="N722" s="35" t="n"/>
    </row>
    <row r="723">
      <c r="A723" s="40" t="n"/>
      <c r="B723" s="35" t="n"/>
      <c r="C723" s="35" t="n"/>
      <c r="D723" s="35" t="n"/>
      <c r="E723" s="61" t="n"/>
      <c r="F723" s="37" t="n"/>
      <c r="G723" s="39">
        <f>IF(B723="","",IF(F723&lt;&gt;"",F723,IFERROR(VLOOKUP(B723,'Vendors &amp; Crew'!$A$5:$D$34,3,FALSE),0)))</f>
        <v/>
      </c>
      <c r="H723" s="39">
        <f>IF(B723="","",E723*G723*(1+Settings!$B$18))</f>
        <v/>
      </c>
      <c r="I723" s="39">
        <f>IF(B723="","",IFERROR(VLOOKUP(B723,'Vendors &amp; Crew'!$A$5:$D$34,4,FALSE),0))</f>
        <v/>
      </c>
      <c r="J723" s="39">
        <f>IF(B723="","",E723*I723)</f>
        <v/>
      </c>
      <c r="K723" s="59">
        <f>IF(A723="","",A723-WEEKDAY(A723,2)+7)</f>
        <v/>
      </c>
      <c r="L723" s="9">
        <f>IF(B723="","",IF(D723="","Labor",IFERROR(VLOOKUP(D723,Settings!$E$5:$G$28,3,FALSE),"Labor")))</f>
        <v/>
      </c>
      <c r="M723" s="9">
        <f>IF(B723="","",IF(COUNTIF('Vendors &amp; Crew'!$A$5:$A$34,B723)=0,"Worker not in Crew table",IF(C723="","Missing Job ID",IF(COUNTIF(Jobs!$A$5:$A$44,C723)=0,"Unknown Job ID",IF(E723="","Missing hours",IF(A723="","Missing date",""))))))</f>
        <v/>
      </c>
      <c r="N723" s="35" t="n"/>
    </row>
    <row r="724">
      <c r="A724" s="40" t="n"/>
      <c r="B724" s="35" t="n"/>
      <c r="C724" s="35" t="n"/>
      <c r="D724" s="35" t="n"/>
      <c r="E724" s="61" t="n"/>
      <c r="F724" s="37" t="n"/>
      <c r="G724" s="39">
        <f>IF(B724="","",IF(F724&lt;&gt;"",F724,IFERROR(VLOOKUP(B724,'Vendors &amp; Crew'!$A$5:$D$34,3,FALSE),0)))</f>
        <v/>
      </c>
      <c r="H724" s="39">
        <f>IF(B724="","",E724*G724*(1+Settings!$B$18))</f>
        <v/>
      </c>
      <c r="I724" s="39">
        <f>IF(B724="","",IFERROR(VLOOKUP(B724,'Vendors &amp; Crew'!$A$5:$D$34,4,FALSE),0))</f>
        <v/>
      </c>
      <c r="J724" s="39">
        <f>IF(B724="","",E724*I724)</f>
        <v/>
      </c>
      <c r="K724" s="59">
        <f>IF(A724="","",A724-WEEKDAY(A724,2)+7)</f>
        <v/>
      </c>
      <c r="L724" s="9">
        <f>IF(B724="","",IF(D724="","Labor",IFERROR(VLOOKUP(D724,Settings!$E$5:$G$28,3,FALSE),"Labor")))</f>
        <v/>
      </c>
      <c r="M724" s="9">
        <f>IF(B724="","",IF(COUNTIF('Vendors &amp; Crew'!$A$5:$A$34,B724)=0,"Worker not in Crew table",IF(C724="","Missing Job ID",IF(COUNTIF(Jobs!$A$5:$A$44,C724)=0,"Unknown Job ID",IF(E724="","Missing hours",IF(A724="","Missing date",""))))))</f>
        <v/>
      </c>
      <c r="N724" s="35" t="n"/>
    </row>
    <row r="725">
      <c r="A725" s="40" t="n"/>
      <c r="B725" s="35" t="n"/>
      <c r="C725" s="35" t="n"/>
      <c r="D725" s="35" t="n"/>
      <c r="E725" s="61" t="n"/>
      <c r="F725" s="37" t="n"/>
      <c r="G725" s="39">
        <f>IF(B725="","",IF(F725&lt;&gt;"",F725,IFERROR(VLOOKUP(B725,'Vendors &amp; Crew'!$A$5:$D$34,3,FALSE),0)))</f>
        <v/>
      </c>
      <c r="H725" s="39">
        <f>IF(B725="","",E725*G725*(1+Settings!$B$18))</f>
        <v/>
      </c>
      <c r="I725" s="39">
        <f>IF(B725="","",IFERROR(VLOOKUP(B725,'Vendors &amp; Crew'!$A$5:$D$34,4,FALSE),0))</f>
        <v/>
      </c>
      <c r="J725" s="39">
        <f>IF(B725="","",E725*I725)</f>
        <v/>
      </c>
      <c r="K725" s="59">
        <f>IF(A725="","",A725-WEEKDAY(A725,2)+7)</f>
        <v/>
      </c>
      <c r="L725" s="9">
        <f>IF(B725="","",IF(D725="","Labor",IFERROR(VLOOKUP(D725,Settings!$E$5:$G$28,3,FALSE),"Labor")))</f>
        <v/>
      </c>
      <c r="M725" s="9">
        <f>IF(B725="","",IF(COUNTIF('Vendors &amp; Crew'!$A$5:$A$34,B725)=0,"Worker not in Crew table",IF(C725="","Missing Job ID",IF(COUNTIF(Jobs!$A$5:$A$44,C725)=0,"Unknown Job ID",IF(E725="","Missing hours",IF(A725="","Missing date",""))))))</f>
        <v/>
      </c>
      <c r="N725" s="35" t="n"/>
    </row>
    <row r="726">
      <c r="A726" s="40" t="n"/>
      <c r="B726" s="35" t="n"/>
      <c r="C726" s="35" t="n"/>
      <c r="D726" s="35" t="n"/>
      <c r="E726" s="61" t="n"/>
      <c r="F726" s="37" t="n"/>
      <c r="G726" s="39">
        <f>IF(B726="","",IF(F726&lt;&gt;"",F726,IFERROR(VLOOKUP(B726,'Vendors &amp; Crew'!$A$5:$D$34,3,FALSE),0)))</f>
        <v/>
      </c>
      <c r="H726" s="39">
        <f>IF(B726="","",E726*G726*(1+Settings!$B$18))</f>
        <v/>
      </c>
      <c r="I726" s="39">
        <f>IF(B726="","",IFERROR(VLOOKUP(B726,'Vendors &amp; Crew'!$A$5:$D$34,4,FALSE),0))</f>
        <v/>
      </c>
      <c r="J726" s="39">
        <f>IF(B726="","",E726*I726)</f>
        <v/>
      </c>
      <c r="K726" s="59">
        <f>IF(A726="","",A726-WEEKDAY(A726,2)+7)</f>
        <v/>
      </c>
      <c r="L726" s="9">
        <f>IF(B726="","",IF(D726="","Labor",IFERROR(VLOOKUP(D726,Settings!$E$5:$G$28,3,FALSE),"Labor")))</f>
        <v/>
      </c>
      <c r="M726" s="9">
        <f>IF(B726="","",IF(COUNTIF('Vendors &amp; Crew'!$A$5:$A$34,B726)=0,"Worker not in Crew table",IF(C726="","Missing Job ID",IF(COUNTIF(Jobs!$A$5:$A$44,C726)=0,"Unknown Job ID",IF(E726="","Missing hours",IF(A726="","Missing date",""))))))</f>
        <v/>
      </c>
      <c r="N726" s="35" t="n"/>
    </row>
    <row r="727">
      <c r="A727" s="40" t="n"/>
      <c r="B727" s="35" t="n"/>
      <c r="C727" s="35" t="n"/>
      <c r="D727" s="35" t="n"/>
      <c r="E727" s="61" t="n"/>
      <c r="F727" s="37" t="n"/>
      <c r="G727" s="39">
        <f>IF(B727="","",IF(F727&lt;&gt;"",F727,IFERROR(VLOOKUP(B727,'Vendors &amp; Crew'!$A$5:$D$34,3,FALSE),0)))</f>
        <v/>
      </c>
      <c r="H727" s="39">
        <f>IF(B727="","",E727*G727*(1+Settings!$B$18))</f>
        <v/>
      </c>
      <c r="I727" s="39">
        <f>IF(B727="","",IFERROR(VLOOKUP(B727,'Vendors &amp; Crew'!$A$5:$D$34,4,FALSE),0))</f>
        <v/>
      </c>
      <c r="J727" s="39">
        <f>IF(B727="","",E727*I727)</f>
        <v/>
      </c>
      <c r="K727" s="59">
        <f>IF(A727="","",A727-WEEKDAY(A727,2)+7)</f>
        <v/>
      </c>
      <c r="L727" s="9">
        <f>IF(B727="","",IF(D727="","Labor",IFERROR(VLOOKUP(D727,Settings!$E$5:$G$28,3,FALSE),"Labor")))</f>
        <v/>
      </c>
      <c r="M727" s="9">
        <f>IF(B727="","",IF(COUNTIF('Vendors &amp; Crew'!$A$5:$A$34,B727)=0,"Worker not in Crew table",IF(C727="","Missing Job ID",IF(COUNTIF(Jobs!$A$5:$A$44,C727)=0,"Unknown Job ID",IF(E727="","Missing hours",IF(A727="","Missing date",""))))))</f>
        <v/>
      </c>
      <c r="N727" s="35" t="n"/>
    </row>
    <row r="728">
      <c r="A728" s="40" t="n"/>
      <c r="B728" s="35" t="n"/>
      <c r="C728" s="35" t="n"/>
      <c r="D728" s="35" t="n"/>
      <c r="E728" s="61" t="n"/>
      <c r="F728" s="37" t="n"/>
      <c r="G728" s="39">
        <f>IF(B728="","",IF(F728&lt;&gt;"",F728,IFERROR(VLOOKUP(B728,'Vendors &amp; Crew'!$A$5:$D$34,3,FALSE),0)))</f>
        <v/>
      </c>
      <c r="H728" s="39">
        <f>IF(B728="","",E728*G728*(1+Settings!$B$18))</f>
        <v/>
      </c>
      <c r="I728" s="39">
        <f>IF(B728="","",IFERROR(VLOOKUP(B728,'Vendors &amp; Crew'!$A$5:$D$34,4,FALSE),0))</f>
        <v/>
      </c>
      <c r="J728" s="39">
        <f>IF(B728="","",E728*I728)</f>
        <v/>
      </c>
      <c r="K728" s="59">
        <f>IF(A728="","",A728-WEEKDAY(A728,2)+7)</f>
        <v/>
      </c>
      <c r="L728" s="9">
        <f>IF(B728="","",IF(D728="","Labor",IFERROR(VLOOKUP(D728,Settings!$E$5:$G$28,3,FALSE),"Labor")))</f>
        <v/>
      </c>
      <c r="M728" s="9">
        <f>IF(B728="","",IF(COUNTIF('Vendors &amp; Crew'!$A$5:$A$34,B728)=0,"Worker not in Crew table",IF(C728="","Missing Job ID",IF(COUNTIF(Jobs!$A$5:$A$44,C728)=0,"Unknown Job ID",IF(E728="","Missing hours",IF(A728="","Missing date",""))))))</f>
        <v/>
      </c>
      <c r="N728" s="35" t="n"/>
    </row>
    <row r="729">
      <c r="A729" s="40" t="n"/>
      <c r="B729" s="35" t="n"/>
      <c r="C729" s="35" t="n"/>
      <c r="D729" s="35" t="n"/>
      <c r="E729" s="61" t="n"/>
      <c r="F729" s="37" t="n"/>
      <c r="G729" s="39">
        <f>IF(B729="","",IF(F729&lt;&gt;"",F729,IFERROR(VLOOKUP(B729,'Vendors &amp; Crew'!$A$5:$D$34,3,FALSE),0)))</f>
        <v/>
      </c>
      <c r="H729" s="39">
        <f>IF(B729="","",E729*G729*(1+Settings!$B$18))</f>
        <v/>
      </c>
      <c r="I729" s="39">
        <f>IF(B729="","",IFERROR(VLOOKUP(B729,'Vendors &amp; Crew'!$A$5:$D$34,4,FALSE),0))</f>
        <v/>
      </c>
      <c r="J729" s="39">
        <f>IF(B729="","",E729*I729)</f>
        <v/>
      </c>
      <c r="K729" s="59">
        <f>IF(A729="","",A729-WEEKDAY(A729,2)+7)</f>
        <v/>
      </c>
      <c r="L729" s="9">
        <f>IF(B729="","",IF(D729="","Labor",IFERROR(VLOOKUP(D729,Settings!$E$5:$G$28,3,FALSE),"Labor")))</f>
        <v/>
      </c>
      <c r="M729" s="9">
        <f>IF(B729="","",IF(COUNTIF('Vendors &amp; Crew'!$A$5:$A$34,B729)=0,"Worker not in Crew table",IF(C729="","Missing Job ID",IF(COUNTIF(Jobs!$A$5:$A$44,C729)=0,"Unknown Job ID",IF(E729="","Missing hours",IF(A729="","Missing date",""))))))</f>
        <v/>
      </c>
      <c r="N729" s="35" t="n"/>
    </row>
    <row r="730">
      <c r="A730" s="40" t="n"/>
      <c r="B730" s="35" t="n"/>
      <c r="C730" s="35" t="n"/>
      <c r="D730" s="35" t="n"/>
      <c r="E730" s="61" t="n"/>
      <c r="F730" s="37" t="n"/>
      <c r="G730" s="39">
        <f>IF(B730="","",IF(F730&lt;&gt;"",F730,IFERROR(VLOOKUP(B730,'Vendors &amp; Crew'!$A$5:$D$34,3,FALSE),0)))</f>
        <v/>
      </c>
      <c r="H730" s="39">
        <f>IF(B730="","",E730*G730*(1+Settings!$B$18))</f>
        <v/>
      </c>
      <c r="I730" s="39">
        <f>IF(B730="","",IFERROR(VLOOKUP(B730,'Vendors &amp; Crew'!$A$5:$D$34,4,FALSE),0))</f>
        <v/>
      </c>
      <c r="J730" s="39">
        <f>IF(B730="","",E730*I730)</f>
        <v/>
      </c>
      <c r="K730" s="59">
        <f>IF(A730="","",A730-WEEKDAY(A730,2)+7)</f>
        <v/>
      </c>
      <c r="L730" s="9">
        <f>IF(B730="","",IF(D730="","Labor",IFERROR(VLOOKUP(D730,Settings!$E$5:$G$28,3,FALSE),"Labor")))</f>
        <v/>
      </c>
      <c r="M730" s="9">
        <f>IF(B730="","",IF(COUNTIF('Vendors &amp; Crew'!$A$5:$A$34,B730)=0,"Worker not in Crew table",IF(C730="","Missing Job ID",IF(COUNTIF(Jobs!$A$5:$A$44,C730)=0,"Unknown Job ID",IF(E730="","Missing hours",IF(A730="","Missing date",""))))))</f>
        <v/>
      </c>
      <c r="N730" s="35" t="n"/>
    </row>
    <row r="731">
      <c r="A731" s="40" t="n"/>
      <c r="B731" s="35" t="n"/>
      <c r="C731" s="35" t="n"/>
      <c r="D731" s="35" t="n"/>
      <c r="E731" s="61" t="n"/>
      <c r="F731" s="37" t="n"/>
      <c r="G731" s="39">
        <f>IF(B731="","",IF(F731&lt;&gt;"",F731,IFERROR(VLOOKUP(B731,'Vendors &amp; Crew'!$A$5:$D$34,3,FALSE),0)))</f>
        <v/>
      </c>
      <c r="H731" s="39">
        <f>IF(B731="","",E731*G731*(1+Settings!$B$18))</f>
        <v/>
      </c>
      <c r="I731" s="39">
        <f>IF(B731="","",IFERROR(VLOOKUP(B731,'Vendors &amp; Crew'!$A$5:$D$34,4,FALSE),0))</f>
        <v/>
      </c>
      <c r="J731" s="39">
        <f>IF(B731="","",E731*I731)</f>
        <v/>
      </c>
      <c r="K731" s="59">
        <f>IF(A731="","",A731-WEEKDAY(A731,2)+7)</f>
        <v/>
      </c>
      <c r="L731" s="9">
        <f>IF(B731="","",IF(D731="","Labor",IFERROR(VLOOKUP(D731,Settings!$E$5:$G$28,3,FALSE),"Labor")))</f>
        <v/>
      </c>
      <c r="M731" s="9">
        <f>IF(B731="","",IF(COUNTIF('Vendors &amp; Crew'!$A$5:$A$34,B731)=0,"Worker not in Crew table",IF(C731="","Missing Job ID",IF(COUNTIF(Jobs!$A$5:$A$44,C731)=0,"Unknown Job ID",IF(E731="","Missing hours",IF(A731="","Missing date",""))))))</f>
        <v/>
      </c>
      <c r="N731" s="35" t="n"/>
    </row>
    <row r="732">
      <c r="A732" s="40" t="n"/>
      <c r="B732" s="35" t="n"/>
      <c r="C732" s="35" t="n"/>
      <c r="D732" s="35" t="n"/>
      <c r="E732" s="61" t="n"/>
      <c r="F732" s="37" t="n"/>
      <c r="G732" s="39">
        <f>IF(B732="","",IF(F732&lt;&gt;"",F732,IFERROR(VLOOKUP(B732,'Vendors &amp; Crew'!$A$5:$D$34,3,FALSE),0)))</f>
        <v/>
      </c>
      <c r="H732" s="39">
        <f>IF(B732="","",E732*G732*(1+Settings!$B$18))</f>
        <v/>
      </c>
      <c r="I732" s="39">
        <f>IF(B732="","",IFERROR(VLOOKUP(B732,'Vendors &amp; Crew'!$A$5:$D$34,4,FALSE),0))</f>
        <v/>
      </c>
      <c r="J732" s="39">
        <f>IF(B732="","",E732*I732)</f>
        <v/>
      </c>
      <c r="K732" s="59">
        <f>IF(A732="","",A732-WEEKDAY(A732,2)+7)</f>
        <v/>
      </c>
      <c r="L732" s="9">
        <f>IF(B732="","",IF(D732="","Labor",IFERROR(VLOOKUP(D732,Settings!$E$5:$G$28,3,FALSE),"Labor")))</f>
        <v/>
      </c>
      <c r="M732" s="9">
        <f>IF(B732="","",IF(COUNTIF('Vendors &amp; Crew'!$A$5:$A$34,B732)=0,"Worker not in Crew table",IF(C732="","Missing Job ID",IF(COUNTIF(Jobs!$A$5:$A$44,C732)=0,"Unknown Job ID",IF(E732="","Missing hours",IF(A732="","Missing date",""))))))</f>
        <v/>
      </c>
      <c r="N732" s="35" t="n"/>
    </row>
    <row r="733">
      <c r="A733" s="40" t="n"/>
      <c r="B733" s="35" t="n"/>
      <c r="C733" s="35" t="n"/>
      <c r="D733" s="35" t="n"/>
      <c r="E733" s="61" t="n"/>
      <c r="F733" s="37" t="n"/>
      <c r="G733" s="39">
        <f>IF(B733="","",IF(F733&lt;&gt;"",F733,IFERROR(VLOOKUP(B733,'Vendors &amp; Crew'!$A$5:$D$34,3,FALSE),0)))</f>
        <v/>
      </c>
      <c r="H733" s="39">
        <f>IF(B733="","",E733*G733*(1+Settings!$B$18))</f>
        <v/>
      </c>
      <c r="I733" s="39">
        <f>IF(B733="","",IFERROR(VLOOKUP(B733,'Vendors &amp; Crew'!$A$5:$D$34,4,FALSE),0))</f>
        <v/>
      </c>
      <c r="J733" s="39">
        <f>IF(B733="","",E733*I733)</f>
        <v/>
      </c>
      <c r="K733" s="59">
        <f>IF(A733="","",A733-WEEKDAY(A733,2)+7)</f>
        <v/>
      </c>
      <c r="L733" s="9">
        <f>IF(B733="","",IF(D733="","Labor",IFERROR(VLOOKUP(D733,Settings!$E$5:$G$28,3,FALSE),"Labor")))</f>
        <v/>
      </c>
      <c r="M733" s="9">
        <f>IF(B733="","",IF(COUNTIF('Vendors &amp; Crew'!$A$5:$A$34,B733)=0,"Worker not in Crew table",IF(C733="","Missing Job ID",IF(COUNTIF(Jobs!$A$5:$A$44,C733)=0,"Unknown Job ID",IF(E733="","Missing hours",IF(A733="","Missing date",""))))))</f>
        <v/>
      </c>
      <c r="N733" s="35" t="n"/>
    </row>
    <row r="734">
      <c r="A734" s="40" t="n"/>
      <c r="B734" s="35" t="n"/>
      <c r="C734" s="35" t="n"/>
      <c r="D734" s="35" t="n"/>
      <c r="E734" s="61" t="n"/>
      <c r="F734" s="37" t="n"/>
      <c r="G734" s="39">
        <f>IF(B734="","",IF(F734&lt;&gt;"",F734,IFERROR(VLOOKUP(B734,'Vendors &amp; Crew'!$A$5:$D$34,3,FALSE),0)))</f>
        <v/>
      </c>
      <c r="H734" s="39">
        <f>IF(B734="","",E734*G734*(1+Settings!$B$18))</f>
        <v/>
      </c>
      <c r="I734" s="39">
        <f>IF(B734="","",IFERROR(VLOOKUP(B734,'Vendors &amp; Crew'!$A$5:$D$34,4,FALSE),0))</f>
        <v/>
      </c>
      <c r="J734" s="39">
        <f>IF(B734="","",E734*I734)</f>
        <v/>
      </c>
      <c r="K734" s="59">
        <f>IF(A734="","",A734-WEEKDAY(A734,2)+7)</f>
        <v/>
      </c>
      <c r="L734" s="9">
        <f>IF(B734="","",IF(D734="","Labor",IFERROR(VLOOKUP(D734,Settings!$E$5:$G$28,3,FALSE),"Labor")))</f>
        <v/>
      </c>
      <c r="M734" s="9">
        <f>IF(B734="","",IF(COUNTIF('Vendors &amp; Crew'!$A$5:$A$34,B734)=0,"Worker not in Crew table",IF(C734="","Missing Job ID",IF(COUNTIF(Jobs!$A$5:$A$44,C734)=0,"Unknown Job ID",IF(E734="","Missing hours",IF(A734="","Missing date",""))))))</f>
        <v/>
      </c>
      <c r="N734" s="35" t="n"/>
    </row>
    <row r="735">
      <c r="A735" s="40" t="n"/>
      <c r="B735" s="35" t="n"/>
      <c r="C735" s="35" t="n"/>
      <c r="D735" s="35" t="n"/>
      <c r="E735" s="61" t="n"/>
      <c r="F735" s="37" t="n"/>
      <c r="G735" s="39">
        <f>IF(B735="","",IF(F735&lt;&gt;"",F735,IFERROR(VLOOKUP(B735,'Vendors &amp; Crew'!$A$5:$D$34,3,FALSE),0)))</f>
        <v/>
      </c>
      <c r="H735" s="39">
        <f>IF(B735="","",E735*G735*(1+Settings!$B$18))</f>
        <v/>
      </c>
      <c r="I735" s="39">
        <f>IF(B735="","",IFERROR(VLOOKUP(B735,'Vendors &amp; Crew'!$A$5:$D$34,4,FALSE),0))</f>
        <v/>
      </c>
      <c r="J735" s="39">
        <f>IF(B735="","",E735*I735)</f>
        <v/>
      </c>
      <c r="K735" s="59">
        <f>IF(A735="","",A735-WEEKDAY(A735,2)+7)</f>
        <v/>
      </c>
      <c r="L735" s="9">
        <f>IF(B735="","",IF(D735="","Labor",IFERROR(VLOOKUP(D735,Settings!$E$5:$G$28,3,FALSE),"Labor")))</f>
        <v/>
      </c>
      <c r="M735" s="9">
        <f>IF(B735="","",IF(COUNTIF('Vendors &amp; Crew'!$A$5:$A$34,B735)=0,"Worker not in Crew table",IF(C735="","Missing Job ID",IF(COUNTIF(Jobs!$A$5:$A$44,C735)=0,"Unknown Job ID",IF(E735="","Missing hours",IF(A735="","Missing date",""))))))</f>
        <v/>
      </c>
      <c r="N735" s="35" t="n"/>
    </row>
    <row r="736">
      <c r="A736" s="40" t="n"/>
      <c r="B736" s="35" t="n"/>
      <c r="C736" s="35" t="n"/>
      <c r="D736" s="35" t="n"/>
      <c r="E736" s="61" t="n"/>
      <c r="F736" s="37" t="n"/>
      <c r="G736" s="39">
        <f>IF(B736="","",IF(F736&lt;&gt;"",F736,IFERROR(VLOOKUP(B736,'Vendors &amp; Crew'!$A$5:$D$34,3,FALSE),0)))</f>
        <v/>
      </c>
      <c r="H736" s="39">
        <f>IF(B736="","",E736*G736*(1+Settings!$B$18))</f>
        <v/>
      </c>
      <c r="I736" s="39">
        <f>IF(B736="","",IFERROR(VLOOKUP(B736,'Vendors &amp; Crew'!$A$5:$D$34,4,FALSE),0))</f>
        <v/>
      </c>
      <c r="J736" s="39">
        <f>IF(B736="","",E736*I736)</f>
        <v/>
      </c>
      <c r="K736" s="59">
        <f>IF(A736="","",A736-WEEKDAY(A736,2)+7)</f>
        <v/>
      </c>
      <c r="L736" s="9">
        <f>IF(B736="","",IF(D736="","Labor",IFERROR(VLOOKUP(D736,Settings!$E$5:$G$28,3,FALSE),"Labor")))</f>
        <v/>
      </c>
      <c r="M736" s="9">
        <f>IF(B736="","",IF(COUNTIF('Vendors &amp; Crew'!$A$5:$A$34,B736)=0,"Worker not in Crew table",IF(C736="","Missing Job ID",IF(COUNTIF(Jobs!$A$5:$A$44,C736)=0,"Unknown Job ID",IF(E736="","Missing hours",IF(A736="","Missing date",""))))))</f>
        <v/>
      </c>
      <c r="N736" s="35" t="n"/>
    </row>
    <row r="737">
      <c r="A737" s="40" t="n"/>
      <c r="B737" s="35" t="n"/>
      <c r="C737" s="35" t="n"/>
      <c r="D737" s="35" t="n"/>
      <c r="E737" s="61" t="n"/>
      <c r="F737" s="37" t="n"/>
      <c r="G737" s="39">
        <f>IF(B737="","",IF(F737&lt;&gt;"",F737,IFERROR(VLOOKUP(B737,'Vendors &amp; Crew'!$A$5:$D$34,3,FALSE),0)))</f>
        <v/>
      </c>
      <c r="H737" s="39">
        <f>IF(B737="","",E737*G737*(1+Settings!$B$18))</f>
        <v/>
      </c>
      <c r="I737" s="39">
        <f>IF(B737="","",IFERROR(VLOOKUP(B737,'Vendors &amp; Crew'!$A$5:$D$34,4,FALSE),0))</f>
        <v/>
      </c>
      <c r="J737" s="39">
        <f>IF(B737="","",E737*I737)</f>
        <v/>
      </c>
      <c r="K737" s="59">
        <f>IF(A737="","",A737-WEEKDAY(A737,2)+7)</f>
        <v/>
      </c>
      <c r="L737" s="9">
        <f>IF(B737="","",IF(D737="","Labor",IFERROR(VLOOKUP(D737,Settings!$E$5:$G$28,3,FALSE),"Labor")))</f>
        <v/>
      </c>
      <c r="M737" s="9">
        <f>IF(B737="","",IF(COUNTIF('Vendors &amp; Crew'!$A$5:$A$34,B737)=0,"Worker not in Crew table",IF(C737="","Missing Job ID",IF(COUNTIF(Jobs!$A$5:$A$44,C737)=0,"Unknown Job ID",IF(E737="","Missing hours",IF(A737="","Missing date",""))))))</f>
        <v/>
      </c>
      <c r="N737" s="35" t="n"/>
    </row>
    <row r="738">
      <c r="A738" s="40" t="n"/>
      <c r="B738" s="35" t="n"/>
      <c r="C738" s="35" t="n"/>
      <c r="D738" s="35" t="n"/>
      <c r="E738" s="61" t="n"/>
      <c r="F738" s="37" t="n"/>
      <c r="G738" s="39">
        <f>IF(B738="","",IF(F738&lt;&gt;"",F738,IFERROR(VLOOKUP(B738,'Vendors &amp; Crew'!$A$5:$D$34,3,FALSE),0)))</f>
        <v/>
      </c>
      <c r="H738" s="39">
        <f>IF(B738="","",E738*G738*(1+Settings!$B$18))</f>
        <v/>
      </c>
      <c r="I738" s="39">
        <f>IF(B738="","",IFERROR(VLOOKUP(B738,'Vendors &amp; Crew'!$A$5:$D$34,4,FALSE),0))</f>
        <v/>
      </c>
      <c r="J738" s="39">
        <f>IF(B738="","",E738*I738)</f>
        <v/>
      </c>
      <c r="K738" s="59">
        <f>IF(A738="","",A738-WEEKDAY(A738,2)+7)</f>
        <v/>
      </c>
      <c r="L738" s="9">
        <f>IF(B738="","",IF(D738="","Labor",IFERROR(VLOOKUP(D738,Settings!$E$5:$G$28,3,FALSE),"Labor")))</f>
        <v/>
      </c>
      <c r="M738" s="9">
        <f>IF(B738="","",IF(COUNTIF('Vendors &amp; Crew'!$A$5:$A$34,B738)=0,"Worker not in Crew table",IF(C738="","Missing Job ID",IF(COUNTIF(Jobs!$A$5:$A$44,C738)=0,"Unknown Job ID",IF(E738="","Missing hours",IF(A738="","Missing date",""))))))</f>
        <v/>
      </c>
      <c r="N738" s="35" t="n"/>
    </row>
    <row r="739">
      <c r="A739" s="40" t="n"/>
      <c r="B739" s="35" t="n"/>
      <c r="C739" s="35" t="n"/>
      <c r="D739" s="35" t="n"/>
      <c r="E739" s="61" t="n"/>
      <c r="F739" s="37" t="n"/>
      <c r="G739" s="39">
        <f>IF(B739="","",IF(F739&lt;&gt;"",F739,IFERROR(VLOOKUP(B739,'Vendors &amp; Crew'!$A$5:$D$34,3,FALSE),0)))</f>
        <v/>
      </c>
      <c r="H739" s="39">
        <f>IF(B739="","",E739*G739*(1+Settings!$B$18))</f>
        <v/>
      </c>
      <c r="I739" s="39">
        <f>IF(B739="","",IFERROR(VLOOKUP(B739,'Vendors &amp; Crew'!$A$5:$D$34,4,FALSE),0))</f>
        <v/>
      </c>
      <c r="J739" s="39">
        <f>IF(B739="","",E739*I739)</f>
        <v/>
      </c>
      <c r="K739" s="59">
        <f>IF(A739="","",A739-WEEKDAY(A739,2)+7)</f>
        <v/>
      </c>
      <c r="L739" s="9">
        <f>IF(B739="","",IF(D739="","Labor",IFERROR(VLOOKUP(D739,Settings!$E$5:$G$28,3,FALSE),"Labor")))</f>
        <v/>
      </c>
      <c r="M739" s="9">
        <f>IF(B739="","",IF(COUNTIF('Vendors &amp; Crew'!$A$5:$A$34,B739)=0,"Worker not in Crew table",IF(C739="","Missing Job ID",IF(COUNTIF(Jobs!$A$5:$A$44,C739)=0,"Unknown Job ID",IF(E739="","Missing hours",IF(A739="","Missing date",""))))))</f>
        <v/>
      </c>
      <c r="N739" s="35" t="n"/>
    </row>
    <row r="740">
      <c r="A740" s="40" t="n"/>
      <c r="B740" s="35" t="n"/>
      <c r="C740" s="35" t="n"/>
      <c r="D740" s="35" t="n"/>
      <c r="E740" s="61" t="n"/>
      <c r="F740" s="37" t="n"/>
      <c r="G740" s="39">
        <f>IF(B740="","",IF(F740&lt;&gt;"",F740,IFERROR(VLOOKUP(B740,'Vendors &amp; Crew'!$A$5:$D$34,3,FALSE),0)))</f>
        <v/>
      </c>
      <c r="H740" s="39">
        <f>IF(B740="","",E740*G740*(1+Settings!$B$18))</f>
        <v/>
      </c>
      <c r="I740" s="39">
        <f>IF(B740="","",IFERROR(VLOOKUP(B740,'Vendors &amp; Crew'!$A$5:$D$34,4,FALSE),0))</f>
        <v/>
      </c>
      <c r="J740" s="39">
        <f>IF(B740="","",E740*I740)</f>
        <v/>
      </c>
      <c r="K740" s="59">
        <f>IF(A740="","",A740-WEEKDAY(A740,2)+7)</f>
        <v/>
      </c>
      <c r="L740" s="9">
        <f>IF(B740="","",IF(D740="","Labor",IFERROR(VLOOKUP(D740,Settings!$E$5:$G$28,3,FALSE),"Labor")))</f>
        <v/>
      </c>
      <c r="M740" s="9">
        <f>IF(B740="","",IF(COUNTIF('Vendors &amp; Crew'!$A$5:$A$34,B740)=0,"Worker not in Crew table",IF(C740="","Missing Job ID",IF(COUNTIF(Jobs!$A$5:$A$44,C740)=0,"Unknown Job ID",IF(E740="","Missing hours",IF(A740="","Missing date",""))))))</f>
        <v/>
      </c>
      <c r="N740" s="35" t="n"/>
    </row>
    <row r="741">
      <c r="A741" s="40" t="n"/>
      <c r="B741" s="35" t="n"/>
      <c r="C741" s="35" t="n"/>
      <c r="D741" s="35" t="n"/>
      <c r="E741" s="61" t="n"/>
      <c r="F741" s="37" t="n"/>
      <c r="G741" s="39">
        <f>IF(B741="","",IF(F741&lt;&gt;"",F741,IFERROR(VLOOKUP(B741,'Vendors &amp; Crew'!$A$5:$D$34,3,FALSE),0)))</f>
        <v/>
      </c>
      <c r="H741" s="39">
        <f>IF(B741="","",E741*G741*(1+Settings!$B$18))</f>
        <v/>
      </c>
      <c r="I741" s="39">
        <f>IF(B741="","",IFERROR(VLOOKUP(B741,'Vendors &amp; Crew'!$A$5:$D$34,4,FALSE),0))</f>
        <v/>
      </c>
      <c r="J741" s="39">
        <f>IF(B741="","",E741*I741)</f>
        <v/>
      </c>
      <c r="K741" s="59">
        <f>IF(A741="","",A741-WEEKDAY(A741,2)+7)</f>
        <v/>
      </c>
      <c r="L741" s="9">
        <f>IF(B741="","",IF(D741="","Labor",IFERROR(VLOOKUP(D741,Settings!$E$5:$G$28,3,FALSE),"Labor")))</f>
        <v/>
      </c>
      <c r="M741" s="9">
        <f>IF(B741="","",IF(COUNTIF('Vendors &amp; Crew'!$A$5:$A$34,B741)=0,"Worker not in Crew table",IF(C741="","Missing Job ID",IF(COUNTIF(Jobs!$A$5:$A$44,C741)=0,"Unknown Job ID",IF(E741="","Missing hours",IF(A741="","Missing date",""))))))</f>
        <v/>
      </c>
      <c r="N741" s="35" t="n"/>
    </row>
    <row r="742">
      <c r="A742" s="40" t="n"/>
      <c r="B742" s="35" t="n"/>
      <c r="C742" s="35" t="n"/>
      <c r="D742" s="35" t="n"/>
      <c r="E742" s="61" t="n"/>
      <c r="F742" s="37" t="n"/>
      <c r="G742" s="39">
        <f>IF(B742="","",IF(F742&lt;&gt;"",F742,IFERROR(VLOOKUP(B742,'Vendors &amp; Crew'!$A$5:$D$34,3,FALSE),0)))</f>
        <v/>
      </c>
      <c r="H742" s="39">
        <f>IF(B742="","",E742*G742*(1+Settings!$B$18))</f>
        <v/>
      </c>
      <c r="I742" s="39">
        <f>IF(B742="","",IFERROR(VLOOKUP(B742,'Vendors &amp; Crew'!$A$5:$D$34,4,FALSE),0))</f>
        <v/>
      </c>
      <c r="J742" s="39">
        <f>IF(B742="","",E742*I742)</f>
        <v/>
      </c>
      <c r="K742" s="59">
        <f>IF(A742="","",A742-WEEKDAY(A742,2)+7)</f>
        <v/>
      </c>
      <c r="L742" s="9">
        <f>IF(B742="","",IF(D742="","Labor",IFERROR(VLOOKUP(D742,Settings!$E$5:$G$28,3,FALSE),"Labor")))</f>
        <v/>
      </c>
      <c r="M742" s="9">
        <f>IF(B742="","",IF(COUNTIF('Vendors &amp; Crew'!$A$5:$A$34,B742)=0,"Worker not in Crew table",IF(C742="","Missing Job ID",IF(COUNTIF(Jobs!$A$5:$A$44,C742)=0,"Unknown Job ID",IF(E742="","Missing hours",IF(A742="","Missing date",""))))))</f>
        <v/>
      </c>
      <c r="N742" s="35" t="n"/>
    </row>
    <row r="743">
      <c r="A743" s="40" t="n"/>
      <c r="B743" s="35" t="n"/>
      <c r="C743" s="35" t="n"/>
      <c r="D743" s="35" t="n"/>
      <c r="E743" s="61" t="n"/>
      <c r="F743" s="37" t="n"/>
      <c r="G743" s="39">
        <f>IF(B743="","",IF(F743&lt;&gt;"",F743,IFERROR(VLOOKUP(B743,'Vendors &amp; Crew'!$A$5:$D$34,3,FALSE),0)))</f>
        <v/>
      </c>
      <c r="H743" s="39">
        <f>IF(B743="","",E743*G743*(1+Settings!$B$18))</f>
        <v/>
      </c>
      <c r="I743" s="39">
        <f>IF(B743="","",IFERROR(VLOOKUP(B743,'Vendors &amp; Crew'!$A$5:$D$34,4,FALSE),0))</f>
        <v/>
      </c>
      <c r="J743" s="39">
        <f>IF(B743="","",E743*I743)</f>
        <v/>
      </c>
      <c r="K743" s="59">
        <f>IF(A743="","",A743-WEEKDAY(A743,2)+7)</f>
        <v/>
      </c>
      <c r="L743" s="9">
        <f>IF(B743="","",IF(D743="","Labor",IFERROR(VLOOKUP(D743,Settings!$E$5:$G$28,3,FALSE),"Labor")))</f>
        <v/>
      </c>
      <c r="M743" s="9">
        <f>IF(B743="","",IF(COUNTIF('Vendors &amp; Crew'!$A$5:$A$34,B743)=0,"Worker not in Crew table",IF(C743="","Missing Job ID",IF(COUNTIF(Jobs!$A$5:$A$44,C743)=0,"Unknown Job ID",IF(E743="","Missing hours",IF(A743="","Missing date",""))))))</f>
        <v/>
      </c>
      <c r="N743" s="35" t="n"/>
    </row>
    <row r="744">
      <c r="A744" s="40" t="n"/>
      <c r="B744" s="35" t="n"/>
      <c r="C744" s="35" t="n"/>
      <c r="D744" s="35" t="n"/>
      <c r="E744" s="61" t="n"/>
      <c r="F744" s="37" t="n"/>
      <c r="G744" s="39">
        <f>IF(B744="","",IF(F744&lt;&gt;"",F744,IFERROR(VLOOKUP(B744,'Vendors &amp; Crew'!$A$5:$D$34,3,FALSE),0)))</f>
        <v/>
      </c>
      <c r="H744" s="39">
        <f>IF(B744="","",E744*G744*(1+Settings!$B$18))</f>
        <v/>
      </c>
      <c r="I744" s="39">
        <f>IF(B744="","",IFERROR(VLOOKUP(B744,'Vendors &amp; Crew'!$A$5:$D$34,4,FALSE),0))</f>
        <v/>
      </c>
      <c r="J744" s="39">
        <f>IF(B744="","",E744*I744)</f>
        <v/>
      </c>
      <c r="K744" s="59">
        <f>IF(A744="","",A744-WEEKDAY(A744,2)+7)</f>
        <v/>
      </c>
      <c r="L744" s="9">
        <f>IF(B744="","",IF(D744="","Labor",IFERROR(VLOOKUP(D744,Settings!$E$5:$G$28,3,FALSE),"Labor")))</f>
        <v/>
      </c>
      <c r="M744" s="9">
        <f>IF(B744="","",IF(COUNTIF('Vendors &amp; Crew'!$A$5:$A$34,B744)=0,"Worker not in Crew table",IF(C744="","Missing Job ID",IF(COUNTIF(Jobs!$A$5:$A$44,C744)=0,"Unknown Job ID",IF(E744="","Missing hours",IF(A744="","Missing date",""))))))</f>
        <v/>
      </c>
      <c r="N744" s="35" t="n"/>
    </row>
    <row r="745">
      <c r="A745" s="40" t="n"/>
      <c r="B745" s="35" t="n"/>
      <c r="C745" s="35" t="n"/>
      <c r="D745" s="35" t="n"/>
      <c r="E745" s="61" t="n"/>
      <c r="F745" s="37" t="n"/>
      <c r="G745" s="39">
        <f>IF(B745="","",IF(F745&lt;&gt;"",F745,IFERROR(VLOOKUP(B745,'Vendors &amp; Crew'!$A$5:$D$34,3,FALSE),0)))</f>
        <v/>
      </c>
      <c r="H745" s="39">
        <f>IF(B745="","",E745*G745*(1+Settings!$B$18))</f>
        <v/>
      </c>
      <c r="I745" s="39">
        <f>IF(B745="","",IFERROR(VLOOKUP(B745,'Vendors &amp; Crew'!$A$5:$D$34,4,FALSE),0))</f>
        <v/>
      </c>
      <c r="J745" s="39">
        <f>IF(B745="","",E745*I745)</f>
        <v/>
      </c>
      <c r="K745" s="59">
        <f>IF(A745="","",A745-WEEKDAY(A745,2)+7)</f>
        <v/>
      </c>
      <c r="L745" s="9">
        <f>IF(B745="","",IF(D745="","Labor",IFERROR(VLOOKUP(D745,Settings!$E$5:$G$28,3,FALSE),"Labor")))</f>
        <v/>
      </c>
      <c r="M745" s="9">
        <f>IF(B745="","",IF(COUNTIF('Vendors &amp; Crew'!$A$5:$A$34,B745)=0,"Worker not in Crew table",IF(C745="","Missing Job ID",IF(COUNTIF(Jobs!$A$5:$A$44,C745)=0,"Unknown Job ID",IF(E745="","Missing hours",IF(A745="","Missing date",""))))))</f>
        <v/>
      </c>
      <c r="N745" s="35" t="n"/>
    </row>
    <row r="746">
      <c r="A746" s="40" t="n"/>
      <c r="B746" s="35" t="n"/>
      <c r="C746" s="35" t="n"/>
      <c r="D746" s="35" t="n"/>
      <c r="E746" s="61" t="n"/>
      <c r="F746" s="37" t="n"/>
      <c r="G746" s="39">
        <f>IF(B746="","",IF(F746&lt;&gt;"",F746,IFERROR(VLOOKUP(B746,'Vendors &amp; Crew'!$A$5:$D$34,3,FALSE),0)))</f>
        <v/>
      </c>
      <c r="H746" s="39">
        <f>IF(B746="","",E746*G746*(1+Settings!$B$18))</f>
        <v/>
      </c>
      <c r="I746" s="39">
        <f>IF(B746="","",IFERROR(VLOOKUP(B746,'Vendors &amp; Crew'!$A$5:$D$34,4,FALSE),0))</f>
        <v/>
      </c>
      <c r="J746" s="39">
        <f>IF(B746="","",E746*I746)</f>
        <v/>
      </c>
      <c r="K746" s="59">
        <f>IF(A746="","",A746-WEEKDAY(A746,2)+7)</f>
        <v/>
      </c>
      <c r="L746" s="9">
        <f>IF(B746="","",IF(D746="","Labor",IFERROR(VLOOKUP(D746,Settings!$E$5:$G$28,3,FALSE),"Labor")))</f>
        <v/>
      </c>
      <c r="M746" s="9">
        <f>IF(B746="","",IF(COUNTIF('Vendors &amp; Crew'!$A$5:$A$34,B746)=0,"Worker not in Crew table",IF(C746="","Missing Job ID",IF(COUNTIF(Jobs!$A$5:$A$44,C746)=0,"Unknown Job ID",IF(E746="","Missing hours",IF(A746="","Missing date",""))))))</f>
        <v/>
      </c>
      <c r="N746" s="35" t="n"/>
    </row>
    <row r="747">
      <c r="A747" s="40" t="n"/>
      <c r="B747" s="35" t="n"/>
      <c r="C747" s="35" t="n"/>
      <c r="D747" s="35" t="n"/>
      <c r="E747" s="61" t="n"/>
      <c r="F747" s="37" t="n"/>
      <c r="G747" s="39">
        <f>IF(B747="","",IF(F747&lt;&gt;"",F747,IFERROR(VLOOKUP(B747,'Vendors &amp; Crew'!$A$5:$D$34,3,FALSE),0)))</f>
        <v/>
      </c>
      <c r="H747" s="39">
        <f>IF(B747="","",E747*G747*(1+Settings!$B$18))</f>
        <v/>
      </c>
      <c r="I747" s="39">
        <f>IF(B747="","",IFERROR(VLOOKUP(B747,'Vendors &amp; Crew'!$A$5:$D$34,4,FALSE),0))</f>
        <v/>
      </c>
      <c r="J747" s="39">
        <f>IF(B747="","",E747*I747)</f>
        <v/>
      </c>
      <c r="K747" s="59">
        <f>IF(A747="","",A747-WEEKDAY(A747,2)+7)</f>
        <v/>
      </c>
      <c r="L747" s="9">
        <f>IF(B747="","",IF(D747="","Labor",IFERROR(VLOOKUP(D747,Settings!$E$5:$G$28,3,FALSE),"Labor")))</f>
        <v/>
      </c>
      <c r="M747" s="9">
        <f>IF(B747="","",IF(COUNTIF('Vendors &amp; Crew'!$A$5:$A$34,B747)=0,"Worker not in Crew table",IF(C747="","Missing Job ID",IF(COUNTIF(Jobs!$A$5:$A$44,C747)=0,"Unknown Job ID",IF(E747="","Missing hours",IF(A747="","Missing date",""))))))</f>
        <v/>
      </c>
      <c r="N747" s="35" t="n"/>
    </row>
    <row r="748">
      <c r="A748" s="40" t="n"/>
      <c r="B748" s="35" t="n"/>
      <c r="C748" s="35" t="n"/>
      <c r="D748" s="35" t="n"/>
      <c r="E748" s="61" t="n"/>
      <c r="F748" s="37" t="n"/>
      <c r="G748" s="39">
        <f>IF(B748="","",IF(F748&lt;&gt;"",F748,IFERROR(VLOOKUP(B748,'Vendors &amp; Crew'!$A$5:$D$34,3,FALSE),0)))</f>
        <v/>
      </c>
      <c r="H748" s="39">
        <f>IF(B748="","",E748*G748*(1+Settings!$B$18))</f>
        <v/>
      </c>
      <c r="I748" s="39">
        <f>IF(B748="","",IFERROR(VLOOKUP(B748,'Vendors &amp; Crew'!$A$5:$D$34,4,FALSE),0))</f>
        <v/>
      </c>
      <c r="J748" s="39">
        <f>IF(B748="","",E748*I748)</f>
        <v/>
      </c>
      <c r="K748" s="59">
        <f>IF(A748="","",A748-WEEKDAY(A748,2)+7)</f>
        <v/>
      </c>
      <c r="L748" s="9">
        <f>IF(B748="","",IF(D748="","Labor",IFERROR(VLOOKUP(D748,Settings!$E$5:$G$28,3,FALSE),"Labor")))</f>
        <v/>
      </c>
      <c r="M748" s="9">
        <f>IF(B748="","",IF(COUNTIF('Vendors &amp; Crew'!$A$5:$A$34,B748)=0,"Worker not in Crew table",IF(C748="","Missing Job ID",IF(COUNTIF(Jobs!$A$5:$A$44,C748)=0,"Unknown Job ID",IF(E748="","Missing hours",IF(A748="","Missing date",""))))))</f>
        <v/>
      </c>
      <c r="N748" s="35" t="n"/>
    </row>
    <row r="749">
      <c r="A749" s="40" t="n"/>
      <c r="B749" s="35" t="n"/>
      <c r="C749" s="35" t="n"/>
      <c r="D749" s="35" t="n"/>
      <c r="E749" s="61" t="n"/>
      <c r="F749" s="37" t="n"/>
      <c r="G749" s="39">
        <f>IF(B749="","",IF(F749&lt;&gt;"",F749,IFERROR(VLOOKUP(B749,'Vendors &amp; Crew'!$A$5:$D$34,3,FALSE),0)))</f>
        <v/>
      </c>
      <c r="H749" s="39">
        <f>IF(B749="","",E749*G749*(1+Settings!$B$18))</f>
        <v/>
      </c>
      <c r="I749" s="39">
        <f>IF(B749="","",IFERROR(VLOOKUP(B749,'Vendors &amp; Crew'!$A$5:$D$34,4,FALSE),0))</f>
        <v/>
      </c>
      <c r="J749" s="39">
        <f>IF(B749="","",E749*I749)</f>
        <v/>
      </c>
      <c r="K749" s="59">
        <f>IF(A749="","",A749-WEEKDAY(A749,2)+7)</f>
        <v/>
      </c>
      <c r="L749" s="9">
        <f>IF(B749="","",IF(D749="","Labor",IFERROR(VLOOKUP(D749,Settings!$E$5:$G$28,3,FALSE),"Labor")))</f>
        <v/>
      </c>
      <c r="M749" s="9">
        <f>IF(B749="","",IF(COUNTIF('Vendors &amp; Crew'!$A$5:$A$34,B749)=0,"Worker not in Crew table",IF(C749="","Missing Job ID",IF(COUNTIF(Jobs!$A$5:$A$44,C749)=0,"Unknown Job ID",IF(E749="","Missing hours",IF(A749="","Missing date",""))))))</f>
        <v/>
      </c>
      <c r="N749" s="35" t="n"/>
    </row>
    <row r="750">
      <c r="A750" s="40" t="n"/>
      <c r="B750" s="35" t="n"/>
      <c r="C750" s="35" t="n"/>
      <c r="D750" s="35" t="n"/>
      <c r="E750" s="61" t="n"/>
      <c r="F750" s="37" t="n"/>
      <c r="G750" s="39">
        <f>IF(B750="","",IF(F750&lt;&gt;"",F750,IFERROR(VLOOKUP(B750,'Vendors &amp; Crew'!$A$5:$D$34,3,FALSE),0)))</f>
        <v/>
      </c>
      <c r="H750" s="39">
        <f>IF(B750="","",E750*G750*(1+Settings!$B$18))</f>
        <v/>
      </c>
      <c r="I750" s="39">
        <f>IF(B750="","",IFERROR(VLOOKUP(B750,'Vendors &amp; Crew'!$A$5:$D$34,4,FALSE),0))</f>
        <v/>
      </c>
      <c r="J750" s="39">
        <f>IF(B750="","",E750*I750)</f>
        <v/>
      </c>
      <c r="K750" s="59">
        <f>IF(A750="","",A750-WEEKDAY(A750,2)+7)</f>
        <v/>
      </c>
      <c r="L750" s="9">
        <f>IF(B750="","",IF(D750="","Labor",IFERROR(VLOOKUP(D750,Settings!$E$5:$G$28,3,FALSE),"Labor")))</f>
        <v/>
      </c>
      <c r="M750" s="9">
        <f>IF(B750="","",IF(COUNTIF('Vendors &amp; Crew'!$A$5:$A$34,B750)=0,"Worker not in Crew table",IF(C750="","Missing Job ID",IF(COUNTIF(Jobs!$A$5:$A$44,C750)=0,"Unknown Job ID",IF(E750="","Missing hours",IF(A750="","Missing date",""))))))</f>
        <v/>
      </c>
      <c r="N750" s="35" t="n"/>
    </row>
    <row r="751">
      <c r="A751" s="40" t="n"/>
      <c r="B751" s="35" t="n"/>
      <c r="C751" s="35" t="n"/>
      <c r="D751" s="35" t="n"/>
      <c r="E751" s="61" t="n"/>
      <c r="F751" s="37" t="n"/>
      <c r="G751" s="39">
        <f>IF(B751="","",IF(F751&lt;&gt;"",F751,IFERROR(VLOOKUP(B751,'Vendors &amp; Crew'!$A$5:$D$34,3,FALSE),0)))</f>
        <v/>
      </c>
      <c r="H751" s="39">
        <f>IF(B751="","",E751*G751*(1+Settings!$B$18))</f>
        <v/>
      </c>
      <c r="I751" s="39">
        <f>IF(B751="","",IFERROR(VLOOKUP(B751,'Vendors &amp; Crew'!$A$5:$D$34,4,FALSE),0))</f>
        <v/>
      </c>
      <c r="J751" s="39">
        <f>IF(B751="","",E751*I751)</f>
        <v/>
      </c>
      <c r="K751" s="59">
        <f>IF(A751="","",A751-WEEKDAY(A751,2)+7)</f>
        <v/>
      </c>
      <c r="L751" s="9">
        <f>IF(B751="","",IF(D751="","Labor",IFERROR(VLOOKUP(D751,Settings!$E$5:$G$28,3,FALSE),"Labor")))</f>
        <v/>
      </c>
      <c r="M751" s="9">
        <f>IF(B751="","",IF(COUNTIF('Vendors &amp; Crew'!$A$5:$A$34,B751)=0,"Worker not in Crew table",IF(C751="","Missing Job ID",IF(COUNTIF(Jobs!$A$5:$A$44,C751)=0,"Unknown Job ID",IF(E751="","Missing hours",IF(A751="","Missing date",""))))))</f>
        <v/>
      </c>
      <c r="N751" s="35" t="n"/>
    </row>
    <row r="752">
      <c r="A752" s="40" t="n"/>
      <c r="B752" s="35" t="n"/>
      <c r="C752" s="35" t="n"/>
      <c r="D752" s="35" t="n"/>
      <c r="E752" s="61" t="n"/>
      <c r="F752" s="37" t="n"/>
      <c r="G752" s="39">
        <f>IF(B752="","",IF(F752&lt;&gt;"",F752,IFERROR(VLOOKUP(B752,'Vendors &amp; Crew'!$A$5:$D$34,3,FALSE),0)))</f>
        <v/>
      </c>
      <c r="H752" s="39">
        <f>IF(B752="","",E752*G752*(1+Settings!$B$18))</f>
        <v/>
      </c>
      <c r="I752" s="39">
        <f>IF(B752="","",IFERROR(VLOOKUP(B752,'Vendors &amp; Crew'!$A$5:$D$34,4,FALSE),0))</f>
        <v/>
      </c>
      <c r="J752" s="39">
        <f>IF(B752="","",E752*I752)</f>
        <v/>
      </c>
      <c r="K752" s="59">
        <f>IF(A752="","",A752-WEEKDAY(A752,2)+7)</f>
        <v/>
      </c>
      <c r="L752" s="9">
        <f>IF(B752="","",IF(D752="","Labor",IFERROR(VLOOKUP(D752,Settings!$E$5:$G$28,3,FALSE),"Labor")))</f>
        <v/>
      </c>
      <c r="M752" s="9">
        <f>IF(B752="","",IF(COUNTIF('Vendors &amp; Crew'!$A$5:$A$34,B752)=0,"Worker not in Crew table",IF(C752="","Missing Job ID",IF(COUNTIF(Jobs!$A$5:$A$44,C752)=0,"Unknown Job ID",IF(E752="","Missing hours",IF(A752="","Missing date",""))))))</f>
        <v/>
      </c>
      <c r="N752" s="35" t="n"/>
    </row>
    <row r="753">
      <c r="A753" s="40" t="n"/>
      <c r="B753" s="35" t="n"/>
      <c r="C753" s="35" t="n"/>
      <c r="D753" s="35" t="n"/>
      <c r="E753" s="61" t="n"/>
      <c r="F753" s="37" t="n"/>
      <c r="G753" s="39">
        <f>IF(B753="","",IF(F753&lt;&gt;"",F753,IFERROR(VLOOKUP(B753,'Vendors &amp; Crew'!$A$5:$D$34,3,FALSE),0)))</f>
        <v/>
      </c>
      <c r="H753" s="39">
        <f>IF(B753="","",E753*G753*(1+Settings!$B$18))</f>
        <v/>
      </c>
      <c r="I753" s="39">
        <f>IF(B753="","",IFERROR(VLOOKUP(B753,'Vendors &amp; Crew'!$A$5:$D$34,4,FALSE),0))</f>
        <v/>
      </c>
      <c r="J753" s="39">
        <f>IF(B753="","",E753*I753)</f>
        <v/>
      </c>
      <c r="K753" s="59">
        <f>IF(A753="","",A753-WEEKDAY(A753,2)+7)</f>
        <v/>
      </c>
      <c r="L753" s="9">
        <f>IF(B753="","",IF(D753="","Labor",IFERROR(VLOOKUP(D753,Settings!$E$5:$G$28,3,FALSE),"Labor")))</f>
        <v/>
      </c>
      <c r="M753" s="9">
        <f>IF(B753="","",IF(COUNTIF('Vendors &amp; Crew'!$A$5:$A$34,B753)=0,"Worker not in Crew table",IF(C753="","Missing Job ID",IF(COUNTIF(Jobs!$A$5:$A$44,C753)=0,"Unknown Job ID",IF(E753="","Missing hours",IF(A753="","Missing date",""))))))</f>
        <v/>
      </c>
      <c r="N753" s="35" t="n"/>
    </row>
    <row r="754">
      <c r="A754" s="40" t="n"/>
      <c r="B754" s="35" t="n"/>
      <c r="C754" s="35" t="n"/>
      <c r="D754" s="35" t="n"/>
      <c r="E754" s="61" t="n"/>
      <c r="F754" s="37" t="n"/>
      <c r="G754" s="39">
        <f>IF(B754="","",IF(F754&lt;&gt;"",F754,IFERROR(VLOOKUP(B754,'Vendors &amp; Crew'!$A$5:$D$34,3,FALSE),0)))</f>
        <v/>
      </c>
      <c r="H754" s="39">
        <f>IF(B754="","",E754*G754*(1+Settings!$B$18))</f>
        <v/>
      </c>
      <c r="I754" s="39">
        <f>IF(B754="","",IFERROR(VLOOKUP(B754,'Vendors &amp; Crew'!$A$5:$D$34,4,FALSE),0))</f>
        <v/>
      </c>
      <c r="J754" s="39">
        <f>IF(B754="","",E754*I754)</f>
        <v/>
      </c>
      <c r="K754" s="59">
        <f>IF(A754="","",A754-WEEKDAY(A754,2)+7)</f>
        <v/>
      </c>
      <c r="L754" s="9">
        <f>IF(B754="","",IF(D754="","Labor",IFERROR(VLOOKUP(D754,Settings!$E$5:$G$28,3,FALSE),"Labor")))</f>
        <v/>
      </c>
      <c r="M754" s="9">
        <f>IF(B754="","",IF(COUNTIF('Vendors &amp; Crew'!$A$5:$A$34,B754)=0,"Worker not in Crew table",IF(C754="","Missing Job ID",IF(COUNTIF(Jobs!$A$5:$A$44,C754)=0,"Unknown Job ID",IF(E754="","Missing hours",IF(A754="","Missing date",""))))))</f>
        <v/>
      </c>
      <c r="N754" s="35" t="n"/>
    </row>
    <row r="755">
      <c r="A755" s="40" t="n"/>
      <c r="B755" s="35" t="n"/>
      <c r="C755" s="35" t="n"/>
      <c r="D755" s="35" t="n"/>
      <c r="E755" s="61" t="n"/>
      <c r="F755" s="37" t="n"/>
      <c r="G755" s="39">
        <f>IF(B755="","",IF(F755&lt;&gt;"",F755,IFERROR(VLOOKUP(B755,'Vendors &amp; Crew'!$A$5:$D$34,3,FALSE),0)))</f>
        <v/>
      </c>
      <c r="H755" s="39">
        <f>IF(B755="","",E755*G755*(1+Settings!$B$18))</f>
        <v/>
      </c>
      <c r="I755" s="39">
        <f>IF(B755="","",IFERROR(VLOOKUP(B755,'Vendors &amp; Crew'!$A$5:$D$34,4,FALSE),0))</f>
        <v/>
      </c>
      <c r="J755" s="39">
        <f>IF(B755="","",E755*I755)</f>
        <v/>
      </c>
      <c r="K755" s="59">
        <f>IF(A755="","",A755-WEEKDAY(A755,2)+7)</f>
        <v/>
      </c>
      <c r="L755" s="9">
        <f>IF(B755="","",IF(D755="","Labor",IFERROR(VLOOKUP(D755,Settings!$E$5:$G$28,3,FALSE),"Labor")))</f>
        <v/>
      </c>
      <c r="M755" s="9">
        <f>IF(B755="","",IF(COUNTIF('Vendors &amp; Crew'!$A$5:$A$34,B755)=0,"Worker not in Crew table",IF(C755="","Missing Job ID",IF(COUNTIF(Jobs!$A$5:$A$44,C755)=0,"Unknown Job ID",IF(E755="","Missing hours",IF(A755="","Missing date",""))))))</f>
        <v/>
      </c>
      <c r="N755" s="35" t="n"/>
    </row>
    <row r="756">
      <c r="A756" s="40" t="n"/>
      <c r="B756" s="35" t="n"/>
      <c r="C756" s="35" t="n"/>
      <c r="D756" s="35" t="n"/>
      <c r="E756" s="61" t="n"/>
      <c r="F756" s="37" t="n"/>
      <c r="G756" s="39">
        <f>IF(B756="","",IF(F756&lt;&gt;"",F756,IFERROR(VLOOKUP(B756,'Vendors &amp; Crew'!$A$5:$D$34,3,FALSE),0)))</f>
        <v/>
      </c>
      <c r="H756" s="39">
        <f>IF(B756="","",E756*G756*(1+Settings!$B$18))</f>
        <v/>
      </c>
      <c r="I756" s="39">
        <f>IF(B756="","",IFERROR(VLOOKUP(B756,'Vendors &amp; Crew'!$A$5:$D$34,4,FALSE),0))</f>
        <v/>
      </c>
      <c r="J756" s="39">
        <f>IF(B756="","",E756*I756)</f>
        <v/>
      </c>
      <c r="K756" s="59">
        <f>IF(A756="","",A756-WEEKDAY(A756,2)+7)</f>
        <v/>
      </c>
      <c r="L756" s="9">
        <f>IF(B756="","",IF(D756="","Labor",IFERROR(VLOOKUP(D756,Settings!$E$5:$G$28,3,FALSE),"Labor")))</f>
        <v/>
      </c>
      <c r="M756" s="9">
        <f>IF(B756="","",IF(COUNTIF('Vendors &amp; Crew'!$A$5:$A$34,B756)=0,"Worker not in Crew table",IF(C756="","Missing Job ID",IF(COUNTIF(Jobs!$A$5:$A$44,C756)=0,"Unknown Job ID",IF(E756="","Missing hours",IF(A756="","Missing date",""))))))</f>
        <v/>
      </c>
      <c r="N756" s="35" t="n"/>
    </row>
    <row r="757">
      <c r="A757" s="40" t="n"/>
      <c r="B757" s="35" t="n"/>
      <c r="C757" s="35" t="n"/>
      <c r="D757" s="35" t="n"/>
      <c r="E757" s="61" t="n"/>
      <c r="F757" s="37" t="n"/>
      <c r="G757" s="39">
        <f>IF(B757="","",IF(F757&lt;&gt;"",F757,IFERROR(VLOOKUP(B757,'Vendors &amp; Crew'!$A$5:$D$34,3,FALSE),0)))</f>
        <v/>
      </c>
      <c r="H757" s="39">
        <f>IF(B757="","",E757*G757*(1+Settings!$B$18))</f>
        <v/>
      </c>
      <c r="I757" s="39">
        <f>IF(B757="","",IFERROR(VLOOKUP(B757,'Vendors &amp; Crew'!$A$5:$D$34,4,FALSE),0))</f>
        <v/>
      </c>
      <c r="J757" s="39">
        <f>IF(B757="","",E757*I757)</f>
        <v/>
      </c>
      <c r="K757" s="59">
        <f>IF(A757="","",A757-WEEKDAY(A757,2)+7)</f>
        <v/>
      </c>
      <c r="L757" s="9">
        <f>IF(B757="","",IF(D757="","Labor",IFERROR(VLOOKUP(D757,Settings!$E$5:$G$28,3,FALSE),"Labor")))</f>
        <v/>
      </c>
      <c r="M757" s="9">
        <f>IF(B757="","",IF(COUNTIF('Vendors &amp; Crew'!$A$5:$A$34,B757)=0,"Worker not in Crew table",IF(C757="","Missing Job ID",IF(COUNTIF(Jobs!$A$5:$A$44,C757)=0,"Unknown Job ID",IF(E757="","Missing hours",IF(A757="","Missing date",""))))))</f>
        <v/>
      </c>
      <c r="N757" s="35" t="n"/>
    </row>
    <row r="758">
      <c r="A758" s="40" t="n"/>
      <c r="B758" s="35" t="n"/>
      <c r="C758" s="35" t="n"/>
      <c r="D758" s="35" t="n"/>
      <c r="E758" s="61" t="n"/>
      <c r="F758" s="37" t="n"/>
      <c r="G758" s="39">
        <f>IF(B758="","",IF(F758&lt;&gt;"",F758,IFERROR(VLOOKUP(B758,'Vendors &amp; Crew'!$A$5:$D$34,3,FALSE),0)))</f>
        <v/>
      </c>
      <c r="H758" s="39">
        <f>IF(B758="","",E758*G758*(1+Settings!$B$18))</f>
        <v/>
      </c>
      <c r="I758" s="39">
        <f>IF(B758="","",IFERROR(VLOOKUP(B758,'Vendors &amp; Crew'!$A$5:$D$34,4,FALSE),0))</f>
        <v/>
      </c>
      <c r="J758" s="39">
        <f>IF(B758="","",E758*I758)</f>
        <v/>
      </c>
      <c r="K758" s="59">
        <f>IF(A758="","",A758-WEEKDAY(A758,2)+7)</f>
        <v/>
      </c>
      <c r="L758" s="9">
        <f>IF(B758="","",IF(D758="","Labor",IFERROR(VLOOKUP(D758,Settings!$E$5:$G$28,3,FALSE),"Labor")))</f>
        <v/>
      </c>
      <c r="M758" s="9">
        <f>IF(B758="","",IF(COUNTIF('Vendors &amp; Crew'!$A$5:$A$34,B758)=0,"Worker not in Crew table",IF(C758="","Missing Job ID",IF(COUNTIF(Jobs!$A$5:$A$44,C758)=0,"Unknown Job ID",IF(E758="","Missing hours",IF(A758="","Missing date",""))))))</f>
        <v/>
      </c>
      <c r="N758" s="35" t="n"/>
    </row>
    <row r="759">
      <c r="A759" s="40" t="n"/>
      <c r="B759" s="35" t="n"/>
      <c r="C759" s="35" t="n"/>
      <c r="D759" s="35" t="n"/>
      <c r="E759" s="61" t="n"/>
      <c r="F759" s="37" t="n"/>
      <c r="G759" s="39">
        <f>IF(B759="","",IF(F759&lt;&gt;"",F759,IFERROR(VLOOKUP(B759,'Vendors &amp; Crew'!$A$5:$D$34,3,FALSE),0)))</f>
        <v/>
      </c>
      <c r="H759" s="39">
        <f>IF(B759="","",E759*G759*(1+Settings!$B$18))</f>
        <v/>
      </c>
      <c r="I759" s="39">
        <f>IF(B759="","",IFERROR(VLOOKUP(B759,'Vendors &amp; Crew'!$A$5:$D$34,4,FALSE),0))</f>
        <v/>
      </c>
      <c r="J759" s="39">
        <f>IF(B759="","",E759*I759)</f>
        <v/>
      </c>
      <c r="K759" s="59">
        <f>IF(A759="","",A759-WEEKDAY(A759,2)+7)</f>
        <v/>
      </c>
      <c r="L759" s="9">
        <f>IF(B759="","",IF(D759="","Labor",IFERROR(VLOOKUP(D759,Settings!$E$5:$G$28,3,FALSE),"Labor")))</f>
        <v/>
      </c>
      <c r="M759" s="9">
        <f>IF(B759="","",IF(COUNTIF('Vendors &amp; Crew'!$A$5:$A$34,B759)=0,"Worker not in Crew table",IF(C759="","Missing Job ID",IF(COUNTIF(Jobs!$A$5:$A$44,C759)=0,"Unknown Job ID",IF(E759="","Missing hours",IF(A759="","Missing date",""))))))</f>
        <v/>
      </c>
      <c r="N759" s="35" t="n"/>
    </row>
    <row r="760">
      <c r="A760" s="40" t="n"/>
      <c r="B760" s="35" t="n"/>
      <c r="C760" s="35" t="n"/>
      <c r="D760" s="35" t="n"/>
      <c r="E760" s="61" t="n"/>
      <c r="F760" s="37" t="n"/>
      <c r="G760" s="39">
        <f>IF(B760="","",IF(F760&lt;&gt;"",F760,IFERROR(VLOOKUP(B760,'Vendors &amp; Crew'!$A$5:$D$34,3,FALSE),0)))</f>
        <v/>
      </c>
      <c r="H760" s="39">
        <f>IF(B760="","",E760*G760*(1+Settings!$B$18))</f>
        <v/>
      </c>
      <c r="I760" s="39">
        <f>IF(B760="","",IFERROR(VLOOKUP(B760,'Vendors &amp; Crew'!$A$5:$D$34,4,FALSE),0))</f>
        <v/>
      </c>
      <c r="J760" s="39">
        <f>IF(B760="","",E760*I760)</f>
        <v/>
      </c>
      <c r="K760" s="59">
        <f>IF(A760="","",A760-WEEKDAY(A760,2)+7)</f>
        <v/>
      </c>
      <c r="L760" s="9">
        <f>IF(B760="","",IF(D760="","Labor",IFERROR(VLOOKUP(D760,Settings!$E$5:$G$28,3,FALSE),"Labor")))</f>
        <v/>
      </c>
      <c r="M760" s="9">
        <f>IF(B760="","",IF(COUNTIF('Vendors &amp; Crew'!$A$5:$A$34,B760)=0,"Worker not in Crew table",IF(C760="","Missing Job ID",IF(COUNTIF(Jobs!$A$5:$A$44,C760)=0,"Unknown Job ID",IF(E760="","Missing hours",IF(A760="","Missing date",""))))))</f>
        <v/>
      </c>
      <c r="N760" s="35" t="n"/>
    </row>
    <row r="761">
      <c r="A761" s="40" t="n"/>
      <c r="B761" s="35" t="n"/>
      <c r="C761" s="35" t="n"/>
      <c r="D761" s="35" t="n"/>
      <c r="E761" s="61" t="n"/>
      <c r="F761" s="37" t="n"/>
      <c r="G761" s="39">
        <f>IF(B761="","",IF(F761&lt;&gt;"",F761,IFERROR(VLOOKUP(B761,'Vendors &amp; Crew'!$A$5:$D$34,3,FALSE),0)))</f>
        <v/>
      </c>
      <c r="H761" s="39">
        <f>IF(B761="","",E761*G761*(1+Settings!$B$18))</f>
        <v/>
      </c>
      <c r="I761" s="39">
        <f>IF(B761="","",IFERROR(VLOOKUP(B761,'Vendors &amp; Crew'!$A$5:$D$34,4,FALSE),0))</f>
        <v/>
      </c>
      <c r="J761" s="39">
        <f>IF(B761="","",E761*I761)</f>
        <v/>
      </c>
      <c r="K761" s="59">
        <f>IF(A761="","",A761-WEEKDAY(A761,2)+7)</f>
        <v/>
      </c>
      <c r="L761" s="9">
        <f>IF(B761="","",IF(D761="","Labor",IFERROR(VLOOKUP(D761,Settings!$E$5:$G$28,3,FALSE),"Labor")))</f>
        <v/>
      </c>
      <c r="M761" s="9">
        <f>IF(B761="","",IF(COUNTIF('Vendors &amp; Crew'!$A$5:$A$34,B761)=0,"Worker not in Crew table",IF(C761="","Missing Job ID",IF(COUNTIF(Jobs!$A$5:$A$44,C761)=0,"Unknown Job ID",IF(E761="","Missing hours",IF(A761="","Missing date",""))))))</f>
        <v/>
      </c>
      <c r="N761" s="35" t="n"/>
    </row>
    <row r="762">
      <c r="A762" s="40" t="n"/>
      <c r="B762" s="35" t="n"/>
      <c r="C762" s="35" t="n"/>
      <c r="D762" s="35" t="n"/>
      <c r="E762" s="61" t="n"/>
      <c r="F762" s="37" t="n"/>
      <c r="G762" s="39">
        <f>IF(B762="","",IF(F762&lt;&gt;"",F762,IFERROR(VLOOKUP(B762,'Vendors &amp; Crew'!$A$5:$D$34,3,FALSE),0)))</f>
        <v/>
      </c>
      <c r="H762" s="39">
        <f>IF(B762="","",E762*G762*(1+Settings!$B$18))</f>
        <v/>
      </c>
      <c r="I762" s="39">
        <f>IF(B762="","",IFERROR(VLOOKUP(B762,'Vendors &amp; Crew'!$A$5:$D$34,4,FALSE),0))</f>
        <v/>
      </c>
      <c r="J762" s="39">
        <f>IF(B762="","",E762*I762)</f>
        <v/>
      </c>
      <c r="K762" s="59">
        <f>IF(A762="","",A762-WEEKDAY(A762,2)+7)</f>
        <v/>
      </c>
      <c r="L762" s="9">
        <f>IF(B762="","",IF(D762="","Labor",IFERROR(VLOOKUP(D762,Settings!$E$5:$G$28,3,FALSE),"Labor")))</f>
        <v/>
      </c>
      <c r="M762" s="9">
        <f>IF(B762="","",IF(COUNTIF('Vendors &amp; Crew'!$A$5:$A$34,B762)=0,"Worker not in Crew table",IF(C762="","Missing Job ID",IF(COUNTIF(Jobs!$A$5:$A$44,C762)=0,"Unknown Job ID",IF(E762="","Missing hours",IF(A762="","Missing date",""))))))</f>
        <v/>
      </c>
      <c r="N762" s="35" t="n"/>
    </row>
    <row r="763">
      <c r="A763" s="40" t="n"/>
      <c r="B763" s="35" t="n"/>
      <c r="C763" s="35" t="n"/>
      <c r="D763" s="35" t="n"/>
      <c r="E763" s="61" t="n"/>
      <c r="F763" s="37" t="n"/>
      <c r="G763" s="39">
        <f>IF(B763="","",IF(F763&lt;&gt;"",F763,IFERROR(VLOOKUP(B763,'Vendors &amp; Crew'!$A$5:$D$34,3,FALSE),0)))</f>
        <v/>
      </c>
      <c r="H763" s="39">
        <f>IF(B763="","",E763*G763*(1+Settings!$B$18))</f>
        <v/>
      </c>
      <c r="I763" s="39">
        <f>IF(B763="","",IFERROR(VLOOKUP(B763,'Vendors &amp; Crew'!$A$5:$D$34,4,FALSE),0))</f>
        <v/>
      </c>
      <c r="J763" s="39">
        <f>IF(B763="","",E763*I763)</f>
        <v/>
      </c>
      <c r="K763" s="59">
        <f>IF(A763="","",A763-WEEKDAY(A763,2)+7)</f>
        <v/>
      </c>
      <c r="L763" s="9">
        <f>IF(B763="","",IF(D763="","Labor",IFERROR(VLOOKUP(D763,Settings!$E$5:$G$28,3,FALSE),"Labor")))</f>
        <v/>
      </c>
      <c r="M763" s="9">
        <f>IF(B763="","",IF(COUNTIF('Vendors &amp; Crew'!$A$5:$A$34,B763)=0,"Worker not in Crew table",IF(C763="","Missing Job ID",IF(COUNTIF(Jobs!$A$5:$A$44,C763)=0,"Unknown Job ID",IF(E763="","Missing hours",IF(A763="","Missing date",""))))))</f>
        <v/>
      </c>
      <c r="N763" s="35" t="n"/>
    </row>
    <row r="764">
      <c r="A764" s="40" t="n"/>
      <c r="B764" s="35" t="n"/>
      <c r="C764" s="35" t="n"/>
      <c r="D764" s="35" t="n"/>
      <c r="E764" s="61" t="n"/>
      <c r="F764" s="37" t="n"/>
      <c r="G764" s="39">
        <f>IF(B764="","",IF(F764&lt;&gt;"",F764,IFERROR(VLOOKUP(B764,'Vendors &amp; Crew'!$A$5:$D$34,3,FALSE),0)))</f>
        <v/>
      </c>
      <c r="H764" s="39">
        <f>IF(B764="","",E764*G764*(1+Settings!$B$18))</f>
        <v/>
      </c>
      <c r="I764" s="39">
        <f>IF(B764="","",IFERROR(VLOOKUP(B764,'Vendors &amp; Crew'!$A$5:$D$34,4,FALSE),0))</f>
        <v/>
      </c>
      <c r="J764" s="39">
        <f>IF(B764="","",E764*I764)</f>
        <v/>
      </c>
      <c r="K764" s="59">
        <f>IF(A764="","",A764-WEEKDAY(A764,2)+7)</f>
        <v/>
      </c>
      <c r="L764" s="9">
        <f>IF(B764="","",IF(D764="","Labor",IFERROR(VLOOKUP(D764,Settings!$E$5:$G$28,3,FALSE),"Labor")))</f>
        <v/>
      </c>
      <c r="M764" s="9">
        <f>IF(B764="","",IF(COUNTIF('Vendors &amp; Crew'!$A$5:$A$34,B764)=0,"Worker not in Crew table",IF(C764="","Missing Job ID",IF(COUNTIF(Jobs!$A$5:$A$44,C764)=0,"Unknown Job ID",IF(E764="","Missing hours",IF(A764="","Missing date",""))))))</f>
        <v/>
      </c>
      <c r="N764" s="35" t="n"/>
    </row>
    <row r="765">
      <c r="A765" s="40" t="n"/>
      <c r="B765" s="35" t="n"/>
      <c r="C765" s="35" t="n"/>
      <c r="D765" s="35" t="n"/>
      <c r="E765" s="61" t="n"/>
      <c r="F765" s="37" t="n"/>
      <c r="G765" s="39">
        <f>IF(B765="","",IF(F765&lt;&gt;"",F765,IFERROR(VLOOKUP(B765,'Vendors &amp; Crew'!$A$5:$D$34,3,FALSE),0)))</f>
        <v/>
      </c>
      <c r="H765" s="39">
        <f>IF(B765="","",E765*G765*(1+Settings!$B$18))</f>
        <v/>
      </c>
      <c r="I765" s="39">
        <f>IF(B765="","",IFERROR(VLOOKUP(B765,'Vendors &amp; Crew'!$A$5:$D$34,4,FALSE),0))</f>
        <v/>
      </c>
      <c r="J765" s="39">
        <f>IF(B765="","",E765*I765)</f>
        <v/>
      </c>
      <c r="K765" s="59">
        <f>IF(A765="","",A765-WEEKDAY(A765,2)+7)</f>
        <v/>
      </c>
      <c r="L765" s="9">
        <f>IF(B765="","",IF(D765="","Labor",IFERROR(VLOOKUP(D765,Settings!$E$5:$G$28,3,FALSE),"Labor")))</f>
        <v/>
      </c>
      <c r="M765" s="9">
        <f>IF(B765="","",IF(COUNTIF('Vendors &amp; Crew'!$A$5:$A$34,B765)=0,"Worker not in Crew table",IF(C765="","Missing Job ID",IF(COUNTIF(Jobs!$A$5:$A$44,C765)=0,"Unknown Job ID",IF(E765="","Missing hours",IF(A765="","Missing date",""))))))</f>
        <v/>
      </c>
      <c r="N765" s="35" t="n"/>
    </row>
    <row r="766">
      <c r="A766" s="40" t="n"/>
      <c r="B766" s="35" t="n"/>
      <c r="C766" s="35" t="n"/>
      <c r="D766" s="35" t="n"/>
      <c r="E766" s="61" t="n"/>
      <c r="F766" s="37" t="n"/>
      <c r="G766" s="39">
        <f>IF(B766="","",IF(F766&lt;&gt;"",F766,IFERROR(VLOOKUP(B766,'Vendors &amp; Crew'!$A$5:$D$34,3,FALSE),0)))</f>
        <v/>
      </c>
      <c r="H766" s="39">
        <f>IF(B766="","",E766*G766*(1+Settings!$B$18))</f>
        <v/>
      </c>
      <c r="I766" s="39">
        <f>IF(B766="","",IFERROR(VLOOKUP(B766,'Vendors &amp; Crew'!$A$5:$D$34,4,FALSE),0))</f>
        <v/>
      </c>
      <c r="J766" s="39">
        <f>IF(B766="","",E766*I766)</f>
        <v/>
      </c>
      <c r="K766" s="59">
        <f>IF(A766="","",A766-WEEKDAY(A766,2)+7)</f>
        <v/>
      </c>
      <c r="L766" s="9">
        <f>IF(B766="","",IF(D766="","Labor",IFERROR(VLOOKUP(D766,Settings!$E$5:$G$28,3,FALSE),"Labor")))</f>
        <v/>
      </c>
      <c r="M766" s="9">
        <f>IF(B766="","",IF(COUNTIF('Vendors &amp; Crew'!$A$5:$A$34,B766)=0,"Worker not in Crew table",IF(C766="","Missing Job ID",IF(COUNTIF(Jobs!$A$5:$A$44,C766)=0,"Unknown Job ID",IF(E766="","Missing hours",IF(A766="","Missing date",""))))))</f>
        <v/>
      </c>
      <c r="N766" s="35" t="n"/>
    </row>
    <row r="767">
      <c r="A767" s="40" t="n"/>
      <c r="B767" s="35" t="n"/>
      <c r="C767" s="35" t="n"/>
      <c r="D767" s="35" t="n"/>
      <c r="E767" s="61" t="n"/>
      <c r="F767" s="37" t="n"/>
      <c r="G767" s="39">
        <f>IF(B767="","",IF(F767&lt;&gt;"",F767,IFERROR(VLOOKUP(B767,'Vendors &amp; Crew'!$A$5:$D$34,3,FALSE),0)))</f>
        <v/>
      </c>
      <c r="H767" s="39">
        <f>IF(B767="","",E767*G767*(1+Settings!$B$18))</f>
        <v/>
      </c>
      <c r="I767" s="39">
        <f>IF(B767="","",IFERROR(VLOOKUP(B767,'Vendors &amp; Crew'!$A$5:$D$34,4,FALSE),0))</f>
        <v/>
      </c>
      <c r="J767" s="39">
        <f>IF(B767="","",E767*I767)</f>
        <v/>
      </c>
      <c r="K767" s="59">
        <f>IF(A767="","",A767-WEEKDAY(A767,2)+7)</f>
        <v/>
      </c>
      <c r="L767" s="9">
        <f>IF(B767="","",IF(D767="","Labor",IFERROR(VLOOKUP(D767,Settings!$E$5:$G$28,3,FALSE),"Labor")))</f>
        <v/>
      </c>
      <c r="M767" s="9">
        <f>IF(B767="","",IF(COUNTIF('Vendors &amp; Crew'!$A$5:$A$34,B767)=0,"Worker not in Crew table",IF(C767="","Missing Job ID",IF(COUNTIF(Jobs!$A$5:$A$44,C767)=0,"Unknown Job ID",IF(E767="","Missing hours",IF(A767="","Missing date",""))))))</f>
        <v/>
      </c>
      <c r="N767" s="35" t="n"/>
    </row>
    <row r="768">
      <c r="A768" s="40" t="n"/>
      <c r="B768" s="35" t="n"/>
      <c r="C768" s="35" t="n"/>
      <c r="D768" s="35" t="n"/>
      <c r="E768" s="61" t="n"/>
      <c r="F768" s="37" t="n"/>
      <c r="G768" s="39">
        <f>IF(B768="","",IF(F768&lt;&gt;"",F768,IFERROR(VLOOKUP(B768,'Vendors &amp; Crew'!$A$5:$D$34,3,FALSE),0)))</f>
        <v/>
      </c>
      <c r="H768" s="39">
        <f>IF(B768="","",E768*G768*(1+Settings!$B$18))</f>
        <v/>
      </c>
      <c r="I768" s="39">
        <f>IF(B768="","",IFERROR(VLOOKUP(B768,'Vendors &amp; Crew'!$A$5:$D$34,4,FALSE),0))</f>
        <v/>
      </c>
      <c r="J768" s="39">
        <f>IF(B768="","",E768*I768)</f>
        <v/>
      </c>
      <c r="K768" s="59">
        <f>IF(A768="","",A768-WEEKDAY(A768,2)+7)</f>
        <v/>
      </c>
      <c r="L768" s="9">
        <f>IF(B768="","",IF(D768="","Labor",IFERROR(VLOOKUP(D768,Settings!$E$5:$G$28,3,FALSE),"Labor")))</f>
        <v/>
      </c>
      <c r="M768" s="9">
        <f>IF(B768="","",IF(COUNTIF('Vendors &amp; Crew'!$A$5:$A$34,B768)=0,"Worker not in Crew table",IF(C768="","Missing Job ID",IF(COUNTIF(Jobs!$A$5:$A$44,C768)=0,"Unknown Job ID",IF(E768="","Missing hours",IF(A768="","Missing date",""))))))</f>
        <v/>
      </c>
      <c r="N768" s="35" t="n"/>
    </row>
    <row r="769">
      <c r="A769" s="40" t="n"/>
      <c r="B769" s="35" t="n"/>
      <c r="C769" s="35" t="n"/>
      <c r="D769" s="35" t="n"/>
      <c r="E769" s="61" t="n"/>
      <c r="F769" s="37" t="n"/>
      <c r="G769" s="39">
        <f>IF(B769="","",IF(F769&lt;&gt;"",F769,IFERROR(VLOOKUP(B769,'Vendors &amp; Crew'!$A$5:$D$34,3,FALSE),0)))</f>
        <v/>
      </c>
      <c r="H769" s="39">
        <f>IF(B769="","",E769*G769*(1+Settings!$B$18))</f>
        <v/>
      </c>
      <c r="I769" s="39">
        <f>IF(B769="","",IFERROR(VLOOKUP(B769,'Vendors &amp; Crew'!$A$5:$D$34,4,FALSE),0))</f>
        <v/>
      </c>
      <c r="J769" s="39">
        <f>IF(B769="","",E769*I769)</f>
        <v/>
      </c>
      <c r="K769" s="59">
        <f>IF(A769="","",A769-WEEKDAY(A769,2)+7)</f>
        <v/>
      </c>
      <c r="L769" s="9">
        <f>IF(B769="","",IF(D769="","Labor",IFERROR(VLOOKUP(D769,Settings!$E$5:$G$28,3,FALSE),"Labor")))</f>
        <v/>
      </c>
      <c r="M769" s="9">
        <f>IF(B769="","",IF(COUNTIF('Vendors &amp; Crew'!$A$5:$A$34,B769)=0,"Worker not in Crew table",IF(C769="","Missing Job ID",IF(COUNTIF(Jobs!$A$5:$A$44,C769)=0,"Unknown Job ID",IF(E769="","Missing hours",IF(A769="","Missing date",""))))))</f>
        <v/>
      </c>
      <c r="N769" s="35" t="n"/>
    </row>
    <row r="770">
      <c r="A770" s="40" t="n"/>
      <c r="B770" s="35" t="n"/>
      <c r="C770" s="35" t="n"/>
      <c r="D770" s="35" t="n"/>
      <c r="E770" s="61" t="n"/>
      <c r="F770" s="37" t="n"/>
      <c r="G770" s="39">
        <f>IF(B770="","",IF(F770&lt;&gt;"",F770,IFERROR(VLOOKUP(B770,'Vendors &amp; Crew'!$A$5:$D$34,3,FALSE),0)))</f>
        <v/>
      </c>
      <c r="H770" s="39">
        <f>IF(B770="","",E770*G770*(1+Settings!$B$18))</f>
        <v/>
      </c>
      <c r="I770" s="39">
        <f>IF(B770="","",IFERROR(VLOOKUP(B770,'Vendors &amp; Crew'!$A$5:$D$34,4,FALSE),0))</f>
        <v/>
      </c>
      <c r="J770" s="39">
        <f>IF(B770="","",E770*I770)</f>
        <v/>
      </c>
      <c r="K770" s="59">
        <f>IF(A770="","",A770-WEEKDAY(A770,2)+7)</f>
        <v/>
      </c>
      <c r="L770" s="9">
        <f>IF(B770="","",IF(D770="","Labor",IFERROR(VLOOKUP(D770,Settings!$E$5:$G$28,3,FALSE),"Labor")))</f>
        <v/>
      </c>
      <c r="M770" s="9">
        <f>IF(B770="","",IF(COUNTIF('Vendors &amp; Crew'!$A$5:$A$34,B770)=0,"Worker not in Crew table",IF(C770="","Missing Job ID",IF(COUNTIF(Jobs!$A$5:$A$44,C770)=0,"Unknown Job ID",IF(E770="","Missing hours",IF(A770="","Missing date",""))))))</f>
        <v/>
      </c>
      <c r="N770" s="35" t="n"/>
    </row>
    <row r="771">
      <c r="A771" s="40" t="n"/>
      <c r="B771" s="35" t="n"/>
      <c r="C771" s="35" t="n"/>
      <c r="D771" s="35" t="n"/>
      <c r="E771" s="61" t="n"/>
      <c r="F771" s="37" t="n"/>
      <c r="G771" s="39">
        <f>IF(B771="","",IF(F771&lt;&gt;"",F771,IFERROR(VLOOKUP(B771,'Vendors &amp; Crew'!$A$5:$D$34,3,FALSE),0)))</f>
        <v/>
      </c>
      <c r="H771" s="39">
        <f>IF(B771="","",E771*G771*(1+Settings!$B$18))</f>
        <v/>
      </c>
      <c r="I771" s="39">
        <f>IF(B771="","",IFERROR(VLOOKUP(B771,'Vendors &amp; Crew'!$A$5:$D$34,4,FALSE),0))</f>
        <v/>
      </c>
      <c r="J771" s="39">
        <f>IF(B771="","",E771*I771)</f>
        <v/>
      </c>
      <c r="K771" s="59">
        <f>IF(A771="","",A771-WEEKDAY(A771,2)+7)</f>
        <v/>
      </c>
      <c r="L771" s="9">
        <f>IF(B771="","",IF(D771="","Labor",IFERROR(VLOOKUP(D771,Settings!$E$5:$G$28,3,FALSE),"Labor")))</f>
        <v/>
      </c>
      <c r="M771" s="9">
        <f>IF(B771="","",IF(COUNTIF('Vendors &amp; Crew'!$A$5:$A$34,B771)=0,"Worker not in Crew table",IF(C771="","Missing Job ID",IF(COUNTIF(Jobs!$A$5:$A$44,C771)=0,"Unknown Job ID",IF(E771="","Missing hours",IF(A771="","Missing date",""))))))</f>
        <v/>
      </c>
      <c r="N771" s="35" t="n"/>
    </row>
    <row r="772">
      <c r="A772" s="40" t="n"/>
      <c r="B772" s="35" t="n"/>
      <c r="C772" s="35" t="n"/>
      <c r="D772" s="35" t="n"/>
      <c r="E772" s="61" t="n"/>
      <c r="F772" s="37" t="n"/>
      <c r="G772" s="39">
        <f>IF(B772="","",IF(F772&lt;&gt;"",F772,IFERROR(VLOOKUP(B772,'Vendors &amp; Crew'!$A$5:$D$34,3,FALSE),0)))</f>
        <v/>
      </c>
      <c r="H772" s="39">
        <f>IF(B772="","",E772*G772*(1+Settings!$B$18))</f>
        <v/>
      </c>
      <c r="I772" s="39">
        <f>IF(B772="","",IFERROR(VLOOKUP(B772,'Vendors &amp; Crew'!$A$5:$D$34,4,FALSE),0))</f>
        <v/>
      </c>
      <c r="J772" s="39">
        <f>IF(B772="","",E772*I772)</f>
        <v/>
      </c>
      <c r="K772" s="59">
        <f>IF(A772="","",A772-WEEKDAY(A772,2)+7)</f>
        <v/>
      </c>
      <c r="L772" s="9">
        <f>IF(B772="","",IF(D772="","Labor",IFERROR(VLOOKUP(D772,Settings!$E$5:$G$28,3,FALSE),"Labor")))</f>
        <v/>
      </c>
      <c r="M772" s="9">
        <f>IF(B772="","",IF(COUNTIF('Vendors &amp; Crew'!$A$5:$A$34,B772)=0,"Worker not in Crew table",IF(C772="","Missing Job ID",IF(COUNTIF(Jobs!$A$5:$A$44,C772)=0,"Unknown Job ID",IF(E772="","Missing hours",IF(A772="","Missing date",""))))))</f>
        <v/>
      </c>
      <c r="N772" s="35" t="n"/>
    </row>
    <row r="773">
      <c r="A773" s="40" t="n"/>
      <c r="B773" s="35" t="n"/>
      <c r="C773" s="35" t="n"/>
      <c r="D773" s="35" t="n"/>
      <c r="E773" s="61" t="n"/>
      <c r="F773" s="37" t="n"/>
      <c r="G773" s="39">
        <f>IF(B773="","",IF(F773&lt;&gt;"",F773,IFERROR(VLOOKUP(B773,'Vendors &amp; Crew'!$A$5:$D$34,3,FALSE),0)))</f>
        <v/>
      </c>
      <c r="H773" s="39">
        <f>IF(B773="","",E773*G773*(1+Settings!$B$18))</f>
        <v/>
      </c>
      <c r="I773" s="39">
        <f>IF(B773="","",IFERROR(VLOOKUP(B773,'Vendors &amp; Crew'!$A$5:$D$34,4,FALSE),0))</f>
        <v/>
      </c>
      <c r="J773" s="39">
        <f>IF(B773="","",E773*I773)</f>
        <v/>
      </c>
      <c r="K773" s="59">
        <f>IF(A773="","",A773-WEEKDAY(A773,2)+7)</f>
        <v/>
      </c>
      <c r="L773" s="9">
        <f>IF(B773="","",IF(D773="","Labor",IFERROR(VLOOKUP(D773,Settings!$E$5:$G$28,3,FALSE),"Labor")))</f>
        <v/>
      </c>
      <c r="M773" s="9">
        <f>IF(B773="","",IF(COUNTIF('Vendors &amp; Crew'!$A$5:$A$34,B773)=0,"Worker not in Crew table",IF(C773="","Missing Job ID",IF(COUNTIF(Jobs!$A$5:$A$44,C773)=0,"Unknown Job ID",IF(E773="","Missing hours",IF(A773="","Missing date",""))))))</f>
        <v/>
      </c>
      <c r="N773" s="35" t="n"/>
    </row>
    <row r="774">
      <c r="A774" s="40" t="n"/>
      <c r="B774" s="35" t="n"/>
      <c r="C774" s="35" t="n"/>
      <c r="D774" s="35" t="n"/>
      <c r="E774" s="61" t="n"/>
      <c r="F774" s="37" t="n"/>
      <c r="G774" s="39">
        <f>IF(B774="","",IF(F774&lt;&gt;"",F774,IFERROR(VLOOKUP(B774,'Vendors &amp; Crew'!$A$5:$D$34,3,FALSE),0)))</f>
        <v/>
      </c>
      <c r="H774" s="39">
        <f>IF(B774="","",E774*G774*(1+Settings!$B$18))</f>
        <v/>
      </c>
      <c r="I774" s="39">
        <f>IF(B774="","",IFERROR(VLOOKUP(B774,'Vendors &amp; Crew'!$A$5:$D$34,4,FALSE),0))</f>
        <v/>
      </c>
      <c r="J774" s="39">
        <f>IF(B774="","",E774*I774)</f>
        <v/>
      </c>
      <c r="K774" s="59">
        <f>IF(A774="","",A774-WEEKDAY(A774,2)+7)</f>
        <v/>
      </c>
      <c r="L774" s="9">
        <f>IF(B774="","",IF(D774="","Labor",IFERROR(VLOOKUP(D774,Settings!$E$5:$G$28,3,FALSE),"Labor")))</f>
        <v/>
      </c>
      <c r="M774" s="9">
        <f>IF(B774="","",IF(COUNTIF('Vendors &amp; Crew'!$A$5:$A$34,B774)=0,"Worker not in Crew table",IF(C774="","Missing Job ID",IF(COUNTIF(Jobs!$A$5:$A$44,C774)=0,"Unknown Job ID",IF(E774="","Missing hours",IF(A774="","Missing date",""))))))</f>
        <v/>
      </c>
      <c r="N774" s="35" t="n"/>
    </row>
    <row r="775">
      <c r="A775" s="40" t="n"/>
      <c r="B775" s="35" t="n"/>
      <c r="C775" s="35" t="n"/>
      <c r="D775" s="35" t="n"/>
      <c r="E775" s="61" t="n"/>
      <c r="F775" s="37" t="n"/>
      <c r="G775" s="39">
        <f>IF(B775="","",IF(F775&lt;&gt;"",F775,IFERROR(VLOOKUP(B775,'Vendors &amp; Crew'!$A$5:$D$34,3,FALSE),0)))</f>
        <v/>
      </c>
      <c r="H775" s="39">
        <f>IF(B775="","",E775*G775*(1+Settings!$B$18))</f>
        <v/>
      </c>
      <c r="I775" s="39">
        <f>IF(B775="","",IFERROR(VLOOKUP(B775,'Vendors &amp; Crew'!$A$5:$D$34,4,FALSE),0))</f>
        <v/>
      </c>
      <c r="J775" s="39">
        <f>IF(B775="","",E775*I775)</f>
        <v/>
      </c>
      <c r="K775" s="59">
        <f>IF(A775="","",A775-WEEKDAY(A775,2)+7)</f>
        <v/>
      </c>
      <c r="L775" s="9">
        <f>IF(B775="","",IF(D775="","Labor",IFERROR(VLOOKUP(D775,Settings!$E$5:$G$28,3,FALSE),"Labor")))</f>
        <v/>
      </c>
      <c r="M775" s="9">
        <f>IF(B775="","",IF(COUNTIF('Vendors &amp; Crew'!$A$5:$A$34,B775)=0,"Worker not in Crew table",IF(C775="","Missing Job ID",IF(COUNTIF(Jobs!$A$5:$A$44,C775)=0,"Unknown Job ID",IF(E775="","Missing hours",IF(A775="","Missing date",""))))))</f>
        <v/>
      </c>
      <c r="N775" s="35" t="n"/>
    </row>
    <row r="776">
      <c r="A776" s="40" t="n"/>
      <c r="B776" s="35" t="n"/>
      <c r="C776" s="35" t="n"/>
      <c r="D776" s="35" t="n"/>
      <c r="E776" s="61" t="n"/>
      <c r="F776" s="37" t="n"/>
      <c r="G776" s="39">
        <f>IF(B776="","",IF(F776&lt;&gt;"",F776,IFERROR(VLOOKUP(B776,'Vendors &amp; Crew'!$A$5:$D$34,3,FALSE),0)))</f>
        <v/>
      </c>
      <c r="H776" s="39">
        <f>IF(B776="","",E776*G776*(1+Settings!$B$18))</f>
        <v/>
      </c>
      <c r="I776" s="39">
        <f>IF(B776="","",IFERROR(VLOOKUP(B776,'Vendors &amp; Crew'!$A$5:$D$34,4,FALSE),0))</f>
        <v/>
      </c>
      <c r="J776" s="39">
        <f>IF(B776="","",E776*I776)</f>
        <v/>
      </c>
      <c r="K776" s="59">
        <f>IF(A776="","",A776-WEEKDAY(A776,2)+7)</f>
        <v/>
      </c>
      <c r="L776" s="9">
        <f>IF(B776="","",IF(D776="","Labor",IFERROR(VLOOKUP(D776,Settings!$E$5:$G$28,3,FALSE),"Labor")))</f>
        <v/>
      </c>
      <c r="M776" s="9">
        <f>IF(B776="","",IF(COUNTIF('Vendors &amp; Crew'!$A$5:$A$34,B776)=0,"Worker not in Crew table",IF(C776="","Missing Job ID",IF(COUNTIF(Jobs!$A$5:$A$44,C776)=0,"Unknown Job ID",IF(E776="","Missing hours",IF(A776="","Missing date",""))))))</f>
        <v/>
      </c>
      <c r="N776" s="35" t="n"/>
    </row>
    <row r="777">
      <c r="A777" s="40" t="n"/>
      <c r="B777" s="35" t="n"/>
      <c r="C777" s="35" t="n"/>
      <c r="D777" s="35" t="n"/>
      <c r="E777" s="61" t="n"/>
      <c r="F777" s="37" t="n"/>
      <c r="G777" s="39">
        <f>IF(B777="","",IF(F777&lt;&gt;"",F777,IFERROR(VLOOKUP(B777,'Vendors &amp; Crew'!$A$5:$D$34,3,FALSE),0)))</f>
        <v/>
      </c>
      <c r="H777" s="39">
        <f>IF(B777="","",E777*G777*(1+Settings!$B$18))</f>
        <v/>
      </c>
      <c r="I777" s="39">
        <f>IF(B777="","",IFERROR(VLOOKUP(B777,'Vendors &amp; Crew'!$A$5:$D$34,4,FALSE),0))</f>
        <v/>
      </c>
      <c r="J777" s="39">
        <f>IF(B777="","",E777*I777)</f>
        <v/>
      </c>
      <c r="K777" s="59">
        <f>IF(A777="","",A777-WEEKDAY(A777,2)+7)</f>
        <v/>
      </c>
      <c r="L777" s="9">
        <f>IF(B777="","",IF(D777="","Labor",IFERROR(VLOOKUP(D777,Settings!$E$5:$G$28,3,FALSE),"Labor")))</f>
        <v/>
      </c>
      <c r="M777" s="9">
        <f>IF(B777="","",IF(COUNTIF('Vendors &amp; Crew'!$A$5:$A$34,B777)=0,"Worker not in Crew table",IF(C777="","Missing Job ID",IF(COUNTIF(Jobs!$A$5:$A$44,C777)=0,"Unknown Job ID",IF(E777="","Missing hours",IF(A777="","Missing date",""))))))</f>
        <v/>
      </c>
      <c r="N777" s="35" t="n"/>
    </row>
    <row r="778">
      <c r="A778" s="40" t="n"/>
      <c r="B778" s="35" t="n"/>
      <c r="C778" s="35" t="n"/>
      <c r="D778" s="35" t="n"/>
      <c r="E778" s="61" t="n"/>
      <c r="F778" s="37" t="n"/>
      <c r="G778" s="39">
        <f>IF(B778="","",IF(F778&lt;&gt;"",F778,IFERROR(VLOOKUP(B778,'Vendors &amp; Crew'!$A$5:$D$34,3,FALSE),0)))</f>
        <v/>
      </c>
      <c r="H778" s="39">
        <f>IF(B778="","",E778*G778*(1+Settings!$B$18))</f>
        <v/>
      </c>
      <c r="I778" s="39">
        <f>IF(B778="","",IFERROR(VLOOKUP(B778,'Vendors &amp; Crew'!$A$5:$D$34,4,FALSE),0))</f>
        <v/>
      </c>
      <c r="J778" s="39">
        <f>IF(B778="","",E778*I778)</f>
        <v/>
      </c>
      <c r="K778" s="59">
        <f>IF(A778="","",A778-WEEKDAY(A778,2)+7)</f>
        <v/>
      </c>
      <c r="L778" s="9">
        <f>IF(B778="","",IF(D778="","Labor",IFERROR(VLOOKUP(D778,Settings!$E$5:$G$28,3,FALSE),"Labor")))</f>
        <v/>
      </c>
      <c r="M778" s="9">
        <f>IF(B778="","",IF(COUNTIF('Vendors &amp; Crew'!$A$5:$A$34,B778)=0,"Worker not in Crew table",IF(C778="","Missing Job ID",IF(COUNTIF(Jobs!$A$5:$A$44,C778)=0,"Unknown Job ID",IF(E778="","Missing hours",IF(A778="","Missing date",""))))))</f>
        <v/>
      </c>
      <c r="N778" s="35" t="n"/>
    </row>
    <row r="779">
      <c r="A779" s="40" t="n"/>
      <c r="B779" s="35" t="n"/>
      <c r="C779" s="35" t="n"/>
      <c r="D779" s="35" t="n"/>
      <c r="E779" s="61" t="n"/>
      <c r="F779" s="37" t="n"/>
      <c r="G779" s="39">
        <f>IF(B779="","",IF(F779&lt;&gt;"",F779,IFERROR(VLOOKUP(B779,'Vendors &amp; Crew'!$A$5:$D$34,3,FALSE),0)))</f>
        <v/>
      </c>
      <c r="H779" s="39">
        <f>IF(B779="","",E779*G779*(1+Settings!$B$18))</f>
        <v/>
      </c>
      <c r="I779" s="39">
        <f>IF(B779="","",IFERROR(VLOOKUP(B779,'Vendors &amp; Crew'!$A$5:$D$34,4,FALSE),0))</f>
        <v/>
      </c>
      <c r="J779" s="39">
        <f>IF(B779="","",E779*I779)</f>
        <v/>
      </c>
      <c r="K779" s="59">
        <f>IF(A779="","",A779-WEEKDAY(A779,2)+7)</f>
        <v/>
      </c>
      <c r="L779" s="9">
        <f>IF(B779="","",IF(D779="","Labor",IFERROR(VLOOKUP(D779,Settings!$E$5:$G$28,3,FALSE),"Labor")))</f>
        <v/>
      </c>
      <c r="M779" s="9">
        <f>IF(B779="","",IF(COUNTIF('Vendors &amp; Crew'!$A$5:$A$34,B779)=0,"Worker not in Crew table",IF(C779="","Missing Job ID",IF(COUNTIF(Jobs!$A$5:$A$44,C779)=0,"Unknown Job ID",IF(E779="","Missing hours",IF(A779="","Missing date",""))))))</f>
        <v/>
      </c>
      <c r="N779" s="35" t="n"/>
    </row>
    <row r="780">
      <c r="A780" s="40" t="n"/>
      <c r="B780" s="35" t="n"/>
      <c r="C780" s="35" t="n"/>
      <c r="D780" s="35" t="n"/>
      <c r="E780" s="61" t="n"/>
      <c r="F780" s="37" t="n"/>
      <c r="G780" s="39">
        <f>IF(B780="","",IF(F780&lt;&gt;"",F780,IFERROR(VLOOKUP(B780,'Vendors &amp; Crew'!$A$5:$D$34,3,FALSE),0)))</f>
        <v/>
      </c>
      <c r="H780" s="39">
        <f>IF(B780="","",E780*G780*(1+Settings!$B$18))</f>
        <v/>
      </c>
      <c r="I780" s="39">
        <f>IF(B780="","",IFERROR(VLOOKUP(B780,'Vendors &amp; Crew'!$A$5:$D$34,4,FALSE),0))</f>
        <v/>
      </c>
      <c r="J780" s="39">
        <f>IF(B780="","",E780*I780)</f>
        <v/>
      </c>
      <c r="K780" s="59">
        <f>IF(A780="","",A780-WEEKDAY(A780,2)+7)</f>
        <v/>
      </c>
      <c r="L780" s="9">
        <f>IF(B780="","",IF(D780="","Labor",IFERROR(VLOOKUP(D780,Settings!$E$5:$G$28,3,FALSE),"Labor")))</f>
        <v/>
      </c>
      <c r="M780" s="9">
        <f>IF(B780="","",IF(COUNTIF('Vendors &amp; Crew'!$A$5:$A$34,B780)=0,"Worker not in Crew table",IF(C780="","Missing Job ID",IF(COUNTIF(Jobs!$A$5:$A$44,C780)=0,"Unknown Job ID",IF(E780="","Missing hours",IF(A780="","Missing date",""))))))</f>
        <v/>
      </c>
      <c r="N780" s="35" t="n"/>
    </row>
    <row r="781">
      <c r="A781" s="40" t="n"/>
      <c r="B781" s="35" t="n"/>
      <c r="C781" s="35" t="n"/>
      <c r="D781" s="35" t="n"/>
      <c r="E781" s="61" t="n"/>
      <c r="F781" s="37" t="n"/>
      <c r="G781" s="39">
        <f>IF(B781="","",IF(F781&lt;&gt;"",F781,IFERROR(VLOOKUP(B781,'Vendors &amp; Crew'!$A$5:$D$34,3,FALSE),0)))</f>
        <v/>
      </c>
      <c r="H781" s="39">
        <f>IF(B781="","",E781*G781*(1+Settings!$B$18))</f>
        <v/>
      </c>
      <c r="I781" s="39">
        <f>IF(B781="","",IFERROR(VLOOKUP(B781,'Vendors &amp; Crew'!$A$5:$D$34,4,FALSE),0))</f>
        <v/>
      </c>
      <c r="J781" s="39">
        <f>IF(B781="","",E781*I781)</f>
        <v/>
      </c>
      <c r="K781" s="59">
        <f>IF(A781="","",A781-WEEKDAY(A781,2)+7)</f>
        <v/>
      </c>
      <c r="L781" s="9">
        <f>IF(B781="","",IF(D781="","Labor",IFERROR(VLOOKUP(D781,Settings!$E$5:$G$28,3,FALSE),"Labor")))</f>
        <v/>
      </c>
      <c r="M781" s="9">
        <f>IF(B781="","",IF(COUNTIF('Vendors &amp; Crew'!$A$5:$A$34,B781)=0,"Worker not in Crew table",IF(C781="","Missing Job ID",IF(COUNTIF(Jobs!$A$5:$A$44,C781)=0,"Unknown Job ID",IF(E781="","Missing hours",IF(A781="","Missing date",""))))))</f>
        <v/>
      </c>
      <c r="N781" s="35" t="n"/>
    </row>
    <row r="782">
      <c r="A782" s="40" t="n"/>
      <c r="B782" s="35" t="n"/>
      <c r="C782" s="35" t="n"/>
      <c r="D782" s="35" t="n"/>
      <c r="E782" s="61" t="n"/>
      <c r="F782" s="37" t="n"/>
      <c r="G782" s="39">
        <f>IF(B782="","",IF(F782&lt;&gt;"",F782,IFERROR(VLOOKUP(B782,'Vendors &amp; Crew'!$A$5:$D$34,3,FALSE),0)))</f>
        <v/>
      </c>
      <c r="H782" s="39">
        <f>IF(B782="","",E782*G782*(1+Settings!$B$18))</f>
        <v/>
      </c>
      <c r="I782" s="39">
        <f>IF(B782="","",IFERROR(VLOOKUP(B782,'Vendors &amp; Crew'!$A$5:$D$34,4,FALSE),0))</f>
        <v/>
      </c>
      <c r="J782" s="39">
        <f>IF(B782="","",E782*I782)</f>
        <v/>
      </c>
      <c r="K782" s="59">
        <f>IF(A782="","",A782-WEEKDAY(A782,2)+7)</f>
        <v/>
      </c>
      <c r="L782" s="9">
        <f>IF(B782="","",IF(D782="","Labor",IFERROR(VLOOKUP(D782,Settings!$E$5:$G$28,3,FALSE),"Labor")))</f>
        <v/>
      </c>
      <c r="M782" s="9">
        <f>IF(B782="","",IF(COUNTIF('Vendors &amp; Crew'!$A$5:$A$34,B782)=0,"Worker not in Crew table",IF(C782="","Missing Job ID",IF(COUNTIF(Jobs!$A$5:$A$44,C782)=0,"Unknown Job ID",IF(E782="","Missing hours",IF(A782="","Missing date",""))))))</f>
        <v/>
      </c>
      <c r="N782" s="35" t="n"/>
    </row>
    <row r="783">
      <c r="A783" s="40" t="n"/>
      <c r="B783" s="35" t="n"/>
      <c r="C783" s="35" t="n"/>
      <c r="D783" s="35" t="n"/>
      <c r="E783" s="61" t="n"/>
      <c r="F783" s="37" t="n"/>
      <c r="G783" s="39">
        <f>IF(B783="","",IF(F783&lt;&gt;"",F783,IFERROR(VLOOKUP(B783,'Vendors &amp; Crew'!$A$5:$D$34,3,FALSE),0)))</f>
        <v/>
      </c>
      <c r="H783" s="39">
        <f>IF(B783="","",E783*G783*(1+Settings!$B$18))</f>
        <v/>
      </c>
      <c r="I783" s="39">
        <f>IF(B783="","",IFERROR(VLOOKUP(B783,'Vendors &amp; Crew'!$A$5:$D$34,4,FALSE),0))</f>
        <v/>
      </c>
      <c r="J783" s="39">
        <f>IF(B783="","",E783*I783)</f>
        <v/>
      </c>
      <c r="K783" s="59">
        <f>IF(A783="","",A783-WEEKDAY(A783,2)+7)</f>
        <v/>
      </c>
      <c r="L783" s="9">
        <f>IF(B783="","",IF(D783="","Labor",IFERROR(VLOOKUP(D783,Settings!$E$5:$G$28,3,FALSE),"Labor")))</f>
        <v/>
      </c>
      <c r="M783" s="9">
        <f>IF(B783="","",IF(COUNTIF('Vendors &amp; Crew'!$A$5:$A$34,B783)=0,"Worker not in Crew table",IF(C783="","Missing Job ID",IF(COUNTIF(Jobs!$A$5:$A$44,C783)=0,"Unknown Job ID",IF(E783="","Missing hours",IF(A783="","Missing date",""))))))</f>
        <v/>
      </c>
      <c r="N783" s="35" t="n"/>
    </row>
    <row r="784">
      <c r="A784" s="40" t="n"/>
      <c r="B784" s="35" t="n"/>
      <c r="C784" s="35" t="n"/>
      <c r="D784" s="35" t="n"/>
      <c r="E784" s="61" t="n"/>
      <c r="F784" s="37" t="n"/>
      <c r="G784" s="39">
        <f>IF(B784="","",IF(F784&lt;&gt;"",F784,IFERROR(VLOOKUP(B784,'Vendors &amp; Crew'!$A$5:$D$34,3,FALSE),0)))</f>
        <v/>
      </c>
      <c r="H784" s="39">
        <f>IF(B784="","",E784*G784*(1+Settings!$B$18))</f>
        <v/>
      </c>
      <c r="I784" s="39">
        <f>IF(B784="","",IFERROR(VLOOKUP(B784,'Vendors &amp; Crew'!$A$5:$D$34,4,FALSE),0))</f>
        <v/>
      </c>
      <c r="J784" s="39">
        <f>IF(B784="","",E784*I784)</f>
        <v/>
      </c>
      <c r="K784" s="59">
        <f>IF(A784="","",A784-WEEKDAY(A784,2)+7)</f>
        <v/>
      </c>
      <c r="L784" s="9">
        <f>IF(B784="","",IF(D784="","Labor",IFERROR(VLOOKUP(D784,Settings!$E$5:$G$28,3,FALSE),"Labor")))</f>
        <v/>
      </c>
      <c r="M784" s="9">
        <f>IF(B784="","",IF(COUNTIF('Vendors &amp; Crew'!$A$5:$A$34,B784)=0,"Worker not in Crew table",IF(C784="","Missing Job ID",IF(COUNTIF(Jobs!$A$5:$A$44,C784)=0,"Unknown Job ID",IF(E784="","Missing hours",IF(A784="","Missing date",""))))))</f>
        <v/>
      </c>
      <c r="N784" s="35" t="n"/>
    </row>
    <row r="785">
      <c r="A785" s="40" t="n"/>
      <c r="B785" s="35" t="n"/>
      <c r="C785" s="35" t="n"/>
      <c r="D785" s="35" t="n"/>
      <c r="E785" s="61" t="n"/>
      <c r="F785" s="37" t="n"/>
      <c r="G785" s="39">
        <f>IF(B785="","",IF(F785&lt;&gt;"",F785,IFERROR(VLOOKUP(B785,'Vendors &amp; Crew'!$A$5:$D$34,3,FALSE),0)))</f>
        <v/>
      </c>
      <c r="H785" s="39">
        <f>IF(B785="","",E785*G785*(1+Settings!$B$18))</f>
        <v/>
      </c>
      <c r="I785" s="39">
        <f>IF(B785="","",IFERROR(VLOOKUP(B785,'Vendors &amp; Crew'!$A$5:$D$34,4,FALSE),0))</f>
        <v/>
      </c>
      <c r="J785" s="39">
        <f>IF(B785="","",E785*I785)</f>
        <v/>
      </c>
      <c r="K785" s="59">
        <f>IF(A785="","",A785-WEEKDAY(A785,2)+7)</f>
        <v/>
      </c>
      <c r="L785" s="9">
        <f>IF(B785="","",IF(D785="","Labor",IFERROR(VLOOKUP(D785,Settings!$E$5:$G$28,3,FALSE),"Labor")))</f>
        <v/>
      </c>
      <c r="M785" s="9">
        <f>IF(B785="","",IF(COUNTIF('Vendors &amp; Crew'!$A$5:$A$34,B785)=0,"Worker not in Crew table",IF(C785="","Missing Job ID",IF(COUNTIF(Jobs!$A$5:$A$44,C785)=0,"Unknown Job ID",IF(E785="","Missing hours",IF(A785="","Missing date",""))))))</f>
        <v/>
      </c>
      <c r="N785" s="35" t="n"/>
    </row>
    <row r="786">
      <c r="A786" s="40" t="n"/>
      <c r="B786" s="35" t="n"/>
      <c r="C786" s="35" t="n"/>
      <c r="D786" s="35" t="n"/>
      <c r="E786" s="61" t="n"/>
      <c r="F786" s="37" t="n"/>
      <c r="G786" s="39">
        <f>IF(B786="","",IF(F786&lt;&gt;"",F786,IFERROR(VLOOKUP(B786,'Vendors &amp; Crew'!$A$5:$D$34,3,FALSE),0)))</f>
        <v/>
      </c>
      <c r="H786" s="39">
        <f>IF(B786="","",E786*G786*(1+Settings!$B$18))</f>
        <v/>
      </c>
      <c r="I786" s="39">
        <f>IF(B786="","",IFERROR(VLOOKUP(B786,'Vendors &amp; Crew'!$A$5:$D$34,4,FALSE),0))</f>
        <v/>
      </c>
      <c r="J786" s="39">
        <f>IF(B786="","",E786*I786)</f>
        <v/>
      </c>
      <c r="K786" s="59">
        <f>IF(A786="","",A786-WEEKDAY(A786,2)+7)</f>
        <v/>
      </c>
      <c r="L786" s="9">
        <f>IF(B786="","",IF(D786="","Labor",IFERROR(VLOOKUP(D786,Settings!$E$5:$G$28,3,FALSE),"Labor")))</f>
        <v/>
      </c>
      <c r="M786" s="9">
        <f>IF(B786="","",IF(COUNTIF('Vendors &amp; Crew'!$A$5:$A$34,B786)=0,"Worker not in Crew table",IF(C786="","Missing Job ID",IF(COUNTIF(Jobs!$A$5:$A$44,C786)=0,"Unknown Job ID",IF(E786="","Missing hours",IF(A786="","Missing date",""))))))</f>
        <v/>
      </c>
      <c r="N786" s="35" t="n"/>
    </row>
    <row r="787">
      <c r="A787" s="40" t="n"/>
      <c r="B787" s="35" t="n"/>
      <c r="C787" s="35" t="n"/>
      <c r="D787" s="35" t="n"/>
      <c r="E787" s="61" t="n"/>
      <c r="F787" s="37" t="n"/>
      <c r="G787" s="39">
        <f>IF(B787="","",IF(F787&lt;&gt;"",F787,IFERROR(VLOOKUP(B787,'Vendors &amp; Crew'!$A$5:$D$34,3,FALSE),0)))</f>
        <v/>
      </c>
      <c r="H787" s="39">
        <f>IF(B787="","",E787*G787*(1+Settings!$B$18))</f>
        <v/>
      </c>
      <c r="I787" s="39">
        <f>IF(B787="","",IFERROR(VLOOKUP(B787,'Vendors &amp; Crew'!$A$5:$D$34,4,FALSE),0))</f>
        <v/>
      </c>
      <c r="J787" s="39">
        <f>IF(B787="","",E787*I787)</f>
        <v/>
      </c>
      <c r="K787" s="59">
        <f>IF(A787="","",A787-WEEKDAY(A787,2)+7)</f>
        <v/>
      </c>
      <c r="L787" s="9">
        <f>IF(B787="","",IF(D787="","Labor",IFERROR(VLOOKUP(D787,Settings!$E$5:$G$28,3,FALSE),"Labor")))</f>
        <v/>
      </c>
      <c r="M787" s="9">
        <f>IF(B787="","",IF(COUNTIF('Vendors &amp; Crew'!$A$5:$A$34,B787)=0,"Worker not in Crew table",IF(C787="","Missing Job ID",IF(COUNTIF(Jobs!$A$5:$A$44,C787)=0,"Unknown Job ID",IF(E787="","Missing hours",IF(A787="","Missing date",""))))))</f>
        <v/>
      </c>
      <c r="N787" s="35" t="n"/>
    </row>
    <row r="788">
      <c r="A788" s="40" t="n"/>
      <c r="B788" s="35" t="n"/>
      <c r="C788" s="35" t="n"/>
      <c r="D788" s="35" t="n"/>
      <c r="E788" s="61" t="n"/>
      <c r="F788" s="37" t="n"/>
      <c r="G788" s="39">
        <f>IF(B788="","",IF(F788&lt;&gt;"",F788,IFERROR(VLOOKUP(B788,'Vendors &amp; Crew'!$A$5:$D$34,3,FALSE),0)))</f>
        <v/>
      </c>
      <c r="H788" s="39">
        <f>IF(B788="","",E788*G788*(1+Settings!$B$18))</f>
        <v/>
      </c>
      <c r="I788" s="39">
        <f>IF(B788="","",IFERROR(VLOOKUP(B788,'Vendors &amp; Crew'!$A$5:$D$34,4,FALSE),0))</f>
        <v/>
      </c>
      <c r="J788" s="39">
        <f>IF(B788="","",E788*I788)</f>
        <v/>
      </c>
      <c r="K788" s="59">
        <f>IF(A788="","",A788-WEEKDAY(A788,2)+7)</f>
        <v/>
      </c>
      <c r="L788" s="9">
        <f>IF(B788="","",IF(D788="","Labor",IFERROR(VLOOKUP(D788,Settings!$E$5:$G$28,3,FALSE),"Labor")))</f>
        <v/>
      </c>
      <c r="M788" s="9">
        <f>IF(B788="","",IF(COUNTIF('Vendors &amp; Crew'!$A$5:$A$34,B788)=0,"Worker not in Crew table",IF(C788="","Missing Job ID",IF(COUNTIF(Jobs!$A$5:$A$44,C788)=0,"Unknown Job ID",IF(E788="","Missing hours",IF(A788="","Missing date",""))))))</f>
        <v/>
      </c>
      <c r="N788" s="35" t="n"/>
    </row>
    <row r="789">
      <c r="A789" s="40" t="n"/>
      <c r="B789" s="35" t="n"/>
      <c r="C789" s="35" t="n"/>
      <c r="D789" s="35" t="n"/>
      <c r="E789" s="61" t="n"/>
      <c r="F789" s="37" t="n"/>
      <c r="G789" s="39">
        <f>IF(B789="","",IF(F789&lt;&gt;"",F789,IFERROR(VLOOKUP(B789,'Vendors &amp; Crew'!$A$5:$D$34,3,FALSE),0)))</f>
        <v/>
      </c>
      <c r="H789" s="39">
        <f>IF(B789="","",E789*G789*(1+Settings!$B$18))</f>
        <v/>
      </c>
      <c r="I789" s="39">
        <f>IF(B789="","",IFERROR(VLOOKUP(B789,'Vendors &amp; Crew'!$A$5:$D$34,4,FALSE),0))</f>
        <v/>
      </c>
      <c r="J789" s="39">
        <f>IF(B789="","",E789*I789)</f>
        <v/>
      </c>
      <c r="K789" s="59">
        <f>IF(A789="","",A789-WEEKDAY(A789,2)+7)</f>
        <v/>
      </c>
      <c r="L789" s="9">
        <f>IF(B789="","",IF(D789="","Labor",IFERROR(VLOOKUP(D789,Settings!$E$5:$G$28,3,FALSE),"Labor")))</f>
        <v/>
      </c>
      <c r="M789" s="9">
        <f>IF(B789="","",IF(COUNTIF('Vendors &amp; Crew'!$A$5:$A$34,B789)=0,"Worker not in Crew table",IF(C789="","Missing Job ID",IF(COUNTIF(Jobs!$A$5:$A$44,C789)=0,"Unknown Job ID",IF(E789="","Missing hours",IF(A789="","Missing date",""))))))</f>
        <v/>
      </c>
      <c r="N789" s="35" t="n"/>
    </row>
    <row r="790">
      <c r="A790" s="40" t="n"/>
      <c r="B790" s="35" t="n"/>
      <c r="C790" s="35" t="n"/>
      <c r="D790" s="35" t="n"/>
      <c r="E790" s="61" t="n"/>
      <c r="F790" s="37" t="n"/>
      <c r="G790" s="39">
        <f>IF(B790="","",IF(F790&lt;&gt;"",F790,IFERROR(VLOOKUP(B790,'Vendors &amp; Crew'!$A$5:$D$34,3,FALSE),0)))</f>
        <v/>
      </c>
      <c r="H790" s="39">
        <f>IF(B790="","",E790*G790*(1+Settings!$B$18))</f>
        <v/>
      </c>
      <c r="I790" s="39">
        <f>IF(B790="","",IFERROR(VLOOKUP(B790,'Vendors &amp; Crew'!$A$5:$D$34,4,FALSE),0))</f>
        <v/>
      </c>
      <c r="J790" s="39">
        <f>IF(B790="","",E790*I790)</f>
        <v/>
      </c>
      <c r="K790" s="59">
        <f>IF(A790="","",A790-WEEKDAY(A790,2)+7)</f>
        <v/>
      </c>
      <c r="L790" s="9">
        <f>IF(B790="","",IF(D790="","Labor",IFERROR(VLOOKUP(D790,Settings!$E$5:$G$28,3,FALSE),"Labor")))</f>
        <v/>
      </c>
      <c r="M790" s="9">
        <f>IF(B790="","",IF(COUNTIF('Vendors &amp; Crew'!$A$5:$A$34,B790)=0,"Worker not in Crew table",IF(C790="","Missing Job ID",IF(COUNTIF(Jobs!$A$5:$A$44,C790)=0,"Unknown Job ID",IF(E790="","Missing hours",IF(A790="","Missing date",""))))))</f>
        <v/>
      </c>
      <c r="N790" s="35" t="n"/>
    </row>
    <row r="791">
      <c r="A791" s="40" t="n"/>
      <c r="B791" s="35" t="n"/>
      <c r="C791" s="35" t="n"/>
      <c r="D791" s="35" t="n"/>
      <c r="E791" s="61" t="n"/>
      <c r="F791" s="37" t="n"/>
      <c r="G791" s="39">
        <f>IF(B791="","",IF(F791&lt;&gt;"",F791,IFERROR(VLOOKUP(B791,'Vendors &amp; Crew'!$A$5:$D$34,3,FALSE),0)))</f>
        <v/>
      </c>
      <c r="H791" s="39">
        <f>IF(B791="","",E791*G791*(1+Settings!$B$18))</f>
        <v/>
      </c>
      <c r="I791" s="39">
        <f>IF(B791="","",IFERROR(VLOOKUP(B791,'Vendors &amp; Crew'!$A$5:$D$34,4,FALSE),0))</f>
        <v/>
      </c>
      <c r="J791" s="39">
        <f>IF(B791="","",E791*I791)</f>
        <v/>
      </c>
      <c r="K791" s="59">
        <f>IF(A791="","",A791-WEEKDAY(A791,2)+7)</f>
        <v/>
      </c>
      <c r="L791" s="9">
        <f>IF(B791="","",IF(D791="","Labor",IFERROR(VLOOKUP(D791,Settings!$E$5:$G$28,3,FALSE),"Labor")))</f>
        <v/>
      </c>
      <c r="M791" s="9">
        <f>IF(B791="","",IF(COUNTIF('Vendors &amp; Crew'!$A$5:$A$34,B791)=0,"Worker not in Crew table",IF(C791="","Missing Job ID",IF(COUNTIF(Jobs!$A$5:$A$44,C791)=0,"Unknown Job ID",IF(E791="","Missing hours",IF(A791="","Missing date",""))))))</f>
        <v/>
      </c>
      <c r="N791" s="35" t="n"/>
    </row>
    <row r="792">
      <c r="A792" s="40" t="n"/>
      <c r="B792" s="35" t="n"/>
      <c r="C792" s="35" t="n"/>
      <c r="D792" s="35" t="n"/>
      <c r="E792" s="61" t="n"/>
      <c r="F792" s="37" t="n"/>
      <c r="G792" s="39">
        <f>IF(B792="","",IF(F792&lt;&gt;"",F792,IFERROR(VLOOKUP(B792,'Vendors &amp; Crew'!$A$5:$D$34,3,FALSE),0)))</f>
        <v/>
      </c>
      <c r="H792" s="39">
        <f>IF(B792="","",E792*G792*(1+Settings!$B$18))</f>
        <v/>
      </c>
      <c r="I792" s="39">
        <f>IF(B792="","",IFERROR(VLOOKUP(B792,'Vendors &amp; Crew'!$A$5:$D$34,4,FALSE),0))</f>
        <v/>
      </c>
      <c r="J792" s="39">
        <f>IF(B792="","",E792*I792)</f>
        <v/>
      </c>
      <c r="K792" s="59">
        <f>IF(A792="","",A792-WEEKDAY(A792,2)+7)</f>
        <v/>
      </c>
      <c r="L792" s="9">
        <f>IF(B792="","",IF(D792="","Labor",IFERROR(VLOOKUP(D792,Settings!$E$5:$G$28,3,FALSE),"Labor")))</f>
        <v/>
      </c>
      <c r="M792" s="9">
        <f>IF(B792="","",IF(COUNTIF('Vendors &amp; Crew'!$A$5:$A$34,B792)=0,"Worker not in Crew table",IF(C792="","Missing Job ID",IF(COUNTIF(Jobs!$A$5:$A$44,C792)=0,"Unknown Job ID",IF(E792="","Missing hours",IF(A792="","Missing date",""))))))</f>
        <v/>
      </c>
      <c r="N792" s="35" t="n"/>
    </row>
    <row r="793">
      <c r="A793" s="40" t="n"/>
      <c r="B793" s="35" t="n"/>
      <c r="C793" s="35" t="n"/>
      <c r="D793" s="35" t="n"/>
      <c r="E793" s="61" t="n"/>
      <c r="F793" s="37" t="n"/>
      <c r="G793" s="39">
        <f>IF(B793="","",IF(F793&lt;&gt;"",F793,IFERROR(VLOOKUP(B793,'Vendors &amp; Crew'!$A$5:$D$34,3,FALSE),0)))</f>
        <v/>
      </c>
      <c r="H793" s="39">
        <f>IF(B793="","",E793*G793*(1+Settings!$B$18))</f>
        <v/>
      </c>
      <c r="I793" s="39">
        <f>IF(B793="","",IFERROR(VLOOKUP(B793,'Vendors &amp; Crew'!$A$5:$D$34,4,FALSE),0))</f>
        <v/>
      </c>
      <c r="J793" s="39">
        <f>IF(B793="","",E793*I793)</f>
        <v/>
      </c>
      <c r="K793" s="59">
        <f>IF(A793="","",A793-WEEKDAY(A793,2)+7)</f>
        <v/>
      </c>
      <c r="L793" s="9">
        <f>IF(B793="","",IF(D793="","Labor",IFERROR(VLOOKUP(D793,Settings!$E$5:$G$28,3,FALSE),"Labor")))</f>
        <v/>
      </c>
      <c r="M793" s="9">
        <f>IF(B793="","",IF(COUNTIF('Vendors &amp; Crew'!$A$5:$A$34,B793)=0,"Worker not in Crew table",IF(C793="","Missing Job ID",IF(COUNTIF(Jobs!$A$5:$A$44,C793)=0,"Unknown Job ID",IF(E793="","Missing hours",IF(A793="","Missing date",""))))))</f>
        <v/>
      </c>
      <c r="N793" s="35" t="n"/>
    </row>
    <row r="794">
      <c r="A794" s="40" t="n"/>
      <c r="B794" s="35" t="n"/>
      <c r="C794" s="35" t="n"/>
      <c r="D794" s="35" t="n"/>
      <c r="E794" s="61" t="n"/>
      <c r="F794" s="37" t="n"/>
      <c r="G794" s="39">
        <f>IF(B794="","",IF(F794&lt;&gt;"",F794,IFERROR(VLOOKUP(B794,'Vendors &amp; Crew'!$A$5:$D$34,3,FALSE),0)))</f>
        <v/>
      </c>
      <c r="H794" s="39">
        <f>IF(B794="","",E794*G794*(1+Settings!$B$18))</f>
        <v/>
      </c>
      <c r="I794" s="39">
        <f>IF(B794="","",IFERROR(VLOOKUP(B794,'Vendors &amp; Crew'!$A$5:$D$34,4,FALSE),0))</f>
        <v/>
      </c>
      <c r="J794" s="39">
        <f>IF(B794="","",E794*I794)</f>
        <v/>
      </c>
      <c r="K794" s="59">
        <f>IF(A794="","",A794-WEEKDAY(A794,2)+7)</f>
        <v/>
      </c>
      <c r="L794" s="9">
        <f>IF(B794="","",IF(D794="","Labor",IFERROR(VLOOKUP(D794,Settings!$E$5:$G$28,3,FALSE),"Labor")))</f>
        <v/>
      </c>
      <c r="M794" s="9">
        <f>IF(B794="","",IF(COUNTIF('Vendors &amp; Crew'!$A$5:$A$34,B794)=0,"Worker not in Crew table",IF(C794="","Missing Job ID",IF(COUNTIF(Jobs!$A$5:$A$44,C794)=0,"Unknown Job ID",IF(E794="","Missing hours",IF(A794="","Missing date",""))))))</f>
        <v/>
      </c>
      <c r="N794" s="35" t="n"/>
    </row>
    <row r="795">
      <c r="A795" s="40" t="n"/>
      <c r="B795" s="35" t="n"/>
      <c r="C795" s="35" t="n"/>
      <c r="D795" s="35" t="n"/>
      <c r="E795" s="61" t="n"/>
      <c r="F795" s="37" t="n"/>
      <c r="G795" s="39">
        <f>IF(B795="","",IF(F795&lt;&gt;"",F795,IFERROR(VLOOKUP(B795,'Vendors &amp; Crew'!$A$5:$D$34,3,FALSE),0)))</f>
        <v/>
      </c>
      <c r="H795" s="39">
        <f>IF(B795="","",E795*G795*(1+Settings!$B$18))</f>
        <v/>
      </c>
      <c r="I795" s="39">
        <f>IF(B795="","",IFERROR(VLOOKUP(B795,'Vendors &amp; Crew'!$A$5:$D$34,4,FALSE),0))</f>
        <v/>
      </c>
      <c r="J795" s="39">
        <f>IF(B795="","",E795*I795)</f>
        <v/>
      </c>
      <c r="K795" s="59">
        <f>IF(A795="","",A795-WEEKDAY(A795,2)+7)</f>
        <v/>
      </c>
      <c r="L795" s="9">
        <f>IF(B795="","",IF(D795="","Labor",IFERROR(VLOOKUP(D795,Settings!$E$5:$G$28,3,FALSE),"Labor")))</f>
        <v/>
      </c>
      <c r="M795" s="9">
        <f>IF(B795="","",IF(COUNTIF('Vendors &amp; Crew'!$A$5:$A$34,B795)=0,"Worker not in Crew table",IF(C795="","Missing Job ID",IF(COUNTIF(Jobs!$A$5:$A$44,C795)=0,"Unknown Job ID",IF(E795="","Missing hours",IF(A795="","Missing date",""))))))</f>
        <v/>
      </c>
      <c r="N795" s="35" t="n"/>
    </row>
    <row r="796">
      <c r="A796" s="40" t="n"/>
      <c r="B796" s="35" t="n"/>
      <c r="C796" s="35" t="n"/>
      <c r="D796" s="35" t="n"/>
      <c r="E796" s="61" t="n"/>
      <c r="F796" s="37" t="n"/>
      <c r="G796" s="39">
        <f>IF(B796="","",IF(F796&lt;&gt;"",F796,IFERROR(VLOOKUP(B796,'Vendors &amp; Crew'!$A$5:$D$34,3,FALSE),0)))</f>
        <v/>
      </c>
      <c r="H796" s="39">
        <f>IF(B796="","",E796*G796*(1+Settings!$B$18))</f>
        <v/>
      </c>
      <c r="I796" s="39">
        <f>IF(B796="","",IFERROR(VLOOKUP(B796,'Vendors &amp; Crew'!$A$5:$D$34,4,FALSE),0))</f>
        <v/>
      </c>
      <c r="J796" s="39">
        <f>IF(B796="","",E796*I796)</f>
        <v/>
      </c>
      <c r="K796" s="59">
        <f>IF(A796="","",A796-WEEKDAY(A796,2)+7)</f>
        <v/>
      </c>
      <c r="L796" s="9">
        <f>IF(B796="","",IF(D796="","Labor",IFERROR(VLOOKUP(D796,Settings!$E$5:$G$28,3,FALSE),"Labor")))</f>
        <v/>
      </c>
      <c r="M796" s="9">
        <f>IF(B796="","",IF(COUNTIF('Vendors &amp; Crew'!$A$5:$A$34,B796)=0,"Worker not in Crew table",IF(C796="","Missing Job ID",IF(COUNTIF(Jobs!$A$5:$A$44,C796)=0,"Unknown Job ID",IF(E796="","Missing hours",IF(A796="","Missing date",""))))))</f>
        <v/>
      </c>
      <c r="N796" s="35" t="n"/>
    </row>
    <row r="797">
      <c r="A797" s="40" t="n"/>
      <c r="B797" s="35" t="n"/>
      <c r="C797" s="35" t="n"/>
      <c r="D797" s="35" t="n"/>
      <c r="E797" s="61" t="n"/>
      <c r="F797" s="37" t="n"/>
      <c r="G797" s="39">
        <f>IF(B797="","",IF(F797&lt;&gt;"",F797,IFERROR(VLOOKUP(B797,'Vendors &amp; Crew'!$A$5:$D$34,3,FALSE),0)))</f>
        <v/>
      </c>
      <c r="H797" s="39">
        <f>IF(B797="","",E797*G797*(1+Settings!$B$18))</f>
        <v/>
      </c>
      <c r="I797" s="39">
        <f>IF(B797="","",IFERROR(VLOOKUP(B797,'Vendors &amp; Crew'!$A$5:$D$34,4,FALSE),0))</f>
        <v/>
      </c>
      <c r="J797" s="39">
        <f>IF(B797="","",E797*I797)</f>
        <v/>
      </c>
      <c r="K797" s="59">
        <f>IF(A797="","",A797-WEEKDAY(A797,2)+7)</f>
        <v/>
      </c>
      <c r="L797" s="9">
        <f>IF(B797="","",IF(D797="","Labor",IFERROR(VLOOKUP(D797,Settings!$E$5:$G$28,3,FALSE),"Labor")))</f>
        <v/>
      </c>
      <c r="M797" s="9">
        <f>IF(B797="","",IF(COUNTIF('Vendors &amp; Crew'!$A$5:$A$34,B797)=0,"Worker not in Crew table",IF(C797="","Missing Job ID",IF(COUNTIF(Jobs!$A$5:$A$44,C797)=0,"Unknown Job ID",IF(E797="","Missing hours",IF(A797="","Missing date",""))))))</f>
        <v/>
      </c>
      <c r="N797" s="35" t="n"/>
    </row>
    <row r="798">
      <c r="A798" s="40" t="n"/>
      <c r="B798" s="35" t="n"/>
      <c r="C798" s="35" t="n"/>
      <c r="D798" s="35" t="n"/>
      <c r="E798" s="61" t="n"/>
      <c r="F798" s="37" t="n"/>
      <c r="G798" s="39">
        <f>IF(B798="","",IF(F798&lt;&gt;"",F798,IFERROR(VLOOKUP(B798,'Vendors &amp; Crew'!$A$5:$D$34,3,FALSE),0)))</f>
        <v/>
      </c>
      <c r="H798" s="39">
        <f>IF(B798="","",E798*G798*(1+Settings!$B$18))</f>
        <v/>
      </c>
      <c r="I798" s="39">
        <f>IF(B798="","",IFERROR(VLOOKUP(B798,'Vendors &amp; Crew'!$A$5:$D$34,4,FALSE),0))</f>
        <v/>
      </c>
      <c r="J798" s="39">
        <f>IF(B798="","",E798*I798)</f>
        <v/>
      </c>
      <c r="K798" s="59">
        <f>IF(A798="","",A798-WEEKDAY(A798,2)+7)</f>
        <v/>
      </c>
      <c r="L798" s="9">
        <f>IF(B798="","",IF(D798="","Labor",IFERROR(VLOOKUP(D798,Settings!$E$5:$G$28,3,FALSE),"Labor")))</f>
        <v/>
      </c>
      <c r="M798" s="9">
        <f>IF(B798="","",IF(COUNTIF('Vendors &amp; Crew'!$A$5:$A$34,B798)=0,"Worker not in Crew table",IF(C798="","Missing Job ID",IF(COUNTIF(Jobs!$A$5:$A$44,C798)=0,"Unknown Job ID",IF(E798="","Missing hours",IF(A798="","Missing date",""))))))</f>
        <v/>
      </c>
      <c r="N798" s="35" t="n"/>
    </row>
    <row r="799">
      <c r="A799" s="40" t="n"/>
      <c r="B799" s="35" t="n"/>
      <c r="C799" s="35" t="n"/>
      <c r="D799" s="35" t="n"/>
      <c r="E799" s="61" t="n"/>
      <c r="F799" s="37" t="n"/>
      <c r="G799" s="39">
        <f>IF(B799="","",IF(F799&lt;&gt;"",F799,IFERROR(VLOOKUP(B799,'Vendors &amp; Crew'!$A$5:$D$34,3,FALSE),0)))</f>
        <v/>
      </c>
      <c r="H799" s="39">
        <f>IF(B799="","",E799*G799*(1+Settings!$B$18))</f>
        <v/>
      </c>
      <c r="I799" s="39">
        <f>IF(B799="","",IFERROR(VLOOKUP(B799,'Vendors &amp; Crew'!$A$5:$D$34,4,FALSE),0))</f>
        <v/>
      </c>
      <c r="J799" s="39">
        <f>IF(B799="","",E799*I799)</f>
        <v/>
      </c>
      <c r="K799" s="59">
        <f>IF(A799="","",A799-WEEKDAY(A799,2)+7)</f>
        <v/>
      </c>
      <c r="L799" s="9">
        <f>IF(B799="","",IF(D799="","Labor",IFERROR(VLOOKUP(D799,Settings!$E$5:$G$28,3,FALSE),"Labor")))</f>
        <v/>
      </c>
      <c r="M799" s="9">
        <f>IF(B799="","",IF(COUNTIF('Vendors &amp; Crew'!$A$5:$A$34,B799)=0,"Worker not in Crew table",IF(C799="","Missing Job ID",IF(COUNTIF(Jobs!$A$5:$A$44,C799)=0,"Unknown Job ID",IF(E799="","Missing hours",IF(A799="","Missing date",""))))))</f>
        <v/>
      </c>
      <c r="N799" s="35" t="n"/>
    </row>
    <row r="800">
      <c r="A800" s="40" t="n"/>
      <c r="B800" s="35" t="n"/>
      <c r="C800" s="35" t="n"/>
      <c r="D800" s="35" t="n"/>
      <c r="E800" s="61" t="n"/>
      <c r="F800" s="37" t="n"/>
      <c r="G800" s="39">
        <f>IF(B800="","",IF(F800&lt;&gt;"",F800,IFERROR(VLOOKUP(B800,'Vendors &amp; Crew'!$A$5:$D$34,3,FALSE),0)))</f>
        <v/>
      </c>
      <c r="H800" s="39">
        <f>IF(B800="","",E800*G800*(1+Settings!$B$18))</f>
        <v/>
      </c>
      <c r="I800" s="39">
        <f>IF(B800="","",IFERROR(VLOOKUP(B800,'Vendors &amp; Crew'!$A$5:$D$34,4,FALSE),0))</f>
        <v/>
      </c>
      <c r="J800" s="39">
        <f>IF(B800="","",E800*I800)</f>
        <v/>
      </c>
      <c r="K800" s="59">
        <f>IF(A800="","",A800-WEEKDAY(A800,2)+7)</f>
        <v/>
      </c>
      <c r="L800" s="9">
        <f>IF(B800="","",IF(D800="","Labor",IFERROR(VLOOKUP(D800,Settings!$E$5:$G$28,3,FALSE),"Labor")))</f>
        <v/>
      </c>
      <c r="M800" s="9">
        <f>IF(B800="","",IF(COUNTIF('Vendors &amp; Crew'!$A$5:$A$34,B800)=0,"Worker not in Crew table",IF(C800="","Missing Job ID",IF(COUNTIF(Jobs!$A$5:$A$44,C800)=0,"Unknown Job ID",IF(E800="","Missing hours",IF(A800="","Missing date",""))))))</f>
        <v/>
      </c>
      <c r="N800" s="35" t="n"/>
    </row>
    <row r="801">
      <c r="A801" s="40" t="n"/>
      <c r="B801" s="35" t="n"/>
      <c r="C801" s="35" t="n"/>
      <c r="D801" s="35" t="n"/>
      <c r="E801" s="61" t="n"/>
      <c r="F801" s="37" t="n"/>
      <c r="G801" s="39">
        <f>IF(B801="","",IF(F801&lt;&gt;"",F801,IFERROR(VLOOKUP(B801,'Vendors &amp; Crew'!$A$5:$D$34,3,FALSE),0)))</f>
        <v/>
      </c>
      <c r="H801" s="39">
        <f>IF(B801="","",E801*G801*(1+Settings!$B$18))</f>
        <v/>
      </c>
      <c r="I801" s="39">
        <f>IF(B801="","",IFERROR(VLOOKUP(B801,'Vendors &amp; Crew'!$A$5:$D$34,4,FALSE),0))</f>
        <v/>
      </c>
      <c r="J801" s="39">
        <f>IF(B801="","",E801*I801)</f>
        <v/>
      </c>
      <c r="K801" s="59">
        <f>IF(A801="","",A801-WEEKDAY(A801,2)+7)</f>
        <v/>
      </c>
      <c r="L801" s="9">
        <f>IF(B801="","",IF(D801="","Labor",IFERROR(VLOOKUP(D801,Settings!$E$5:$G$28,3,FALSE),"Labor")))</f>
        <v/>
      </c>
      <c r="M801" s="9">
        <f>IF(B801="","",IF(COUNTIF('Vendors &amp; Crew'!$A$5:$A$34,B801)=0,"Worker not in Crew table",IF(C801="","Missing Job ID",IF(COUNTIF(Jobs!$A$5:$A$44,C801)=0,"Unknown Job ID",IF(E801="","Missing hours",IF(A801="","Missing date",""))))))</f>
        <v/>
      </c>
      <c r="N801" s="35" t="n"/>
    </row>
    <row r="802">
      <c r="A802" s="40" t="n"/>
      <c r="B802" s="35" t="n"/>
      <c r="C802" s="35" t="n"/>
      <c r="D802" s="35" t="n"/>
      <c r="E802" s="61" t="n"/>
      <c r="F802" s="37" t="n"/>
      <c r="G802" s="39">
        <f>IF(B802="","",IF(F802&lt;&gt;"",F802,IFERROR(VLOOKUP(B802,'Vendors &amp; Crew'!$A$5:$D$34,3,FALSE),0)))</f>
        <v/>
      </c>
      <c r="H802" s="39">
        <f>IF(B802="","",E802*G802*(1+Settings!$B$18))</f>
        <v/>
      </c>
      <c r="I802" s="39">
        <f>IF(B802="","",IFERROR(VLOOKUP(B802,'Vendors &amp; Crew'!$A$5:$D$34,4,FALSE),0))</f>
        <v/>
      </c>
      <c r="J802" s="39">
        <f>IF(B802="","",E802*I802)</f>
        <v/>
      </c>
      <c r="K802" s="59">
        <f>IF(A802="","",A802-WEEKDAY(A802,2)+7)</f>
        <v/>
      </c>
      <c r="L802" s="9">
        <f>IF(B802="","",IF(D802="","Labor",IFERROR(VLOOKUP(D802,Settings!$E$5:$G$28,3,FALSE),"Labor")))</f>
        <v/>
      </c>
      <c r="M802" s="9">
        <f>IF(B802="","",IF(COUNTIF('Vendors &amp; Crew'!$A$5:$A$34,B802)=0,"Worker not in Crew table",IF(C802="","Missing Job ID",IF(COUNTIF(Jobs!$A$5:$A$44,C802)=0,"Unknown Job ID",IF(E802="","Missing hours",IF(A802="","Missing date",""))))))</f>
        <v/>
      </c>
      <c r="N802" s="35" t="n"/>
    </row>
    <row r="803">
      <c r="A803" s="40" t="n"/>
      <c r="B803" s="35" t="n"/>
      <c r="C803" s="35" t="n"/>
      <c r="D803" s="35" t="n"/>
      <c r="E803" s="61" t="n"/>
      <c r="F803" s="37" t="n"/>
      <c r="G803" s="39">
        <f>IF(B803="","",IF(F803&lt;&gt;"",F803,IFERROR(VLOOKUP(B803,'Vendors &amp; Crew'!$A$5:$D$34,3,FALSE),0)))</f>
        <v/>
      </c>
      <c r="H803" s="39">
        <f>IF(B803="","",E803*G803*(1+Settings!$B$18))</f>
        <v/>
      </c>
      <c r="I803" s="39">
        <f>IF(B803="","",IFERROR(VLOOKUP(B803,'Vendors &amp; Crew'!$A$5:$D$34,4,FALSE),0))</f>
        <v/>
      </c>
      <c r="J803" s="39">
        <f>IF(B803="","",E803*I803)</f>
        <v/>
      </c>
      <c r="K803" s="59">
        <f>IF(A803="","",A803-WEEKDAY(A803,2)+7)</f>
        <v/>
      </c>
      <c r="L803" s="9">
        <f>IF(B803="","",IF(D803="","Labor",IFERROR(VLOOKUP(D803,Settings!$E$5:$G$28,3,FALSE),"Labor")))</f>
        <v/>
      </c>
      <c r="M803" s="9">
        <f>IF(B803="","",IF(COUNTIF('Vendors &amp; Crew'!$A$5:$A$34,B803)=0,"Worker not in Crew table",IF(C803="","Missing Job ID",IF(COUNTIF(Jobs!$A$5:$A$44,C803)=0,"Unknown Job ID",IF(E803="","Missing hours",IF(A803="","Missing date",""))))))</f>
        <v/>
      </c>
      <c r="N803" s="35" t="n"/>
    </row>
    <row r="804">
      <c r="A804" s="40" t="n"/>
      <c r="B804" s="35" t="n"/>
      <c r="C804" s="35" t="n"/>
      <c r="D804" s="35" t="n"/>
      <c r="E804" s="61" t="n"/>
      <c r="F804" s="37" t="n"/>
      <c r="G804" s="39">
        <f>IF(B804="","",IF(F804&lt;&gt;"",F804,IFERROR(VLOOKUP(B804,'Vendors &amp; Crew'!$A$5:$D$34,3,FALSE),0)))</f>
        <v/>
      </c>
      <c r="H804" s="39">
        <f>IF(B804="","",E804*G804*(1+Settings!$B$18))</f>
        <v/>
      </c>
      <c r="I804" s="39">
        <f>IF(B804="","",IFERROR(VLOOKUP(B804,'Vendors &amp; Crew'!$A$5:$D$34,4,FALSE),0))</f>
        <v/>
      </c>
      <c r="J804" s="39">
        <f>IF(B804="","",E804*I804)</f>
        <v/>
      </c>
      <c r="K804" s="59">
        <f>IF(A804="","",A804-WEEKDAY(A804,2)+7)</f>
        <v/>
      </c>
      <c r="L804" s="9">
        <f>IF(B804="","",IF(D804="","Labor",IFERROR(VLOOKUP(D804,Settings!$E$5:$G$28,3,FALSE),"Labor")))</f>
        <v/>
      </c>
      <c r="M804" s="9">
        <f>IF(B804="","",IF(COUNTIF('Vendors &amp; Crew'!$A$5:$A$34,B804)=0,"Worker not in Crew table",IF(C804="","Missing Job ID",IF(COUNTIF(Jobs!$A$5:$A$44,C804)=0,"Unknown Job ID",IF(E804="","Missing hours",IF(A804="","Missing date",""))))))</f>
        <v/>
      </c>
      <c r="N804" s="35" t="n"/>
    </row>
    <row r="805">
      <c r="A805" s="40" t="n"/>
      <c r="B805" s="35" t="n"/>
      <c r="C805" s="35" t="n"/>
      <c r="D805" s="35" t="n"/>
      <c r="E805" s="61" t="n"/>
      <c r="F805" s="37" t="n"/>
      <c r="G805" s="39">
        <f>IF(B805="","",IF(F805&lt;&gt;"",F805,IFERROR(VLOOKUP(B805,'Vendors &amp; Crew'!$A$5:$D$34,3,FALSE),0)))</f>
        <v/>
      </c>
      <c r="H805" s="39">
        <f>IF(B805="","",E805*G805*(1+Settings!$B$18))</f>
        <v/>
      </c>
      <c r="I805" s="39">
        <f>IF(B805="","",IFERROR(VLOOKUP(B805,'Vendors &amp; Crew'!$A$5:$D$34,4,FALSE),0))</f>
        <v/>
      </c>
      <c r="J805" s="39">
        <f>IF(B805="","",E805*I805)</f>
        <v/>
      </c>
      <c r="K805" s="59">
        <f>IF(A805="","",A805-WEEKDAY(A805,2)+7)</f>
        <v/>
      </c>
      <c r="L805" s="9">
        <f>IF(B805="","",IF(D805="","Labor",IFERROR(VLOOKUP(D805,Settings!$E$5:$G$28,3,FALSE),"Labor")))</f>
        <v/>
      </c>
      <c r="M805" s="9">
        <f>IF(B805="","",IF(COUNTIF('Vendors &amp; Crew'!$A$5:$A$34,B805)=0,"Worker not in Crew table",IF(C805="","Missing Job ID",IF(COUNTIF(Jobs!$A$5:$A$44,C805)=0,"Unknown Job ID",IF(E805="","Missing hours",IF(A805="","Missing date",""))))))</f>
        <v/>
      </c>
      <c r="N805" s="35" t="n"/>
    </row>
    <row r="806">
      <c r="A806" s="40" t="n"/>
      <c r="B806" s="35" t="n"/>
      <c r="C806" s="35" t="n"/>
      <c r="D806" s="35" t="n"/>
      <c r="E806" s="61" t="n"/>
      <c r="F806" s="37" t="n"/>
      <c r="G806" s="39">
        <f>IF(B806="","",IF(F806&lt;&gt;"",F806,IFERROR(VLOOKUP(B806,'Vendors &amp; Crew'!$A$5:$D$34,3,FALSE),0)))</f>
        <v/>
      </c>
      <c r="H806" s="39">
        <f>IF(B806="","",E806*G806*(1+Settings!$B$18))</f>
        <v/>
      </c>
      <c r="I806" s="39">
        <f>IF(B806="","",IFERROR(VLOOKUP(B806,'Vendors &amp; Crew'!$A$5:$D$34,4,FALSE),0))</f>
        <v/>
      </c>
      <c r="J806" s="39">
        <f>IF(B806="","",E806*I806)</f>
        <v/>
      </c>
      <c r="K806" s="59">
        <f>IF(A806="","",A806-WEEKDAY(A806,2)+7)</f>
        <v/>
      </c>
      <c r="L806" s="9">
        <f>IF(B806="","",IF(D806="","Labor",IFERROR(VLOOKUP(D806,Settings!$E$5:$G$28,3,FALSE),"Labor")))</f>
        <v/>
      </c>
      <c r="M806" s="9">
        <f>IF(B806="","",IF(COUNTIF('Vendors &amp; Crew'!$A$5:$A$34,B806)=0,"Worker not in Crew table",IF(C806="","Missing Job ID",IF(COUNTIF(Jobs!$A$5:$A$44,C806)=0,"Unknown Job ID",IF(E806="","Missing hours",IF(A806="","Missing date",""))))))</f>
        <v/>
      </c>
      <c r="N806" s="35" t="n"/>
    </row>
    <row r="807">
      <c r="A807" s="40" t="n"/>
      <c r="B807" s="35" t="n"/>
      <c r="C807" s="35" t="n"/>
      <c r="D807" s="35" t="n"/>
      <c r="E807" s="61" t="n"/>
      <c r="F807" s="37" t="n"/>
      <c r="G807" s="39">
        <f>IF(B807="","",IF(F807&lt;&gt;"",F807,IFERROR(VLOOKUP(B807,'Vendors &amp; Crew'!$A$5:$D$34,3,FALSE),0)))</f>
        <v/>
      </c>
      <c r="H807" s="39">
        <f>IF(B807="","",E807*G807*(1+Settings!$B$18))</f>
        <v/>
      </c>
      <c r="I807" s="39">
        <f>IF(B807="","",IFERROR(VLOOKUP(B807,'Vendors &amp; Crew'!$A$5:$D$34,4,FALSE),0))</f>
        <v/>
      </c>
      <c r="J807" s="39">
        <f>IF(B807="","",E807*I807)</f>
        <v/>
      </c>
      <c r="K807" s="59">
        <f>IF(A807="","",A807-WEEKDAY(A807,2)+7)</f>
        <v/>
      </c>
      <c r="L807" s="9">
        <f>IF(B807="","",IF(D807="","Labor",IFERROR(VLOOKUP(D807,Settings!$E$5:$G$28,3,FALSE),"Labor")))</f>
        <v/>
      </c>
      <c r="M807" s="9">
        <f>IF(B807="","",IF(COUNTIF('Vendors &amp; Crew'!$A$5:$A$34,B807)=0,"Worker not in Crew table",IF(C807="","Missing Job ID",IF(COUNTIF(Jobs!$A$5:$A$44,C807)=0,"Unknown Job ID",IF(E807="","Missing hours",IF(A807="","Missing date",""))))))</f>
        <v/>
      </c>
      <c r="N807" s="35" t="n"/>
    </row>
    <row r="808">
      <c r="A808" s="40" t="n"/>
      <c r="B808" s="35" t="n"/>
      <c r="C808" s="35" t="n"/>
      <c r="D808" s="35" t="n"/>
      <c r="E808" s="61" t="n"/>
      <c r="F808" s="37" t="n"/>
      <c r="G808" s="39">
        <f>IF(B808="","",IF(F808&lt;&gt;"",F808,IFERROR(VLOOKUP(B808,'Vendors &amp; Crew'!$A$5:$D$34,3,FALSE),0)))</f>
        <v/>
      </c>
      <c r="H808" s="39">
        <f>IF(B808="","",E808*G808*(1+Settings!$B$18))</f>
        <v/>
      </c>
      <c r="I808" s="39">
        <f>IF(B808="","",IFERROR(VLOOKUP(B808,'Vendors &amp; Crew'!$A$5:$D$34,4,FALSE),0))</f>
        <v/>
      </c>
      <c r="J808" s="39">
        <f>IF(B808="","",E808*I808)</f>
        <v/>
      </c>
      <c r="K808" s="59">
        <f>IF(A808="","",A808-WEEKDAY(A808,2)+7)</f>
        <v/>
      </c>
      <c r="L808" s="9">
        <f>IF(B808="","",IF(D808="","Labor",IFERROR(VLOOKUP(D808,Settings!$E$5:$G$28,3,FALSE),"Labor")))</f>
        <v/>
      </c>
      <c r="M808" s="9">
        <f>IF(B808="","",IF(COUNTIF('Vendors &amp; Crew'!$A$5:$A$34,B808)=0,"Worker not in Crew table",IF(C808="","Missing Job ID",IF(COUNTIF(Jobs!$A$5:$A$44,C808)=0,"Unknown Job ID",IF(E808="","Missing hours",IF(A808="","Missing date",""))))))</f>
        <v/>
      </c>
      <c r="N808" s="35" t="n"/>
    </row>
    <row r="809">
      <c r="A809" s="40" t="n"/>
      <c r="B809" s="35" t="n"/>
      <c r="C809" s="35" t="n"/>
      <c r="D809" s="35" t="n"/>
      <c r="E809" s="61" t="n"/>
      <c r="F809" s="37" t="n"/>
      <c r="G809" s="39">
        <f>IF(B809="","",IF(F809&lt;&gt;"",F809,IFERROR(VLOOKUP(B809,'Vendors &amp; Crew'!$A$5:$D$34,3,FALSE),0)))</f>
        <v/>
      </c>
      <c r="H809" s="39">
        <f>IF(B809="","",E809*G809*(1+Settings!$B$18))</f>
        <v/>
      </c>
      <c r="I809" s="39">
        <f>IF(B809="","",IFERROR(VLOOKUP(B809,'Vendors &amp; Crew'!$A$5:$D$34,4,FALSE),0))</f>
        <v/>
      </c>
      <c r="J809" s="39">
        <f>IF(B809="","",E809*I809)</f>
        <v/>
      </c>
      <c r="K809" s="59">
        <f>IF(A809="","",A809-WEEKDAY(A809,2)+7)</f>
        <v/>
      </c>
      <c r="L809" s="9">
        <f>IF(B809="","",IF(D809="","Labor",IFERROR(VLOOKUP(D809,Settings!$E$5:$G$28,3,FALSE),"Labor")))</f>
        <v/>
      </c>
      <c r="M809" s="9">
        <f>IF(B809="","",IF(COUNTIF('Vendors &amp; Crew'!$A$5:$A$34,B809)=0,"Worker not in Crew table",IF(C809="","Missing Job ID",IF(COUNTIF(Jobs!$A$5:$A$44,C809)=0,"Unknown Job ID",IF(E809="","Missing hours",IF(A809="","Missing date",""))))))</f>
        <v/>
      </c>
      <c r="N809" s="35" t="n"/>
    </row>
    <row r="810">
      <c r="A810" s="40" t="n"/>
      <c r="B810" s="35" t="n"/>
      <c r="C810" s="35" t="n"/>
      <c r="D810" s="35" t="n"/>
      <c r="E810" s="61" t="n"/>
      <c r="F810" s="37" t="n"/>
      <c r="G810" s="39">
        <f>IF(B810="","",IF(F810&lt;&gt;"",F810,IFERROR(VLOOKUP(B810,'Vendors &amp; Crew'!$A$5:$D$34,3,FALSE),0)))</f>
        <v/>
      </c>
      <c r="H810" s="39">
        <f>IF(B810="","",E810*G810*(1+Settings!$B$18))</f>
        <v/>
      </c>
      <c r="I810" s="39">
        <f>IF(B810="","",IFERROR(VLOOKUP(B810,'Vendors &amp; Crew'!$A$5:$D$34,4,FALSE),0))</f>
        <v/>
      </c>
      <c r="J810" s="39">
        <f>IF(B810="","",E810*I810)</f>
        <v/>
      </c>
      <c r="K810" s="59">
        <f>IF(A810="","",A810-WEEKDAY(A810,2)+7)</f>
        <v/>
      </c>
      <c r="L810" s="9">
        <f>IF(B810="","",IF(D810="","Labor",IFERROR(VLOOKUP(D810,Settings!$E$5:$G$28,3,FALSE),"Labor")))</f>
        <v/>
      </c>
      <c r="M810" s="9">
        <f>IF(B810="","",IF(COUNTIF('Vendors &amp; Crew'!$A$5:$A$34,B810)=0,"Worker not in Crew table",IF(C810="","Missing Job ID",IF(COUNTIF(Jobs!$A$5:$A$44,C810)=0,"Unknown Job ID",IF(E810="","Missing hours",IF(A810="","Missing date",""))))))</f>
        <v/>
      </c>
      <c r="N810" s="35" t="n"/>
    </row>
    <row r="811">
      <c r="A811" s="40" t="n"/>
      <c r="B811" s="35" t="n"/>
      <c r="C811" s="35" t="n"/>
      <c r="D811" s="35" t="n"/>
      <c r="E811" s="61" t="n"/>
      <c r="F811" s="37" t="n"/>
      <c r="G811" s="39">
        <f>IF(B811="","",IF(F811&lt;&gt;"",F811,IFERROR(VLOOKUP(B811,'Vendors &amp; Crew'!$A$5:$D$34,3,FALSE),0)))</f>
        <v/>
      </c>
      <c r="H811" s="39">
        <f>IF(B811="","",E811*G811*(1+Settings!$B$18))</f>
        <v/>
      </c>
      <c r="I811" s="39">
        <f>IF(B811="","",IFERROR(VLOOKUP(B811,'Vendors &amp; Crew'!$A$5:$D$34,4,FALSE),0))</f>
        <v/>
      </c>
      <c r="J811" s="39">
        <f>IF(B811="","",E811*I811)</f>
        <v/>
      </c>
      <c r="K811" s="59">
        <f>IF(A811="","",A811-WEEKDAY(A811,2)+7)</f>
        <v/>
      </c>
      <c r="L811" s="9">
        <f>IF(B811="","",IF(D811="","Labor",IFERROR(VLOOKUP(D811,Settings!$E$5:$G$28,3,FALSE),"Labor")))</f>
        <v/>
      </c>
      <c r="M811" s="9">
        <f>IF(B811="","",IF(COUNTIF('Vendors &amp; Crew'!$A$5:$A$34,B811)=0,"Worker not in Crew table",IF(C811="","Missing Job ID",IF(COUNTIF(Jobs!$A$5:$A$44,C811)=0,"Unknown Job ID",IF(E811="","Missing hours",IF(A811="","Missing date",""))))))</f>
        <v/>
      </c>
      <c r="N811" s="35" t="n"/>
    </row>
    <row r="812">
      <c r="A812" s="40" t="n"/>
      <c r="B812" s="35" t="n"/>
      <c r="C812" s="35" t="n"/>
      <c r="D812" s="35" t="n"/>
      <c r="E812" s="61" t="n"/>
      <c r="F812" s="37" t="n"/>
      <c r="G812" s="39">
        <f>IF(B812="","",IF(F812&lt;&gt;"",F812,IFERROR(VLOOKUP(B812,'Vendors &amp; Crew'!$A$5:$D$34,3,FALSE),0)))</f>
        <v/>
      </c>
      <c r="H812" s="39">
        <f>IF(B812="","",E812*G812*(1+Settings!$B$18))</f>
        <v/>
      </c>
      <c r="I812" s="39">
        <f>IF(B812="","",IFERROR(VLOOKUP(B812,'Vendors &amp; Crew'!$A$5:$D$34,4,FALSE),0))</f>
        <v/>
      </c>
      <c r="J812" s="39">
        <f>IF(B812="","",E812*I812)</f>
        <v/>
      </c>
      <c r="K812" s="59">
        <f>IF(A812="","",A812-WEEKDAY(A812,2)+7)</f>
        <v/>
      </c>
      <c r="L812" s="9">
        <f>IF(B812="","",IF(D812="","Labor",IFERROR(VLOOKUP(D812,Settings!$E$5:$G$28,3,FALSE),"Labor")))</f>
        <v/>
      </c>
      <c r="M812" s="9">
        <f>IF(B812="","",IF(COUNTIF('Vendors &amp; Crew'!$A$5:$A$34,B812)=0,"Worker not in Crew table",IF(C812="","Missing Job ID",IF(COUNTIF(Jobs!$A$5:$A$44,C812)=0,"Unknown Job ID",IF(E812="","Missing hours",IF(A812="","Missing date",""))))))</f>
        <v/>
      </c>
      <c r="N812" s="35" t="n"/>
    </row>
    <row r="813">
      <c r="A813" s="40" t="n"/>
      <c r="B813" s="35" t="n"/>
      <c r="C813" s="35" t="n"/>
      <c r="D813" s="35" t="n"/>
      <c r="E813" s="61" t="n"/>
      <c r="F813" s="37" t="n"/>
      <c r="G813" s="39">
        <f>IF(B813="","",IF(F813&lt;&gt;"",F813,IFERROR(VLOOKUP(B813,'Vendors &amp; Crew'!$A$5:$D$34,3,FALSE),0)))</f>
        <v/>
      </c>
      <c r="H813" s="39">
        <f>IF(B813="","",E813*G813*(1+Settings!$B$18))</f>
        <v/>
      </c>
      <c r="I813" s="39">
        <f>IF(B813="","",IFERROR(VLOOKUP(B813,'Vendors &amp; Crew'!$A$5:$D$34,4,FALSE),0))</f>
        <v/>
      </c>
      <c r="J813" s="39">
        <f>IF(B813="","",E813*I813)</f>
        <v/>
      </c>
      <c r="K813" s="59">
        <f>IF(A813="","",A813-WEEKDAY(A813,2)+7)</f>
        <v/>
      </c>
      <c r="L813" s="9">
        <f>IF(B813="","",IF(D813="","Labor",IFERROR(VLOOKUP(D813,Settings!$E$5:$G$28,3,FALSE),"Labor")))</f>
        <v/>
      </c>
      <c r="M813" s="9">
        <f>IF(B813="","",IF(COUNTIF('Vendors &amp; Crew'!$A$5:$A$34,B813)=0,"Worker not in Crew table",IF(C813="","Missing Job ID",IF(COUNTIF(Jobs!$A$5:$A$44,C813)=0,"Unknown Job ID",IF(E813="","Missing hours",IF(A813="","Missing date",""))))))</f>
        <v/>
      </c>
      <c r="N813" s="35" t="n"/>
    </row>
    <row r="814">
      <c r="A814" s="40" t="n"/>
      <c r="B814" s="35" t="n"/>
      <c r="C814" s="35" t="n"/>
      <c r="D814" s="35" t="n"/>
      <c r="E814" s="61" t="n"/>
      <c r="F814" s="37" t="n"/>
      <c r="G814" s="39">
        <f>IF(B814="","",IF(F814&lt;&gt;"",F814,IFERROR(VLOOKUP(B814,'Vendors &amp; Crew'!$A$5:$D$34,3,FALSE),0)))</f>
        <v/>
      </c>
      <c r="H814" s="39">
        <f>IF(B814="","",E814*G814*(1+Settings!$B$18))</f>
        <v/>
      </c>
      <c r="I814" s="39">
        <f>IF(B814="","",IFERROR(VLOOKUP(B814,'Vendors &amp; Crew'!$A$5:$D$34,4,FALSE),0))</f>
        <v/>
      </c>
      <c r="J814" s="39">
        <f>IF(B814="","",E814*I814)</f>
        <v/>
      </c>
      <c r="K814" s="59">
        <f>IF(A814="","",A814-WEEKDAY(A814,2)+7)</f>
        <v/>
      </c>
      <c r="L814" s="9">
        <f>IF(B814="","",IF(D814="","Labor",IFERROR(VLOOKUP(D814,Settings!$E$5:$G$28,3,FALSE),"Labor")))</f>
        <v/>
      </c>
      <c r="M814" s="9">
        <f>IF(B814="","",IF(COUNTIF('Vendors &amp; Crew'!$A$5:$A$34,B814)=0,"Worker not in Crew table",IF(C814="","Missing Job ID",IF(COUNTIF(Jobs!$A$5:$A$44,C814)=0,"Unknown Job ID",IF(E814="","Missing hours",IF(A814="","Missing date",""))))))</f>
        <v/>
      </c>
      <c r="N814" s="35" t="n"/>
    </row>
    <row r="815">
      <c r="A815" s="40" t="n"/>
      <c r="B815" s="35" t="n"/>
      <c r="C815" s="35" t="n"/>
      <c r="D815" s="35" t="n"/>
      <c r="E815" s="61" t="n"/>
      <c r="F815" s="37" t="n"/>
      <c r="G815" s="39">
        <f>IF(B815="","",IF(F815&lt;&gt;"",F815,IFERROR(VLOOKUP(B815,'Vendors &amp; Crew'!$A$5:$D$34,3,FALSE),0)))</f>
        <v/>
      </c>
      <c r="H815" s="39">
        <f>IF(B815="","",E815*G815*(1+Settings!$B$18))</f>
        <v/>
      </c>
      <c r="I815" s="39">
        <f>IF(B815="","",IFERROR(VLOOKUP(B815,'Vendors &amp; Crew'!$A$5:$D$34,4,FALSE),0))</f>
        <v/>
      </c>
      <c r="J815" s="39">
        <f>IF(B815="","",E815*I815)</f>
        <v/>
      </c>
      <c r="K815" s="59">
        <f>IF(A815="","",A815-WEEKDAY(A815,2)+7)</f>
        <v/>
      </c>
      <c r="L815" s="9">
        <f>IF(B815="","",IF(D815="","Labor",IFERROR(VLOOKUP(D815,Settings!$E$5:$G$28,3,FALSE),"Labor")))</f>
        <v/>
      </c>
      <c r="M815" s="9">
        <f>IF(B815="","",IF(COUNTIF('Vendors &amp; Crew'!$A$5:$A$34,B815)=0,"Worker not in Crew table",IF(C815="","Missing Job ID",IF(COUNTIF(Jobs!$A$5:$A$44,C815)=0,"Unknown Job ID",IF(E815="","Missing hours",IF(A815="","Missing date",""))))))</f>
        <v/>
      </c>
      <c r="N815" s="35" t="n"/>
    </row>
    <row r="816">
      <c r="A816" s="40" t="n"/>
      <c r="B816" s="35" t="n"/>
      <c r="C816" s="35" t="n"/>
      <c r="D816" s="35" t="n"/>
      <c r="E816" s="61" t="n"/>
      <c r="F816" s="37" t="n"/>
      <c r="G816" s="39">
        <f>IF(B816="","",IF(F816&lt;&gt;"",F816,IFERROR(VLOOKUP(B816,'Vendors &amp; Crew'!$A$5:$D$34,3,FALSE),0)))</f>
        <v/>
      </c>
      <c r="H816" s="39">
        <f>IF(B816="","",E816*G816*(1+Settings!$B$18))</f>
        <v/>
      </c>
      <c r="I816" s="39">
        <f>IF(B816="","",IFERROR(VLOOKUP(B816,'Vendors &amp; Crew'!$A$5:$D$34,4,FALSE),0))</f>
        <v/>
      </c>
      <c r="J816" s="39">
        <f>IF(B816="","",E816*I816)</f>
        <v/>
      </c>
      <c r="K816" s="59">
        <f>IF(A816="","",A816-WEEKDAY(A816,2)+7)</f>
        <v/>
      </c>
      <c r="L816" s="9">
        <f>IF(B816="","",IF(D816="","Labor",IFERROR(VLOOKUP(D816,Settings!$E$5:$G$28,3,FALSE),"Labor")))</f>
        <v/>
      </c>
      <c r="M816" s="9">
        <f>IF(B816="","",IF(COUNTIF('Vendors &amp; Crew'!$A$5:$A$34,B816)=0,"Worker not in Crew table",IF(C816="","Missing Job ID",IF(COUNTIF(Jobs!$A$5:$A$44,C816)=0,"Unknown Job ID",IF(E816="","Missing hours",IF(A816="","Missing date",""))))))</f>
        <v/>
      </c>
      <c r="N816" s="35" t="n"/>
    </row>
    <row r="817">
      <c r="A817" s="40" t="n"/>
      <c r="B817" s="35" t="n"/>
      <c r="C817" s="35" t="n"/>
      <c r="D817" s="35" t="n"/>
      <c r="E817" s="61" t="n"/>
      <c r="F817" s="37" t="n"/>
      <c r="G817" s="39">
        <f>IF(B817="","",IF(F817&lt;&gt;"",F817,IFERROR(VLOOKUP(B817,'Vendors &amp; Crew'!$A$5:$D$34,3,FALSE),0)))</f>
        <v/>
      </c>
      <c r="H817" s="39">
        <f>IF(B817="","",E817*G817*(1+Settings!$B$18))</f>
        <v/>
      </c>
      <c r="I817" s="39">
        <f>IF(B817="","",IFERROR(VLOOKUP(B817,'Vendors &amp; Crew'!$A$5:$D$34,4,FALSE),0))</f>
        <v/>
      </c>
      <c r="J817" s="39">
        <f>IF(B817="","",E817*I817)</f>
        <v/>
      </c>
      <c r="K817" s="59">
        <f>IF(A817="","",A817-WEEKDAY(A817,2)+7)</f>
        <v/>
      </c>
      <c r="L817" s="9">
        <f>IF(B817="","",IF(D817="","Labor",IFERROR(VLOOKUP(D817,Settings!$E$5:$G$28,3,FALSE),"Labor")))</f>
        <v/>
      </c>
      <c r="M817" s="9">
        <f>IF(B817="","",IF(COUNTIF('Vendors &amp; Crew'!$A$5:$A$34,B817)=0,"Worker not in Crew table",IF(C817="","Missing Job ID",IF(COUNTIF(Jobs!$A$5:$A$44,C817)=0,"Unknown Job ID",IF(E817="","Missing hours",IF(A817="","Missing date",""))))))</f>
        <v/>
      </c>
      <c r="N817" s="35" t="n"/>
    </row>
    <row r="818">
      <c r="A818" s="40" t="n"/>
      <c r="B818" s="35" t="n"/>
      <c r="C818" s="35" t="n"/>
      <c r="D818" s="35" t="n"/>
      <c r="E818" s="61" t="n"/>
      <c r="F818" s="37" t="n"/>
      <c r="G818" s="39">
        <f>IF(B818="","",IF(F818&lt;&gt;"",F818,IFERROR(VLOOKUP(B818,'Vendors &amp; Crew'!$A$5:$D$34,3,FALSE),0)))</f>
        <v/>
      </c>
      <c r="H818" s="39">
        <f>IF(B818="","",E818*G818*(1+Settings!$B$18))</f>
        <v/>
      </c>
      <c r="I818" s="39">
        <f>IF(B818="","",IFERROR(VLOOKUP(B818,'Vendors &amp; Crew'!$A$5:$D$34,4,FALSE),0))</f>
        <v/>
      </c>
      <c r="J818" s="39">
        <f>IF(B818="","",E818*I818)</f>
        <v/>
      </c>
      <c r="K818" s="59">
        <f>IF(A818="","",A818-WEEKDAY(A818,2)+7)</f>
        <v/>
      </c>
      <c r="L818" s="9">
        <f>IF(B818="","",IF(D818="","Labor",IFERROR(VLOOKUP(D818,Settings!$E$5:$G$28,3,FALSE),"Labor")))</f>
        <v/>
      </c>
      <c r="M818" s="9">
        <f>IF(B818="","",IF(COUNTIF('Vendors &amp; Crew'!$A$5:$A$34,B818)=0,"Worker not in Crew table",IF(C818="","Missing Job ID",IF(COUNTIF(Jobs!$A$5:$A$44,C818)=0,"Unknown Job ID",IF(E818="","Missing hours",IF(A818="","Missing date",""))))))</f>
        <v/>
      </c>
      <c r="N818" s="35" t="n"/>
    </row>
    <row r="819">
      <c r="A819" s="40" t="n"/>
      <c r="B819" s="35" t="n"/>
      <c r="C819" s="35" t="n"/>
      <c r="D819" s="35" t="n"/>
      <c r="E819" s="61" t="n"/>
      <c r="F819" s="37" t="n"/>
      <c r="G819" s="39">
        <f>IF(B819="","",IF(F819&lt;&gt;"",F819,IFERROR(VLOOKUP(B819,'Vendors &amp; Crew'!$A$5:$D$34,3,FALSE),0)))</f>
        <v/>
      </c>
      <c r="H819" s="39">
        <f>IF(B819="","",E819*G819*(1+Settings!$B$18))</f>
        <v/>
      </c>
      <c r="I819" s="39">
        <f>IF(B819="","",IFERROR(VLOOKUP(B819,'Vendors &amp; Crew'!$A$5:$D$34,4,FALSE),0))</f>
        <v/>
      </c>
      <c r="J819" s="39">
        <f>IF(B819="","",E819*I819)</f>
        <v/>
      </c>
      <c r="K819" s="59">
        <f>IF(A819="","",A819-WEEKDAY(A819,2)+7)</f>
        <v/>
      </c>
      <c r="L819" s="9">
        <f>IF(B819="","",IF(D819="","Labor",IFERROR(VLOOKUP(D819,Settings!$E$5:$G$28,3,FALSE),"Labor")))</f>
        <v/>
      </c>
      <c r="M819" s="9">
        <f>IF(B819="","",IF(COUNTIF('Vendors &amp; Crew'!$A$5:$A$34,B819)=0,"Worker not in Crew table",IF(C819="","Missing Job ID",IF(COUNTIF(Jobs!$A$5:$A$44,C819)=0,"Unknown Job ID",IF(E819="","Missing hours",IF(A819="","Missing date",""))))))</f>
        <v/>
      </c>
      <c r="N819" s="35" t="n"/>
    </row>
    <row r="820">
      <c r="A820" s="40" t="n"/>
      <c r="B820" s="35" t="n"/>
      <c r="C820" s="35" t="n"/>
      <c r="D820" s="35" t="n"/>
      <c r="E820" s="61" t="n"/>
      <c r="F820" s="37" t="n"/>
      <c r="G820" s="39">
        <f>IF(B820="","",IF(F820&lt;&gt;"",F820,IFERROR(VLOOKUP(B820,'Vendors &amp; Crew'!$A$5:$D$34,3,FALSE),0)))</f>
        <v/>
      </c>
      <c r="H820" s="39">
        <f>IF(B820="","",E820*G820*(1+Settings!$B$18))</f>
        <v/>
      </c>
      <c r="I820" s="39">
        <f>IF(B820="","",IFERROR(VLOOKUP(B820,'Vendors &amp; Crew'!$A$5:$D$34,4,FALSE),0))</f>
        <v/>
      </c>
      <c r="J820" s="39">
        <f>IF(B820="","",E820*I820)</f>
        <v/>
      </c>
      <c r="K820" s="59">
        <f>IF(A820="","",A820-WEEKDAY(A820,2)+7)</f>
        <v/>
      </c>
      <c r="L820" s="9">
        <f>IF(B820="","",IF(D820="","Labor",IFERROR(VLOOKUP(D820,Settings!$E$5:$G$28,3,FALSE),"Labor")))</f>
        <v/>
      </c>
      <c r="M820" s="9">
        <f>IF(B820="","",IF(COUNTIF('Vendors &amp; Crew'!$A$5:$A$34,B820)=0,"Worker not in Crew table",IF(C820="","Missing Job ID",IF(COUNTIF(Jobs!$A$5:$A$44,C820)=0,"Unknown Job ID",IF(E820="","Missing hours",IF(A820="","Missing date",""))))))</f>
        <v/>
      </c>
      <c r="N820" s="35" t="n"/>
    </row>
    <row r="821">
      <c r="A821" s="40" t="n"/>
      <c r="B821" s="35" t="n"/>
      <c r="C821" s="35" t="n"/>
      <c r="D821" s="35" t="n"/>
      <c r="E821" s="61" t="n"/>
      <c r="F821" s="37" t="n"/>
      <c r="G821" s="39">
        <f>IF(B821="","",IF(F821&lt;&gt;"",F821,IFERROR(VLOOKUP(B821,'Vendors &amp; Crew'!$A$5:$D$34,3,FALSE),0)))</f>
        <v/>
      </c>
      <c r="H821" s="39">
        <f>IF(B821="","",E821*G821*(1+Settings!$B$18))</f>
        <v/>
      </c>
      <c r="I821" s="39">
        <f>IF(B821="","",IFERROR(VLOOKUP(B821,'Vendors &amp; Crew'!$A$5:$D$34,4,FALSE),0))</f>
        <v/>
      </c>
      <c r="J821" s="39">
        <f>IF(B821="","",E821*I821)</f>
        <v/>
      </c>
      <c r="K821" s="59">
        <f>IF(A821="","",A821-WEEKDAY(A821,2)+7)</f>
        <v/>
      </c>
      <c r="L821" s="9">
        <f>IF(B821="","",IF(D821="","Labor",IFERROR(VLOOKUP(D821,Settings!$E$5:$G$28,3,FALSE),"Labor")))</f>
        <v/>
      </c>
      <c r="M821" s="9">
        <f>IF(B821="","",IF(COUNTIF('Vendors &amp; Crew'!$A$5:$A$34,B821)=0,"Worker not in Crew table",IF(C821="","Missing Job ID",IF(COUNTIF(Jobs!$A$5:$A$44,C821)=0,"Unknown Job ID",IF(E821="","Missing hours",IF(A821="","Missing date",""))))))</f>
        <v/>
      </c>
      <c r="N821" s="35" t="n"/>
    </row>
    <row r="822">
      <c r="A822" s="40" t="n"/>
      <c r="B822" s="35" t="n"/>
      <c r="C822" s="35" t="n"/>
      <c r="D822" s="35" t="n"/>
      <c r="E822" s="61" t="n"/>
      <c r="F822" s="37" t="n"/>
      <c r="G822" s="39">
        <f>IF(B822="","",IF(F822&lt;&gt;"",F822,IFERROR(VLOOKUP(B822,'Vendors &amp; Crew'!$A$5:$D$34,3,FALSE),0)))</f>
        <v/>
      </c>
      <c r="H822" s="39">
        <f>IF(B822="","",E822*G822*(1+Settings!$B$18))</f>
        <v/>
      </c>
      <c r="I822" s="39">
        <f>IF(B822="","",IFERROR(VLOOKUP(B822,'Vendors &amp; Crew'!$A$5:$D$34,4,FALSE),0))</f>
        <v/>
      </c>
      <c r="J822" s="39">
        <f>IF(B822="","",E822*I822)</f>
        <v/>
      </c>
      <c r="K822" s="59">
        <f>IF(A822="","",A822-WEEKDAY(A822,2)+7)</f>
        <v/>
      </c>
      <c r="L822" s="9">
        <f>IF(B822="","",IF(D822="","Labor",IFERROR(VLOOKUP(D822,Settings!$E$5:$G$28,3,FALSE),"Labor")))</f>
        <v/>
      </c>
      <c r="M822" s="9">
        <f>IF(B822="","",IF(COUNTIF('Vendors &amp; Crew'!$A$5:$A$34,B822)=0,"Worker not in Crew table",IF(C822="","Missing Job ID",IF(COUNTIF(Jobs!$A$5:$A$44,C822)=0,"Unknown Job ID",IF(E822="","Missing hours",IF(A822="","Missing date",""))))))</f>
        <v/>
      </c>
      <c r="N822" s="35" t="n"/>
    </row>
    <row r="823">
      <c r="A823" s="40" t="n"/>
      <c r="B823" s="35" t="n"/>
      <c r="C823" s="35" t="n"/>
      <c r="D823" s="35" t="n"/>
      <c r="E823" s="61" t="n"/>
      <c r="F823" s="37" t="n"/>
      <c r="G823" s="39">
        <f>IF(B823="","",IF(F823&lt;&gt;"",F823,IFERROR(VLOOKUP(B823,'Vendors &amp; Crew'!$A$5:$D$34,3,FALSE),0)))</f>
        <v/>
      </c>
      <c r="H823" s="39">
        <f>IF(B823="","",E823*G823*(1+Settings!$B$18))</f>
        <v/>
      </c>
      <c r="I823" s="39">
        <f>IF(B823="","",IFERROR(VLOOKUP(B823,'Vendors &amp; Crew'!$A$5:$D$34,4,FALSE),0))</f>
        <v/>
      </c>
      <c r="J823" s="39">
        <f>IF(B823="","",E823*I823)</f>
        <v/>
      </c>
      <c r="K823" s="59">
        <f>IF(A823="","",A823-WEEKDAY(A823,2)+7)</f>
        <v/>
      </c>
      <c r="L823" s="9">
        <f>IF(B823="","",IF(D823="","Labor",IFERROR(VLOOKUP(D823,Settings!$E$5:$G$28,3,FALSE),"Labor")))</f>
        <v/>
      </c>
      <c r="M823" s="9">
        <f>IF(B823="","",IF(COUNTIF('Vendors &amp; Crew'!$A$5:$A$34,B823)=0,"Worker not in Crew table",IF(C823="","Missing Job ID",IF(COUNTIF(Jobs!$A$5:$A$44,C823)=0,"Unknown Job ID",IF(E823="","Missing hours",IF(A823="","Missing date",""))))))</f>
        <v/>
      </c>
      <c r="N823" s="35" t="n"/>
    </row>
    <row r="824">
      <c r="A824" s="40" t="n"/>
      <c r="B824" s="35" t="n"/>
      <c r="C824" s="35" t="n"/>
      <c r="D824" s="35" t="n"/>
      <c r="E824" s="61" t="n"/>
      <c r="F824" s="37" t="n"/>
      <c r="G824" s="39">
        <f>IF(B824="","",IF(F824&lt;&gt;"",F824,IFERROR(VLOOKUP(B824,'Vendors &amp; Crew'!$A$5:$D$34,3,FALSE),0)))</f>
        <v/>
      </c>
      <c r="H824" s="39">
        <f>IF(B824="","",E824*G824*(1+Settings!$B$18))</f>
        <v/>
      </c>
      <c r="I824" s="39">
        <f>IF(B824="","",IFERROR(VLOOKUP(B824,'Vendors &amp; Crew'!$A$5:$D$34,4,FALSE),0))</f>
        <v/>
      </c>
      <c r="J824" s="39">
        <f>IF(B824="","",E824*I824)</f>
        <v/>
      </c>
      <c r="K824" s="59">
        <f>IF(A824="","",A824-WEEKDAY(A824,2)+7)</f>
        <v/>
      </c>
      <c r="L824" s="9">
        <f>IF(B824="","",IF(D824="","Labor",IFERROR(VLOOKUP(D824,Settings!$E$5:$G$28,3,FALSE),"Labor")))</f>
        <v/>
      </c>
      <c r="M824" s="9">
        <f>IF(B824="","",IF(COUNTIF('Vendors &amp; Crew'!$A$5:$A$34,B824)=0,"Worker not in Crew table",IF(C824="","Missing Job ID",IF(COUNTIF(Jobs!$A$5:$A$44,C824)=0,"Unknown Job ID",IF(E824="","Missing hours",IF(A824="","Missing date",""))))))</f>
        <v/>
      </c>
      <c r="N824" s="35" t="n"/>
    </row>
    <row r="825">
      <c r="A825" s="40" t="n"/>
      <c r="B825" s="35" t="n"/>
      <c r="C825" s="35" t="n"/>
      <c r="D825" s="35" t="n"/>
      <c r="E825" s="61" t="n"/>
      <c r="F825" s="37" t="n"/>
      <c r="G825" s="39">
        <f>IF(B825="","",IF(F825&lt;&gt;"",F825,IFERROR(VLOOKUP(B825,'Vendors &amp; Crew'!$A$5:$D$34,3,FALSE),0)))</f>
        <v/>
      </c>
      <c r="H825" s="39">
        <f>IF(B825="","",E825*G825*(1+Settings!$B$18))</f>
        <v/>
      </c>
      <c r="I825" s="39">
        <f>IF(B825="","",IFERROR(VLOOKUP(B825,'Vendors &amp; Crew'!$A$5:$D$34,4,FALSE),0))</f>
        <v/>
      </c>
      <c r="J825" s="39">
        <f>IF(B825="","",E825*I825)</f>
        <v/>
      </c>
      <c r="K825" s="59">
        <f>IF(A825="","",A825-WEEKDAY(A825,2)+7)</f>
        <v/>
      </c>
      <c r="L825" s="9">
        <f>IF(B825="","",IF(D825="","Labor",IFERROR(VLOOKUP(D825,Settings!$E$5:$G$28,3,FALSE),"Labor")))</f>
        <v/>
      </c>
      <c r="M825" s="9">
        <f>IF(B825="","",IF(COUNTIF('Vendors &amp; Crew'!$A$5:$A$34,B825)=0,"Worker not in Crew table",IF(C825="","Missing Job ID",IF(COUNTIF(Jobs!$A$5:$A$44,C825)=0,"Unknown Job ID",IF(E825="","Missing hours",IF(A825="","Missing date",""))))))</f>
        <v/>
      </c>
      <c r="N825" s="35" t="n"/>
    </row>
    <row r="826">
      <c r="A826" s="40" t="n"/>
      <c r="B826" s="35" t="n"/>
      <c r="C826" s="35" t="n"/>
      <c r="D826" s="35" t="n"/>
      <c r="E826" s="61" t="n"/>
      <c r="F826" s="37" t="n"/>
      <c r="G826" s="39">
        <f>IF(B826="","",IF(F826&lt;&gt;"",F826,IFERROR(VLOOKUP(B826,'Vendors &amp; Crew'!$A$5:$D$34,3,FALSE),0)))</f>
        <v/>
      </c>
      <c r="H826" s="39">
        <f>IF(B826="","",E826*G826*(1+Settings!$B$18))</f>
        <v/>
      </c>
      <c r="I826" s="39">
        <f>IF(B826="","",IFERROR(VLOOKUP(B826,'Vendors &amp; Crew'!$A$5:$D$34,4,FALSE),0))</f>
        <v/>
      </c>
      <c r="J826" s="39">
        <f>IF(B826="","",E826*I826)</f>
        <v/>
      </c>
      <c r="K826" s="59">
        <f>IF(A826="","",A826-WEEKDAY(A826,2)+7)</f>
        <v/>
      </c>
      <c r="L826" s="9">
        <f>IF(B826="","",IF(D826="","Labor",IFERROR(VLOOKUP(D826,Settings!$E$5:$G$28,3,FALSE),"Labor")))</f>
        <v/>
      </c>
      <c r="M826" s="9">
        <f>IF(B826="","",IF(COUNTIF('Vendors &amp; Crew'!$A$5:$A$34,B826)=0,"Worker not in Crew table",IF(C826="","Missing Job ID",IF(COUNTIF(Jobs!$A$5:$A$44,C826)=0,"Unknown Job ID",IF(E826="","Missing hours",IF(A826="","Missing date",""))))))</f>
        <v/>
      </c>
      <c r="N826" s="35" t="n"/>
    </row>
    <row r="827">
      <c r="A827" s="40" t="n"/>
      <c r="B827" s="35" t="n"/>
      <c r="C827" s="35" t="n"/>
      <c r="D827" s="35" t="n"/>
      <c r="E827" s="61" t="n"/>
      <c r="F827" s="37" t="n"/>
      <c r="G827" s="39">
        <f>IF(B827="","",IF(F827&lt;&gt;"",F827,IFERROR(VLOOKUP(B827,'Vendors &amp; Crew'!$A$5:$D$34,3,FALSE),0)))</f>
        <v/>
      </c>
      <c r="H827" s="39">
        <f>IF(B827="","",E827*G827*(1+Settings!$B$18))</f>
        <v/>
      </c>
      <c r="I827" s="39">
        <f>IF(B827="","",IFERROR(VLOOKUP(B827,'Vendors &amp; Crew'!$A$5:$D$34,4,FALSE),0))</f>
        <v/>
      </c>
      <c r="J827" s="39">
        <f>IF(B827="","",E827*I827)</f>
        <v/>
      </c>
      <c r="K827" s="59">
        <f>IF(A827="","",A827-WEEKDAY(A827,2)+7)</f>
        <v/>
      </c>
      <c r="L827" s="9">
        <f>IF(B827="","",IF(D827="","Labor",IFERROR(VLOOKUP(D827,Settings!$E$5:$G$28,3,FALSE),"Labor")))</f>
        <v/>
      </c>
      <c r="M827" s="9">
        <f>IF(B827="","",IF(COUNTIF('Vendors &amp; Crew'!$A$5:$A$34,B827)=0,"Worker not in Crew table",IF(C827="","Missing Job ID",IF(COUNTIF(Jobs!$A$5:$A$44,C827)=0,"Unknown Job ID",IF(E827="","Missing hours",IF(A827="","Missing date",""))))))</f>
        <v/>
      </c>
      <c r="N827" s="35" t="n"/>
    </row>
    <row r="828">
      <c r="A828" s="40" t="n"/>
      <c r="B828" s="35" t="n"/>
      <c r="C828" s="35" t="n"/>
      <c r="D828" s="35" t="n"/>
      <c r="E828" s="61" t="n"/>
      <c r="F828" s="37" t="n"/>
      <c r="G828" s="39">
        <f>IF(B828="","",IF(F828&lt;&gt;"",F828,IFERROR(VLOOKUP(B828,'Vendors &amp; Crew'!$A$5:$D$34,3,FALSE),0)))</f>
        <v/>
      </c>
      <c r="H828" s="39">
        <f>IF(B828="","",E828*G828*(1+Settings!$B$18))</f>
        <v/>
      </c>
      <c r="I828" s="39">
        <f>IF(B828="","",IFERROR(VLOOKUP(B828,'Vendors &amp; Crew'!$A$5:$D$34,4,FALSE),0))</f>
        <v/>
      </c>
      <c r="J828" s="39">
        <f>IF(B828="","",E828*I828)</f>
        <v/>
      </c>
      <c r="K828" s="59">
        <f>IF(A828="","",A828-WEEKDAY(A828,2)+7)</f>
        <v/>
      </c>
      <c r="L828" s="9">
        <f>IF(B828="","",IF(D828="","Labor",IFERROR(VLOOKUP(D828,Settings!$E$5:$G$28,3,FALSE),"Labor")))</f>
        <v/>
      </c>
      <c r="M828" s="9">
        <f>IF(B828="","",IF(COUNTIF('Vendors &amp; Crew'!$A$5:$A$34,B828)=0,"Worker not in Crew table",IF(C828="","Missing Job ID",IF(COUNTIF(Jobs!$A$5:$A$44,C828)=0,"Unknown Job ID",IF(E828="","Missing hours",IF(A828="","Missing date",""))))))</f>
        <v/>
      </c>
      <c r="N828" s="35" t="n"/>
    </row>
    <row r="829">
      <c r="A829" s="40" t="n"/>
      <c r="B829" s="35" t="n"/>
      <c r="C829" s="35" t="n"/>
      <c r="D829" s="35" t="n"/>
      <c r="E829" s="61" t="n"/>
      <c r="F829" s="37" t="n"/>
      <c r="G829" s="39">
        <f>IF(B829="","",IF(F829&lt;&gt;"",F829,IFERROR(VLOOKUP(B829,'Vendors &amp; Crew'!$A$5:$D$34,3,FALSE),0)))</f>
        <v/>
      </c>
      <c r="H829" s="39">
        <f>IF(B829="","",E829*G829*(1+Settings!$B$18))</f>
        <v/>
      </c>
      <c r="I829" s="39">
        <f>IF(B829="","",IFERROR(VLOOKUP(B829,'Vendors &amp; Crew'!$A$5:$D$34,4,FALSE),0))</f>
        <v/>
      </c>
      <c r="J829" s="39">
        <f>IF(B829="","",E829*I829)</f>
        <v/>
      </c>
      <c r="K829" s="59">
        <f>IF(A829="","",A829-WEEKDAY(A829,2)+7)</f>
        <v/>
      </c>
      <c r="L829" s="9">
        <f>IF(B829="","",IF(D829="","Labor",IFERROR(VLOOKUP(D829,Settings!$E$5:$G$28,3,FALSE),"Labor")))</f>
        <v/>
      </c>
      <c r="M829" s="9">
        <f>IF(B829="","",IF(COUNTIF('Vendors &amp; Crew'!$A$5:$A$34,B829)=0,"Worker not in Crew table",IF(C829="","Missing Job ID",IF(COUNTIF(Jobs!$A$5:$A$44,C829)=0,"Unknown Job ID",IF(E829="","Missing hours",IF(A829="","Missing date",""))))))</f>
        <v/>
      </c>
      <c r="N829" s="35" t="n"/>
    </row>
    <row r="830">
      <c r="A830" s="40" t="n"/>
      <c r="B830" s="35" t="n"/>
      <c r="C830" s="35" t="n"/>
      <c r="D830" s="35" t="n"/>
      <c r="E830" s="61" t="n"/>
      <c r="F830" s="37" t="n"/>
      <c r="G830" s="39">
        <f>IF(B830="","",IF(F830&lt;&gt;"",F830,IFERROR(VLOOKUP(B830,'Vendors &amp; Crew'!$A$5:$D$34,3,FALSE),0)))</f>
        <v/>
      </c>
      <c r="H830" s="39">
        <f>IF(B830="","",E830*G830*(1+Settings!$B$18))</f>
        <v/>
      </c>
      <c r="I830" s="39">
        <f>IF(B830="","",IFERROR(VLOOKUP(B830,'Vendors &amp; Crew'!$A$5:$D$34,4,FALSE),0))</f>
        <v/>
      </c>
      <c r="J830" s="39">
        <f>IF(B830="","",E830*I830)</f>
        <v/>
      </c>
      <c r="K830" s="59">
        <f>IF(A830="","",A830-WEEKDAY(A830,2)+7)</f>
        <v/>
      </c>
      <c r="L830" s="9">
        <f>IF(B830="","",IF(D830="","Labor",IFERROR(VLOOKUP(D830,Settings!$E$5:$G$28,3,FALSE),"Labor")))</f>
        <v/>
      </c>
      <c r="M830" s="9">
        <f>IF(B830="","",IF(COUNTIF('Vendors &amp; Crew'!$A$5:$A$34,B830)=0,"Worker not in Crew table",IF(C830="","Missing Job ID",IF(COUNTIF(Jobs!$A$5:$A$44,C830)=0,"Unknown Job ID",IF(E830="","Missing hours",IF(A830="","Missing date",""))))))</f>
        <v/>
      </c>
      <c r="N830" s="35" t="n"/>
    </row>
    <row r="831">
      <c r="A831" s="40" t="n"/>
      <c r="B831" s="35" t="n"/>
      <c r="C831" s="35" t="n"/>
      <c r="D831" s="35" t="n"/>
      <c r="E831" s="61" t="n"/>
      <c r="F831" s="37" t="n"/>
      <c r="G831" s="39">
        <f>IF(B831="","",IF(F831&lt;&gt;"",F831,IFERROR(VLOOKUP(B831,'Vendors &amp; Crew'!$A$5:$D$34,3,FALSE),0)))</f>
        <v/>
      </c>
      <c r="H831" s="39">
        <f>IF(B831="","",E831*G831*(1+Settings!$B$18))</f>
        <v/>
      </c>
      <c r="I831" s="39">
        <f>IF(B831="","",IFERROR(VLOOKUP(B831,'Vendors &amp; Crew'!$A$5:$D$34,4,FALSE),0))</f>
        <v/>
      </c>
      <c r="J831" s="39">
        <f>IF(B831="","",E831*I831)</f>
        <v/>
      </c>
      <c r="K831" s="59">
        <f>IF(A831="","",A831-WEEKDAY(A831,2)+7)</f>
        <v/>
      </c>
      <c r="L831" s="9">
        <f>IF(B831="","",IF(D831="","Labor",IFERROR(VLOOKUP(D831,Settings!$E$5:$G$28,3,FALSE),"Labor")))</f>
        <v/>
      </c>
      <c r="M831" s="9">
        <f>IF(B831="","",IF(COUNTIF('Vendors &amp; Crew'!$A$5:$A$34,B831)=0,"Worker not in Crew table",IF(C831="","Missing Job ID",IF(COUNTIF(Jobs!$A$5:$A$44,C831)=0,"Unknown Job ID",IF(E831="","Missing hours",IF(A831="","Missing date",""))))))</f>
        <v/>
      </c>
      <c r="N831" s="35" t="n"/>
    </row>
    <row r="832">
      <c r="A832" s="40" t="n"/>
      <c r="B832" s="35" t="n"/>
      <c r="C832" s="35" t="n"/>
      <c r="D832" s="35" t="n"/>
      <c r="E832" s="61" t="n"/>
      <c r="F832" s="37" t="n"/>
      <c r="G832" s="39">
        <f>IF(B832="","",IF(F832&lt;&gt;"",F832,IFERROR(VLOOKUP(B832,'Vendors &amp; Crew'!$A$5:$D$34,3,FALSE),0)))</f>
        <v/>
      </c>
      <c r="H832" s="39">
        <f>IF(B832="","",E832*G832*(1+Settings!$B$18))</f>
        <v/>
      </c>
      <c r="I832" s="39">
        <f>IF(B832="","",IFERROR(VLOOKUP(B832,'Vendors &amp; Crew'!$A$5:$D$34,4,FALSE),0))</f>
        <v/>
      </c>
      <c r="J832" s="39">
        <f>IF(B832="","",E832*I832)</f>
        <v/>
      </c>
      <c r="K832" s="59">
        <f>IF(A832="","",A832-WEEKDAY(A832,2)+7)</f>
        <v/>
      </c>
      <c r="L832" s="9">
        <f>IF(B832="","",IF(D832="","Labor",IFERROR(VLOOKUP(D832,Settings!$E$5:$G$28,3,FALSE),"Labor")))</f>
        <v/>
      </c>
      <c r="M832" s="9">
        <f>IF(B832="","",IF(COUNTIF('Vendors &amp; Crew'!$A$5:$A$34,B832)=0,"Worker not in Crew table",IF(C832="","Missing Job ID",IF(COUNTIF(Jobs!$A$5:$A$44,C832)=0,"Unknown Job ID",IF(E832="","Missing hours",IF(A832="","Missing date",""))))))</f>
        <v/>
      </c>
      <c r="N832" s="35" t="n"/>
    </row>
    <row r="833">
      <c r="A833" s="40" t="n"/>
      <c r="B833" s="35" t="n"/>
      <c r="C833" s="35" t="n"/>
      <c r="D833" s="35" t="n"/>
      <c r="E833" s="61" t="n"/>
      <c r="F833" s="37" t="n"/>
      <c r="G833" s="39">
        <f>IF(B833="","",IF(F833&lt;&gt;"",F833,IFERROR(VLOOKUP(B833,'Vendors &amp; Crew'!$A$5:$D$34,3,FALSE),0)))</f>
        <v/>
      </c>
      <c r="H833" s="39">
        <f>IF(B833="","",E833*G833*(1+Settings!$B$18))</f>
        <v/>
      </c>
      <c r="I833" s="39">
        <f>IF(B833="","",IFERROR(VLOOKUP(B833,'Vendors &amp; Crew'!$A$5:$D$34,4,FALSE),0))</f>
        <v/>
      </c>
      <c r="J833" s="39">
        <f>IF(B833="","",E833*I833)</f>
        <v/>
      </c>
      <c r="K833" s="59">
        <f>IF(A833="","",A833-WEEKDAY(A833,2)+7)</f>
        <v/>
      </c>
      <c r="L833" s="9">
        <f>IF(B833="","",IF(D833="","Labor",IFERROR(VLOOKUP(D833,Settings!$E$5:$G$28,3,FALSE),"Labor")))</f>
        <v/>
      </c>
      <c r="M833" s="9">
        <f>IF(B833="","",IF(COUNTIF('Vendors &amp; Crew'!$A$5:$A$34,B833)=0,"Worker not in Crew table",IF(C833="","Missing Job ID",IF(COUNTIF(Jobs!$A$5:$A$44,C833)=0,"Unknown Job ID",IF(E833="","Missing hours",IF(A833="","Missing date",""))))))</f>
        <v/>
      </c>
      <c r="N833" s="35" t="n"/>
    </row>
    <row r="834">
      <c r="A834" s="40" t="n"/>
      <c r="B834" s="35" t="n"/>
      <c r="C834" s="35" t="n"/>
      <c r="D834" s="35" t="n"/>
      <c r="E834" s="61" t="n"/>
      <c r="F834" s="37" t="n"/>
      <c r="G834" s="39">
        <f>IF(B834="","",IF(F834&lt;&gt;"",F834,IFERROR(VLOOKUP(B834,'Vendors &amp; Crew'!$A$5:$D$34,3,FALSE),0)))</f>
        <v/>
      </c>
      <c r="H834" s="39">
        <f>IF(B834="","",E834*G834*(1+Settings!$B$18))</f>
        <v/>
      </c>
      <c r="I834" s="39">
        <f>IF(B834="","",IFERROR(VLOOKUP(B834,'Vendors &amp; Crew'!$A$5:$D$34,4,FALSE),0))</f>
        <v/>
      </c>
      <c r="J834" s="39">
        <f>IF(B834="","",E834*I834)</f>
        <v/>
      </c>
      <c r="K834" s="59">
        <f>IF(A834="","",A834-WEEKDAY(A834,2)+7)</f>
        <v/>
      </c>
      <c r="L834" s="9">
        <f>IF(B834="","",IF(D834="","Labor",IFERROR(VLOOKUP(D834,Settings!$E$5:$G$28,3,FALSE),"Labor")))</f>
        <v/>
      </c>
      <c r="M834" s="9">
        <f>IF(B834="","",IF(COUNTIF('Vendors &amp; Crew'!$A$5:$A$34,B834)=0,"Worker not in Crew table",IF(C834="","Missing Job ID",IF(COUNTIF(Jobs!$A$5:$A$44,C834)=0,"Unknown Job ID",IF(E834="","Missing hours",IF(A834="","Missing date",""))))))</f>
        <v/>
      </c>
      <c r="N834" s="35" t="n"/>
    </row>
    <row r="835">
      <c r="A835" s="40" t="n"/>
      <c r="B835" s="35" t="n"/>
      <c r="C835" s="35" t="n"/>
      <c r="D835" s="35" t="n"/>
      <c r="E835" s="61" t="n"/>
      <c r="F835" s="37" t="n"/>
      <c r="G835" s="39">
        <f>IF(B835="","",IF(F835&lt;&gt;"",F835,IFERROR(VLOOKUP(B835,'Vendors &amp; Crew'!$A$5:$D$34,3,FALSE),0)))</f>
        <v/>
      </c>
      <c r="H835" s="39">
        <f>IF(B835="","",E835*G835*(1+Settings!$B$18))</f>
        <v/>
      </c>
      <c r="I835" s="39">
        <f>IF(B835="","",IFERROR(VLOOKUP(B835,'Vendors &amp; Crew'!$A$5:$D$34,4,FALSE),0))</f>
        <v/>
      </c>
      <c r="J835" s="39">
        <f>IF(B835="","",E835*I835)</f>
        <v/>
      </c>
      <c r="K835" s="59">
        <f>IF(A835="","",A835-WEEKDAY(A835,2)+7)</f>
        <v/>
      </c>
      <c r="L835" s="9">
        <f>IF(B835="","",IF(D835="","Labor",IFERROR(VLOOKUP(D835,Settings!$E$5:$G$28,3,FALSE),"Labor")))</f>
        <v/>
      </c>
      <c r="M835" s="9">
        <f>IF(B835="","",IF(COUNTIF('Vendors &amp; Crew'!$A$5:$A$34,B835)=0,"Worker not in Crew table",IF(C835="","Missing Job ID",IF(COUNTIF(Jobs!$A$5:$A$44,C835)=0,"Unknown Job ID",IF(E835="","Missing hours",IF(A835="","Missing date",""))))))</f>
        <v/>
      </c>
      <c r="N835" s="35" t="n"/>
    </row>
    <row r="836">
      <c r="A836" s="40" t="n"/>
      <c r="B836" s="35" t="n"/>
      <c r="C836" s="35" t="n"/>
      <c r="D836" s="35" t="n"/>
      <c r="E836" s="61" t="n"/>
      <c r="F836" s="37" t="n"/>
      <c r="G836" s="39">
        <f>IF(B836="","",IF(F836&lt;&gt;"",F836,IFERROR(VLOOKUP(B836,'Vendors &amp; Crew'!$A$5:$D$34,3,FALSE),0)))</f>
        <v/>
      </c>
      <c r="H836" s="39">
        <f>IF(B836="","",E836*G836*(1+Settings!$B$18))</f>
        <v/>
      </c>
      <c r="I836" s="39">
        <f>IF(B836="","",IFERROR(VLOOKUP(B836,'Vendors &amp; Crew'!$A$5:$D$34,4,FALSE),0))</f>
        <v/>
      </c>
      <c r="J836" s="39">
        <f>IF(B836="","",E836*I836)</f>
        <v/>
      </c>
      <c r="K836" s="59">
        <f>IF(A836="","",A836-WEEKDAY(A836,2)+7)</f>
        <v/>
      </c>
      <c r="L836" s="9">
        <f>IF(B836="","",IF(D836="","Labor",IFERROR(VLOOKUP(D836,Settings!$E$5:$G$28,3,FALSE),"Labor")))</f>
        <v/>
      </c>
      <c r="M836" s="9">
        <f>IF(B836="","",IF(COUNTIF('Vendors &amp; Crew'!$A$5:$A$34,B836)=0,"Worker not in Crew table",IF(C836="","Missing Job ID",IF(COUNTIF(Jobs!$A$5:$A$44,C836)=0,"Unknown Job ID",IF(E836="","Missing hours",IF(A836="","Missing date",""))))))</f>
        <v/>
      </c>
      <c r="N836" s="35" t="n"/>
    </row>
    <row r="837">
      <c r="A837" s="40" t="n"/>
      <c r="B837" s="35" t="n"/>
      <c r="C837" s="35" t="n"/>
      <c r="D837" s="35" t="n"/>
      <c r="E837" s="61" t="n"/>
      <c r="F837" s="37" t="n"/>
      <c r="G837" s="39">
        <f>IF(B837="","",IF(F837&lt;&gt;"",F837,IFERROR(VLOOKUP(B837,'Vendors &amp; Crew'!$A$5:$D$34,3,FALSE),0)))</f>
        <v/>
      </c>
      <c r="H837" s="39">
        <f>IF(B837="","",E837*G837*(1+Settings!$B$18))</f>
        <v/>
      </c>
      <c r="I837" s="39">
        <f>IF(B837="","",IFERROR(VLOOKUP(B837,'Vendors &amp; Crew'!$A$5:$D$34,4,FALSE),0))</f>
        <v/>
      </c>
      <c r="J837" s="39">
        <f>IF(B837="","",E837*I837)</f>
        <v/>
      </c>
      <c r="K837" s="59">
        <f>IF(A837="","",A837-WEEKDAY(A837,2)+7)</f>
        <v/>
      </c>
      <c r="L837" s="9">
        <f>IF(B837="","",IF(D837="","Labor",IFERROR(VLOOKUP(D837,Settings!$E$5:$G$28,3,FALSE),"Labor")))</f>
        <v/>
      </c>
      <c r="M837" s="9">
        <f>IF(B837="","",IF(COUNTIF('Vendors &amp; Crew'!$A$5:$A$34,B837)=0,"Worker not in Crew table",IF(C837="","Missing Job ID",IF(COUNTIF(Jobs!$A$5:$A$44,C837)=0,"Unknown Job ID",IF(E837="","Missing hours",IF(A837="","Missing date",""))))))</f>
        <v/>
      </c>
      <c r="N837" s="35" t="n"/>
    </row>
    <row r="838">
      <c r="A838" s="40" t="n"/>
      <c r="B838" s="35" t="n"/>
      <c r="C838" s="35" t="n"/>
      <c r="D838" s="35" t="n"/>
      <c r="E838" s="61" t="n"/>
      <c r="F838" s="37" t="n"/>
      <c r="G838" s="39">
        <f>IF(B838="","",IF(F838&lt;&gt;"",F838,IFERROR(VLOOKUP(B838,'Vendors &amp; Crew'!$A$5:$D$34,3,FALSE),0)))</f>
        <v/>
      </c>
      <c r="H838" s="39">
        <f>IF(B838="","",E838*G838*(1+Settings!$B$18))</f>
        <v/>
      </c>
      <c r="I838" s="39">
        <f>IF(B838="","",IFERROR(VLOOKUP(B838,'Vendors &amp; Crew'!$A$5:$D$34,4,FALSE),0))</f>
        <v/>
      </c>
      <c r="J838" s="39">
        <f>IF(B838="","",E838*I838)</f>
        <v/>
      </c>
      <c r="K838" s="59">
        <f>IF(A838="","",A838-WEEKDAY(A838,2)+7)</f>
        <v/>
      </c>
      <c r="L838" s="9">
        <f>IF(B838="","",IF(D838="","Labor",IFERROR(VLOOKUP(D838,Settings!$E$5:$G$28,3,FALSE),"Labor")))</f>
        <v/>
      </c>
      <c r="M838" s="9">
        <f>IF(B838="","",IF(COUNTIF('Vendors &amp; Crew'!$A$5:$A$34,B838)=0,"Worker not in Crew table",IF(C838="","Missing Job ID",IF(COUNTIF(Jobs!$A$5:$A$44,C838)=0,"Unknown Job ID",IF(E838="","Missing hours",IF(A838="","Missing date",""))))))</f>
        <v/>
      </c>
      <c r="N838" s="35" t="n"/>
    </row>
    <row r="839">
      <c r="A839" s="40" t="n"/>
      <c r="B839" s="35" t="n"/>
      <c r="C839" s="35" t="n"/>
      <c r="D839" s="35" t="n"/>
      <c r="E839" s="61" t="n"/>
      <c r="F839" s="37" t="n"/>
      <c r="G839" s="39">
        <f>IF(B839="","",IF(F839&lt;&gt;"",F839,IFERROR(VLOOKUP(B839,'Vendors &amp; Crew'!$A$5:$D$34,3,FALSE),0)))</f>
        <v/>
      </c>
      <c r="H839" s="39">
        <f>IF(B839="","",E839*G839*(1+Settings!$B$18))</f>
        <v/>
      </c>
      <c r="I839" s="39">
        <f>IF(B839="","",IFERROR(VLOOKUP(B839,'Vendors &amp; Crew'!$A$5:$D$34,4,FALSE),0))</f>
        <v/>
      </c>
      <c r="J839" s="39">
        <f>IF(B839="","",E839*I839)</f>
        <v/>
      </c>
      <c r="K839" s="59">
        <f>IF(A839="","",A839-WEEKDAY(A839,2)+7)</f>
        <v/>
      </c>
      <c r="L839" s="9">
        <f>IF(B839="","",IF(D839="","Labor",IFERROR(VLOOKUP(D839,Settings!$E$5:$G$28,3,FALSE),"Labor")))</f>
        <v/>
      </c>
      <c r="M839" s="9">
        <f>IF(B839="","",IF(COUNTIF('Vendors &amp; Crew'!$A$5:$A$34,B839)=0,"Worker not in Crew table",IF(C839="","Missing Job ID",IF(COUNTIF(Jobs!$A$5:$A$44,C839)=0,"Unknown Job ID",IF(E839="","Missing hours",IF(A839="","Missing date",""))))))</f>
        <v/>
      </c>
      <c r="N839" s="35" t="n"/>
    </row>
    <row r="840">
      <c r="A840" s="40" t="n"/>
      <c r="B840" s="35" t="n"/>
      <c r="C840" s="35" t="n"/>
      <c r="D840" s="35" t="n"/>
      <c r="E840" s="61" t="n"/>
      <c r="F840" s="37" t="n"/>
      <c r="G840" s="39">
        <f>IF(B840="","",IF(F840&lt;&gt;"",F840,IFERROR(VLOOKUP(B840,'Vendors &amp; Crew'!$A$5:$D$34,3,FALSE),0)))</f>
        <v/>
      </c>
      <c r="H840" s="39">
        <f>IF(B840="","",E840*G840*(1+Settings!$B$18))</f>
        <v/>
      </c>
      <c r="I840" s="39">
        <f>IF(B840="","",IFERROR(VLOOKUP(B840,'Vendors &amp; Crew'!$A$5:$D$34,4,FALSE),0))</f>
        <v/>
      </c>
      <c r="J840" s="39">
        <f>IF(B840="","",E840*I840)</f>
        <v/>
      </c>
      <c r="K840" s="59">
        <f>IF(A840="","",A840-WEEKDAY(A840,2)+7)</f>
        <v/>
      </c>
      <c r="L840" s="9">
        <f>IF(B840="","",IF(D840="","Labor",IFERROR(VLOOKUP(D840,Settings!$E$5:$G$28,3,FALSE),"Labor")))</f>
        <v/>
      </c>
      <c r="M840" s="9">
        <f>IF(B840="","",IF(COUNTIF('Vendors &amp; Crew'!$A$5:$A$34,B840)=0,"Worker not in Crew table",IF(C840="","Missing Job ID",IF(COUNTIF(Jobs!$A$5:$A$44,C840)=0,"Unknown Job ID",IF(E840="","Missing hours",IF(A840="","Missing date",""))))))</f>
        <v/>
      </c>
      <c r="N840" s="35" t="n"/>
    </row>
    <row r="841">
      <c r="A841" s="40" t="n"/>
      <c r="B841" s="35" t="n"/>
      <c r="C841" s="35" t="n"/>
      <c r="D841" s="35" t="n"/>
      <c r="E841" s="61" t="n"/>
      <c r="F841" s="37" t="n"/>
      <c r="G841" s="39">
        <f>IF(B841="","",IF(F841&lt;&gt;"",F841,IFERROR(VLOOKUP(B841,'Vendors &amp; Crew'!$A$5:$D$34,3,FALSE),0)))</f>
        <v/>
      </c>
      <c r="H841" s="39">
        <f>IF(B841="","",E841*G841*(1+Settings!$B$18))</f>
        <v/>
      </c>
      <c r="I841" s="39">
        <f>IF(B841="","",IFERROR(VLOOKUP(B841,'Vendors &amp; Crew'!$A$5:$D$34,4,FALSE),0))</f>
        <v/>
      </c>
      <c r="J841" s="39">
        <f>IF(B841="","",E841*I841)</f>
        <v/>
      </c>
      <c r="K841" s="59">
        <f>IF(A841="","",A841-WEEKDAY(A841,2)+7)</f>
        <v/>
      </c>
      <c r="L841" s="9">
        <f>IF(B841="","",IF(D841="","Labor",IFERROR(VLOOKUP(D841,Settings!$E$5:$G$28,3,FALSE),"Labor")))</f>
        <v/>
      </c>
      <c r="M841" s="9">
        <f>IF(B841="","",IF(COUNTIF('Vendors &amp; Crew'!$A$5:$A$34,B841)=0,"Worker not in Crew table",IF(C841="","Missing Job ID",IF(COUNTIF(Jobs!$A$5:$A$44,C841)=0,"Unknown Job ID",IF(E841="","Missing hours",IF(A841="","Missing date",""))))))</f>
        <v/>
      </c>
      <c r="N841" s="35" t="n"/>
    </row>
    <row r="842">
      <c r="A842" s="40" t="n"/>
      <c r="B842" s="35" t="n"/>
      <c r="C842" s="35" t="n"/>
      <c r="D842" s="35" t="n"/>
      <c r="E842" s="61" t="n"/>
      <c r="F842" s="37" t="n"/>
      <c r="G842" s="39">
        <f>IF(B842="","",IF(F842&lt;&gt;"",F842,IFERROR(VLOOKUP(B842,'Vendors &amp; Crew'!$A$5:$D$34,3,FALSE),0)))</f>
        <v/>
      </c>
      <c r="H842" s="39">
        <f>IF(B842="","",E842*G842*(1+Settings!$B$18))</f>
        <v/>
      </c>
      <c r="I842" s="39">
        <f>IF(B842="","",IFERROR(VLOOKUP(B842,'Vendors &amp; Crew'!$A$5:$D$34,4,FALSE),0))</f>
        <v/>
      </c>
      <c r="J842" s="39">
        <f>IF(B842="","",E842*I842)</f>
        <v/>
      </c>
      <c r="K842" s="59">
        <f>IF(A842="","",A842-WEEKDAY(A842,2)+7)</f>
        <v/>
      </c>
      <c r="L842" s="9">
        <f>IF(B842="","",IF(D842="","Labor",IFERROR(VLOOKUP(D842,Settings!$E$5:$G$28,3,FALSE),"Labor")))</f>
        <v/>
      </c>
      <c r="M842" s="9">
        <f>IF(B842="","",IF(COUNTIF('Vendors &amp; Crew'!$A$5:$A$34,B842)=0,"Worker not in Crew table",IF(C842="","Missing Job ID",IF(COUNTIF(Jobs!$A$5:$A$44,C842)=0,"Unknown Job ID",IF(E842="","Missing hours",IF(A842="","Missing date",""))))))</f>
        <v/>
      </c>
      <c r="N842" s="35" t="n"/>
    </row>
    <row r="843">
      <c r="A843" s="40" t="n"/>
      <c r="B843" s="35" t="n"/>
      <c r="C843" s="35" t="n"/>
      <c r="D843" s="35" t="n"/>
      <c r="E843" s="61" t="n"/>
      <c r="F843" s="37" t="n"/>
      <c r="G843" s="39">
        <f>IF(B843="","",IF(F843&lt;&gt;"",F843,IFERROR(VLOOKUP(B843,'Vendors &amp; Crew'!$A$5:$D$34,3,FALSE),0)))</f>
        <v/>
      </c>
      <c r="H843" s="39">
        <f>IF(B843="","",E843*G843*(1+Settings!$B$18))</f>
        <v/>
      </c>
      <c r="I843" s="39">
        <f>IF(B843="","",IFERROR(VLOOKUP(B843,'Vendors &amp; Crew'!$A$5:$D$34,4,FALSE),0))</f>
        <v/>
      </c>
      <c r="J843" s="39">
        <f>IF(B843="","",E843*I843)</f>
        <v/>
      </c>
      <c r="K843" s="59">
        <f>IF(A843="","",A843-WEEKDAY(A843,2)+7)</f>
        <v/>
      </c>
      <c r="L843" s="9">
        <f>IF(B843="","",IF(D843="","Labor",IFERROR(VLOOKUP(D843,Settings!$E$5:$G$28,3,FALSE),"Labor")))</f>
        <v/>
      </c>
      <c r="M843" s="9">
        <f>IF(B843="","",IF(COUNTIF('Vendors &amp; Crew'!$A$5:$A$34,B843)=0,"Worker not in Crew table",IF(C843="","Missing Job ID",IF(COUNTIF(Jobs!$A$5:$A$44,C843)=0,"Unknown Job ID",IF(E843="","Missing hours",IF(A843="","Missing date",""))))))</f>
        <v/>
      </c>
      <c r="N843" s="35" t="n"/>
    </row>
    <row r="844">
      <c r="A844" s="40" t="n"/>
      <c r="B844" s="35" t="n"/>
      <c r="C844" s="35" t="n"/>
      <c r="D844" s="35" t="n"/>
      <c r="E844" s="61" t="n"/>
      <c r="F844" s="37" t="n"/>
      <c r="G844" s="39">
        <f>IF(B844="","",IF(F844&lt;&gt;"",F844,IFERROR(VLOOKUP(B844,'Vendors &amp; Crew'!$A$5:$D$34,3,FALSE),0)))</f>
        <v/>
      </c>
      <c r="H844" s="39">
        <f>IF(B844="","",E844*G844*(1+Settings!$B$18))</f>
        <v/>
      </c>
      <c r="I844" s="39">
        <f>IF(B844="","",IFERROR(VLOOKUP(B844,'Vendors &amp; Crew'!$A$5:$D$34,4,FALSE),0))</f>
        <v/>
      </c>
      <c r="J844" s="39">
        <f>IF(B844="","",E844*I844)</f>
        <v/>
      </c>
      <c r="K844" s="59">
        <f>IF(A844="","",A844-WEEKDAY(A844,2)+7)</f>
        <v/>
      </c>
      <c r="L844" s="9">
        <f>IF(B844="","",IF(D844="","Labor",IFERROR(VLOOKUP(D844,Settings!$E$5:$G$28,3,FALSE),"Labor")))</f>
        <v/>
      </c>
      <c r="M844" s="9">
        <f>IF(B844="","",IF(COUNTIF('Vendors &amp; Crew'!$A$5:$A$34,B844)=0,"Worker not in Crew table",IF(C844="","Missing Job ID",IF(COUNTIF(Jobs!$A$5:$A$44,C844)=0,"Unknown Job ID",IF(E844="","Missing hours",IF(A844="","Missing date",""))))))</f>
        <v/>
      </c>
      <c r="N844" s="35" t="n"/>
    </row>
    <row r="845">
      <c r="A845" s="40" t="n"/>
      <c r="B845" s="35" t="n"/>
      <c r="C845" s="35" t="n"/>
      <c r="D845" s="35" t="n"/>
      <c r="E845" s="61" t="n"/>
      <c r="F845" s="37" t="n"/>
      <c r="G845" s="39">
        <f>IF(B845="","",IF(F845&lt;&gt;"",F845,IFERROR(VLOOKUP(B845,'Vendors &amp; Crew'!$A$5:$D$34,3,FALSE),0)))</f>
        <v/>
      </c>
      <c r="H845" s="39">
        <f>IF(B845="","",E845*G845*(1+Settings!$B$18))</f>
        <v/>
      </c>
      <c r="I845" s="39">
        <f>IF(B845="","",IFERROR(VLOOKUP(B845,'Vendors &amp; Crew'!$A$5:$D$34,4,FALSE),0))</f>
        <v/>
      </c>
      <c r="J845" s="39">
        <f>IF(B845="","",E845*I845)</f>
        <v/>
      </c>
      <c r="K845" s="59">
        <f>IF(A845="","",A845-WEEKDAY(A845,2)+7)</f>
        <v/>
      </c>
      <c r="L845" s="9">
        <f>IF(B845="","",IF(D845="","Labor",IFERROR(VLOOKUP(D845,Settings!$E$5:$G$28,3,FALSE),"Labor")))</f>
        <v/>
      </c>
      <c r="M845" s="9">
        <f>IF(B845="","",IF(COUNTIF('Vendors &amp; Crew'!$A$5:$A$34,B845)=0,"Worker not in Crew table",IF(C845="","Missing Job ID",IF(COUNTIF(Jobs!$A$5:$A$44,C845)=0,"Unknown Job ID",IF(E845="","Missing hours",IF(A845="","Missing date",""))))))</f>
        <v/>
      </c>
      <c r="N845" s="35" t="n"/>
    </row>
    <row r="846">
      <c r="A846" s="40" t="n"/>
      <c r="B846" s="35" t="n"/>
      <c r="C846" s="35" t="n"/>
      <c r="D846" s="35" t="n"/>
      <c r="E846" s="61" t="n"/>
      <c r="F846" s="37" t="n"/>
      <c r="G846" s="39">
        <f>IF(B846="","",IF(F846&lt;&gt;"",F846,IFERROR(VLOOKUP(B846,'Vendors &amp; Crew'!$A$5:$D$34,3,FALSE),0)))</f>
        <v/>
      </c>
      <c r="H846" s="39">
        <f>IF(B846="","",E846*G846*(1+Settings!$B$18))</f>
        <v/>
      </c>
      <c r="I846" s="39">
        <f>IF(B846="","",IFERROR(VLOOKUP(B846,'Vendors &amp; Crew'!$A$5:$D$34,4,FALSE),0))</f>
        <v/>
      </c>
      <c r="J846" s="39">
        <f>IF(B846="","",E846*I846)</f>
        <v/>
      </c>
      <c r="K846" s="59">
        <f>IF(A846="","",A846-WEEKDAY(A846,2)+7)</f>
        <v/>
      </c>
      <c r="L846" s="9">
        <f>IF(B846="","",IF(D846="","Labor",IFERROR(VLOOKUP(D846,Settings!$E$5:$G$28,3,FALSE),"Labor")))</f>
        <v/>
      </c>
      <c r="M846" s="9">
        <f>IF(B846="","",IF(COUNTIF('Vendors &amp; Crew'!$A$5:$A$34,B846)=0,"Worker not in Crew table",IF(C846="","Missing Job ID",IF(COUNTIF(Jobs!$A$5:$A$44,C846)=0,"Unknown Job ID",IF(E846="","Missing hours",IF(A846="","Missing date",""))))))</f>
        <v/>
      </c>
      <c r="N846" s="35" t="n"/>
    </row>
    <row r="847">
      <c r="A847" s="40" t="n"/>
      <c r="B847" s="35" t="n"/>
      <c r="C847" s="35" t="n"/>
      <c r="D847" s="35" t="n"/>
      <c r="E847" s="61" t="n"/>
      <c r="F847" s="37" t="n"/>
      <c r="G847" s="39">
        <f>IF(B847="","",IF(F847&lt;&gt;"",F847,IFERROR(VLOOKUP(B847,'Vendors &amp; Crew'!$A$5:$D$34,3,FALSE),0)))</f>
        <v/>
      </c>
      <c r="H847" s="39">
        <f>IF(B847="","",E847*G847*(1+Settings!$B$18))</f>
        <v/>
      </c>
      <c r="I847" s="39">
        <f>IF(B847="","",IFERROR(VLOOKUP(B847,'Vendors &amp; Crew'!$A$5:$D$34,4,FALSE),0))</f>
        <v/>
      </c>
      <c r="J847" s="39">
        <f>IF(B847="","",E847*I847)</f>
        <v/>
      </c>
      <c r="K847" s="59">
        <f>IF(A847="","",A847-WEEKDAY(A847,2)+7)</f>
        <v/>
      </c>
      <c r="L847" s="9">
        <f>IF(B847="","",IF(D847="","Labor",IFERROR(VLOOKUP(D847,Settings!$E$5:$G$28,3,FALSE),"Labor")))</f>
        <v/>
      </c>
      <c r="M847" s="9">
        <f>IF(B847="","",IF(COUNTIF('Vendors &amp; Crew'!$A$5:$A$34,B847)=0,"Worker not in Crew table",IF(C847="","Missing Job ID",IF(COUNTIF(Jobs!$A$5:$A$44,C847)=0,"Unknown Job ID",IF(E847="","Missing hours",IF(A847="","Missing date",""))))))</f>
        <v/>
      </c>
      <c r="N847" s="35" t="n"/>
    </row>
    <row r="848">
      <c r="A848" s="40" t="n"/>
      <c r="B848" s="35" t="n"/>
      <c r="C848" s="35" t="n"/>
      <c r="D848" s="35" t="n"/>
      <c r="E848" s="61" t="n"/>
      <c r="F848" s="37" t="n"/>
      <c r="G848" s="39">
        <f>IF(B848="","",IF(F848&lt;&gt;"",F848,IFERROR(VLOOKUP(B848,'Vendors &amp; Crew'!$A$5:$D$34,3,FALSE),0)))</f>
        <v/>
      </c>
      <c r="H848" s="39">
        <f>IF(B848="","",E848*G848*(1+Settings!$B$18))</f>
        <v/>
      </c>
      <c r="I848" s="39">
        <f>IF(B848="","",IFERROR(VLOOKUP(B848,'Vendors &amp; Crew'!$A$5:$D$34,4,FALSE),0))</f>
        <v/>
      </c>
      <c r="J848" s="39">
        <f>IF(B848="","",E848*I848)</f>
        <v/>
      </c>
      <c r="K848" s="59">
        <f>IF(A848="","",A848-WEEKDAY(A848,2)+7)</f>
        <v/>
      </c>
      <c r="L848" s="9">
        <f>IF(B848="","",IF(D848="","Labor",IFERROR(VLOOKUP(D848,Settings!$E$5:$G$28,3,FALSE),"Labor")))</f>
        <v/>
      </c>
      <c r="M848" s="9">
        <f>IF(B848="","",IF(COUNTIF('Vendors &amp; Crew'!$A$5:$A$34,B848)=0,"Worker not in Crew table",IF(C848="","Missing Job ID",IF(COUNTIF(Jobs!$A$5:$A$44,C848)=0,"Unknown Job ID",IF(E848="","Missing hours",IF(A848="","Missing date",""))))))</f>
        <v/>
      </c>
      <c r="N848" s="35" t="n"/>
    </row>
    <row r="849">
      <c r="A849" s="40" t="n"/>
      <c r="B849" s="35" t="n"/>
      <c r="C849" s="35" t="n"/>
      <c r="D849" s="35" t="n"/>
      <c r="E849" s="61" t="n"/>
      <c r="F849" s="37" t="n"/>
      <c r="G849" s="39">
        <f>IF(B849="","",IF(F849&lt;&gt;"",F849,IFERROR(VLOOKUP(B849,'Vendors &amp; Crew'!$A$5:$D$34,3,FALSE),0)))</f>
        <v/>
      </c>
      <c r="H849" s="39">
        <f>IF(B849="","",E849*G849*(1+Settings!$B$18))</f>
        <v/>
      </c>
      <c r="I849" s="39">
        <f>IF(B849="","",IFERROR(VLOOKUP(B849,'Vendors &amp; Crew'!$A$5:$D$34,4,FALSE),0))</f>
        <v/>
      </c>
      <c r="J849" s="39">
        <f>IF(B849="","",E849*I849)</f>
        <v/>
      </c>
      <c r="K849" s="59">
        <f>IF(A849="","",A849-WEEKDAY(A849,2)+7)</f>
        <v/>
      </c>
      <c r="L849" s="9">
        <f>IF(B849="","",IF(D849="","Labor",IFERROR(VLOOKUP(D849,Settings!$E$5:$G$28,3,FALSE),"Labor")))</f>
        <v/>
      </c>
      <c r="M849" s="9">
        <f>IF(B849="","",IF(COUNTIF('Vendors &amp; Crew'!$A$5:$A$34,B849)=0,"Worker not in Crew table",IF(C849="","Missing Job ID",IF(COUNTIF(Jobs!$A$5:$A$44,C849)=0,"Unknown Job ID",IF(E849="","Missing hours",IF(A849="","Missing date",""))))))</f>
        <v/>
      </c>
      <c r="N849" s="35" t="n"/>
    </row>
    <row r="850">
      <c r="A850" s="40" t="n"/>
      <c r="B850" s="35" t="n"/>
      <c r="C850" s="35" t="n"/>
      <c r="D850" s="35" t="n"/>
      <c r="E850" s="61" t="n"/>
      <c r="F850" s="37" t="n"/>
      <c r="G850" s="39">
        <f>IF(B850="","",IF(F850&lt;&gt;"",F850,IFERROR(VLOOKUP(B850,'Vendors &amp; Crew'!$A$5:$D$34,3,FALSE),0)))</f>
        <v/>
      </c>
      <c r="H850" s="39">
        <f>IF(B850="","",E850*G850*(1+Settings!$B$18))</f>
        <v/>
      </c>
      <c r="I850" s="39">
        <f>IF(B850="","",IFERROR(VLOOKUP(B850,'Vendors &amp; Crew'!$A$5:$D$34,4,FALSE),0))</f>
        <v/>
      </c>
      <c r="J850" s="39">
        <f>IF(B850="","",E850*I850)</f>
        <v/>
      </c>
      <c r="K850" s="59">
        <f>IF(A850="","",A850-WEEKDAY(A850,2)+7)</f>
        <v/>
      </c>
      <c r="L850" s="9">
        <f>IF(B850="","",IF(D850="","Labor",IFERROR(VLOOKUP(D850,Settings!$E$5:$G$28,3,FALSE),"Labor")))</f>
        <v/>
      </c>
      <c r="M850" s="9">
        <f>IF(B850="","",IF(COUNTIF('Vendors &amp; Crew'!$A$5:$A$34,B850)=0,"Worker not in Crew table",IF(C850="","Missing Job ID",IF(COUNTIF(Jobs!$A$5:$A$44,C850)=0,"Unknown Job ID",IF(E850="","Missing hours",IF(A850="","Missing date",""))))))</f>
        <v/>
      </c>
      <c r="N850" s="35" t="n"/>
    </row>
    <row r="851">
      <c r="A851" s="40" t="n"/>
      <c r="B851" s="35" t="n"/>
      <c r="C851" s="35" t="n"/>
      <c r="D851" s="35" t="n"/>
      <c r="E851" s="61" t="n"/>
      <c r="F851" s="37" t="n"/>
      <c r="G851" s="39">
        <f>IF(B851="","",IF(F851&lt;&gt;"",F851,IFERROR(VLOOKUP(B851,'Vendors &amp; Crew'!$A$5:$D$34,3,FALSE),0)))</f>
        <v/>
      </c>
      <c r="H851" s="39">
        <f>IF(B851="","",E851*G851*(1+Settings!$B$18))</f>
        <v/>
      </c>
      <c r="I851" s="39">
        <f>IF(B851="","",IFERROR(VLOOKUP(B851,'Vendors &amp; Crew'!$A$5:$D$34,4,FALSE),0))</f>
        <v/>
      </c>
      <c r="J851" s="39">
        <f>IF(B851="","",E851*I851)</f>
        <v/>
      </c>
      <c r="K851" s="59">
        <f>IF(A851="","",A851-WEEKDAY(A851,2)+7)</f>
        <v/>
      </c>
      <c r="L851" s="9">
        <f>IF(B851="","",IF(D851="","Labor",IFERROR(VLOOKUP(D851,Settings!$E$5:$G$28,3,FALSE),"Labor")))</f>
        <v/>
      </c>
      <c r="M851" s="9">
        <f>IF(B851="","",IF(COUNTIF('Vendors &amp; Crew'!$A$5:$A$34,B851)=0,"Worker not in Crew table",IF(C851="","Missing Job ID",IF(COUNTIF(Jobs!$A$5:$A$44,C851)=0,"Unknown Job ID",IF(E851="","Missing hours",IF(A851="","Missing date",""))))))</f>
        <v/>
      </c>
      <c r="N851" s="35" t="n"/>
    </row>
    <row r="852">
      <c r="A852" s="40" t="n"/>
      <c r="B852" s="35" t="n"/>
      <c r="C852" s="35" t="n"/>
      <c r="D852" s="35" t="n"/>
      <c r="E852" s="61" t="n"/>
      <c r="F852" s="37" t="n"/>
      <c r="G852" s="39">
        <f>IF(B852="","",IF(F852&lt;&gt;"",F852,IFERROR(VLOOKUP(B852,'Vendors &amp; Crew'!$A$5:$D$34,3,FALSE),0)))</f>
        <v/>
      </c>
      <c r="H852" s="39">
        <f>IF(B852="","",E852*G852*(1+Settings!$B$18))</f>
        <v/>
      </c>
      <c r="I852" s="39">
        <f>IF(B852="","",IFERROR(VLOOKUP(B852,'Vendors &amp; Crew'!$A$5:$D$34,4,FALSE),0))</f>
        <v/>
      </c>
      <c r="J852" s="39">
        <f>IF(B852="","",E852*I852)</f>
        <v/>
      </c>
      <c r="K852" s="59">
        <f>IF(A852="","",A852-WEEKDAY(A852,2)+7)</f>
        <v/>
      </c>
      <c r="L852" s="9">
        <f>IF(B852="","",IF(D852="","Labor",IFERROR(VLOOKUP(D852,Settings!$E$5:$G$28,3,FALSE),"Labor")))</f>
        <v/>
      </c>
      <c r="M852" s="9">
        <f>IF(B852="","",IF(COUNTIF('Vendors &amp; Crew'!$A$5:$A$34,B852)=0,"Worker not in Crew table",IF(C852="","Missing Job ID",IF(COUNTIF(Jobs!$A$5:$A$44,C852)=0,"Unknown Job ID",IF(E852="","Missing hours",IF(A852="","Missing date",""))))))</f>
        <v/>
      </c>
      <c r="N852" s="35" t="n"/>
    </row>
    <row r="853">
      <c r="A853" s="40" t="n"/>
      <c r="B853" s="35" t="n"/>
      <c r="C853" s="35" t="n"/>
      <c r="D853" s="35" t="n"/>
      <c r="E853" s="61" t="n"/>
      <c r="F853" s="37" t="n"/>
      <c r="G853" s="39">
        <f>IF(B853="","",IF(F853&lt;&gt;"",F853,IFERROR(VLOOKUP(B853,'Vendors &amp; Crew'!$A$5:$D$34,3,FALSE),0)))</f>
        <v/>
      </c>
      <c r="H853" s="39">
        <f>IF(B853="","",E853*G853*(1+Settings!$B$18))</f>
        <v/>
      </c>
      <c r="I853" s="39">
        <f>IF(B853="","",IFERROR(VLOOKUP(B853,'Vendors &amp; Crew'!$A$5:$D$34,4,FALSE),0))</f>
        <v/>
      </c>
      <c r="J853" s="39">
        <f>IF(B853="","",E853*I853)</f>
        <v/>
      </c>
      <c r="K853" s="59">
        <f>IF(A853="","",A853-WEEKDAY(A853,2)+7)</f>
        <v/>
      </c>
      <c r="L853" s="9">
        <f>IF(B853="","",IF(D853="","Labor",IFERROR(VLOOKUP(D853,Settings!$E$5:$G$28,3,FALSE),"Labor")))</f>
        <v/>
      </c>
      <c r="M853" s="9">
        <f>IF(B853="","",IF(COUNTIF('Vendors &amp; Crew'!$A$5:$A$34,B853)=0,"Worker not in Crew table",IF(C853="","Missing Job ID",IF(COUNTIF(Jobs!$A$5:$A$44,C853)=0,"Unknown Job ID",IF(E853="","Missing hours",IF(A853="","Missing date",""))))))</f>
        <v/>
      </c>
      <c r="N853" s="35" t="n"/>
    </row>
    <row r="854">
      <c r="A854" s="40" t="n"/>
      <c r="B854" s="35" t="n"/>
      <c r="C854" s="35" t="n"/>
      <c r="D854" s="35" t="n"/>
      <c r="E854" s="61" t="n"/>
      <c r="F854" s="37" t="n"/>
      <c r="G854" s="39">
        <f>IF(B854="","",IF(F854&lt;&gt;"",F854,IFERROR(VLOOKUP(B854,'Vendors &amp; Crew'!$A$5:$D$34,3,FALSE),0)))</f>
        <v/>
      </c>
      <c r="H854" s="39">
        <f>IF(B854="","",E854*G854*(1+Settings!$B$18))</f>
        <v/>
      </c>
      <c r="I854" s="39">
        <f>IF(B854="","",IFERROR(VLOOKUP(B854,'Vendors &amp; Crew'!$A$5:$D$34,4,FALSE),0))</f>
        <v/>
      </c>
      <c r="J854" s="39">
        <f>IF(B854="","",E854*I854)</f>
        <v/>
      </c>
      <c r="K854" s="59">
        <f>IF(A854="","",A854-WEEKDAY(A854,2)+7)</f>
        <v/>
      </c>
      <c r="L854" s="9">
        <f>IF(B854="","",IF(D854="","Labor",IFERROR(VLOOKUP(D854,Settings!$E$5:$G$28,3,FALSE),"Labor")))</f>
        <v/>
      </c>
      <c r="M854" s="9">
        <f>IF(B854="","",IF(COUNTIF('Vendors &amp; Crew'!$A$5:$A$34,B854)=0,"Worker not in Crew table",IF(C854="","Missing Job ID",IF(COUNTIF(Jobs!$A$5:$A$44,C854)=0,"Unknown Job ID",IF(E854="","Missing hours",IF(A854="","Missing date",""))))))</f>
        <v/>
      </c>
      <c r="N854" s="35" t="n"/>
    </row>
    <row r="855">
      <c r="A855" s="40" t="n"/>
      <c r="B855" s="35" t="n"/>
      <c r="C855" s="35" t="n"/>
      <c r="D855" s="35" t="n"/>
      <c r="E855" s="61" t="n"/>
      <c r="F855" s="37" t="n"/>
      <c r="G855" s="39">
        <f>IF(B855="","",IF(F855&lt;&gt;"",F855,IFERROR(VLOOKUP(B855,'Vendors &amp; Crew'!$A$5:$D$34,3,FALSE),0)))</f>
        <v/>
      </c>
      <c r="H855" s="39">
        <f>IF(B855="","",E855*G855*(1+Settings!$B$18))</f>
        <v/>
      </c>
      <c r="I855" s="39">
        <f>IF(B855="","",IFERROR(VLOOKUP(B855,'Vendors &amp; Crew'!$A$5:$D$34,4,FALSE),0))</f>
        <v/>
      </c>
      <c r="J855" s="39">
        <f>IF(B855="","",E855*I855)</f>
        <v/>
      </c>
      <c r="K855" s="59">
        <f>IF(A855="","",A855-WEEKDAY(A855,2)+7)</f>
        <v/>
      </c>
      <c r="L855" s="9">
        <f>IF(B855="","",IF(D855="","Labor",IFERROR(VLOOKUP(D855,Settings!$E$5:$G$28,3,FALSE),"Labor")))</f>
        <v/>
      </c>
      <c r="M855" s="9">
        <f>IF(B855="","",IF(COUNTIF('Vendors &amp; Crew'!$A$5:$A$34,B855)=0,"Worker not in Crew table",IF(C855="","Missing Job ID",IF(COUNTIF(Jobs!$A$5:$A$44,C855)=0,"Unknown Job ID",IF(E855="","Missing hours",IF(A855="","Missing date",""))))))</f>
        <v/>
      </c>
      <c r="N855" s="35" t="n"/>
    </row>
    <row r="856">
      <c r="A856" s="40" t="n"/>
      <c r="B856" s="35" t="n"/>
      <c r="C856" s="35" t="n"/>
      <c r="D856" s="35" t="n"/>
      <c r="E856" s="61" t="n"/>
      <c r="F856" s="37" t="n"/>
      <c r="G856" s="39">
        <f>IF(B856="","",IF(F856&lt;&gt;"",F856,IFERROR(VLOOKUP(B856,'Vendors &amp; Crew'!$A$5:$D$34,3,FALSE),0)))</f>
        <v/>
      </c>
      <c r="H856" s="39">
        <f>IF(B856="","",E856*G856*(1+Settings!$B$18))</f>
        <v/>
      </c>
      <c r="I856" s="39">
        <f>IF(B856="","",IFERROR(VLOOKUP(B856,'Vendors &amp; Crew'!$A$5:$D$34,4,FALSE),0))</f>
        <v/>
      </c>
      <c r="J856" s="39">
        <f>IF(B856="","",E856*I856)</f>
        <v/>
      </c>
      <c r="K856" s="59">
        <f>IF(A856="","",A856-WEEKDAY(A856,2)+7)</f>
        <v/>
      </c>
      <c r="L856" s="9">
        <f>IF(B856="","",IF(D856="","Labor",IFERROR(VLOOKUP(D856,Settings!$E$5:$G$28,3,FALSE),"Labor")))</f>
        <v/>
      </c>
      <c r="M856" s="9">
        <f>IF(B856="","",IF(COUNTIF('Vendors &amp; Crew'!$A$5:$A$34,B856)=0,"Worker not in Crew table",IF(C856="","Missing Job ID",IF(COUNTIF(Jobs!$A$5:$A$44,C856)=0,"Unknown Job ID",IF(E856="","Missing hours",IF(A856="","Missing date",""))))))</f>
        <v/>
      </c>
      <c r="N856" s="35" t="n"/>
    </row>
    <row r="857">
      <c r="A857" s="40" t="n"/>
      <c r="B857" s="35" t="n"/>
      <c r="C857" s="35" t="n"/>
      <c r="D857" s="35" t="n"/>
      <c r="E857" s="61" t="n"/>
      <c r="F857" s="37" t="n"/>
      <c r="G857" s="39">
        <f>IF(B857="","",IF(F857&lt;&gt;"",F857,IFERROR(VLOOKUP(B857,'Vendors &amp; Crew'!$A$5:$D$34,3,FALSE),0)))</f>
        <v/>
      </c>
      <c r="H857" s="39">
        <f>IF(B857="","",E857*G857*(1+Settings!$B$18))</f>
        <v/>
      </c>
      <c r="I857" s="39">
        <f>IF(B857="","",IFERROR(VLOOKUP(B857,'Vendors &amp; Crew'!$A$5:$D$34,4,FALSE),0))</f>
        <v/>
      </c>
      <c r="J857" s="39">
        <f>IF(B857="","",E857*I857)</f>
        <v/>
      </c>
      <c r="K857" s="59">
        <f>IF(A857="","",A857-WEEKDAY(A857,2)+7)</f>
        <v/>
      </c>
      <c r="L857" s="9">
        <f>IF(B857="","",IF(D857="","Labor",IFERROR(VLOOKUP(D857,Settings!$E$5:$G$28,3,FALSE),"Labor")))</f>
        <v/>
      </c>
      <c r="M857" s="9">
        <f>IF(B857="","",IF(COUNTIF('Vendors &amp; Crew'!$A$5:$A$34,B857)=0,"Worker not in Crew table",IF(C857="","Missing Job ID",IF(COUNTIF(Jobs!$A$5:$A$44,C857)=0,"Unknown Job ID",IF(E857="","Missing hours",IF(A857="","Missing date",""))))))</f>
        <v/>
      </c>
      <c r="N857" s="35" t="n"/>
    </row>
    <row r="858">
      <c r="A858" s="40" t="n"/>
      <c r="B858" s="35" t="n"/>
      <c r="C858" s="35" t="n"/>
      <c r="D858" s="35" t="n"/>
      <c r="E858" s="61" t="n"/>
      <c r="F858" s="37" t="n"/>
      <c r="G858" s="39">
        <f>IF(B858="","",IF(F858&lt;&gt;"",F858,IFERROR(VLOOKUP(B858,'Vendors &amp; Crew'!$A$5:$D$34,3,FALSE),0)))</f>
        <v/>
      </c>
      <c r="H858" s="39">
        <f>IF(B858="","",E858*G858*(1+Settings!$B$18))</f>
        <v/>
      </c>
      <c r="I858" s="39">
        <f>IF(B858="","",IFERROR(VLOOKUP(B858,'Vendors &amp; Crew'!$A$5:$D$34,4,FALSE),0))</f>
        <v/>
      </c>
      <c r="J858" s="39">
        <f>IF(B858="","",E858*I858)</f>
        <v/>
      </c>
      <c r="K858" s="59">
        <f>IF(A858="","",A858-WEEKDAY(A858,2)+7)</f>
        <v/>
      </c>
      <c r="L858" s="9">
        <f>IF(B858="","",IF(D858="","Labor",IFERROR(VLOOKUP(D858,Settings!$E$5:$G$28,3,FALSE),"Labor")))</f>
        <v/>
      </c>
      <c r="M858" s="9">
        <f>IF(B858="","",IF(COUNTIF('Vendors &amp; Crew'!$A$5:$A$34,B858)=0,"Worker not in Crew table",IF(C858="","Missing Job ID",IF(COUNTIF(Jobs!$A$5:$A$44,C858)=0,"Unknown Job ID",IF(E858="","Missing hours",IF(A858="","Missing date",""))))))</f>
        <v/>
      </c>
      <c r="N858" s="35" t="n"/>
    </row>
    <row r="859">
      <c r="A859" s="40" t="n"/>
      <c r="B859" s="35" t="n"/>
      <c r="C859" s="35" t="n"/>
      <c r="D859" s="35" t="n"/>
      <c r="E859" s="61" t="n"/>
      <c r="F859" s="37" t="n"/>
      <c r="G859" s="39">
        <f>IF(B859="","",IF(F859&lt;&gt;"",F859,IFERROR(VLOOKUP(B859,'Vendors &amp; Crew'!$A$5:$D$34,3,FALSE),0)))</f>
        <v/>
      </c>
      <c r="H859" s="39">
        <f>IF(B859="","",E859*G859*(1+Settings!$B$18))</f>
        <v/>
      </c>
      <c r="I859" s="39">
        <f>IF(B859="","",IFERROR(VLOOKUP(B859,'Vendors &amp; Crew'!$A$5:$D$34,4,FALSE),0))</f>
        <v/>
      </c>
      <c r="J859" s="39">
        <f>IF(B859="","",E859*I859)</f>
        <v/>
      </c>
      <c r="K859" s="59">
        <f>IF(A859="","",A859-WEEKDAY(A859,2)+7)</f>
        <v/>
      </c>
      <c r="L859" s="9">
        <f>IF(B859="","",IF(D859="","Labor",IFERROR(VLOOKUP(D859,Settings!$E$5:$G$28,3,FALSE),"Labor")))</f>
        <v/>
      </c>
      <c r="M859" s="9">
        <f>IF(B859="","",IF(COUNTIF('Vendors &amp; Crew'!$A$5:$A$34,B859)=0,"Worker not in Crew table",IF(C859="","Missing Job ID",IF(COUNTIF(Jobs!$A$5:$A$44,C859)=0,"Unknown Job ID",IF(E859="","Missing hours",IF(A859="","Missing date",""))))))</f>
        <v/>
      </c>
      <c r="N859" s="35" t="n"/>
    </row>
    <row r="860">
      <c r="A860" s="40" t="n"/>
      <c r="B860" s="35" t="n"/>
      <c r="C860" s="35" t="n"/>
      <c r="D860" s="35" t="n"/>
      <c r="E860" s="61" t="n"/>
      <c r="F860" s="37" t="n"/>
      <c r="G860" s="39">
        <f>IF(B860="","",IF(F860&lt;&gt;"",F860,IFERROR(VLOOKUP(B860,'Vendors &amp; Crew'!$A$5:$D$34,3,FALSE),0)))</f>
        <v/>
      </c>
      <c r="H860" s="39">
        <f>IF(B860="","",E860*G860*(1+Settings!$B$18))</f>
        <v/>
      </c>
      <c r="I860" s="39">
        <f>IF(B860="","",IFERROR(VLOOKUP(B860,'Vendors &amp; Crew'!$A$5:$D$34,4,FALSE),0))</f>
        <v/>
      </c>
      <c r="J860" s="39">
        <f>IF(B860="","",E860*I860)</f>
        <v/>
      </c>
      <c r="K860" s="59">
        <f>IF(A860="","",A860-WEEKDAY(A860,2)+7)</f>
        <v/>
      </c>
      <c r="L860" s="9">
        <f>IF(B860="","",IF(D860="","Labor",IFERROR(VLOOKUP(D860,Settings!$E$5:$G$28,3,FALSE),"Labor")))</f>
        <v/>
      </c>
      <c r="M860" s="9">
        <f>IF(B860="","",IF(COUNTIF('Vendors &amp; Crew'!$A$5:$A$34,B860)=0,"Worker not in Crew table",IF(C860="","Missing Job ID",IF(COUNTIF(Jobs!$A$5:$A$44,C860)=0,"Unknown Job ID",IF(E860="","Missing hours",IF(A860="","Missing date",""))))))</f>
        <v/>
      </c>
      <c r="N860" s="35" t="n"/>
    </row>
    <row r="861">
      <c r="A861" s="40" t="n"/>
      <c r="B861" s="35" t="n"/>
      <c r="C861" s="35" t="n"/>
      <c r="D861" s="35" t="n"/>
      <c r="E861" s="61" t="n"/>
      <c r="F861" s="37" t="n"/>
      <c r="G861" s="39">
        <f>IF(B861="","",IF(F861&lt;&gt;"",F861,IFERROR(VLOOKUP(B861,'Vendors &amp; Crew'!$A$5:$D$34,3,FALSE),0)))</f>
        <v/>
      </c>
      <c r="H861" s="39">
        <f>IF(B861="","",E861*G861*(1+Settings!$B$18))</f>
        <v/>
      </c>
      <c r="I861" s="39">
        <f>IF(B861="","",IFERROR(VLOOKUP(B861,'Vendors &amp; Crew'!$A$5:$D$34,4,FALSE),0))</f>
        <v/>
      </c>
      <c r="J861" s="39">
        <f>IF(B861="","",E861*I861)</f>
        <v/>
      </c>
      <c r="K861" s="59">
        <f>IF(A861="","",A861-WEEKDAY(A861,2)+7)</f>
        <v/>
      </c>
      <c r="L861" s="9">
        <f>IF(B861="","",IF(D861="","Labor",IFERROR(VLOOKUP(D861,Settings!$E$5:$G$28,3,FALSE),"Labor")))</f>
        <v/>
      </c>
      <c r="M861" s="9">
        <f>IF(B861="","",IF(COUNTIF('Vendors &amp; Crew'!$A$5:$A$34,B861)=0,"Worker not in Crew table",IF(C861="","Missing Job ID",IF(COUNTIF(Jobs!$A$5:$A$44,C861)=0,"Unknown Job ID",IF(E861="","Missing hours",IF(A861="","Missing date",""))))))</f>
        <v/>
      </c>
      <c r="N861" s="35" t="n"/>
    </row>
    <row r="862">
      <c r="A862" s="40" t="n"/>
      <c r="B862" s="35" t="n"/>
      <c r="C862" s="35" t="n"/>
      <c r="D862" s="35" t="n"/>
      <c r="E862" s="61" t="n"/>
      <c r="F862" s="37" t="n"/>
      <c r="G862" s="39">
        <f>IF(B862="","",IF(F862&lt;&gt;"",F862,IFERROR(VLOOKUP(B862,'Vendors &amp; Crew'!$A$5:$D$34,3,FALSE),0)))</f>
        <v/>
      </c>
      <c r="H862" s="39">
        <f>IF(B862="","",E862*G862*(1+Settings!$B$18))</f>
        <v/>
      </c>
      <c r="I862" s="39">
        <f>IF(B862="","",IFERROR(VLOOKUP(B862,'Vendors &amp; Crew'!$A$5:$D$34,4,FALSE),0))</f>
        <v/>
      </c>
      <c r="J862" s="39">
        <f>IF(B862="","",E862*I862)</f>
        <v/>
      </c>
      <c r="K862" s="59">
        <f>IF(A862="","",A862-WEEKDAY(A862,2)+7)</f>
        <v/>
      </c>
      <c r="L862" s="9">
        <f>IF(B862="","",IF(D862="","Labor",IFERROR(VLOOKUP(D862,Settings!$E$5:$G$28,3,FALSE),"Labor")))</f>
        <v/>
      </c>
      <c r="M862" s="9">
        <f>IF(B862="","",IF(COUNTIF('Vendors &amp; Crew'!$A$5:$A$34,B862)=0,"Worker not in Crew table",IF(C862="","Missing Job ID",IF(COUNTIF(Jobs!$A$5:$A$44,C862)=0,"Unknown Job ID",IF(E862="","Missing hours",IF(A862="","Missing date",""))))))</f>
        <v/>
      </c>
      <c r="N862" s="35" t="n"/>
    </row>
    <row r="863">
      <c r="A863" s="40" t="n"/>
      <c r="B863" s="35" t="n"/>
      <c r="C863" s="35" t="n"/>
      <c r="D863" s="35" t="n"/>
      <c r="E863" s="61" t="n"/>
      <c r="F863" s="37" t="n"/>
      <c r="G863" s="39">
        <f>IF(B863="","",IF(F863&lt;&gt;"",F863,IFERROR(VLOOKUP(B863,'Vendors &amp; Crew'!$A$5:$D$34,3,FALSE),0)))</f>
        <v/>
      </c>
      <c r="H863" s="39">
        <f>IF(B863="","",E863*G863*(1+Settings!$B$18))</f>
        <v/>
      </c>
      <c r="I863" s="39">
        <f>IF(B863="","",IFERROR(VLOOKUP(B863,'Vendors &amp; Crew'!$A$5:$D$34,4,FALSE),0))</f>
        <v/>
      </c>
      <c r="J863" s="39">
        <f>IF(B863="","",E863*I863)</f>
        <v/>
      </c>
      <c r="K863" s="59">
        <f>IF(A863="","",A863-WEEKDAY(A863,2)+7)</f>
        <v/>
      </c>
      <c r="L863" s="9">
        <f>IF(B863="","",IF(D863="","Labor",IFERROR(VLOOKUP(D863,Settings!$E$5:$G$28,3,FALSE),"Labor")))</f>
        <v/>
      </c>
      <c r="M863" s="9">
        <f>IF(B863="","",IF(COUNTIF('Vendors &amp; Crew'!$A$5:$A$34,B863)=0,"Worker not in Crew table",IF(C863="","Missing Job ID",IF(COUNTIF(Jobs!$A$5:$A$44,C863)=0,"Unknown Job ID",IF(E863="","Missing hours",IF(A863="","Missing date",""))))))</f>
        <v/>
      </c>
      <c r="N863" s="35" t="n"/>
    </row>
    <row r="864">
      <c r="A864" s="40" t="n"/>
      <c r="B864" s="35" t="n"/>
      <c r="C864" s="35" t="n"/>
      <c r="D864" s="35" t="n"/>
      <c r="E864" s="61" t="n"/>
      <c r="F864" s="37" t="n"/>
      <c r="G864" s="39">
        <f>IF(B864="","",IF(F864&lt;&gt;"",F864,IFERROR(VLOOKUP(B864,'Vendors &amp; Crew'!$A$5:$D$34,3,FALSE),0)))</f>
        <v/>
      </c>
      <c r="H864" s="39">
        <f>IF(B864="","",E864*G864*(1+Settings!$B$18))</f>
        <v/>
      </c>
      <c r="I864" s="39">
        <f>IF(B864="","",IFERROR(VLOOKUP(B864,'Vendors &amp; Crew'!$A$5:$D$34,4,FALSE),0))</f>
        <v/>
      </c>
      <c r="J864" s="39">
        <f>IF(B864="","",E864*I864)</f>
        <v/>
      </c>
      <c r="K864" s="59">
        <f>IF(A864="","",A864-WEEKDAY(A864,2)+7)</f>
        <v/>
      </c>
      <c r="L864" s="9">
        <f>IF(B864="","",IF(D864="","Labor",IFERROR(VLOOKUP(D864,Settings!$E$5:$G$28,3,FALSE),"Labor")))</f>
        <v/>
      </c>
      <c r="M864" s="9">
        <f>IF(B864="","",IF(COUNTIF('Vendors &amp; Crew'!$A$5:$A$34,B864)=0,"Worker not in Crew table",IF(C864="","Missing Job ID",IF(COUNTIF(Jobs!$A$5:$A$44,C864)=0,"Unknown Job ID",IF(E864="","Missing hours",IF(A864="","Missing date",""))))))</f>
        <v/>
      </c>
      <c r="N864" s="35" t="n"/>
    </row>
    <row r="865">
      <c r="A865" s="40" t="n"/>
      <c r="B865" s="35" t="n"/>
      <c r="C865" s="35" t="n"/>
      <c r="D865" s="35" t="n"/>
      <c r="E865" s="61" t="n"/>
      <c r="F865" s="37" t="n"/>
      <c r="G865" s="39">
        <f>IF(B865="","",IF(F865&lt;&gt;"",F865,IFERROR(VLOOKUP(B865,'Vendors &amp; Crew'!$A$5:$D$34,3,FALSE),0)))</f>
        <v/>
      </c>
      <c r="H865" s="39">
        <f>IF(B865="","",E865*G865*(1+Settings!$B$18))</f>
        <v/>
      </c>
      <c r="I865" s="39">
        <f>IF(B865="","",IFERROR(VLOOKUP(B865,'Vendors &amp; Crew'!$A$5:$D$34,4,FALSE),0))</f>
        <v/>
      </c>
      <c r="J865" s="39">
        <f>IF(B865="","",E865*I865)</f>
        <v/>
      </c>
      <c r="K865" s="59">
        <f>IF(A865="","",A865-WEEKDAY(A865,2)+7)</f>
        <v/>
      </c>
      <c r="L865" s="9">
        <f>IF(B865="","",IF(D865="","Labor",IFERROR(VLOOKUP(D865,Settings!$E$5:$G$28,3,FALSE),"Labor")))</f>
        <v/>
      </c>
      <c r="M865" s="9">
        <f>IF(B865="","",IF(COUNTIF('Vendors &amp; Crew'!$A$5:$A$34,B865)=0,"Worker not in Crew table",IF(C865="","Missing Job ID",IF(COUNTIF(Jobs!$A$5:$A$44,C865)=0,"Unknown Job ID",IF(E865="","Missing hours",IF(A865="","Missing date",""))))))</f>
        <v/>
      </c>
      <c r="N865" s="35" t="n"/>
    </row>
    <row r="866">
      <c r="A866" s="40" t="n"/>
      <c r="B866" s="35" t="n"/>
      <c r="C866" s="35" t="n"/>
      <c r="D866" s="35" t="n"/>
      <c r="E866" s="61" t="n"/>
      <c r="F866" s="37" t="n"/>
      <c r="G866" s="39">
        <f>IF(B866="","",IF(F866&lt;&gt;"",F866,IFERROR(VLOOKUP(B866,'Vendors &amp; Crew'!$A$5:$D$34,3,FALSE),0)))</f>
        <v/>
      </c>
      <c r="H866" s="39">
        <f>IF(B866="","",E866*G866*(1+Settings!$B$18))</f>
        <v/>
      </c>
      <c r="I866" s="39">
        <f>IF(B866="","",IFERROR(VLOOKUP(B866,'Vendors &amp; Crew'!$A$5:$D$34,4,FALSE),0))</f>
        <v/>
      </c>
      <c r="J866" s="39">
        <f>IF(B866="","",E866*I866)</f>
        <v/>
      </c>
      <c r="K866" s="59">
        <f>IF(A866="","",A866-WEEKDAY(A866,2)+7)</f>
        <v/>
      </c>
      <c r="L866" s="9">
        <f>IF(B866="","",IF(D866="","Labor",IFERROR(VLOOKUP(D866,Settings!$E$5:$G$28,3,FALSE),"Labor")))</f>
        <v/>
      </c>
      <c r="M866" s="9">
        <f>IF(B866="","",IF(COUNTIF('Vendors &amp; Crew'!$A$5:$A$34,B866)=0,"Worker not in Crew table",IF(C866="","Missing Job ID",IF(COUNTIF(Jobs!$A$5:$A$44,C866)=0,"Unknown Job ID",IF(E866="","Missing hours",IF(A866="","Missing date",""))))))</f>
        <v/>
      </c>
      <c r="N866" s="35" t="n"/>
    </row>
    <row r="867">
      <c r="A867" s="40" t="n"/>
      <c r="B867" s="35" t="n"/>
      <c r="C867" s="35" t="n"/>
      <c r="D867" s="35" t="n"/>
      <c r="E867" s="61" t="n"/>
      <c r="F867" s="37" t="n"/>
      <c r="G867" s="39">
        <f>IF(B867="","",IF(F867&lt;&gt;"",F867,IFERROR(VLOOKUP(B867,'Vendors &amp; Crew'!$A$5:$D$34,3,FALSE),0)))</f>
        <v/>
      </c>
      <c r="H867" s="39">
        <f>IF(B867="","",E867*G867*(1+Settings!$B$18))</f>
        <v/>
      </c>
      <c r="I867" s="39">
        <f>IF(B867="","",IFERROR(VLOOKUP(B867,'Vendors &amp; Crew'!$A$5:$D$34,4,FALSE),0))</f>
        <v/>
      </c>
      <c r="J867" s="39">
        <f>IF(B867="","",E867*I867)</f>
        <v/>
      </c>
      <c r="K867" s="59">
        <f>IF(A867="","",A867-WEEKDAY(A867,2)+7)</f>
        <v/>
      </c>
      <c r="L867" s="9">
        <f>IF(B867="","",IF(D867="","Labor",IFERROR(VLOOKUP(D867,Settings!$E$5:$G$28,3,FALSE),"Labor")))</f>
        <v/>
      </c>
      <c r="M867" s="9">
        <f>IF(B867="","",IF(COUNTIF('Vendors &amp; Crew'!$A$5:$A$34,B867)=0,"Worker not in Crew table",IF(C867="","Missing Job ID",IF(COUNTIF(Jobs!$A$5:$A$44,C867)=0,"Unknown Job ID",IF(E867="","Missing hours",IF(A867="","Missing date",""))))))</f>
        <v/>
      </c>
      <c r="N867" s="35" t="n"/>
    </row>
    <row r="868">
      <c r="A868" s="40" t="n"/>
      <c r="B868" s="35" t="n"/>
      <c r="C868" s="35" t="n"/>
      <c r="D868" s="35" t="n"/>
      <c r="E868" s="61" t="n"/>
      <c r="F868" s="37" t="n"/>
      <c r="G868" s="39">
        <f>IF(B868="","",IF(F868&lt;&gt;"",F868,IFERROR(VLOOKUP(B868,'Vendors &amp; Crew'!$A$5:$D$34,3,FALSE),0)))</f>
        <v/>
      </c>
      <c r="H868" s="39">
        <f>IF(B868="","",E868*G868*(1+Settings!$B$18))</f>
        <v/>
      </c>
      <c r="I868" s="39">
        <f>IF(B868="","",IFERROR(VLOOKUP(B868,'Vendors &amp; Crew'!$A$5:$D$34,4,FALSE),0))</f>
        <v/>
      </c>
      <c r="J868" s="39">
        <f>IF(B868="","",E868*I868)</f>
        <v/>
      </c>
      <c r="K868" s="59">
        <f>IF(A868="","",A868-WEEKDAY(A868,2)+7)</f>
        <v/>
      </c>
      <c r="L868" s="9">
        <f>IF(B868="","",IF(D868="","Labor",IFERROR(VLOOKUP(D868,Settings!$E$5:$G$28,3,FALSE),"Labor")))</f>
        <v/>
      </c>
      <c r="M868" s="9">
        <f>IF(B868="","",IF(COUNTIF('Vendors &amp; Crew'!$A$5:$A$34,B868)=0,"Worker not in Crew table",IF(C868="","Missing Job ID",IF(COUNTIF(Jobs!$A$5:$A$44,C868)=0,"Unknown Job ID",IF(E868="","Missing hours",IF(A868="","Missing date",""))))))</f>
        <v/>
      </c>
      <c r="N868" s="35" t="n"/>
    </row>
    <row r="869">
      <c r="A869" s="40" t="n"/>
      <c r="B869" s="35" t="n"/>
      <c r="C869" s="35" t="n"/>
      <c r="D869" s="35" t="n"/>
      <c r="E869" s="61" t="n"/>
      <c r="F869" s="37" t="n"/>
      <c r="G869" s="39">
        <f>IF(B869="","",IF(F869&lt;&gt;"",F869,IFERROR(VLOOKUP(B869,'Vendors &amp; Crew'!$A$5:$D$34,3,FALSE),0)))</f>
        <v/>
      </c>
      <c r="H869" s="39">
        <f>IF(B869="","",E869*G869*(1+Settings!$B$18))</f>
        <v/>
      </c>
      <c r="I869" s="39">
        <f>IF(B869="","",IFERROR(VLOOKUP(B869,'Vendors &amp; Crew'!$A$5:$D$34,4,FALSE),0))</f>
        <v/>
      </c>
      <c r="J869" s="39">
        <f>IF(B869="","",E869*I869)</f>
        <v/>
      </c>
      <c r="K869" s="59">
        <f>IF(A869="","",A869-WEEKDAY(A869,2)+7)</f>
        <v/>
      </c>
      <c r="L869" s="9">
        <f>IF(B869="","",IF(D869="","Labor",IFERROR(VLOOKUP(D869,Settings!$E$5:$G$28,3,FALSE),"Labor")))</f>
        <v/>
      </c>
      <c r="M869" s="9">
        <f>IF(B869="","",IF(COUNTIF('Vendors &amp; Crew'!$A$5:$A$34,B869)=0,"Worker not in Crew table",IF(C869="","Missing Job ID",IF(COUNTIF(Jobs!$A$5:$A$44,C869)=0,"Unknown Job ID",IF(E869="","Missing hours",IF(A869="","Missing date",""))))))</f>
        <v/>
      </c>
      <c r="N869" s="35" t="n"/>
    </row>
    <row r="870">
      <c r="A870" s="40" t="n"/>
      <c r="B870" s="35" t="n"/>
      <c r="C870" s="35" t="n"/>
      <c r="D870" s="35" t="n"/>
      <c r="E870" s="61" t="n"/>
      <c r="F870" s="37" t="n"/>
      <c r="G870" s="39">
        <f>IF(B870="","",IF(F870&lt;&gt;"",F870,IFERROR(VLOOKUP(B870,'Vendors &amp; Crew'!$A$5:$D$34,3,FALSE),0)))</f>
        <v/>
      </c>
      <c r="H870" s="39">
        <f>IF(B870="","",E870*G870*(1+Settings!$B$18))</f>
        <v/>
      </c>
      <c r="I870" s="39">
        <f>IF(B870="","",IFERROR(VLOOKUP(B870,'Vendors &amp; Crew'!$A$5:$D$34,4,FALSE),0))</f>
        <v/>
      </c>
      <c r="J870" s="39">
        <f>IF(B870="","",E870*I870)</f>
        <v/>
      </c>
      <c r="K870" s="59">
        <f>IF(A870="","",A870-WEEKDAY(A870,2)+7)</f>
        <v/>
      </c>
      <c r="L870" s="9">
        <f>IF(B870="","",IF(D870="","Labor",IFERROR(VLOOKUP(D870,Settings!$E$5:$G$28,3,FALSE),"Labor")))</f>
        <v/>
      </c>
      <c r="M870" s="9">
        <f>IF(B870="","",IF(COUNTIF('Vendors &amp; Crew'!$A$5:$A$34,B870)=0,"Worker not in Crew table",IF(C870="","Missing Job ID",IF(COUNTIF(Jobs!$A$5:$A$44,C870)=0,"Unknown Job ID",IF(E870="","Missing hours",IF(A870="","Missing date",""))))))</f>
        <v/>
      </c>
      <c r="N870" s="35" t="n"/>
    </row>
    <row r="871">
      <c r="A871" s="40" t="n"/>
      <c r="B871" s="35" t="n"/>
      <c r="C871" s="35" t="n"/>
      <c r="D871" s="35" t="n"/>
      <c r="E871" s="61" t="n"/>
      <c r="F871" s="37" t="n"/>
      <c r="G871" s="39">
        <f>IF(B871="","",IF(F871&lt;&gt;"",F871,IFERROR(VLOOKUP(B871,'Vendors &amp; Crew'!$A$5:$D$34,3,FALSE),0)))</f>
        <v/>
      </c>
      <c r="H871" s="39">
        <f>IF(B871="","",E871*G871*(1+Settings!$B$18))</f>
        <v/>
      </c>
      <c r="I871" s="39">
        <f>IF(B871="","",IFERROR(VLOOKUP(B871,'Vendors &amp; Crew'!$A$5:$D$34,4,FALSE),0))</f>
        <v/>
      </c>
      <c r="J871" s="39">
        <f>IF(B871="","",E871*I871)</f>
        <v/>
      </c>
      <c r="K871" s="59">
        <f>IF(A871="","",A871-WEEKDAY(A871,2)+7)</f>
        <v/>
      </c>
      <c r="L871" s="9">
        <f>IF(B871="","",IF(D871="","Labor",IFERROR(VLOOKUP(D871,Settings!$E$5:$G$28,3,FALSE),"Labor")))</f>
        <v/>
      </c>
      <c r="M871" s="9">
        <f>IF(B871="","",IF(COUNTIF('Vendors &amp; Crew'!$A$5:$A$34,B871)=0,"Worker not in Crew table",IF(C871="","Missing Job ID",IF(COUNTIF(Jobs!$A$5:$A$44,C871)=0,"Unknown Job ID",IF(E871="","Missing hours",IF(A871="","Missing date",""))))))</f>
        <v/>
      </c>
      <c r="N871" s="35" t="n"/>
    </row>
    <row r="872">
      <c r="A872" s="40" t="n"/>
      <c r="B872" s="35" t="n"/>
      <c r="C872" s="35" t="n"/>
      <c r="D872" s="35" t="n"/>
      <c r="E872" s="61" t="n"/>
      <c r="F872" s="37" t="n"/>
      <c r="G872" s="39">
        <f>IF(B872="","",IF(F872&lt;&gt;"",F872,IFERROR(VLOOKUP(B872,'Vendors &amp; Crew'!$A$5:$D$34,3,FALSE),0)))</f>
        <v/>
      </c>
      <c r="H872" s="39">
        <f>IF(B872="","",E872*G872*(1+Settings!$B$18))</f>
        <v/>
      </c>
      <c r="I872" s="39">
        <f>IF(B872="","",IFERROR(VLOOKUP(B872,'Vendors &amp; Crew'!$A$5:$D$34,4,FALSE),0))</f>
        <v/>
      </c>
      <c r="J872" s="39">
        <f>IF(B872="","",E872*I872)</f>
        <v/>
      </c>
      <c r="K872" s="59">
        <f>IF(A872="","",A872-WEEKDAY(A872,2)+7)</f>
        <v/>
      </c>
      <c r="L872" s="9">
        <f>IF(B872="","",IF(D872="","Labor",IFERROR(VLOOKUP(D872,Settings!$E$5:$G$28,3,FALSE),"Labor")))</f>
        <v/>
      </c>
      <c r="M872" s="9">
        <f>IF(B872="","",IF(COUNTIF('Vendors &amp; Crew'!$A$5:$A$34,B872)=0,"Worker not in Crew table",IF(C872="","Missing Job ID",IF(COUNTIF(Jobs!$A$5:$A$44,C872)=0,"Unknown Job ID",IF(E872="","Missing hours",IF(A872="","Missing date",""))))))</f>
        <v/>
      </c>
      <c r="N872" s="35" t="n"/>
    </row>
    <row r="873">
      <c r="A873" s="40" t="n"/>
      <c r="B873" s="35" t="n"/>
      <c r="C873" s="35" t="n"/>
      <c r="D873" s="35" t="n"/>
      <c r="E873" s="61" t="n"/>
      <c r="F873" s="37" t="n"/>
      <c r="G873" s="39">
        <f>IF(B873="","",IF(F873&lt;&gt;"",F873,IFERROR(VLOOKUP(B873,'Vendors &amp; Crew'!$A$5:$D$34,3,FALSE),0)))</f>
        <v/>
      </c>
      <c r="H873" s="39">
        <f>IF(B873="","",E873*G873*(1+Settings!$B$18))</f>
        <v/>
      </c>
      <c r="I873" s="39">
        <f>IF(B873="","",IFERROR(VLOOKUP(B873,'Vendors &amp; Crew'!$A$5:$D$34,4,FALSE),0))</f>
        <v/>
      </c>
      <c r="J873" s="39">
        <f>IF(B873="","",E873*I873)</f>
        <v/>
      </c>
      <c r="K873" s="59">
        <f>IF(A873="","",A873-WEEKDAY(A873,2)+7)</f>
        <v/>
      </c>
      <c r="L873" s="9">
        <f>IF(B873="","",IF(D873="","Labor",IFERROR(VLOOKUP(D873,Settings!$E$5:$G$28,3,FALSE),"Labor")))</f>
        <v/>
      </c>
      <c r="M873" s="9">
        <f>IF(B873="","",IF(COUNTIF('Vendors &amp; Crew'!$A$5:$A$34,B873)=0,"Worker not in Crew table",IF(C873="","Missing Job ID",IF(COUNTIF(Jobs!$A$5:$A$44,C873)=0,"Unknown Job ID",IF(E873="","Missing hours",IF(A873="","Missing date",""))))))</f>
        <v/>
      </c>
      <c r="N873" s="35" t="n"/>
    </row>
    <row r="874">
      <c r="A874" s="40" t="n"/>
      <c r="B874" s="35" t="n"/>
      <c r="C874" s="35" t="n"/>
      <c r="D874" s="35" t="n"/>
      <c r="E874" s="61" t="n"/>
      <c r="F874" s="37" t="n"/>
      <c r="G874" s="39">
        <f>IF(B874="","",IF(F874&lt;&gt;"",F874,IFERROR(VLOOKUP(B874,'Vendors &amp; Crew'!$A$5:$D$34,3,FALSE),0)))</f>
        <v/>
      </c>
      <c r="H874" s="39">
        <f>IF(B874="","",E874*G874*(1+Settings!$B$18))</f>
        <v/>
      </c>
      <c r="I874" s="39">
        <f>IF(B874="","",IFERROR(VLOOKUP(B874,'Vendors &amp; Crew'!$A$5:$D$34,4,FALSE),0))</f>
        <v/>
      </c>
      <c r="J874" s="39">
        <f>IF(B874="","",E874*I874)</f>
        <v/>
      </c>
      <c r="K874" s="59">
        <f>IF(A874="","",A874-WEEKDAY(A874,2)+7)</f>
        <v/>
      </c>
      <c r="L874" s="9">
        <f>IF(B874="","",IF(D874="","Labor",IFERROR(VLOOKUP(D874,Settings!$E$5:$G$28,3,FALSE),"Labor")))</f>
        <v/>
      </c>
      <c r="M874" s="9">
        <f>IF(B874="","",IF(COUNTIF('Vendors &amp; Crew'!$A$5:$A$34,B874)=0,"Worker not in Crew table",IF(C874="","Missing Job ID",IF(COUNTIF(Jobs!$A$5:$A$44,C874)=0,"Unknown Job ID",IF(E874="","Missing hours",IF(A874="","Missing date",""))))))</f>
        <v/>
      </c>
      <c r="N874" s="35" t="n"/>
    </row>
    <row r="875">
      <c r="A875" s="40" t="n"/>
      <c r="B875" s="35" t="n"/>
      <c r="C875" s="35" t="n"/>
      <c r="D875" s="35" t="n"/>
      <c r="E875" s="61" t="n"/>
      <c r="F875" s="37" t="n"/>
      <c r="G875" s="39">
        <f>IF(B875="","",IF(F875&lt;&gt;"",F875,IFERROR(VLOOKUP(B875,'Vendors &amp; Crew'!$A$5:$D$34,3,FALSE),0)))</f>
        <v/>
      </c>
      <c r="H875" s="39">
        <f>IF(B875="","",E875*G875*(1+Settings!$B$18))</f>
        <v/>
      </c>
      <c r="I875" s="39">
        <f>IF(B875="","",IFERROR(VLOOKUP(B875,'Vendors &amp; Crew'!$A$5:$D$34,4,FALSE),0))</f>
        <v/>
      </c>
      <c r="J875" s="39">
        <f>IF(B875="","",E875*I875)</f>
        <v/>
      </c>
      <c r="K875" s="59">
        <f>IF(A875="","",A875-WEEKDAY(A875,2)+7)</f>
        <v/>
      </c>
      <c r="L875" s="9">
        <f>IF(B875="","",IF(D875="","Labor",IFERROR(VLOOKUP(D875,Settings!$E$5:$G$28,3,FALSE),"Labor")))</f>
        <v/>
      </c>
      <c r="M875" s="9">
        <f>IF(B875="","",IF(COUNTIF('Vendors &amp; Crew'!$A$5:$A$34,B875)=0,"Worker not in Crew table",IF(C875="","Missing Job ID",IF(COUNTIF(Jobs!$A$5:$A$44,C875)=0,"Unknown Job ID",IF(E875="","Missing hours",IF(A875="","Missing date",""))))))</f>
        <v/>
      </c>
      <c r="N875" s="35" t="n"/>
    </row>
    <row r="876">
      <c r="A876" s="40" t="n"/>
      <c r="B876" s="35" t="n"/>
      <c r="C876" s="35" t="n"/>
      <c r="D876" s="35" t="n"/>
      <c r="E876" s="61" t="n"/>
      <c r="F876" s="37" t="n"/>
      <c r="G876" s="39">
        <f>IF(B876="","",IF(F876&lt;&gt;"",F876,IFERROR(VLOOKUP(B876,'Vendors &amp; Crew'!$A$5:$D$34,3,FALSE),0)))</f>
        <v/>
      </c>
      <c r="H876" s="39">
        <f>IF(B876="","",E876*G876*(1+Settings!$B$18))</f>
        <v/>
      </c>
      <c r="I876" s="39">
        <f>IF(B876="","",IFERROR(VLOOKUP(B876,'Vendors &amp; Crew'!$A$5:$D$34,4,FALSE),0))</f>
        <v/>
      </c>
      <c r="J876" s="39">
        <f>IF(B876="","",E876*I876)</f>
        <v/>
      </c>
      <c r="K876" s="59">
        <f>IF(A876="","",A876-WEEKDAY(A876,2)+7)</f>
        <v/>
      </c>
      <c r="L876" s="9">
        <f>IF(B876="","",IF(D876="","Labor",IFERROR(VLOOKUP(D876,Settings!$E$5:$G$28,3,FALSE),"Labor")))</f>
        <v/>
      </c>
      <c r="M876" s="9">
        <f>IF(B876="","",IF(COUNTIF('Vendors &amp; Crew'!$A$5:$A$34,B876)=0,"Worker not in Crew table",IF(C876="","Missing Job ID",IF(COUNTIF(Jobs!$A$5:$A$44,C876)=0,"Unknown Job ID",IF(E876="","Missing hours",IF(A876="","Missing date",""))))))</f>
        <v/>
      </c>
      <c r="N876" s="35" t="n"/>
    </row>
    <row r="877">
      <c r="A877" s="40" t="n"/>
      <c r="B877" s="35" t="n"/>
      <c r="C877" s="35" t="n"/>
      <c r="D877" s="35" t="n"/>
      <c r="E877" s="61" t="n"/>
      <c r="F877" s="37" t="n"/>
      <c r="G877" s="39">
        <f>IF(B877="","",IF(F877&lt;&gt;"",F877,IFERROR(VLOOKUP(B877,'Vendors &amp; Crew'!$A$5:$D$34,3,FALSE),0)))</f>
        <v/>
      </c>
      <c r="H877" s="39">
        <f>IF(B877="","",E877*G877*(1+Settings!$B$18))</f>
        <v/>
      </c>
      <c r="I877" s="39">
        <f>IF(B877="","",IFERROR(VLOOKUP(B877,'Vendors &amp; Crew'!$A$5:$D$34,4,FALSE),0))</f>
        <v/>
      </c>
      <c r="J877" s="39">
        <f>IF(B877="","",E877*I877)</f>
        <v/>
      </c>
      <c r="K877" s="59">
        <f>IF(A877="","",A877-WEEKDAY(A877,2)+7)</f>
        <v/>
      </c>
      <c r="L877" s="9">
        <f>IF(B877="","",IF(D877="","Labor",IFERROR(VLOOKUP(D877,Settings!$E$5:$G$28,3,FALSE),"Labor")))</f>
        <v/>
      </c>
      <c r="M877" s="9">
        <f>IF(B877="","",IF(COUNTIF('Vendors &amp; Crew'!$A$5:$A$34,B877)=0,"Worker not in Crew table",IF(C877="","Missing Job ID",IF(COUNTIF(Jobs!$A$5:$A$44,C877)=0,"Unknown Job ID",IF(E877="","Missing hours",IF(A877="","Missing date",""))))))</f>
        <v/>
      </c>
      <c r="N877" s="35" t="n"/>
    </row>
    <row r="878">
      <c r="A878" s="40" t="n"/>
      <c r="B878" s="35" t="n"/>
      <c r="C878" s="35" t="n"/>
      <c r="D878" s="35" t="n"/>
      <c r="E878" s="61" t="n"/>
      <c r="F878" s="37" t="n"/>
      <c r="G878" s="39">
        <f>IF(B878="","",IF(F878&lt;&gt;"",F878,IFERROR(VLOOKUP(B878,'Vendors &amp; Crew'!$A$5:$D$34,3,FALSE),0)))</f>
        <v/>
      </c>
      <c r="H878" s="39">
        <f>IF(B878="","",E878*G878*(1+Settings!$B$18))</f>
        <v/>
      </c>
      <c r="I878" s="39">
        <f>IF(B878="","",IFERROR(VLOOKUP(B878,'Vendors &amp; Crew'!$A$5:$D$34,4,FALSE),0))</f>
        <v/>
      </c>
      <c r="J878" s="39">
        <f>IF(B878="","",E878*I878)</f>
        <v/>
      </c>
      <c r="K878" s="59">
        <f>IF(A878="","",A878-WEEKDAY(A878,2)+7)</f>
        <v/>
      </c>
      <c r="L878" s="9">
        <f>IF(B878="","",IF(D878="","Labor",IFERROR(VLOOKUP(D878,Settings!$E$5:$G$28,3,FALSE),"Labor")))</f>
        <v/>
      </c>
      <c r="M878" s="9">
        <f>IF(B878="","",IF(COUNTIF('Vendors &amp; Crew'!$A$5:$A$34,B878)=0,"Worker not in Crew table",IF(C878="","Missing Job ID",IF(COUNTIF(Jobs!$A$5:$A$44,C878)=0,"Unknown Job ID",IF(E878="","Missing hours",IF(A878="","Missing date",""))))))</f>
        <v/>
      </c>
      <c r="N878" s="35" t="n"/>
    </row>
    <row r="879">
      <c r="A879" s="40" t="n"/>
      <c r="B879" s="35" t="n"/>
      <c r="C879" s="35" t="n"/>
      <c r="D879" s="35" t="n"/>
      <c r="E879" s="61" t="n"/>
      <c r="F879" s="37" t="n"/>
      <c r="G879" s="39">
        <f>IF(B879="","",IF(F879&lt;&gt;"",F879,IFERROR(VLOOKUP(B879,'Vendors &amp; Crew'!$A$5:$D$34,3,FALSE),0)))</f>
        <v/>
      </c>
      <c r="H879" s="39">
        <f>IF(B879="","",E879*G879*(1+Settings!$B$18))</f>
        <v/>
      </c>
      <c r="I879" s="39">
        <f>IF(B879="","",IFERROR(VLOOKUP(B879,'Vendors &amp; Crew'!$A$5:$D$34,4,FALSE),0))</f>
        <v/>
      </c>
      <c r="J879" s="39">
        <f>IF(B879="","",E879*I879)</f>
        <v/>
      </c>
      <c r="K879" s="59">
        <f>IF(A879="","",A879-WEEKDAY(A879,2)+7)</f>
        <v/>
      </c>
      <c r="L879" s="9">
        <f>IF(B879="","",IF(D879="","Labor",IFERROR(VLOOKUP(D879,Settings!$E$5:$G$28,3,FALSE),"Labor")))</f>
        <v/>
      </c>
      <c r="M879" s="9">
        <f>IF(B879="","",IF(COUNTIF('Vendors &amp; Crew'!$A$5:$A$34,B879)=0,"Worker not in Crew table",IF(C879="","Missing Job ID",IF(COUNTIF(Jobs!$A$5:$A$44,C879)=0,"Unknown Job ID",IF(E879="","Missing hours",IF(A879="","Missing date",""))))))</f>
        <v/>
      </c>
      <c r="N879" s="35" t="n"/>
    </row>
    <row r="880">
      <c r="A880" s="40" t="n"/>
      <c r="B880" s="35" t="n"/>
      <c r="C880" s="35" t="n"/>
      <c r="D880" s="35" t="n"/>
      <c r="E880" s="61" t="n"/>
      <c r="F880" s="37" t="n"/>
      <c r="G880" s="39">
        <f>IF(B880="","",IF(F880&lt;&gt;"",F880,IFERROR(VLOOKUP(B880,'Vendors &amp; Crew'!$A$5:$D$34,3,FALSE),0)))</f>
        <v/>
      </c>
      <c r="H880" s="39">
        <f>IF(B880="","",E880*G880*(1+Settings!$B$18))</f>
        <v/>
      </c>
      <c r="I880" s="39">
        <f>IF(B880="","",IFERROR(VLOOKUP(B880,'Vendors &amp; Crew'!$A$5:$D$34,4,FALSE),0))</f>
        <v/>
      </c>
      <c r="J880" s="39">
        <f>IF(B880="","",E880*I880)</f>
        <v/>
      </c>
      <c r="K880" s="59">
        <f>IF(A880="","",A880-WEEKDAY(A880,2)+7)</f>
        <v/>
      </c>
      <c r="L880" s="9">
        <f>IF(B880="","",IF(D880="","Labor",IFERROR(VLOOKUP(D880,Settings!$E$5:$G$28,3,FALSE),"Labor")))</f>
        <v/>
      </c>
      <c r="M880" s="9">
        <f>IF(B880="","",IF(COUNTIF('Vendors &amp; Crew'!$A$5:$A$34,B880)=0,"Worker not in Crew table",IF(C880="","Missing Job ID",IF(COUNTIF(Jobs!$A$5:$A$44,C880)=0,"Unknown Job ID",IF(E880="","Missing hours",IF(A880="","Missing date",""))))))</f>
        <v/>
      </c>
      <c r="N880" s="35" t="n"/>
    </row>
    <row r="881">
      <c r="A881" s="40" t="n"/>
      <c r="B881" s="35" t="n"/>
      <c r="C881" s="35" t="n"/>
      <c r="D881" s="35" t="n"/>
      <c r="E881" s="61" t="n"/>
      <c r="F881" s="37" t="n"/>
      <c r="G881" s="39">
        <f>IF(B881="","",IF(F881&lt;&gt;"",F881,IFERROR(VLOOKUP(B881,'Vendors &amp; Crew'!$A$5:$D$34,3,FALSE),0)))</f>
        <v/>
      </c>
      <c r="H881" s="39">
        <f>IF(B881="","",E881*G881*(1+Settings!$B$18))</f>
        <v/>
      </c>
      <c r="I881" s="39">
        <f>IF(B881="","",IFERROR(VLOOKUP(B881,'Vendors &amp; Crew'!$A$5:$D$34,4,FALSE),0))</f>
        <v/>
      </c>
      <c r="J881" s="39">
        <f>IF(B881="","",E881*I881)</f>
        <v/>
      </c>
      <c r="K881" s="59">
        <f>IF(A881="","",A881-WEEKDAY(A881,2)+7)</f>
        <v/>
      </c>
      <c r="L881" s="9">
        <f>IF(B881="","",IF(D881="","Labor",IFERROR(VLOOKUP(D881,Settings!$E$5:$G$28,3,FALSE),"Labor")))</f>
        <v/>
      </c>
      <c r="M881" s="9">
        <f>IF(B881="","",IF(COUNTIF('Vendors &amp; Crew'!$A$5:$A$34,B881)=0,"Worker not in Crew table",IF(C881="","Missing Job ID",IF(COUNTIF(Jobs!$A$5:$A$44,C881)=0,"Unknown Job ID",IF(E881="","Missing hours",IF(A881="","Missing date",""))))))</f>
        <v/>
      </c>
      <c r="N881" s="35" t="n"/>
    </row>
    <row r="882">
      <c r="A882" s="40" t="n"/>
      <c r="B882" s="35" t="n"/>
      <c r="C882" s="35" t="n"/>
      <c r="D882" s="35" t="n"/>
      <c r="E882" s="61" t="n"/>
      <c r="F882" s="37" t="n"/>
      <c r="G882" s="39">
        <f>IF(B882="","",IF(F882&lt;&gt;"",F882,IFERROR(VLOOKUP(B882,'Vendors &amp; Crew'!$A$5:$D$34,3,FALSE),0)))</f>
        <v/>
      </c>
      <c r="H882" s="39">
        <f>IF(B882="","",E882*G882*(1+Settings!$B$18))</f>
        <v/>
      </c>
      <c r="I882" s="39">
        <f>IF(B882="","",IFERROR(VLOOKUP(B882,'Vendors &amp; Crew'!$A$5:$D$34,4,FALSE),0))</f>
        <v/>
      </c>
      <c r="J882" s="39">
        <f>IF(B882="","",E882*I882)</f>
        <v/>
      </c>
      <c r="K882" s="59">
        <f>IF(A882="","",A882-WEEKDAY(A882,2)+7)</f>
        <v/>
      </c>
      <c r="L882" s="9">
        <f>IF(B882="","",IF(D882="","Labor",IFERROR(VLOOKUP(D882,Settings!$E$5:$G$28,3,FALSE),"Labor")))</f>
        <v/>
      </c>
      <c r="M882" s="9">
        <f>IF(B882="","",IF(COUNTIF('Vendors &amp; Crew'!$A$5:$A$34,B882)=0,"Worker not in Crew table",IF(C882="","Missing Job ID",IF(COUNTIF(Jobs!$A$5:$A$44,C882)=0,"Unknown Job ID",IF(E882="","Missing hours",IF(A882="","Missing date",""))))))</f>
        <v/>
      </c>
      <c r="N882" s="35" t="n"/>
    </row>
    <row r="883">
      <c r="A883" s="40" t="n"/>
      <c r="B883" s="35" t="n"/>
      <c r="C883" s="35" t="n"/>
      <c r="D883" s="35" t="n"/>
      <c r="E883" s="61" t="n"/>
      <c r="F883" s="37" t="n"/>
      <c r="G883" s="39">
        <f>IF(B883="","",IF(F883&lt;&gt;"",F883,IFERROR(VLOOKUP(B883,'Vendors &amp; Crew'!$A$5:$D$34,3,FALSE),0)))</f>
        <v/>
      </c>
      <c r="H883" s="39">
        <f>IF(B883="","",E883*G883*(1+Settings!$B$18))</f>
        <v/>
      </c>
      <c r="I883" s="39">
        <f>IF(B883="","",IFERROR(VLOOKUP(B883,'Vendors &amp; Crew'!$A$5:$D$34,4,FALSE),0))</f>
        <v/>
      </c>
      <c r="J883" s="39">
        <f>IF(B883="","",E883*I883)</f>
        <v/>
      </c>
      <c r="K883" s="59">
        <f>IF(A883="","",A883-WEEKDAY(A883,2)+7)</f>
        <v/>
      </c>
      <c r="L883" s="9">
        <f>IF(B883="","",IF(D883="","Labor",IFERROR(VLOOKUP(D883,Settings!$E$5:$G$28,3,FALSE),"Labor")))</f>
        <v/>
      </c>
      <c r="M883" s="9">
        <f>IF(B883="","",IF(COUNTIF('Vendors &amp; Crew'!$A$5:$A$34,B883)=0,"Worker not in Crew table",IF(C883="","Missing Job ID",IF(COUNTIF(Jobs!$A$5:$A$44,C883)=0,"Unknown Job ID",IF(E883="","Missing hours",IF(A883="","Missing date",""))))))</f>
        <v/>
      </c>
      <c r="N883" s="35" t="n"/>
    </row>
    <row r="884">
      <c r="A884" s="40" t="n"/>
      <c r="B884" s="35" t="n"/>
      <c r="C884" s="35" t="n"/>
      <c r="D884" s="35" t="n"/>
      <c r="E884" s="61" t="n"/>
      <c r="F884" s="37" t="n"/>
      <c r="G884" s="39">
        <f>IF(B884="","",IF(F884&lt;&gt;"",F884,IFERROR(VLOOKUP(B884,'Vendors &amp; Crew'!$A$5:$D$34,3,FALSE),0)))</f>
        <v/>
      </c>
      <c r="H884" s="39">
        <f>IF(B884="","",E884*G884*(1+Settings!$B$18))</f>
        <v/>
      </c>
      <c r="I884" s="39">
        <f>IF(B884="","",IFERROR(VLOOKUP(B884,'Vendors &amp; Crew'!$A$5:$D$34,4,FALSE),0))</f>
        <v/>
      </c>
      <c r="J884" s="39">
        <f>IF(B884="","",E884*I884)</f>
        <v/>
      </c>
      <c r="K884" s="59">
        <f>IF(A884="","",A884-WEEKDAY(A884,2)+7)</f>
        <v/>
      </c>
      <c r="L884" s="9">
        <f>IF(B884="","",IF(D884="","Labor",IFERROR(VLOOKUP(D884,Settings!$E$5:$G$28,3,FALSE),"Labor")))</f>
        <v/>
      </c>
      <c r="M884" s="9">
        <f>IF(B884="","",IF(COUNTIF('Vendors &amp; Crew'!$A$5:$A$34,B884)=0,"Worker not in Crew table",IF(C884="","Missing Job ID",IF(COUNTIF(Jobs!$A$5:$A$44,C884)=0,"Unknown Job ID",IF(E884="","Missing hours",IF(A884="","Missing date",""))))))</f>
        <v/>
      </c>
      <c r="N884" s="35" t="n"/>
    </row>
    <row r="885">
      <c r="A885" s="40" t="n"/>
      <c r="B885" s="35" t="n"/>
      <c r="C885" s="35" t="n"/>
      <c r="D885" s="35" t="n"/>
      <c r="E885" s="61" t="n"/>
      <c r="F885" s="37" t="n"/>
      <c r="G885" s="39">
        <f>IF(B885="","",IF(F885&lt;&gt;"",F885,IFERROR(VLOOKUP(B885,'Vendors &amp; Crew'!$A$5:$D$34,3,FALSE),0)))</f>
        <v/>
      </c>
      <c r="H885" s="39">
        <f>IF(B885="","",E885*G885*(1+Settings!$B$18))</f>
        <v/>
      </c>
      <c r="I885" s="39">
        <f>IF(B885="","",IFERROR(VLOOKUP(B885,'Vendors &amp; Crew'!$A$5:$D$34,4,FALSE),0))</f>
        <v/>
      </c>
      <c r="J885" s="39">
        <f>IF(B885="","",E885*I885)</f>
        <v/>
      </c>
      <c r="K885" s="59">
        <f>IF(A885="","",A885-WEEKDAY(A885,2)+7)</f>
        <v/>
      </c>
      <c r="L885" s="9">
        <f>IF(B885="","",IF(D885="","Labor",IFERROR(VLOOKUP(D885,Settings!$E$5:$G$28,3,FALSE),"Labor")))</f>
        <v/>
      </c>
      <c r="M885" s="9">
        <f>IF(B885="","",IF(COUNTIF('Vendors &amp; Crew'!$A$5:$A$34,B885)=0,"Worker not in Crew table",IF(C885="","Missing Job ID",IF(COUNTIF(Jobs!$A$5:$A$44,C885)=0,"Unknown Job ID",IF(E885="","Missing hours",IF(A885="","Missing date",""))))))</f>
        <v/>
      </c>
      <c r="N885" s="35" t="n"/>
    </row>
    <row r="886">
      <c r="A886" s="40" t="n"/>
      <c r="B886" s="35" t="n"/>
      <c r="C886" s="35" t="n"/>
      <c r="D886" s="35" t="n"/>
      <c r="E886" s="61" t="n"/>
      <c r="F886" s="37" t="n"/>
      <c r="G886" s="39">
        <f>IF(B886="","",IF(F886&lt;&gt;"",F886,IFERROR(VLOOKUP(B886,'Vendors &amp; Crew'!$A$5:$D$34,3,FALSE),0)))</f>
        <v/>
      </c>
      <c r="H886" s="39">
        <f>IF(B886="","",E886*G886*(1+Settings!$B$18))</f>
        <v/>
      </c>
      <c r="I886" s="39">
        <f>IF(B886="","",IFERROR(VLOOKUP(B886,'Vendors &amp; Crew'!$A$5:$D$34,4,FALSE),0))</f>
        <v/>
      </c>
      <c r="J886" s="39">
        <f>IF(B886="","",E886*I886)</f>
        <v/>
      </c>
      <c r="K886" s="59">
        <f>IF(A886="","",A886-WEEKDAY(A886,2)+7)</f>
        <v/>
      </c>
      <c r="L886" s="9">
        <f>IF(B886="","",IF(D886="","Labor",IFERROR(VLOOKUP(D886,Settings!$E$5:$G$28,3,FALSE),"Labor")))</f>
        <v/>
      </c>
      <c r="M886" s="9">
        <f>IF(B886="","",IF(COUNTIF('Vendors &amp; Crew'!$A$5:$A$34,B886)=0,"Worker not in Crew table",IF(C886="","Missing Job ID",IF(COUNTIF(Jobs!$A$5:$A$44,C886)=0,"Unknown Job ID",IF(E886="","Missing hours",IF(A886="","Missing date",""))))))</f>
        <v/>
      </c>
      <c r="N886" s="35" t="n"/>
    </row>
    <row r="887">
      <c r="A887" s="40" t="n"/>
      <c r="B887" s="35" t="n"/>
      <c r="C887" s="35" t="n"/>
      <c r="D887" s="35" t="n"/>
      <c r="E887" s="61" t="n"/>
      <c r="F887" s="37" t="n"/>
      <c r="G887" s="39">
        <f>IF(B887="","",IF(F887&lt;&gt;"",F887,IFERROR(VLOOKUP(B887,'Vendors &amp; Crew'!$A$5:$D$34,3,FALSE),0)))</f>
        <v/>
      </c>
      <c r="H887" s="39">
        <f>IF(B887="","",E887*G887*(1+Settings!$B$18))</f>
        <v/>
      </c>
      <c r="I887" s="39">
        <f>IF(B887="","",IFERROR(VLOOKUP(B887,'Vendors &amp; Crew'!$A$5:$D$34,4,FALSE),0))</f>
        <v/>
      </c>
      <c r="J887" s="39">
        <f>IF(B887="","",E887*I887)</f>
        <v/>
      </c>
      <c r="K887" s="59">
        <f>IF(A887="","",A887-WEEKDAY(A887,2)+7)</f>
        <v/>
      </c>
      <c r="L887" s="9">
        <f>IF(B887="","",IF(D887="","Labor",IFERROR(VLOOKUP(D887,Settings!$E$5:$G$28,3,FALSE),"Labor")))</f>
        <v/>
      </c>
      <c r="M887" s="9">
        <f>IF(B887="","",IF(COUNTIF('Vendors &amp; Crew'!$A$5:$A$34,B887)=0,"Worker not in Crew table",IF(C887="","Missing Job ID",IF(COUNTIF(Jobs!$A$5:$A$44,C887)=0,"Unknown Job ID",IF(E887="","Missing hours",IF(A887="","Missing date",""))))))</f>
        <v/>
      </c>
      <c r="N887" s="35" t="n"/>
    </row>
    <row r="888">
      <c r="A888" s="40" t="n"/>
      <c r="B888" s="35" t="n"/>
      <c r="C888" s="35" t="n"/>
      <c r="D888" s="35" t="n"/>
      <c r="E888" s="61" t="n"/>
      <c r="F888" s="37" t="n"/>
      <c r="G888" s="39">
        <f>IF(B888="","",IF(F888&lt;&gt;"",F888,IFERROR(VLOOKUP(B888,'Vendors &amp; Crew'!$A$5:$D$34,3,FALSE),0)))</f>
        <v/>
      </c>
      <c r="H888" s="39">
        <f>IF(B888="","",E888*G888*(1+Settings!$B$18))</f>
        <v/>
      </c>
      <c r="I888" s="39">
        <f>IF(B888="","",IFERROR(VLOOKUP(B888,'Vendors &amp; Crew'!$A$5:$D$34,4,FALSE),0))</f>
        <v/>
      </c>
      <c r="J888" s="39">
        <f>IF(B888="","",E888*I888)</f>
        <v/>
      </c>
      <c r="K888" s="59">
        <f>IF(A888="","",A888-WEEKDAY(A888,2)+7)</f>
        <v/>
      </c>
      <c r="L888" s="9">
        <f>IF(B888="","",IF(D888="","Labor",IFERROR(VLOOKUP(D888,Settings!$E$5:$G$28,3,FALSE),"Labor")))</f>
        <v/>
      </c>
      <c r="M888" s="9">
        <f>IF(B888="","",IF(COUNTIF('Vendors &amp; Crew'!$A$5:$A$34,B888)=0,"Worker not in Crew table",IF(C888="","Missing Job ID",IF(COUNTIF(Jobs!$A$5:$A$44,C888)=0,"Unknown Job ID",IF(E888="","Missing hours",IF(A888="","Missing date",""))))))</f>
        <v/>
      </c>
      <c r="N888" s="35" t="n"/>
    </row>
    <row r="889">
      <c r="A889" s="40" t="n"/>
      <c r="B889" s="35" t="n"/>
      <c r="C889" s="35" t="n"/>
      <c r="D889" s="35" t="n"/>
      <c r="E889" s="61" t="n"/>
      <c r="F889" s="37" t="n"/>
      <c r="G889" s="39">
        <f>IF(B889="","",IF(F889&lt;&gt;"",F889,IFERROR(VLOOKUP(B889,'Vendors &amp; Crew'!$A$5:$D$34,3,FALSE),0)))</f>
        <v/>
      </c>
      <c r="H889" s="39">
        <f>IF(B889="","",E889*G889*(1+Settings!$B$18))</f>
        <v/>
      </c>
      <c r="I889" s="39">
        <f>IF(B889="","",IFERROR(VLOOKUP(B889,'Vendors &amp; Crew'!$A$5:$D$34,4,FALSE),0))</f>
        <v/>
      </c>
      <c r="J889" s="39">
        <f>IF(B889="","",E889*I889)</f>
        <v/>
      </c>
      <c r="K889" s="59">
        <f>IF(A889="","",A889-WEEKDAY(A889,2)+7)</f>
        <v/>
      </c>
      <c r="L889" s="9">
        <f>IF(B889="","",IF(D889="","Labor",IFERROR(VLOOKUP(D889,Settings!$E$5:$G$28,3,FALSE),"Labor")))</f>
        <v/>
      </c>
      <c r="M889" s="9">
        <f>IF(B889="","",IF(COUNTIF('Vendors &amp; Crew'!$A$5:$A$34,B889)=0,"Worker not in Crew table",IF(C889="","Missing Job ID",IF(COUNTIF(Jobs!$A$5:$A$44,C889)=0,"Unknown Job ID",IF(E889="","Missing hours",IF(A889="","Missing date",""))))))</f>
        <v/>
      </c>
      <c r="N889" s="35" t="n"/>
    </row>
    <row r="890">
      <c r="A890" s="40" t="n"/>
      <c r="B890" s="35" t="n"/>
      <c r="C890" s="35" t="n"/>
      <c r="D890" s="35" t="n"/>
      <c r="E890" s="61" t="n"/>
      <c r="F890" s="37" t="n"/>
      <c r="G890" s="39">
        <f>IF(B890="","",IF(F890&lt;&gt;"",F890,IFERROR(VLOOKUP(B890,'Vendors &amp; Crew'!$A$5:$D$34,3,FALSE),0)))</f>
        <v/>
      </c>
      <c r="H890" s="39">
        <f>IF(B890="","",E890*G890*(1+Settings!$B$18))</f>
        <v/>
      </c>
      <c r="I890" s="39">
        <f>IF(B890="","",IFERROR(VLOOKUP(B890,'Vendors &amp; Crew'!$A$5:$D$34,4,FALSE),0))</f>
        <v/>
      </c>
      <c r="J890" s="39">
        <f>IF(B890="","",E890*I890)</f>
        <v/>
      </c>
      <c r="K890" s="59">
        <f>IF(A890="","",A890-WEEKDAY(A890,2)+7)</f>
        <v/>
      </c>
      <c r="L890" s="9">
        <f>IF(B890="","",IF(D890="","Labor",IFERROR(VLOOKUP(D890,Settings!$E$5:$G$28,3,FALSE),"Labor")))</f>
        <v/>
      </c>
      <c r="M890" s="9">
        <f>IF(B890="","",IF(COUNTIF('Vendors &amp; Crew'!$A$5:$A$34,B890)=0,"Worker not in Crew table",IF(C890="","Missing Job ID",IF(COUNTIF(Jobs!$A$5:$A$44,C890)=0,"Unknown Job ID",IF(E890="","Missing hours",IF(A890="","Missing date",""))))))</f>
        <v/>
      </c>
      <c r="N890" s="35" t="n"/>
    </row>
    <row r="891">
      <c r="A891" s="40" t="n"/>
      <c r="B891" s="35" t="n"/>
      <c r="C891" s="35" t="n"/>
      <c r="D891" s="35" t="n"/>
      <c r="E891" s="61" t="n"/>
      <c r="F891" s="37" t="n"/>
      <c r="G891" s="39">
        <f>IF(B891="","",IF(F891&lt;&gt;"",F891,IFERROR(VLOOKUP(B891,'Vendors &amp; Crew'!$A$5:$D$34,3,FALSE),0)))</f>
        <v/>
      </c>
      <c r="H891" s="39">
        <f>IF(B891="","",E891*G891*(1+Settings!$B$18))</f>
        <v/>
      </c>
      <c r="I891" s="39">
        <f>IF(B891="","",IFERROR(VLOOKUP(B891,'Vendors &amp; Crew'!$A$5:$D$34,4,FALSE),0))</f>
        <v/>
      </c>
      <c r="J891" s="39">
        <f>IF(B891="","",E891*I891)</f>
        <v/>
      </c>
      <c r="K891" s="59">
        <f>IF(A891="","",A891-WEEKDAY(A891,2)+7)</f>
        <v/>
      </c>
      <c r="L891" s="9">
        <f>IF(B891="","",IF(D891="","Labor",IFERROR(VLOOKUP(D891,Settings!$E$5:$G$28,3,FALSE),"Labor")))</f>
        <v/>
      </c>
      <c r="M891" s="9">
        <f>IF(B891="","",IF(COUNTIF('Vendors &amp; Crew'!$A$5:$A$34,B891)=0,"Worker not in Crew table",IF(C891="","Missing Job ID",IF(COUNTIF(Jobs!$A$5:$A$44,C891)=0,"Unknown Job ID",IF(E891="","Missing hours",IF(A891="","Missing date",""))))))</f>
        <v/>
      </c>
      <c r="N891" s="35" t="n"/>
    </row>
    <row r="892">
      <c r="A892" s="40" t="n"/>
      <c r="B892" s="35" t="n"/>
      <c r="C892" s="35" t="n"/>
      <c r="D892" s="35" t="n"/>
      <c r="E892" s="61" t="n"/>
      <c r="F892" s="37" t="n"/>
      <c r="G892" s="39">
        <f>IF(B892="","",IF(F892&lt;&gt;"",F892,IFERROR(VLOOKUP(B892,'Vendors &amp; Crew'!$A$5:$D$34,3,FALSE),0)))</f>
        <v/>
      </c>
      <c r="H892" s="39">
        <f>IF(B892="","",E892*G892*(1+Settings!$B$18))</f>
        <v/>
      </c>
      <c r="I892" s="39">
        <f>IF(B892="","",IFERROR(VLOOKUP(B892,'Vendors &amp; Crew'!$A$5:$D$34,4,FALSE),0))</f>
        <v/>
      </c>
      <c r="J892" s="39">
        <f>IF(B892="","",E892*I892)</f>
        <v/>
      </c>
      <c r="K892" s="59">
        <f>IF(A892="","",A892-WEEKDAY(A892,2)+7)</f>
        <v/>
      </c>
      <c r="L892" s="9">
        <f>IF(B892="","",IF(D892="","Labor",IFERROR(VLOOKUP(D892,Settings!$E$5:$G$28,3,FALSE),"Labor")))</f>
        <v/>
      </c>
      <c r="M892" s="9">
        <f>IF(B892="","",IF(COUNTIF('Vendors &amp; Crew'!$A$5:$A$34,B892)=0,"Worker not in Crew table",IF(C892="","Missing Job ID",IF(COUNTIF(Jobs!$A$5:$A$44,C892)=0,"Unknown Job ID",IF(E892="","Missing hours",IF(A892="","Missing date",""))))))</f>
        <v/>
      </c>
      <c r="N892" s="35" t="n"/>
    </row>
    <row r="893">
      <c r="A893" s="40" t="n"/>
      <c r="B893" s="35" t="n"/>
      <c r="C893" s="35" t="n"/>
      <c r="D893" s="35" t="n"/>
      <c r="E893" s="61" t="n"/>
      <c r="F893" s="37" t="n"/>
      <c r="G893" s="39">
        <f>IF(B893="","",IF(F893&lt;&gt;"",F893,IFERROR(VLOOKUP(B893,'Vendors &amp; Crew'!$A$5:$D$34,3,FALSE),0)))</f>
        <v/>
      </c>
      <c r="H893" s="39">
        <f>IF(B893="","",E893*G893*(1+Settings!$B$18))</f>
        <v/>
      </c>
      <c r="I893" s="39">
        <f>IF(B893="","",IFERROR(VLOOKUP(B893,'Vendors &amp; Crew'!$A$5:$D$34,4,FALSE),0))</f>
        <v/>
      </c>
      <c r="J893" s="39">
        <f>IF(B893="","",E893*I893)</f>
        <v/>
      </c>
      <c r="K893" s="59">
        <f>IF(A893="","",A893-WEEKDAY(A893,2)+7)</f>
        <v/>
      </c>
      <c r="L893" s="9">
        <f>IF(B893="","",IF(D893="","Labor",IFERROR(VLOOKUP(D893,Settings!$E$5:$G$28,3,FALSE),"Labor")))</f>
        <v/>
      </c>
      <c r="M893" s="9">
        <f>IF(B893="","",IF(COUNTIF('Vendors &amp; Crew'!$A$5:$A$34,B893)=0,"Worker not in Crew table",IF(C893="","Missing Job ID",IF(COUNTIF(Jobs!$A$5:$A$44,C893)=0,"Unknown Job ID",IF(E893="","Missing hours",IF(A893="","Missing date",""))))))</f>
        <v/>
      </c>
      <c r="N893" s="35" t="n"/>
    </row>
    <row r="894">
      <c r="A894" s="40" t="n"/>
      <c r="B894" s="35" t="n"/>
      <c r="C894" s="35" t="n"/>
      <c r="D894" s="35" t="n"/>
      <c r="E894" s="61" t="n"/>
      <c r="F894" s="37" t="n"/>
      <c r="G894" s="39">
        <f>IF(B894="","",IF(F894&lt;&gt;"",F894,IFERROR(VLOOKUP(B894,'Vendors &amp; Crew'!$A$5:$D$34,3,FALSE),0)))</f>
        <v/>
      </c>
      <c r="H894" s="39">
        <f>IF(B894="","",E894*G894*(1+Settings!$B$18))</f>
        <v/>
      </c>
      <c r="I894" s="39">
        <f>IF(B894="","",IFERROR(VLOOKUP(B894,'Vendors &amp; Crew'!$A$5:$D$34,4,FALSE),0))</f>
        <v/>
      </c>
      <c r="J894" s="39">
        <f>IF(B894="","",E894*I894)</f>
        <v/>
      </c>
      <c r="K894" s="59">
        <f>IF(A894="","",A894-WEEKDAY(A894,2)+7)</f>
        <v/>
      </c>
      <c r="L894" s="9">
        <f>IF(B894="","",IF(D894="","Labor",IFERROR(VLOOKUP(D894,Settings!$E$5:$G$28,3,FALSE),"Labor")))</f>
        <v/>
      </c>
      <c r="M894" s="9">
        <f>IF(B894="","",IF(COUNTIF('Vendors &amp; Crew'!$A$5:$A$34,B894)=0,"Worker not in Crew table",IF(C894="","Missing Job ID",IF(COUNTIF(Jobs!$A$5:$A$44,C894)=0,"Unknown Job ID",IF(E894="","Missing hours",IF(A894="","Missing date",""))))))</f>
        <v/>
      </c>
      <c r="N894" s="35" t="n"/>
    </row>
    <row r="895">
      <c r="A895" s="40" t="n"/>
      <c r="B895" s="35" t="n"/>
      <c r="C895" s="35" t="n"/>
      <c r="D895" s="35" t="n"/>
      <c r="E895" s="61" t="n"/>
      <c r="F895" s="37" t="n"/>
      <c r="G895" s="39">
        <f>IF(B895="","",IF(F895&lt;&gt;"",F895,IFERROR(VLOOKUP(B895,'Vendors &amp; Crew'!$A$5:$D$34,3,FALSE),0)))</f>
        <v/>
      </c>
      <c r="H895" s="39">
        <f>IF(B895="","",E895*G895*(1+Settings!$B$18))</f>
        <v/>
      </c>
      <c r="I895" s="39">
        <f>IF(B895="","",IFERROR(VLOOKUP(B895,'Vendors &amp; Crew'!$A$5:$D$34,4,FALSE),0))</f>
        <v/>
      </c>
      <c r="J895" s="39">
        <f>IF(B895="","",E895*I895)</f>
        <v/>
      </c>
      <c r="K895" s="59">
        <f>IF(A895="","",A895-WEEKDAY(A895,2)+7)</f>
        <v/>
      </c>
      <c r="L895" s="9">
        <f>IF(B895="","",IF(D895="","Labor",IFERROR(VLOOKUP(D895,Settings!$E$5:$G$28,3,FALSE),"Labor")))</f>
        <v/>
      </c>
      <c r="M895" s="9">
        <f>IF(B895="","",IF(COUNTIF('Vendors &amp; Crew'!$A$5:$A$34,B895)=0,"Worker not in Crew table",IF(C895="","Missing Job ID",IF(COUNTIF(Jobs!$A$5:$A$44,C895)=0,"Unknown Job ID",IF(E895="","Missing hours",IF(A895="","Missing date",""))))))</f>
        <v/>
      </c>
      <c r="N895" s="35" t="n"/>
    </row>
    <row r="896">
      <c r="A896" s="40" t="n"/>
      <c r="B896" s="35" t="n"/>
      <c r="C896" s="35" t="n"/>
      <c r="D896" s="35" t="n"/>
      <c r="E896" s="61" t="n"/>
      <c r="F896" s="37" t="n"/>
      <c r="G896" s="39">
        <f>IF(B896="","",IF(F896&lt;&gt;"",F896,IFERROR(VLOOKUP(B896,'Vendors &amp; Crew'!$A$5:$D$34,3,FALSE),0)))</f>
        <v/>
      </c>
      <c r="H896" s="39">
        <f>IF(B896="","",E896*G896*(1+Settings!$B$18))</f>
        <v/>
      </c>
      <c r="I896" s="39">
        <f>IF(B896="","",IFERROR(VLOOKUP(B896,'Vendors &amp; Crew'!$A$5:$D$34,4,FALSE),0))</f>
        <v/>
      </c>
      <c r="J896" s="39">
        <f>IF(B896="","",E896*I896)</f>
        <v/>
      </c>
      <c r="K896" s="59">
        <f>IF(A896="","",A896-WEEKDAY(A896,2)+7)</f>
        <v/>
      </c>
      <c r="L896" s="9">
        <f>IF(B896="","",IF(D896="","Labor",IFERROR(VLOOKUP(D896,Settings!$E$5:$G$28,3,FALSE),"Labor")))</f>
        <v/>
      </c>
      <c r="M896" s="9">
        <f>IF(B896="","",IF(COUNTIF('Vendors &amp; Crew'!$A$5:$A$34,B896)=0,"Worker not in Crew table",IF(C896="","Missing Job ID",IF(COUNTIF(Jobs!$A$5:$A$44,C896)=0,"Unknown Job ID",IF(E896="","Missing hours",IF(A896="","Missing date",""))))))</f>
        <v/>
      </c>
      <c r="N896" s="35" t="n"/>
    </row>
    <row r="897">
      <c r="A897" s="40" t="n"/>
      <c r="B897" s="35" t="n"/>
      <c r="C897" s="35" t="n"/>
      <c r="D897" s="35" t="n"/>
      <c r="E897" s="61" t="n"/>
      <c r="F897" s="37" t="n"/>
      <c r="G897" s="39">
        <f>IF(B897="","",IF(F897&lt;&gt;"",F897,IFERROR(VLOOKUP(B897,'Vendors &amp; Crew'!$A$5:$D$34,3,FALSE),0)))</f>
        <v/>
      </c>
      <c r="H897" s="39">
        <f>IF(B897="","",E897*G897*(1+Settings!$B$18))</f>
        <v/>
      </c>
      <c r="I897" s="39">
        <f>IF(B897="","",IFERROR(VLOOKUP(B897,'Vendors &amp; Crew'!$A$5:$D$34,4,FALSE),0))</f>
        <v/>
      </c>
      <c r="J897" s="39">
        <f>IF(B897="","",E897*I897)</f>
        <v/>
      </c>
      <c r="K897" s="59">
        <f>IF(A897="","",A897-WEEKDAY(A897,2)+7)</f>
        <v/>
      </c>
      <c r="L897" s="9">
        <f>IF(B897="","",IF(D897="","Labor",IFERROR(VLOOKUP(D897,Settings!$E$5:$G$28,3,FALSE),"Labor")))</f>
        <v/>
      </c>
      <c r="M897" s="9">
        <f>IF(B897="","",IF(COUNTIF('Vendors &amp; Crew'!$A$5:$A$34,B897)=0,"Worker not in Crew table",IF(C897="","Missing Job ID",IF(COUNTIF(Jobs!$A$5:$A$44,C897)=0,"Unknown Job ID",IF(E897="","Missing hours",IF(A897="","Missing date",""))))))</f>
        <v/>
      </c>
      <c r="N897" s="35" t="n"/>
    </row>
    <row r="898">
      <c r="A898" s="40" t="n"/>
      <c r="B898" s="35" t="n"/>
      <c r="C898" s="35" t="n"/>
      <c r="D898" s="35" t="n"/>
      <c r="E898" s="61" t="n"/>
      <c r="F898" s="37" t="n"/>
      <c r="G898" s="39">
        <f>IF(B898="","",IF(F898&lt;&gt;"",F898,IFERROR(VLOOKUP(B898,'Vendors &amp; Crew'!$A$5:$D$34,3,FALSE),0)))</f>
        <v/>
      </c>
      <c r="H898" s="39">
        <f>IF(B898="","",E898*G898*(1+Settings!$B$18))</f>
        <v/>
      </c>
      <c r="I898" s="39">
        <f>IF(B898="","",IFERROR(VLOOKUP(B898,'Vendors &amp; Crew'!$A$5:$D$34,4,FALSE),0))</f>
        <v/>
      </c>
      <c r="J898" s="39">
        <f>IF(B898="","",E898*I898)</f>
        <v/>
      </c>
      <c r="K898" s="59">
        <f>IF(A898="","",A898-WEEKDAY(A898,2)+7)</f>
        <v/>
      </c>
      <c r="L898" s="9">
        <f>IF(B898="","",IF(D898="","Labor",IFERROR(VLOOKUP(D898,Settings!$E$5:$G$28,3,FALSE),"Labor")))</f>
        <v/>
      </c>
      <c r="M898" s="9">
        <f>IF(B898="","",IF(COUNTIF('Vendors &amp; Crew'!$A$5:$A$34,B898)=0,"Worker not in Crew table",IF(C898="","Missing Job ID",IF(COUNTIF(Jobs!$A$5:$A$44,C898)=0,"Unknown Job ID",IF(E898="","Missing hours",IF(A898="","Missing date",""))))))</f>
        <v/>
      </c>
      <c r="N898" s="35" t="n"/>
    </row>
    <row r="899">
      <c r="A899" s="40" t="n"/>
      <c r="B899" s="35" t="n"/>
      <c r="C899" s="35" t="n"/>
      <c r="D899" s="35" t="n"/>
      <c r="E899" s="61" t="n"/>
      <c r="F899" s="37" t="n"/>
      <c r="G899" s="39">
        <f>IF(B899="","",IF(F899&lt;&gt;"",F899,IFERROR(VLOOKUP(B899,'Vendors &amp; Crew'!$A$5:$D$34,3,FALSE),0)))</f>
        <v/>
      </c>
      <c r="H899" s="39">
        <f>IF(B899="","",E899*G899*(1+Settings!$B$18))</f>
        <v/>
      </c>
      <c r="I899" s="39">
        <f>IF(B899="","",IFERROR(VLOOKUP(B899,'Vendors &amp; Crew'!$A$5:$D$34,4,FALSE),0))</f>
        <v/>
      </c>
      <c r="J899" s="39">
        <f>IF(B899="","",E899*I899)</f>
        <v/>
      </c>
      <c r="K899" s="59">
        <f>IF(A899="","",A899-WEEKDAY(A899,2)+7)</f>
        <v/>
      </c>
      <c r="L899" s="9">
        <f>IF(B899="","",IF(D899="","Labor",IFERROR(VLOOKUP(D899,Settings!$E$5:$G$28,3,FALSE),"Labor")))</f>
        <v/>
      </c>
      <c r="M899" s="9">
        <f>IF(B899="","",IF(COUNTIF('Vendors &amp; Crew'!$A$5:$A$34,B899)=0,"Worker not in Crew table",IF(C899="","Missing Job ID",IF(COUNTIF(Jobs!$A$5:$A$44,C899)=0,"Unknown Job ID",IF(E899="","Missing hours",IF(A899="","Missing date",""))))))</f>
        <v/>
      </c>
      <c r="N899" s="35" t="n"/>
    </row>
    <row r="900">
      <c r="A900" s="40" t="n"/>
      <c r="B900" s="35" t="n"/>
      <c r="C900" s="35" t="n"/>
      <c r="D900" s="35" t="n"/>
      <c r="E900" s="61" t="n"/>
      <c r="F900" s="37" t="n"/>
      <c r="G900" s="39">
        <f>IF(B900="","",IF(F900&lt;&gt;"",F900,IFERROR(VLOOKUP(B900,'Vendors &amp; Crew'!$A$5:$D$34,3,FALSE),0)))</f>
        <v/>
      </c>
      <c r="H900" s="39">
        <f>IF(B900="","",E900*G900*(1+Settings!$B$18))</f>
        <v/>
      </c>
      <c r="I900" s="39">
        <f>IF(B900="","",IFERROR(VLOOKUP(B900,'Vendors &amp; Crew'!$A$5:$D$34,4,FALSE),0))</f>
        <v/>
      </c>
      <c r="J900" s="39">
        <f>IF(B900="","",E900*I900)</f>
        <v/>
      </c>
      <c r="K900" s="59">
        <f>IF(A900="","",A900-WEEKDAY(A900,2)+7)</f>
        <v/>
      </c>
      <c r="L900" s="9">
        <f>IF(B900="","",IF(D900="","Labor",IFERROR(VLOOKUP(D900,Settings!$E$5:$G$28,3,FALSE),"Labor")))</f>
        <v/>
      </c>
      <c r="M900" s="9">
        <f>IF(B900="","",IF(COUNTIF('Vendors &amp; Crew'!$A$5:$A$34,B900)=0,"Worker not in Crew table",IF(C900="","Missing Job ID",IF(COUNTIF(Jobs!$A$5:$A$44,C900)=0,"Unknown Job ID",IF(E900="","Missing hours",IF(A900="","Missing date",""))))))</f>
        <v/>
      </c>
      <c r="N900" s="35" t="n"/>
    </row>
    <row r="901">
      <c r="A901" s="40" t="n"/>
      <c r="B901" s="35" t="n"/>
      <c r="C901" s="35" t="n"/>
      <c r="D901" s="35" t="n"/>
      <c r="E901" s="61" t="n"/>
      <c r="F901" s="37" t="n"/>
      <c r="G901" s="39">
        <f>IF(B901="","",IF(F901&lt;&gt;"",F901,IFERROR(VLOOKUP(B901,'Vendors &amp; Crew'!$A$5:$D$34,3,FALSE),0)))</f>
        <v/>
      </c>
      <c r="H901" s="39">
        <f>IF(B901="","",E901*G901*(1+Settings!$B$18))</f>
        <v/>
      </c>
      <c r="I901" s="39">
        <f>IF(B901="","",IFERROR(VLOOKUP(B901,'Vendors &amp; Crew'!$A$5:$D$34,4,FALSE),0))</f>
        <v/>
      </c>
      <c r="J901" s="39">
        <f>IF(B901="","",E901*I901)</f>
        <v/>
      </c>
      <c r="K901" s="59">
        <f>IF(A901="","",A901-WEEKDAY(A901,2)+7)</f>
        <v/>
      </c>
      <c r="L901" s="9">
        <f>IF(B901="","",IF(D901="","Labor",IFERROR(VLOOKUP(D901,Settings!$E$5:$G$28,3,FALSE),"Labor")))</f>
        <v/>
      </c>
      <c r="M901" s="9">
        <f>IF(B901="","",IF(COUNTIF('Vendors &amp; Crew'!$A$5:$A$34,B901)=0,"Worker not in Crew table",IF(C901="","Missing Job ID",IF(COUNTIF(Jobs!$A$5:$A$44,C901)=0,"Unknown Job ID",IF(E901="","Missing hours",IF(A901="","Missing date",""))))))</f>
        <v/>
      </c>
      <c r="N901" s="35" t="n"/>
    </row>
    <row r="902">
      <c r="A902" s="40" t="n"/>
      <c r="B902" s="35" t="n"/>
      <c r="C902" s="35" t="n"/>
      <c r="D902" s="35" t="n"/>
      <c r="E902" s="61" t="n"/>
      <c r="F902" s="37" t="n"/>
      <c r="G902" s="39">
        <f>IF(B902="","",IF(F902&lt;&gt;"",F902,IFERROR(VLOOKUP(B902,'Vendors &amp; Crew'!$A$5:$D$34,3,FALSE),0)))</f>
        <v/>
      </c>
      <c r="H902" s="39">
        <f>IF(B902="","",E902*G902*(1+Settings!$B$18))</f>
        <v/>
      </c>
      <c r="I902" s="39">
        <f>IF(B902="","",IFERROR(VLOOKUP(B902,'Vendors &amp; Crew'!$A$5:$D$34,4,FALSE),0))</f>
        <v/>
      </c>
      <c r="J902" s="39">
        <f>IF(B902="","",E902*I902)</f>
        <v/>
      </c>
      <c r="K902" s="59">
        <f>IF(A902="","",A902-WEEKDAY(A902,2)+7)</f>
        <v/>
      </c>
      <c r="L902" s="9">
        <f>IF(B902="","",IF(D902="","Labor",IFERROR(VLOOKUP(D902,Settings!$E$5:$G$28,3,FALSE),"Labor")))</f>
        <v/>
      </c>
      <c r="M902" s="9">
        <f>IF(B902="","",IF(COUNTIF('Vendors &amp; Crew'!$A$5:$A$34,B902)=0,"Worker not in Crew table",IF(C902="","Missing Job ID",IF(COUNTIF(Jobs!$A$5:$A$44,C902)=0,"Unknown Job ID",IF(E902="","Missing hours",IF(A902="","Missing date",""))))))</f>
        <v/>
      </c>
      <c r="N902" s="35" t="n"/>
    </row>
    <row r="903">
      <c r="A903" s="40" t="n"/>
      <c r="B903" s="35" t="n"/>
      <c r="C903" s="35" t="n"/>
      <c r="D903" s="35" t="n"/>
      <c r="E903" s="61" t="n"/>
      <c r="F903" s="37" t="n"/>
      <c r="G903" s="39">
        <f>IF(B903="","",IF(F903&lt;&gt;"",F903,IFERROR(VLOOKUP(B903,'Vendors &amp; Crew'!$A$5:$D$34,3,FALSE),0)))</f>
        <v/>
      </c>
      <c r="H903" s="39">
        <f>IF(B903="","",E903*G903*(1+Settings!$B$18))</f>
        <v/>
      </c>
      <c r="I903" s="39">
        <f>IF(B903="","",IFERROR(VLOOKUP(B903,'Vendors &amp; Crew'!$A$5:$D$34,4,FALSE),0))</f>
        <v/>
      </c>
      <c r="J903" s="39">
        <f>IF(B903="","",E903*I903)</f>
        <v/>
      </c>
      <c r="K903" s="59">
        <f>IF(A903="","",A903-WEEKDAY(A903,2)+7)</f>
        <v/>
      </c>
      <c r="L903" s="9">
        <f>IF(B903="","",IF(D903="","Labor",IFERROR(VLOOKUP(D903,Settings!$E$5:$G$28,3,FALSE),"Labor")))</f>
        <v/>
      </c>
      <c r="M903" s="9">
        <f>IF(B903="","",IF(COUNTIF('Vendors &amp; Crew'!$A$5:$A$34,B903)=0,"Worker not in Crew table",IF(C903="","Missing Job ID",IF(COUNTIF(Jobs!$A$5:$A$44,C903)=0,"Unknown Job ID",IF(E903="","Missing hours",IF(A903="","Missing date",""))))))</f>
        <v/>
      </c>
      <c r="N903" s="35" t="n"/>
    </row>
    <row r="904">
      <c r="A904" s="40" t="n"/>
      <c r="B904" s="35" t="n"/>
      <c r="C904" s="35" t="n"/>
      <c r="D904" s="35" t="n"/>
      <c r="E904" s="61" t="n"/>
      <c r="F904" s="37" t="n"/>
      <c r="G904" s="39">
        <f>IF(B904="","",IF(F904&lt;&gt;"",F904,IFERROR(VLOOKUP(B904,'Vendors &amp; Crew'!$A$5:$D$34,3,FALSE),0)))</f>
        <v/>
      </c>
      <c r="H904" s="39">
        <f>IF(B904="","",E904*G904*(1+Settings!$B$18))</f>
        <v/>
      </c>
      <c r="I904" s="39">
        <f>IF(B904="","",IFERROR(VLOOKUP(B904,'Vendors &amp; Crew'!$A$5:$D$34,4,FALSE),0))</f>
        <v/>
      </c>
      <c r="J904" s="39">
        <f>IF(B904="","",E904*I904)</f>
        <v/>
      </c>
      <c r="K904" s="59">
        <f>IF(A904="","",A904-WEEKDAY(A904,2)+7)</f>
        <v/>
      </c>
      <c r="L904" s="9">
        <f>IF(B904="","",IF(D904="","Labor",IFERROR(VLOOKUP(D904,Settings!$E$5:$G$28,3,FALSE),"Labor")))</f>
        <v/>
      </c>
      <c r="M904" s="9">
        <f>IF(B904="","",IF(COUNTIF('Vendors &amp; Crew'!$A$5:$A$34,B904)=0,"Worker not in Crew table",IF(C904="","Missing Job ID",IF(COUNTIF(Jobs!$A$5:$A$44,C904)=0,"Unknown Job ID",IF(E904="","Missing hours",IF(A904="","Missing date",""))))))</f>
        <v/>
      </c>
      <c r="N904" s="35" t="n"/>
    </row>
    <row r="905">
      <c r="A905" s="40" t="n"/>
      <c r="B905" s="35" t="n"/>
      <c r="C905" s="35" t="n"/>
      <c r="D905" s="35" t="n"/>
      <c r="E905" s="61" t="n"/>
      <c r="F905" s="37" t="n"/>
      <c r="G905" s="39">
        <f>IF(B905="","",IF(F905&lt;&gt;"",F905,IFERROR(VLOOKUP(B905,'Vendors &amp; Crew'!$A$5:$D$34,3,FALSE),0)))</f>
        <v/>
      </c>
      <c r="H905" s="39">
        <f>IF(B905="","",E905*G905*(1+Settings!$B$18))</f>
        <v/>
      </c>
      <c r="I905" s="39">
        <f>IF(B905="","",IFERROR(VLOOKUP(B905,'Vendors &amp; Crew'!$A$5:$D$34,4,FALSE),0))</f>
        <v/>
      </c>
      <c r="J905" s="39">
        <f>IF(B905="","",E905*I905)</f>
        <v/>
      </c>
      <c r="K905" s="59">
        <f>IF(A905="","",A905-WEEKDAY(A905,2)+7)</f>
        <v/>
      </c>
      <c r="L905" s="9">
        <f>IF(B905="","",IF(D905="","Labor",IFERROR(VLOOKUP(D905,Settings!$E$5:$G$28,3,FALSE),"Labor")))</f>
        <v/>
      </c>
      <c r="M905" s="9">
        <f>IF(B905="","",IF(COUNTIF('Vendors &amp; Crew'!$A$5:$A$34,B905)=0,"Worker not in Crew table",IF(C905="","Missing Job ID",IF(COUNTIF(Jobs!$A$5:$A$44,C905)=0,"Unknown Job ID",IF(E905="","Missing hours",IF(A905="","Missing date",""))))))</f>
        <v/>
      </c>
      <c r="N905" s="35" t="n"/>
    </row>
    <row r="906">
      <c r="A906" s="40" t="n"/>
      <c r="B906" s="35" t="n"/>
      <c r="C906" s="35" t="n"/>
      <c r="D906" s="35" t="n"/>
      <c r="E906" s="61" t="n"/>
      <c r="F906" s="37" t="n"/>
      <c r="G906" s="39">
        <f>IF(B906="","",IF(F906&lt;&gt;"",F906,IFERROR(VLOOKUP(B906,'Vendors &amp; Crew'!$A$5:$D$34,3,FALSE),0)))</f>
        <v/>
      </c>
      <c r="H906" s="39">
        <f>IF(B906="","",E906*G906*(1+Settings!$B$18))</f>
        <v/>
      </c>
      <c r="I906" s="39">
        <f>IF(B906="","",IFERROR(VLOOKUP(B906,'Vendors &amp; Crew'!$A$5:$D$34,4,FALSE),0))</f>
        <v/>
      </c>
      <c r="J906" s="39">
        <f>IF(B906="","",E906*I906)</f>
        <v/>
      </c>
      <c r="K906" s="59">
        <f>IF(A906="","",A906-WEEKDAY(A906,2)+7)</f>
        <v/>
      </c>
      <c r="L906" s="9">
        <f>IF(B906="","",IF(D906="","Labor",IFERROR(VLOOKUP(D906,Settings!$E$5:$G$28,3,FALSE),"Labor")))</f>
        <v/>
      </c>
      <c r="M906" s="9">
        <f>IF(B906="","",IF(COUNTIF('Vendors &amp; Crew'!$A$5:$A$34,B906)=0,"Worker not in Crew table",IF(C906="","Missing Job ID",IF(COUNTIF(Jobs!$A$5:$A$44,C906)=0,"Unknown Job ID",IF(E906="","Missing hours",IF(A906="","Missing date",""))))))</f>
        <v/>
      </c>
      <c r="N906" s="35" t="n"/>
    </row>
    <row r="907">
      <c r="A907" s="40" t="n"/>
      <c r="B907" s="35" t="n"/>
      <c r="C907" s="35" t="n"/>
      <c r="D907" s="35" t="n"/>
      <c r="E907" s="61" t="n"/>
      <c r="F907" s="37" t="n"/>
      <c r="G907" s="39">
        <f>IF(B907="","",IF(F907&lt;&gt;"",F907,IFERROR(VLOOKUP(B907,'Vendors &amp; Crew'!$A$5:$D$34,3,FALSE),0)))</f>
        <v/>
      </c>
      <c r="H907" s="39">
        <f>IF(B907="","",E907*G907*(1+Settings!$B$18))</f>
        <v/>
      </c>
      <c r="I907" s="39">
        <f>IF(B907="","",IFERROR(VLOOKUP(B907,'Vendors &amp; Crew'!$A$5:$D$34,4,FALSE),0))</f>
        <v/>
      </c>
      <c r="J907" s="39">
        <f>IF(B907="","",E907*I907)</f>
        <v/>
      </c>
      <c r="K907" s="59">
        <f>IF(A907="","",A907-WEEKDAY(A907,2)+7)</f>
        <v/>
      </c>
      <c r="L907" s="9">
        <f>IF(B907="","",IF(D907="","Labor",IFERROR(VLOOKUP(D907,Settings!$E$5:$G$28,3,FALSE),"Labor")))</f>
        <v/>
      </c>
      <c r="M907" s="9">
        <f>IF(B907="","",IF(COUNTIF('Vendors &amp; Crew'!$A$5:$A$34,B907)=0,"Worker not in Crew table",IF(C907="","Missing Job ID",IF(COUNTIF(Jobs!$A$5:$A$44,C907)=0,"Unknown Job ID",IF(E907="","Missing hours",IF(A907="","Missing date",""))))))</f>
        <v/>
      </c>
      <c r="N907" s="35" t="n"/>
    </row>
    <row r="908">
      <c r="A908" s="40" t="n"/>
      <c r="B908" s="35" t="n"/>
      <c r="C908" s="35" t="n"/>
      <c r="D908" s="35" t="n"/>
      <c r="E908" s="61" t="n"/>
      <c r="F908" s="37" t="n"/>
      <c r="G908" s="39">
        <f>IF(B908="","",IF(F908&lt;&gt;"",F908,IFERROR(VLOOKUP(B908,'Vendors &amp; Crew'!$A$5:$D$34,3,FALSE),0)))</f>
        <v/>
      </c>
      <c r="H908" s="39">
        <f>IF(B908="","",E908*G908*(1+Settings!$B$18))</f>
        <v/>
      </c>
      <c r="I908" s="39">
        <f>IF(B908="","",IFERROR(VLOOKUP(B908,'Vendors &amp; Crew'!$A$5:$D$34,4,FALSE),0))</f>
        <v/>
      </c>
      <c r="J908" s="39">
        <f>IF(B908="","",E908*I908)</f>
        <v/>
      </c>
      <c r="K908" s="59">
        <f>IF(A908="","",A908-WEEKDAY(A908,2)+7)</f>
        <v/>
      </c>
      <c r="L908" s="9">
        <f>IF(B908="","",IF(D908="","Labor",IFERROR(VLOOKUP(D908,Settings!$E$5:$G$28,3,FALSE),"Labor")))</f>
        <v/>
      </c>
      <c r="M908" s="9">
        <f>IF(B908="","",IF(COUNTIF('Vendors &amp; Crew'!$A$5:$A$34,B908)=0,"Worker not in Crew table",IF(C908="","Missing Job ID",IF(COUNTIF(Jobs!$A$5:$A$44,C908)=0,"Unknown Job ID",IF(E908="","Missing hours",IF(A908="","Missing date",""))))))</f>
        <v/>
      </c>
      <c r="N908" s="35" t="n"/>
    </row>
    <row r="909">
      <c r="A909" s="40" t="n"/>
      <c r="B909" s="35" t="n"/>
      <c r="C909" s="35" t="n"/>
      <c r="D909" s="35" t="n"/>
      <c r="E909" s="61" t="n"/>
      <c r="F909" s="37" t="n"/>
      <c r="G909" s="39">
        <f>IF(B909="","",IF(F909&lt;&gt;"",F909,IFERROR(VLOOKUP(B909,'Vendors &amp; Crew'!$A$5:$D$34,3,FALSE),0)))</f>
        <v/>
      </c>
      <c r="H909" s="39">
        <f>IF(B909="","",E909*G909*(1+Settings!$B$18))</f>
        <v/>
      </c>
      <c r="I909" s="39">
        <f>IF(B909="","",IFERROR(VLOOKUP(B909,'Vendors &amp; Crew'!$A$5:$D$34,4,FALSE),0))</f>
        <v/>
      </c>
      <c r="J909" s="39">
        <f>IF(B909="","",E909*I909)</f>
        <v/>
      </c>
      <c r="K909" s="59">
        <f>IF(A909="","",A909-WEEKDAY(A909,2)+7)</f>
        <v/>
      </c>
      <c r="L909" s="9">
        <f>IF(B909="","",IF(D909="","Labor",IFERROR(VLOOKUP(D909,Settings!$E$5:$G$28,3,FALSE),"Labor")))</f>
        <v/>
      </c>
      <c r="M909" s="9">
        <f>IF(B909="","",IF(COUNTIF('Vendors &amp; Crew'!$A$5:$A$34,B909)=0,"Worker not in Crew table",IF(C909="","Missing Job ID",IF(COUNTIF(Jobs!$A$5:$A$44,C909)=0,"Unknown Job ID",IF(E909="","Missing hours",IF(A909="","Missing date",""))))))</f>
        <v/>
      </c>
      <c r="N909" s="35" t="n"/>
    </row>
    <row r="910">
      <c r="A910" s="40" t="n"/>
      <c r="B910" s="35" t="n"/>
      <c r="C910" s="35" t="n"/>
      <c r="D910" s="35" t="n"/>
      <c r="E910" s="61" t="n"/>
      <c r="F910" s="37" t="n"/>
      <c r="G910" s="39">
        <f>IF(B910="","",IF(F910&lt;&gt;"",F910,IFERROR(VLOOKUP(B910,'Vendors &amp; Crew'!$A$5:$D$34,3,FALSE),0)))</f>
        <v/>
      </c>
      <c r="H910" s="39">
        <f>IF(B910="","",E910*G910*(1+Settings!$B$18))</f>
        <v/>
      </c>
      <c r="I910" s="39">
        <f>IF(B910="","",IFERROR(VLOOKUP(B910,'Vendors &amp; Crew'!$A$5:$D$34,4,FALSE),0))</f>
        <v/>
      </c>
      <c r="J910" s="39">
        <f>IF(B910="","",E910*I910)</f>
        <v/>
      </c>
      <c r="K910" s="59">
        <f>IF(A910="","",A910-WEEKDAY(A910,2)+7)</f>
        <v/>
      </c>
      <c r="L910" s="9">
        <f>IF(B910="","",IF(D910="","Labor",IFERROR(VLOOKUP(D910,Settings!$E$5:$G$28,3,FALSE),"Labor")))</f>
        <v/>
      </c>
      <c r="M910" s="9">
        <f>IF(B910="","",IF(COUNTIF('Vendors &amp; Crew'!$A$5:$A$34,B910)=0,"Worker not in Crew table",IF(C910="","Missing Job ID",IF(COUNTIF(Jobs!$A$5:$A$44,C910)=0,"Unknown Job ID",IF(E910="","Missing hours",IF(A910="","Missing date",""))))))</f>
        <v/>
      </c>
      <c r="N910" s="35" t="n"/>
    </row>
    <row r="911">
      <c r="A911" s="40" t="n"/>
      <c r="B911" s="35" t="n"/>
      <c r="C911" s="35" t="n"/>
      <c r="D911" s="35" t="n"/>
      <c r="E911" s="61" t="n"/>
      <c r="F911" s="37" t="n"/>
      <c r="G911" s="39">
        <f>IF(B911="","",IF(F911&lt;&gt;"",F911,IFERROR(VLOOKUP(B911,'Vendors &amp; Crew'!$A$5:$D$34,3,FALSE),0)))</f>
        <v/>
      </c>
      <c r="H911" s="39">
        <f>IF(B911="","",E911*G911*(1+Settings!$B$18))</f>
        <v/>
      </c>
      <c r="I911" s="39">
        <f>IF(B911="","",IFERROR(VLOOKUP(B911,'Vendors &amp; Crew'!$A$5:$D$34,4,FALSE),0))</f>
        <v/>
      </c>
      <c r="J911" s="39">
        <f>IF(B911="","",E911*I911)</f>
        <v/>
      </c>
      <c r="K911" s="59">
        <f>IF(A911="","",A911-WEEKDAY(A911,2)+7)</f>
        <v/>
      </c>
      <c r="L911" s="9">
        <f>IF(B911="","",IF(D911="","Labor",IFERROR(VLOOKUP(D911,Settings!$E$5:$G$28,3,FALSE),"Labor")))</f>
        <v/>
      </c>
      <c r="M911" s="9">
        <f>IF(B911="","",IF(COUNTIF('Vendors &amp; Crew'!$A$5:$A$34,B911)=0,"Worker not in Crew table",IF(C911="","Missing Job ID",IF(COUNTIF(Jobs!$A$5:$A$44,C911)=0,"Unknown Job ID",IF(E911="","Missing hours",IF(A911="","Missing date",""))))))</f>
        <v/>
      </c>
      <c r="N911" s="35" t="n"/>
    </row>
    <row r="912">
      <c r="A912" s="40" t="n"/>
      <c r="B912" s="35" t="n"/>
      <c r="C912" s="35" t="n"/>
      <c r="D912" s="35" t="n"/>
      <c r="E912" s="61" t="n"/>
      <c r="F912" s="37" t="n"/>
      <c r="G912" s="39">
        <f>IF(B912="","",IF(F912&lt;&gt;"",F912,IFERROR(VLOOKUP(B912,'Vendors &amp; Crew'!$A$5:$D$34,3,FALSE),0)))</f>
        <v/>
      </c>
      <c r="H912" s="39">
        <f>IF(B912="","",E912*G912*(1+Settings!$B$18))</f>
        <v/>
      </c>
      <c r="I912" s="39">
        <f>IF(B912="","",IFERROR(VLOOKUP(B912,'Vendors &amp; Crew'!$A$5:$D$34,4,FALSE),0))</f>
        <v/>
      </c>
      <c r="J912" s="39">
        <f>IF(B912="","",E912*I912)</f>
        <v/>
      </c>
      <c r="K912" s="59">
        <f>IF(A912="","",A912-WEEKDAY(A912,2)+7)</f>
        <v/>
      </c>
      <c r="L912" s="9">
        <f>IF(B912="","",IF(D912="","Labor",IFERROR(VLOOKUP(D912,Settings!$E$5:$G$28,3,FALSE),"Labor")))</f>
        <v/>
      </c>
      <c r="M912" s="9">
        <f>IF(B912="","",IF(COUNTIF('Vendors &amp; Crew'!$A$5:$A$34,B912)=0,"Worker not in Crew table",IF(C912="","Missing Job ID",IF(COUNTIF(Jobs!$A$5:$A$44,C912)=0,"Unknown Job ID",IF(E912="","Missing hours",IF(A912="","Missing date",""))))))</f>
        <v/>
      </c>
      <c r="N912" s="35" t="n"/>
    </row>
    <row r="913">
      <c r="A913" s="40" t="n"/>
      <c r="B913" s="35" t="n"/>
      <c r="C913" s="35" t="n"/>
      <c r="D913" s="35" t="n"/>
      <c r="E913" s="61" t="n"/>
      <c r="F913" s="37" t="n"/>
      <c r="G913" s="39">
        <f>IF(B913="","",IF(F913&lt;&gt;"",F913,IFERROR(VLOOKUP(B913,'Vendors &amp; Crew'!$A$5:$D$34,3,FALSE),0)))</f>
        <v/>
      </c>
      <c r="H913" s="39">
        <f>IF(B913="","",E913*G913*(1+Settings!$B$18))</f>
        <v/>
      </c>
      <c r="I913" s="39">
        <f>IF(B913="","",IFERROR(VLOOKUP(B913,'Vendors &amp; Crew'!$A$5:$D$34,4,FALSE),0))</f>
        <v/>
      </c>
      <c r="J913" s="39">
        <f>IF(B913="","",E913*I913)</f>
        <v/>
      </c>
      <c r="K913" s="59">
        <f>IF(A913="","",A913-WEEKDAY(A913,2)+7)</f>
        <v/>
      </c>
      <c r="L913" s="9">
        <f>IF(B913="","",IF(D913="","Labor",IFERROR(VLOOKUP(D913,Settings!$E$5:$G$28,3,FALSE),"Labor")))</f>
        <v/>
      </c>
      <c r="M913" s="9">
        <f>IF(B913="","",IF(COUNTIF('Vendors &amp; Crew'!$A$5:$A$34,B913)=0,"Worker not in Crew table",IF(C913="","Missing Job ID",IF(COUNTIF(Jobs!$A$5:$A$44,C913)=0,"Unknown Job ID",IF(E913="","Missing hours",IF(A913="","Missing date",""))))))</f>
        <v/>
      </c>
      <c r="N913" s="35" t="n"/>
    </row>
    <row r="914">
      <c r="A914" s="40" t="n"/>
      <c r="B914" s="35" t="n"/>
      <c r="C914" s="35" t="n"/>
      <c r="D914" s="35" t="n"/>
      <c r="E914" s="61" t="n"/>
      <c r="F914" s="37" t="n"/>
      <c r="G914" s="39">
        <f>IF(B914="","",IF(F914&lt;&gt;"",F914,IFERROR(VLOOKUP(B914,'Vendors &amp; Crew'!$A$5:$D$34,3,FALSE),0)))</f>
        <v/>
      </c>
      <c r="H914" s="39">
        <f>IF(B914="","",E914*G914*(1+Settings!$B$18))</f>
        <v/>
      </c>
      <c r="I914" s="39">
        <f>IF(B914="","",IFERROR(VLOOKUP(B914,'Vendors &amp; Crew'!$A$5:$D$34,4,FALSE),0))</f>
        <v/>
      </c>
      <c r="J914" s="39">
        <f>IF(B914="","",E914*I914)</f>
        <v/>
      </c>
      <c r="K914" s="59">
        <f>IF(A914="","",A914-WEEKDAY(A914,2)+7)</f>
        <v/>
      </c>
      <c r="L914" s="9">
        <f>IF(B914="","",IF(D914="","Labor",IFERROR(VLOOKUP(D914,Settings!$E$5:$G$28,3,FALSE),"Labor")))</f>
        <v/>
      </c>
      <c r="M914" s="9">
        <f>IF(B914="","",IF(COUNTIF('Vendors &amp; Crew'!$A$5:$A$34,B914)=0,"Worker not in Crew table",IF(C914="","Missing Job ID",IF(COUNTIF(Jobs!$A$5:$A$44,C914)=0,"Unknown Job ID",IF(E914="","Missing hours",IF(A914="","Missing date",""))))))</f>
        <v/>
      </c>
      <c r="N914" s="35" t="n"/>
    </row>
    <row r="915">
      <c r="A915" s="40" t="n"/>
      <c r="B915" s="35" t="n"/>
      <c r="C915" s="35" t="n"/>
      <c r="D915" s="35" t="n"/>
      <c r="E915" s="61" t="n"/>
      <c r="F915" s="37" t="n"/>
      <c r="G915" s="39">
        <f>IF(B915="","",IF(F915&lt;&gt;"",F915,IFERROR(VLOOKUP(B915,'Vendors &amp; Crew'!$A$5:$D$34,3,FALSE),0)))</f>
        <v/>
      </c>
      <c r="H915" s="39">
        <f>IF(B915="","",E915*G915*(1+Settings!$B$18))</f>
        <v/>
      </c>
      <c r="I915" s="39">
        <f>IF(B915="","",IFERROR(VLOOKUP(B915,'Vendors &amp; Crew'!$A$5:$D$34,4,FALSE),0))</f>
        <v/>
      </c>
      <c r="J915" s="39">
        <f>IF(B915="","",E915*I915)</f>
        <v/>
      </c>
      <c r="K915" s="59">
        <f>IF(A915="","",A915-WEEKDAY(A915,2)+7)</f>
        <v/>
      </c>
      <c r="L915" s="9">
        <f>IF(B915="","",IF(D915="","Labor",IFERROR(VLOOKUP(D915,Settings!$E$5:$G$28,3,FALSE),"Labor")))</f>
        <v/>
      </c>
      <c r="M915" s="9">
        <f>IF(B915="","",IF(COUNTIF('Vendors &amp; Crew'!$A$5:$A$34,B915)=0,"Worker not in Crew table",IF(C915="","Missing Job ID",IF(COUNTIF(Jobs!$A$5:$A$44,C915)=0,"Unknown Job ID",IF(E915="","Missing hours",IF(A915="","Missing date",""))))))</f>
        <v/>
      </c>
      <c r="N915" s="35" t="n"/>
    </row>
    <row r="916">
      <c r="A916" s="40" t="n"/>
      <c r="B916" s="35" t="n"/>
      <c r="C916" s="35" t="n"/>
      <c r="D916" s="35" t="n"/>
      <c r="E916" s="61" t="n"/>
      <c r="F916" s="37" t="n"/>
      <c r="G916" s="39">
        <f>IF(B916="","",IF(F916&lt;&gt;"",F916,IFERROR(VLOOKUP(B916,'Vendors &amp; Crew'!$A$5:$D$34,3,FALSE),0)))</f>
        <v/>
      </c>
      <c r="H916" s="39">
        <f>IF(B916="","",E916*G916*(1+Settings!$B$18))</f>
        <v/>
      </c>
      <c r="I916" s="39">
        <f>IF(B916="","",IFERROR(VLOOKUP(B916,'Vendors &amp; Crew'!$A$5:$D$34,4,FALSE),0))</f>
        <v/>
      </c>
      <c r="J916" s="39">
        <f>IF(B916="","",E916*I916)</f>
        <v/>
      </c>
      <c r="K916" s="59">
        <f>IF(A916="","",A916-WEEKDAY(A916,2)+7)</f>
        <v/>
      </c>
      <c r="L916" s="9">
        <f>IF(B916="","",IF(D916="","Labor",IFERROR(VLOOKUP(D916,Settings!$E$5:$G$28,3,FALSE),"Labor")))</f>
        <v/>
      </c>
      <c r="M916" s="9">
        <f>IF(B916="","",IF(COUNTIF('Vendors &amp; Crew'!$A$5:$A$34,B916)=0,"Worker not in Crew table",IF(C916="","Missing Job ID",IF(COUNTIF(Jobs!$A$5:$A$44,C916)=0,"Unknown Job ID",IF(E916="","Missing hours",IF(A916="","Missing date",""))))))</f>
        <v/>
      </c>
      <c r="N916" s="35" t="n"/>
    </row>
    <row r="917">
      <c r="A917" s="40" t="n"/>
      <c r="B917" s="35" t="n"/>
      <c r="C917" s="35" t="n"/>
      <c r="D917" s="35" t="n"/>
      <c r="E917" s="61" t="n"/>
      <c r="F917" s="37" t="n"/>
      <c r="G917" s="39">
        <f>IF(B917="","",IF(F917&lt;&gt;"",F917,IFERROR(VLOOKUP(B917,'Vendors &amp; Crew'!$A$5:$D$34,3,FALSE),0)))</f>
        <v/>
      </c>
      <c r="H917" s="39">
        <f>IF(B917="","",E917*G917*(1+Settings!$B$18))</f>
        <v/>
      </c>
      <c r="I917" s="39">
        <f>IF(B917="","",IFERROR(VLOOKUP(B917,'Vendors &amp; Crew'!$A$5:$D$34,4,FALSE),0))</f>
        <v/>
      </c>
      <c r="J917" s="39">
        <f>IF(B917="","",E917*I917)</f>
        <v/>
      </c>
      <c r="K917" s="59">
        <f>IF(A917="","",A917-WEEKDAY(A917,2)+7)</f>
        <v/>
      </c>
      <c r="L917" s="9">
        <f>IF(B917="","",IF(D917="","Labor",IFERROR(VLOOKUP(D917,Settings!$E$5:$G$28,3,FALSE),"Labor")))</f>
        <v/>
      </c>
      <c r="M917" s="9">
        <f>IF(B917="","",IF(COUNTIF('Vendors &amp; Crew'!$A$5:$A$34,B917)=0,"Worker not in Crew table",IF(C917="","Missing Job ID",IF(COUNTIF(Jobs!$A$5:$A$44,C917)=0,"Unknown Job ID",IF(E917="","Missing hours",IF(A917="","Missing date",""))))))</f>
        <v/>
      </c>
      <c r="N917" s="35" t="n"/>
    </row>
    <row r="918">
      <c r="A918" s="40" t="n"/>
      <c r="B918" s="35" t="n"/>
      <c r="C918" s="35" t="n"/>
      <c r="D918" s="35" t="n"/>
      <c r="E918" s="61" t="n"/>
      <c r="F918" s="37" t="n"/>
      <c r="G918" s="39">
        <f>IF(B918="","",IF(F918&lt;&gt;"",F918,IFERROR(VLOOKUP(B918,'Vendors &amp; Crew'!$A$5:$D$34,3,FALSE),0)))</f>
        <v/>
      </c>
      <c r="H918" s="39">
        <f>IF(B918="","",E918*G918*(1+Settings!$B$18))</f>
        <v/>
      </c>
      <c r="I918" s="39">
        <f>IF(B918="","",IFERROR(VLOOKUP(B918,'Vendors &amp; Crew'!$A$5:$D$34,4,FALSE),0))</f>
        <v/>
      </c>
      <c r="J918" s="39">
        <f>IF(B918="","",E918*I918)</f>
        <v/>
      </c>
      <c r="K918" s="59">
        <f>IF(A918="","",A918-WEEKDAY(A918,2)+7)</f>
        <v/>
      </c>
      <c r="L918" s="9">
        <f>IF(B918="","",IF(D918="","Labor",IFERROR(VLOOKUP(D918,Settings!$E$5:$G$28,3,FALSE),"Labor")))</f>
        <v/>
      </c>
      <c r="M918" s="9">
        <f>IF(B918="","",IF(COUNTIF('Vendors &amp; Crew'!$A$5:$A$34,B918)=0,"Worker not in Crew table",IF(C918="","Missing Job ID",IF(COUNTIF(Jobs!$A$5:$A$44,C918)=0,"Unknown Job ID",IF(E918="","Missing hours",IF(A918="","Missing date",""))))))</f>
        <v/>
      </c>
      <c r="N918" s="35" t="n"/>
    </row>
    <row r="919">
      <c r="A919" s="40" t="n"/>
      <c r="B919" s="35" t="n"/>
      <c r="C919" s="35" t="n"/>
      <c r="D919" s="35" t="n"/>
      <c r="E919" s="61" t="n"/>
      <c r="F919" s="37" t="n"/>
      <c r="G919" s="39">
        <f>IF(B919="","",IF(F919&lt;&gt;"",F919,IFERROR(VLOOKUP(B919,'Vendors &amp; Crew'!$A$5:$D$34,3,FALSE),0)))</f>
        <v/>
      </c>
      <c r="H919" s="39">
        <f>IF(B919="","",E919*G919*(1+Settings!$B$18))</f>
        <v/>
      </c>
      <c r="I919" s="39">
        <f>IF(B919="","",IFERROR(VLOOKUP(B919,'Vendors &amp; Crew'!$A$5:$D$34,4,FALSE),0))</f>
        <v/>
      </c>
      <c r="J919" s="39">
        <f>IF(B919="","",E919*I919)</f>
        <v/>
      </c>
      <c r="K919" s="59">
        <f>IF(A919="","",A919-WEEKDAY(A919,2)+7)</f>
        <v/>
      </c>
      <c r="L919" s="9">
        <f>IF(B919="","",IF(D919="","Labor",IFERROR(VLOOKUP(D919,Settings!$E$5:$G$28,3,FALSE),"Labor")))</f>
        <v/>
      </c>
      <c r="M919" s="9">
        <f>IF(B919="","",IF(COUNTIF('Vendors &amp; Crew'!$A$5:$A$34,B919)=0,"Worker not in Crew table",IF(C919="","Missing Job ID",IF(COUNTIF(Jobs!$A$5:$A$44,C919)=0,"Unknown Job ID",IF(E919="","Missing hours",IF(A919="","Missing date",""))))))</f>
        <v/>
      </c>
      <c r="N919" s="35" t="n"/>
    </row>
    <row r="920">
      <c r="A920" s="40" t="n"/>
      <c r="B920" s="35" t="n"/>
      <c r="C920" s="35" t="n"/>
      <c r="D920" s="35" t="n"/>
      <c r="E920" s="61" t="n"/>
      <c r="F920" s="37" t="n"/>
      <c r="G920" s="39">
        <f>IF(B920="","",IF(F920&lt;&gt;"",F920,IFERROR(VLOOKUP(B920,'Vendors &amp; Crew'!$A$5:$D$34,3,FALSE),0)))</f>
        <v/>
      </c>
      <c r="H920" s="39">
        <f>IF(B920="","",E920*G920*(1+Settings!$B$18))</f>
        <v/>
      </c>
      <c r="I920" s="39">
        <f>IF(B920="","",IFERROR(VLOOKUP(B920,'Vendors &amp; Crew'!$A$5:$D$34,4,FALSE),0))</f>
        <v/>
      </c>
      <c r="J920" s="39">
        <f>IF(B920="","",E920*I920)</f>
        <v/>
      </c>
      <c r="K920" s="59">
        <f>IF(A920="","",A920-WEEKDAY(A920,2)+7)</f>
        <v/>
      </c>
      <c r="L920" s="9">
        <f>IF(B920="","",IF(D920="","Labor",IFERROR(VLOOKUP(D920,Settings!$E$5:$G$28,3,FALSE),"Labor")))</f>
        <v/>
      </c>
      <c r="M920" s="9">
        <f>IF(B920="","",IF(COUNTIF('Vendors &amp; Crew'!$A$5:$A$34,B920)=0,"Worker not in Crew table",IF(C920="","Missing Job ID",IF(COUNTIF(Jobs!$A$5:$A$44,C920)=0,"Unknown Job ID",IF(E920="","Missing hours",IF(A920="","Missing date",""))))))</f>
        <v/>
      </c>
      <c r="N920" s="35" t="n"/>
    </row>
    <row r="921">
      <c r="A921" s="40" t="n"/>
      <c r="B921" s="35" t="n"/>
      <c r="C921" s="35" t="n"/>
      <c r="D921" s="35" t="n"/>
      <c r="E921" s="61" t="n"/>
      <c r="F921" s="37" t="n"/>
      <c r="G921" s="39">
        <f>IF(B921="","",IF(F921&lt;&gt;"",F921,IFERROR(VLOOKUP(B921,'Vendors &amp; Crew'!$A$5:$D$34,3,FALSE),0)))</f>
        <v/>
      </c>
      <c r="H921" s="39">
        <f>IF(B921="","",E921*G921*(1+Settings!$B$18))</f>
        <v/>
      </c>
      <c r="I921" s="39">
        <f>IF(B921="","",IFERROR(VLOOKUP(B921,'Vendors &amp; Crew'!$A$5:$D$34,4,FALSE),0))</f>
        <v/>
      </c>
      <c r="J921" s="39">
        <f>IF(B921="","",E921*I921)</f>
        <v/>
      </c>
      <c r="K921" s="59">
        <f>IF(A921="","",A921-WEEKDAY(A921,2)+7)</f>
        <v/>
      </c>
      <c r="L921" s="9">
        <f>IF(B921="","",IF(D921="","Labor",IFERROR(VLOOKUP(D921,Settings!$E$5:$G$28,3,FALSE),"Labor")))</f>
        <v/>
      </c>
      <c r="M921" s="9">
        <f>IF(B921="","",IF(COUNTIF('Vendors &amp; Crew'!$A$5:$A$34,B921)=0,"Worker not in Crew table",IF(C921="","Missing Job ID",IF(COUNTIF(Jobs!$A$5:$A$44,C921)=0,"Unknown Job ID",IF(E921="","Missing hours",IF(A921="","Missing date",""))))))</f>
        <v/>
      </c>
      <c r="N921" s="35" t="n"/>
    </row>
    <row r="922">
      <c r="A922" s="40" t="n"/>
      <c r="B922" s="35" t="n"/>
      <c r="C922" s="35" t="n"/>
      <c r="D922" s="35" t="n"/>
      <c r="E922" s="61" t="n"/>
      <c r="F922" s="37" t="n"/>
      <c r="G922" s="39">
        <f>IF(B922="","",IF(F922&lt;&gt;"",F922,IFERROR(VLOOKUP(B922,'Vendors &amp; Crew'!$A$5:$D$34,3,FALSE),0)))</f>
        <v/>
      </c>
      <c r="H922" s="39">
        <f>IF(B922="","",E922*G922*(1+Settings!$B$18))</f>
        <v/>
      </c>
      <c r="I922" s="39">
        <f>IF(B922="","",IFERROR(VLOOKUP(B922,'Vendors &amp; Crew'!$A$5:$D$34,4,FALSE),0))</f>
        <v/>
      </c>
      <c r="J922" s="39">
        <f>IF(B922="","",E922*I922)</f>
        <v/>
      </c>
      <c r="K922" s="59">
        <f>IF(A922="","",A922-WEEKDAY(A922,2)+7)</f>
        <v/>
      </c>
      <c r="L922" s="9">
        <f>IF(B922="","",IF(D922="","Labor",IFERROR(VLOOKUP(D922,Settings!$E$5:$G$28,3,FALSE),"Labor")))</f>
        <v/>
      </c>
      <c r="M922" s="9">
        <f>IF(B922="","",IF(COUNTIF('Vendors &amp; Crew'!$A$5:$A$34,B922)=0,"Worker not in Crew table",IF(C922="","Missing Job ID",IF(COUNTIF(Jobs!$A$5:$A$44,C922)=0,"Unknown Job ID",IF(E922="","Missing hours",IF(A922="","Missing date",""))))))</f>
        <v/>
      </c>
      <c r="N922" s="35" t="n"/>
    </row>
    <row r="923">
      <c r="A923" s="40" t="n"/>
      <c r="B923" s="35" t="n"/>
      <c r="C923" s="35" t="n"/>
      <c r="D923" s="35" t="n"/>
      <c r="E923" s="61" t="n"/>
      <c r="F923" s="37" t="n"/>
      <c r="G923" s="39">
        <f>IF(B923="","",IF(F923&lt;&gt;"",F923,IFERROR(VLOOKUP(B923,'Vendors &amp; Crew'!$A$5:$D$34,3,FALSE),0)))</f>
        <v/>
      </c>
      <c r="H923" s="39">
        <f>IF(B923="","",E923*G923*(1+Settings!$B$18))</f>
        <v/>
      </c>
      <c r="I923" s="39">
        <f>IF(B923="","",IFERROR(VLOOKUP(B923,'Vendors &amp; Crew'!$A$5:$D$34,4,FALSE),0))</f>
        <v/>
      </c>
      <c r="J923" s="39">
        <f>IF(B923="","",E923*I923)</f>
        <v/>
      </c>
      <c r="K923" s="59">
        <f>IF(A923="","",A923-WEEKDAY(A923,2)+7)</f>
        <v/>
      </c>
      <c r="L923" s="9">
        <f>IF(B923="","",IF(D923="","Labor",IFERROR(VLOOKUP(D923,Settings!$E$5:$G$28,3,FALSE),"Labor")))</f>
        <v/>
      </c>
      <c r="M923" s="9">
        <f>IF(B923="","",IF(COUNTIF('Vendors &amp; Crew'!$A$5:$A$34,B923)=0,"Worker not in Crew table",IF(C923="","Missing Job ID",IF(COUNTIF(Jobs!$A$5:$A$44,C923)=0,"Unknown Job ID",IF(E923="","Missing hours",IF(A923="","Missing date",""))))))</f>
        <v/>
      </c>
      <c r="N923" s="35" t="n"/>
    </row>
    <row r="924">
      <c r="A924" s="40" t="n"/>
      <c r="B924" s="35" t="n"/>
      <c r="C924" s="35" t="n"/>
      <c r="D924" s="35" t="n"/>
      <c r="E924" s="61" t="n"/>
      <c r="F924" s="37" t="n"/>
      <c r="G924" s="39">
        <f>IF(B924="","",IF(F924&lt;&gt;"",F924,IFERROR(VLOOKUP(B924,'Vendors &amp; Crew'!$A$5:$D$34,3,FALSE),0)))</f>
        <v/>
      </c>
      <c r="H924" s="39">
        <f>IF(B924="","",E924*G924*(1+Settings!$B$18))</f>
        <v/>
      </c>
      <c r="I924" s="39">
        <f>IF(B924="","",IFERROR(VLOOKUP(B924,'Vendors &amp; Crew'!$A$5:$D$34,4,FALSE),0))</f>
        <v/>
      </c>
      <c r="J924" s="39">
        <f>IF(B924="","",E924*I924)</f>
        <v/>
      </c>
      <c r="K924" s="59">
        <f>IF(A924="","",A924-WEEKDAY(A924,2)+7)</f>
        <v/>
      </c>
      <c r="L924" s="9">
        <f>IF(B924="","",IF(D924="","Labor",IFERROR(VLOOKUP(D924,Settings!$E$5:$G$28,3,FALSE),"Labor")))</f>
        <v/>
      </c>
      <c r="M924" s="9">
        <f>IF(B924="","",IF(COUNTIF('Vendors &amp; Crew'!$A$5:$A$34,B924)=0,"Worker not in Crew table",IF(C924="","Missing Job ID",IF(COUNTIF(Jobs!$A$5:$A$44,C924)=0,"Unknown Job ID",IF(E924="","Missing hours",IF(A924="","Missing date",""))))))</f>
        <v/>
      </c>
      <c r="N924" s="35" t="n"/>
    </row>
    <row r="925">
      <c r="A925" s="40" t="n"/>
      <c r="B925" s="35" t="n"/>
      <c r="C925" s="35" t="n"/>
      <c r="D925" s="35" t="n"/>
      <c r="E925" s="61" t="n"/>
      <c r="F925" s="37" t="n"/>
      <c r="G925" s="39">
        <f>IF(B925="","",IF(F925&lt;&gt;"",F925,IFERROR(VLOOKUP(B925,'Vendors &amp; Crew'!$A$5:$D$34,3,FALSE),0)))</f>
        <v/>
      </c>
      <c r="H925" s="39">
        <f>IF(B925="","",E925*G925*(1+Settings!$B$18))</f>
        <v/>
      </c>
      <c r="I925" s="39">
        <f>IF(B925="","",IFERROR(VLOOKUP(B925,'Vendors &amp; Crew'!$A$5:$D$34,4,FALSE),0))</f>
        <v/>
      </c>
      <c r="J925" s="39">
        <f>IF(B925="","",E925*I925)</f>
        <v/>
      </c>
      <c r="K925" s="59">
        <f>IF(A925="","",A925-WEEKDAY(A925,2)+7)</f>
        <v/>
      </c>
      <c r="L925" s="9">
        <f>IF(B925="","",IF(D925="","Labor",IFERROR(VLOOKUP(D925,Settings!$E$5:$G$28,3,FALSE),"Labor")))</f>
        <v/>
      </c>
      <c r="M925" s="9">
        <f>IF(B925="","",IF(COUNTIF('Vendors &amp; Crew'!$A$5:$A$34,B925)=0,"Worker not in Crew table",IF(C925="","Missing Job ID",IF(COUNTIF(Jobs!$A$5:$A$44,C925)=0,"Unknown Job ID",IF(E925="","Missing hours",IF(A925="","Missing date",""))))))</f>
        <v/>
      </c>
      <c r="N925" s="35" t="n"/>
    </row>
    <row r="926">
      <c r="A926" s="40" t="n"/>
      <c r="B926" s="35" t="n"/>
      <c r="C926" s="35" t="n"/>
      <c r="D926" s="35" t="n"/>
      <c r="E926" s="61" t="n"/>
      <c r="F926" s="37" t="n"/>
      <c r="G926" s="39">
        <f>IF(B926="","",IF(F926&lt;&gt;"",F926,IFERROR(VLOOKUP(B926,'Vendors &amp; Crew'!$A$5:$D$34,3,FALSE),0)))</f>
        <v/>
      </c>
      <c r="H926" s="39">
        <f>IF(B926="","",E926*G926*(1+Settings!$B$18))</f>
        <v/>
      </c>
      <c r="I926" s="39">
        <f>IF(B926="","",IFERROR(VLOOKUP(B926,'Vendors &amp; Crew'!$A$5:$D$34,4,FALSE),0))</f>
        <v/>
      </c>
      <c r="J926" s="39">
        <f>IF(B926="","",E926*I926)</f>
        <v/>
      </c>
      <c r="K926" s="59">
        <f>IF(A926="","",A926-WEEKDAY(A926,2)+7)</f>
        <v/>
      </c>
      <c r="L926" s="9">
        <f>IF(B926="","",IF(D926="","Labor",IFERROR(VLOOKUP(D926,Settings!$E$5:$G$28,3,FALSE),"Labor")))</f>
        <v/>
      </c>
      <c r="M926" s="9">
        <f>IF(B926="","",IF(COUNTIF('Vendors &amp; Crew'!$A$5:$A$34,B926)=0,"Worker not in Crew table",IF(C926="","Missing Job ID",IF(COUNTIF(Jobs!$A$5:$A$44,C926)=0,"Unknown Job ID",IF(E926="","Missing hours",IF(A926="","Missing date",""))))))</f>
        <v/>
      </c>
      <c r="N926" s="35" t="n"/>
    </row>
    <row r="927">
      <c r="A927" s="40" t="n"/>
      <c r="B927" s="35" t="n"/>
      <c r="C927" s="35" t="n"/>
      <c r="D927" s="35" t="n"/>
      <c r="E927" s="61" t="n"/>
      <c r="F927" s="37" t="n"/>
      <c r="G927" s="39">
        <f>IF(B927="","",IF(F927&lt;&gt;"",F927,IFERROR(VLOOKUP(B927,'Vendors &amp; Crew'!$A$5:$D$34,3,FALSE),0)))</f>
        <v/>
      </c>
      <c r="H927" s="39">
        <f>IF(B927="","",E927*G927*(1+Settings!$B$18))</f>
        <v/>
      </c>
      <c r="I927" s="39">
        <f>IF(B927="","",IFERROR(VLOOKUP(B927,'Vendors &amp; Crew'!$A$5:$D$34,4,FALSE),0))</f>
        <v/>
      </c>
      <c r="J927" s="39">
        <f>IF(B927="","",E927*I927)</f>
        <v/>
      </c>
      <c r="K927" s="59">
        <f>IF(A927="","",A927-WEEKDAY(A927,2)+7)</f>
        <v/>
      </c>
      <c r="L927" s="9">
        <f>IF(B927="","",IF(D927="","Labor",IFERROR(VLOOKUP(D927,Settings!$E$5:$G$28,3,FALSE),"Labor")))</f>
        <v/>
      </c>
      <c r="M927" s="9">
        <f>IF(B927="","",IF(COUNTIF('Vendors &amp; Crew'!$A$5:$A$34,B927)=0,"Worker not in Crew table",IF(C927="","Missing Job ID",IF(COUNTIF(Jobs!$A$5:$A$44,C927)=0,"Unknown Job ID",IF(E927="","Missing hours",IF(A927="","Missing date",""))))))</f>
        <v/>
      </c>
      <c r="N927" s="35" t="n"/>
    </row>
    <row r="928">
      <c r="A928" s="40" t="n"/>
      <c r="B928" s="35" t="n"/>
      <c r="C928" s="35" t="n"/>
      <c r="D928" s="35" t="n"/>
      <c r="E928" s="61" t="n"/>
      <c r="F928" s="37" t="n"/>
      <c r="G928" s="39">
        <f>IF(B928="","",IF(F928&lt;&gt;"",F928,IFERROR(VLOOKUP(B928,'Vendors &amp; Crew'!$A$5:$D$34,3,FALSE),0)))</f>
        <v/>
      </c>
      <c r="H928" s="39">
        <f>IF(B928="","",E928*G928*(1+Settings!$B$18))</f>
        <v/>
      </c>
      <c r="I928" s="39">
        <f>IF(B928="","",IFERROR(VLOOKUP(B928,'Vendors &amp; Crew'!$A$5:$D$34,4,FALSE),0))</f>
        <v/>
      </c>
      <c r="J928" s="39">
        <f>IF(B928="","",E928*I928)</f>
        <v/>
      </c>
      <c r="K928" s="59">
        <f>IF(A928="","",A928-WEEKDAY(A928,2)+7)</f>
        <v/>
      </c>
      <c r="L928" s="9">
        <f>IF(B928="","",IF(D928="","Labor",IFERROR(VLOOKUP(D928,Settings!$E$5:$G$28,3,FALSE),"Labor")))</f>
        <v/>
      </c>
      <c r="M928" s="9">
        <f>IF(B928="","",IF(COUNTIF('Vendors &amp; Crew'!$A$5:$A$34,B928)=0,"Worker not in Crew table",IF(C928="","Missing Job ID",IF(COUNTIF(Jobs!$A$5:$A$44,C928)=0,"Unknown Job ID",IF(E928="","Missing hours",IF(A928="","Missing date",""))))))</f>
        <v/>
      </c>
      <c r="N928" s="35" t="n"/>
    </row>
    <row r="929">
      <c r="A929" s="40" t="n"/>
      <c r="B929" s="35" t="n"/>
      <c r="C929" s="35" t="n"/>
      <c r="D929" s="35" t="n"/>
      <c r="E929" s="61" t="n"/>
      <c r="F929" s="37" t="n"/>
      <c r="G929" s="39">
        <f>IF(B929="","",IF(F929&lt;&gt;"",F929,IFERROR(VLOOKUP(B929,'Vendors &amp; Crew'!$A$5:$D$34,3,FALSE),0)))</f>
        <v/>
      </c>
      <c r="H929" s="39">
        <f>IF(B929="","",E929*G929*(1+Settings!$B$18))</f>
        <v/>
      </c>
      <c r="I929" s="39">
        <f>IF(B929="","",IFERROR(VLOOKUP(B929,'Vendors &amp; Crew'!$A$5:$D$34,4,FALSE),0))</f>
        <v/>
      </c>
      <c r="J929" s="39">
        <f>IF(B929="","",E929*I929)</f>
        <v/>
      </c>
      <c r="K929" s="59">
        <f>IF(A929="","",A929-WEEKDAY(A929,2)+7)</f>
        <v/>
      </c>
      <c r="L929" s="9">
        <f>IF(B929="","",IF(D929="","Labor",IFERROR(VLOOKUP(D929,Settings!$E$5:$G$28,3,FALSE),"Labor")))</f>
        <v/>
      </c>
      <c r="M929" s="9">
        <f>IF(B929="","",IF(COUNTIF('Vendors &amp; Crew'!$A$5:$A$34,B929)=0,"Worker not in Crew table",IF(C929="","Missing Job ID",IF(COUNTIF(Jobs!$A$5:$A$44,C929)=0,"Unknown Job ID",IF(E929="","Missing hours",IF(A929="","Missing date",""))))))</f>
        <v/>
      </c>
      <c r="N929" s="35" t="n"/>
    </row>
    <row r="930">
      <c r="A930" s="40" t="n"/>
      <c r="B930" s="35" t="n"/>
      <c r="C930" s="35" t="n"/>
      <c r="D930" s="35" t="n"/>
      <c r="E930" s="61" t="n"/>
      <c r="F930" s="37" t="n"/>
      <c r="G930" s="39">
        <f>IF(B930="","",IF(F930&lt;&gt;"",F930,IFERROR(VLOOKUP(B930,'Vendors &amp; Crew'!$A$5:$D$34,3,FALSE),0)))</f>
        <v/>
      </c>
      <c r="H930" s="39">
        <f>IF(B930="","",E930*G930*(1+Settings!$B$18))</f>
        <v/>
      </c>
      <c r="I930" s="39">
        <f>IF(B930="","",IFERROR(VLOOKUP(B930,'Vendors &amp; Crew'!$A$5:$D$34,4,FALSE),0))</f>
        <v/>
      </c>
      <c r="J930" s="39">
        <f>IF(B930="","",E930*I930)</f>
        <v/>
      </c>
      <c r="K930" s="59">
        <f>IF(A930="","",A930-WEEKDAY(A930,2)+7)</f>
        <v/>
      </c>
      <c r="L930" s="9">
        <f>IF(B930="","",IF(D930="","Labor",IFERROR(VLOOKUP(D930,Settings!$E$5:$G$28,3,FALSE),"Labor")))</f>
        <v/>
      </c>
      <c r="M930" s="9">
        <f>IF(B930="","",IF(COUNTIF('Vendors &amp; Crew'!$A$5:$A$34,B930)=0,"Worker not in Crew table",IF(C930="","Missing Job ID",IF(COUNTIF(Jobs!$A$5:$A$44,C930)=0,"Unknown Job ID",IF(E930="","Missing hours",IF(A930="","Missing date",""))))))</f>
        <v/>
      </c>
      <c r="N930" s="35" t="n"/>
    </row>
    <row r="931">
      <c r="A931" s="40" t="n"/>
      <c r="B931" s="35" t="n"/>
      <c r="C931" s="35" t="n"/>
      <c r="D931" s="35" t="n"/>
      <c r="E931" s="61" t="n"/>
      <c r="F931" s="37" t="n"/>
      <c r="G931" s="39">
        <f>IF(B931="","",IF(F931&lt;&gt;"",F931,IFERROR(VLOOKUP(B931,'Vendors &amp; Crew'!$A$5:$D$34,3,FALSE),0)))</f>
        <v/>
      </c>
      <c r="H931" s="39">
        <f>IF(B931="","",E931*G931*(1+Settings!$B$18))</f>
        <v/>
      </c>
      <c r="I931" s="39">
        <f>IF(B931="","",IFERROR(VLOOKUP(B931,'Vendors &amp; Crew'!$A$5:$D$34,4,FALSE),0))</f>
        <v/>
      </c>
      <c r="J931" s="39">
        <f>IF(B931="","",E931*I931)</f>
        <v/>
      </c>
      <c r="K931" s="59">
        <f>IF(A931="","",A931-WEEKDAY(A931,2)+7)</f>
        <v/>
      </c>
      <c r="L931" s="9">
        <f>IF(B931="","",IF(D931="","Labor",IFERROR(VLOOKUP(D931,Settings!$E$5:$G$28,3,FALSE),"Labor")))</f>
        <v/>
      </c>
      <c r="M931" s="9">
        <f>IF(B931="","",IF(COUNTIF('Vendors &amp; Crew'!$A$5:$A$34,B931)=0,"Worker not in Crew table",IF(C931="","Missing Job ID",IF(COUNTIF(Jobs!$A$5:$A$44,C931)=0,"Unknown Job ID",IF(E931="","Missing hours",IF(A931="","Missing date",""))))))</f>
        <v/>
      </c>
      <c r="N931" s="35" t="n"/>
    </row>
    <row r="932">
      <c r="A932" s="40" t="n"/>
      <c r="B932" s="35" t="n"/>
      <c r="C932" s="35" t="n"/>
      <c r="D932" s="35" t="n"/>
      <c r="E932" s="61" t="n"/>
      <c r="F932" s="37" t="n"/>
      <c r="G932" s="39">
        <f>IF(B932="","",IF(F932&lt;&gt;"",F932,IFERROR(VLOOKUP(B932,'Vendors &amp; Crew'!$A$5:$D$34,3,FALSE),0)))</f>
        <v/>
      </c>
      <c r="H932" s="39">
        <f>IF(B932="","",E932*G932*(1+Settings!$B$18))</f>
        <v/>
      </c>
      <c r="I932" s="39">
        <f>IF(B932="","",IFERROR(VLOOKUP(B932,'Vendors &amp; Crew'!$A$5:$D$34,4,FALSE),0))</f>
        <v/>
      </c>
      <c r="J932" s="39">
        <f>IF(B932="","",E932*I932)</f>
        <v/>
      </c>
      <c r="K932" s="59">
        <f>IF(A932="","",A932-WEEKDAY(A932,2)+7)</f>
        <v/>
      </c>
      <c r="L932" s="9">
        <f>IF(B932="","",IF(D932="","Labor",IFERROR(VLOOKUP(D932,Settings!$E$5:$G$28,3,FALSE),"Labor")))</f>
        <v/>
      </c>
      <c r="M932" s="9">
        <f>IF(B932="","",IF(COUNTIF('Vendors &amp; Crew'!$A$5:$A$34,B932)=0,"Worker not in Crew table",IF(C932="","Missing Job ID",IF(COUNTIF(Jobs!$A$5:$A$44,C932)=0,"Unknown Job ID",IF(E932="","Missing hours",IF(A932="","Missing date",""))))))</f>
        <v/>
      </c>
      <c r="N932" s="35" t="n"/>
    </row>
    <row r="933">
      <c r="A933" s="40" t="n"/>
      <c r="B933" s="35" t="n"/>
      <c r="C933" s="35" t="n"/>
      <c r="D933" s="35" t="n"/>
      <c r="E933" s="61" t="n"/>
      <c r="F933" s="37" t="n"/>
      <c r="G933" s="39">
        <f>IF(B933="","",IF(F933&lt;&gt;"",F933,IFERROR(VLOOKUP(B933,'Vendors &amp; Crew'!$A$5:$D$34,3,FALSE),0)))</f>
        <v/>
      </c>
      <c r="H933" s="39">
        <f>IF(B933="","",E933*G933*(1+Settings!$B$18))</f>
        <v/>
      </c>
      <c r="I933" s="39">
        <f>IF(B933="","",IFERROR(VLOOKUP(B933,'Vendors &amp; Crew'!$A$5:$D$34,4,FALSE),0))</f>
        <v/>
      </c>
      <c r="J933" s="39">
        <f>IF(B933="","",E933*I933)</f>
        <v/>
      </c>
      <c r="K933" s="59">
        <f>IF(A933="","",A933-WEEKDAY(A933,2)+7)</f>
        <v/>
      </c>
      <c r="L933" s="9">
        <f>IF(B933="","",IF(D933="","Labor",IFERROR(VLOOKUP(D933,Settings!$E$5:$G$28,3,FALSE),"Labor")))</f>
        <v/>
      </c>
      <c r="M933" s="9">
        <f>IF(B933="","",IF(COUNTIF('Vendors &amp; Crew'!$A$5:$A$34,B933)=0,"Worker not in Crew table",IF(C933="","Missing Job ID",IF(COUNTIF(Jobs!$A$5:$A$44,C933)=0,"Unknown Job ID",IF(E933="","Missing hours",IF(A933="","Missing date",""))))))</f>
        <v/>
      </c>
      <c r="N933" s="35" t="n"/>
    </row>
    <row r="934">
      <c r="A934" s="40" t="n"/>
      <c r="B934" s="35" t="n"/>
      <c r="C934" s="35" t="n"/>
      <c r="D934" s="35" t="n"/>
      <c r="E934" s="61" t="n"/>
      <c r="F934" s="37" t="n"/>
      <c r="G934" s="39">
        <f>IF(B934="","",IF(F934&lt;&gt;"",F934,IFERROR(VLOOKUP(B934,'Vendors &amp; Crew'!$A$5:$D$34,3,FALSE),0)))</f>
        <v/>
      </c>
      <c r="H934" s="39">
        <f>IF(B934="","",E934*G934*(1+Settings!$B$18))</f>
        <v/>
      </c>
      <c r="I934" s="39">
        <f>IF(B934="","",IFERROR(VLOOKUP(B934,'Vendors &amp; Crew'!$A$5:$D$34,4,FALSE),0))</f>
        <v/>
      </c>
      <c r="J934" s="39">
        <f>IF(B934="","",E934*I934)</f>
        <v/>
      </c>
      <c r="K934" s="59">
        <f>IF(A934="","",A934-WEEKDAY(A934,2)+7)</f>
        <v/>
      </c>
      <c r="L934" s="9">
        <f>IF(B934="","",IF(D934="","Labor",IFERROR(VLOOKUP(D934,Settings!$E$5:$G$28,3,FALSE),"Labor")))</f>
        <v/>
      </c>
      <c r="M934" s="9">
        <f>IF(B934="","",IF(COUNTIF('Vendors &amp; Crew'!$A$5:$A$34,B934)=0,"Worker not in Crew table",IF(C934="","Missing Job ID",IF(COUNTIF(Jobs!$A$5:$A$44,C934)=0,"Unknown Job ID",IF(E934="","Missing hours",IF(A934="","Missing date",""))))))</f>
        <v/>
      </c>
      <c r="N934" s="35" t="n"/>
    </row>
    <row r="935">
      <c r="A935" s="40" t="n"/>
      <c r="B935" s="35" t="n"/>
      <c r="C935" s="35" t="n"/>
      <c r="D935" s="35" t="n"/>
      <c r="E935" s="61" t="n"/>
      <c r="F935" s="37" t="n"/>
      <c r="G935" s="39">
        <f>IF(B935="","",IF(F935&lt;&gt;"",F935,IFERROR(VLOOKUP(B935,'Vendors &amp; Crew'!$A$5:$D$34,3,FALSE),0)))</f>
        <v/>
      </c>
      <c r="H935" s="39">
        <f>IF(B935="","",E935*G935*(1+Settings!$B$18))</f>
        <v/>
      </c>
      <c r="I935" s="39">
        <f>IF(B935="","",IFERROR(VLOOKUP(B935,'Vendors &amp; Crew'!$A$5:$D$34,4,FALSE),0))</f>
        <v/>
      </c>
      <c r="J935" s="39">
        <f>IF(B935="","",E935*I935)</f>
        <v/>
      </c>
      <c r="K935" s="59">
        <f>IF(A935="","",A935-WEEKDAY(A935,2)+7)</f>
        <v/>
      </c>
      <c r="L935" s="9">
        <f>IF(B935="","",IF(D935="","Labor",IFERROR(VLOOKUP(D935,Settings!$E$5:$G$28,3,FALSE),"Labor")))</f>
        <v/>
      </c>
      <c r="M935" s="9">
        <f>IF(B935="","",IF(COUNTIF('Vendors &amp; Crew'!$A$5:$A$34,B935)=0,"Worker not in Crew table",IF(C935="","Missing Job ID",IF(COUNTIF(Jobs!$A$5:$A$44,C935)=0,"Unknown Job ID",IF(E935="","Missing hours",IF(A935="","Missing date",""))))))</f>
        <v/>
      </c>
      <c r="N935" s="35" t="n"/>
    </row>
    <row r="936">
      <c r="A936" s="40" t="n"/>
      <c r="B936" s="35" t="n"/>
      <c r="C936" s="35" t="n"/>
      <c r="D936" s="35" t="n"/>
      <c r="E936" s="61" t="n"/>
      <c r="F936" s="37" t="n"/>
      <c r="G936" s="39">
        <f>IF(B936="","",IF(F936&lt;&gt;"",F936,IFERROR(VLOOKUP(B936,'Vendors &amp; Crew'!$A$5:$D$34,3,FALSE),0)))</f>
        <v/>
      </c>
      <c r="H936" s="39">
        <f>IF(B936="","",E936*G936*(1+Settings!$B$18))</f>
        <v/>
      </c>
      <c r="I936" s="39">
        <f>IF(B936="","",IFERROR(VLOOKUP(B936,'Vendors &amp; Crew'!$A$5:$D$34,4,FALSE),0))</f>
        <v/>
      </c>
      <c r="J936" s="39">
        <f>IF(B936="","",E936*I936)</f>
        <v/>
      </c>
      <c r="K936" s="59">
        <f>IF(A936="","",A936-WEEKDAY(A936,2)+7)</f>
        <v/>
      </c>
      <c r="L936" s="9">
        <f>IF(B936="","",IF(D936="","Labor",IFERROR(VLOOKUP(D936,Settings!$E$5:$G$28,3,FALSE),"Labor")))</f>
        <v/>
      </c>
      <c r="M936" s="9">
        <f>IF(B936="","",IF(COUNTIF('Vendors &amp; Crew'!$A$5:$A$34,B936)=0,"Worker not in Crew table",IF(C936="","Missing Job ID",IF(COUNTIF(Jobs!$A$5:$A$44,C936)=0,"Unknown Job ID",IF(E936="","Missing hours",IF(A936="","Missing date",""))))))</f>
        <v/>
      </c>
      <c r="N936" s="35" t="n"/>
    </row>
    <row r="937">
      <c r="A937" s="40" t="n"/>
      <c r="B937" s="35" t="n"/>
      <c r="C937" s="35" t="n"/>
      <c r="D937" s="35" t="n"/>
      <c r="E937" s="61" t="n"/>
      <c r="F937" s="37" t="n"/>
      <c r="G937" s="39">
        <f>IF(B937="","",IF(F937&lt;&gt;"",F937,IFERROR(VLOOKUP(B937,'Vendors &amp; Crew'!$A$5:$D$34,3,FALSE),0)))</f>
        <v/>
      </c>
      <c r="H937" s="39">
        <f>IF(B937="","",E937*G937*(1+Settings!$B$18))</f>
        <v/>
      </c>
      <c r="I937" s="39">
        <f>IF(B937="","",IFERROR(VLOOKUP(B937,'Vendors &amp; Crew'!$A$5:$D$34,4,FALSE),0))</f>
        <v/>
      </c>
      <c r="J937" s="39">
        <f>IF(B937="","",E937*I937)</f>
        <v/>
      </c>
      <c r="K937" s="59">
        <f>IF(A937="","",A937-WEEKDAY(A937,2)+7)</f>
        <v/>
      </c>
      <c r="L937" s="9">
        <f>IF(B937="","",IF(D937="","Labor",IFERROR(VLOOKUP(D937,Settings!$E$5:$G$28,3,FALSE),"Labor")))</f>
        <v/>
      </c>
      <c r="M937" s="9">
        <f>IF(B937="","",IF(COUNTIF('Vendors &amp; Crew'!$A$5:$A$34,B937)=0,"Worker not in Crew table",IF(C937="","Missing Job ID",IF(COUNTIF(Jobs!$A$5:$A$44,C937)=0,"Unknown Job ID",IF(E937="","Missing hours",IF(A937="","Missing date",""))))))</f>
        <v/>
      </c>
      <c r="N937" s="35" t="n"/>
    </row>
    <row r="938">
      <c r="A938" s="40" t="n"/>
      <c r="B938" s="35" t="n"/>
      <c r="C938" s="35" t="n"/>
      <c r="D938" s="35" t="n"/>
      <c r="E938" s="61" t="n"/>
      <c r="F938" s="37" t="n"/>
      <c r="G938" s="39">
        <f>IF(B938="","",IF(F938&lt;&gt;"",F938,IFERROR(VLOOKUP(B938,'Vendors &amp; Crew'!$A$5:$D$34,3,FALSE),0)))</f>
        <v/>
      </c>
      <c r="H938" s="39">
        <f>IF(B938="","",E938*G938*(1+Settings!$B$18))</f>
        <v/>
      </c>
      <c r="I938" s="39">
        <f>IF(B938="","",IFERROR(VLOOKUP(B938,'Vendors &amp; Crew'!$A$5:$D$34,4,FALSE),0))</f>
        <v/>
      </c>
      <c r="J938" s="39">
        <f>IF(B938="","",E938*I938)</f>
        <v/>
      </c>
      <c r="K938" s="59">
        <f>IF(A938="","",A938-WEEKDAY(A938,2)+7)</f>
        <v/>
      </c>
      <c r="L938" s="9">
        <f>IF(B938="","",IF(D938="","Labor",IFERROR(VLOOKUP(D938,Settings!$E$5:$G$28,3,FALSE),"Labor")))</f>
        <v/>
      </c>
      <c r="M938" s="9">
        <f>IF(B938="","",IF(COUNTIF('Vendors &amp; Crew'!$A$5:$A$34,B938)=0,"Worker not in Crew table",IF(C938="","Missing Job ID",IF(COUNTIF(Jobs!$A$5:$A$44,C938)=0,"Unknown Job ID",IF(E938="","Missing hours",IF(A938="","Missing date",""))))))</f>
        <v/>
      </c>
      <c r="N938" s="35" t="n"/>
    </row>
    <row r="939">
      <c r="A939" s="40" t="n"/>
      <c r="B939" s="35" t="n"/>
      <c r="C939" s="35" t="n"/>
      <c r="D939" s="35" t="n"/>
      <c r="E939" s="61" t="n"/>
      <c r="F939" s="37" t="n"/>
      <c r="G939" s="39">
        <f>IF(B939="","",IF(F939&lt;&gt;"",F939,IFERROR(VLOOKUP(B939,'Vendors &amp; Crew'!$A$5:$D$34,3,FALSE),0)))</f>
        <v/>
      </c>
      <c r="H939" s="39">
        <f>IF(B939="","",E939*G939*(1+Settings!$B$18))</f>
        <v/>
      </c>
      <c r="I939" s="39">
        <f>IF(B939="","",IFERROR(VLOOKUP(B939,'Vendors &amp; Crew'!$A$5:$D$34,4,FALSE),0))</f>
        <v/>
      </c>
      <c r="J939" s="39">
        <f>IF(B939="","",E939*I939)</f>
        <v/>
      </c>
      <c r="K939" s="59">
        <f>IF(A939="","",A939-WEEKDAY(A939,2)+7)</f>
        <v/>
      </c>
      <c r="L939" s="9">
        <f>IF(B939="","",IF(D939="","Labor",IFERROR(VLOOKUP(D939,Settings!$E$5:$G$28,3,FALSE),"Labor")))</f>
        <v/>
      </c>
      <c r="M939" s="9">
        <f>IF(B939="","",IF(COUNTIF('Vendors &amp; Crew'!$A$5:$A$34,B939)=0,"Worker not in Crew table",IF(C939="","Missing Job ID",IF(COUNTIF(Jobs!$A$5:$A$44,C939)=0,"Unknown Job ID",IF(E939="","Missing hours",IF(A939="","Missing date",""))))))</f>
        <v/>
      </c>
      <c r="N939" s="35" t="n"/>
    </row>
    <row r="940">
      <c r="A940" s="40" t="n"/>
      <c r="B940" s="35" t="n"/>
      <c r="C940" s="35" t="n"/>
      <c r="D940" s="35" t="n"/>
      <c r="E940" s="61" t="n"/>
      <c r="F940" s="37" t="n"/>
      <c r="G940" s="39">
        <f>IF(B940="","",IF(F940&lt;&gt;"",F940,IFERROR(VLOOKUP(B940,'Vendors &amp; Crew'!$A$5:$D$34,3,FALSE),0)))</f>
        <v/>
      </c>
      <c r="H940" s="39">
        <f>IF(B940="","",E940*G940*(1+Settings!$B$18))</f>
        <v/>
      </c>
      <c r="I940" s="39">
        <f>IF(B940="","",IFERROR(VLOOKUP(B940,'Vendors &amp; Crew'!$A$5:$D$34,4,FALSE),0))</f>
        <v/>
      </c>
      <c r="J940" s="39">
        <f>IF(B940="","",E940*I940)</f>
        <v/>
      </c>
      <c r="K940" s="59">
        <f>IF(A940="","",A940-WEEKDAY(A940,2)+7)</f>
        <v/>
      </c>
      <c r="L940" s="9">
        <f>IF(B940="","",IF(D940="","Labor",IFERROR(VLOOKUP(D940,Settings!$E$5:$G$28,3,FALSE),"Labor")))</f>
        <v/>
      </c>
      <c r="M940" s="9">
        <f>IF(B940="","",IF(COUNTIF('Vendors &amp; Crew'!$A$5:$A$34,B940)=0,"Worker not in Crew table",IF(C940="","Missing Job ID",IF(COUNTIF(Jobs!$A$5:$A$44,C940)=0,"Unknown Job ID",IF(E940="","Missing hours",IF(A940="","Missing date",""))))))</f>
        <v/>
      </c>
      <c r="N940" s="35" t="n"/>
    </row>
    <row r="941">
      <c r="A941" s="40" t="n"/>
      <c r="B941" s="35" t="n"/>
      <c r="C941" s="35" t="n"/>
      <c r="D941" s="35" t="n"/>
      <c r="E941" s="61" t="n"/>
      <c r="F941" s="37" t="n"/>
      <c r="G941" s="39">
        <f>IF(B941="","",IF(F941&lt;&gt;"",F941,IFERROR(VLOOKUP(B941,'Vendors &amp; Crew'!$A$5:$D$34,3,FALSE),0)))</f>
        <v/>
      </c>
      <c r="H941" s="39">
        <f>IF(B941="","",E941*G941*(1+Settings!$B$18))</f>
        <v/>
      </c>
      <c r="I941" s="39">
        <f>IF(B941="","",IFERROR(VLOOKUP(B941,'Vendors &amp; Crew'!$A$5:$D$34,4,FALSE),0))</f>
        <v/>
      </c>
      <c r="J941" s="39">
        <f>IF(B941="","",E941*I941)</f>
        <v/>
      </c>
      <c r="K941" s="59">
        <f>IF(A941="","",A941-WEEKDAY(A941,2)+7)</f>
        <v/>
      </c>
      <c r="L941" s="9">
        <f>IF(B941="","",IF(D941="","Labor",IFERROR(VLOOKUP(D941,Settings!$E$5:$G$28,3,FALSE),"Labor")))</f>
        <v/>
      </c>
      <c r="M941" s="9">
        <f>IF(B941="","",IF(COUNTIF('Vendors &amp; Crew'!$A$5:$A$34,B941)=0,"Worker not in Crew table",IF(C941="","Missing Job ID",IF(COUNTIF(Jobs!$A$5:$A$44,C941)=0,"Unknown Job ID",IF(E941="","Missing hours",IF(A941="","Missing date",""))))))</f>
        <v/>
      </c>
      <c r="N941" s="35" t="n"/>
    </row>
    <row r="942">
      <c r="A942" s="40" t="n"/>
      <c r="B942" s="35" t="n"/>
      <c r="C942" s="35" t="n"/>
      <c r="D942" s="35" t="n"/>
      <c r="E942" s="61" t="n"/>
      <c r="F942" s="37" t="n"/>
      <c r="G942" s="39">
        <f>IF(B942="","",IF(F942&lt;&gt;"",F942,IFERROR(VLOOKUP(B942,'Vendors &amp; Crew'!$A$5:$D$34,3,FALSE),0)))</f>
        <v/>
      </c>
      <c r="H942" s="39">
        <f>IF(B942="","",E942*G942*(1+Settings!$B$18))</f>
        <v/>
      </c>
      <c r="I942" s="39">
        <f>IF(B942="","",IFERROR(VLOOKUP(B942,'Vendors &amp; Crew'!$A$5:$D$34,4,FALSE),0))</f>
        <v/>
      </c>
      <c r="J942" s="39">
        <f>IF(B942="","",E942*I942)</f>
        <v/>
      </c>
      <c r="K942" s="59">
        <f>IF(A942="","",A942-WEEKDAY(A942,2)+7)</f>
        <v/>
      </c>
      <c r="L942" s="9">
        <f>IF(B942="","",IF(D942="","Labor",IFERROR(VLOOKUP(D942,Settings!$E$5:$G$28,3,FALSE),"Labor")))</f>
        <v/>
      </c>
      <c r="M942" s="9">
        <f>IF(B942="","",IF(COUNTIF('Vendors &amp; Crew'!$A$5:$A$34,B942)=0,"Worker not in Crew table",IF(C942="","Missing Job ID",IF(COUNTIF(Jobs!$A$5:$A$44,C942)=0,"Unknown Job ID",IF(E942="","Missing hours",IF(A942="","Missing date",""))))))</f>
        <v/>
      </c>
      <c r="N942" s="35" t="n"/>
    </row>
    <row r="943">
      <c r="A943" s="40" t="n"/>
      <c r="B943" s="35" t="n"/>
      <c r="C943" s="35" t="n"/>
      <c r="D943" s="35" t="n"/>
      <c r="E943" s="61" t="n"/>
      <c r="F943" s="37" t="n"/>
      <c r="G943" s="39">
        <f>IF(B943="","",IF(F943&lt;&gt;"",F943,IFERROR(VLOOKUP(B943,'Vendors &amp; Crew'!$A$5:$D$34,3,FALSE),0)))</f>
        <v/>
      </c>
      <c r="H943" s="39">
        <f>IF(B943="","",E943*G943*(1+Settings!$B$18))</f>
        <v/>
      </c>
      <c r="I943" s="39">
        <f>IF(B943="","",IFERROR(VLOOKUP(B943,'Vendors &amp; Crew'!$A$5:$D$34,4,FALSE),0))</f>
        <v/>
      </c>
      <c r="J943" s="39">
        <f>IF(B943="","",E943*I943)</f>
        <v/>
      </c>
      <c r="K943" s="59">
        <f>IF(A943="","",A943-WEEKDAY(A943,2)+7)</f>
        <v/>
      </c>
      <c r="L943" s="9">
        <f>IF(B943="","",IF(D943="","Labor",IFERROR(VLOOKUP(D943,Settings!$E$5:$G$28,3,FALSE),"Labor")))</f>
        <v/>
      </c>
      <c r="M943" s="9">
        <f>IF(B943="","",IF(COUNTIF('Vendors &amp; Crew'!$A$5:$A$34,B943)=0,"Worker not in Crew table",IF(C943="","Missing Job ID",IF(COUNTIF(Jobs!$A$5:$A$44,C943)=0,"Unknown Job ID",IF(E943="","Missing hours",IF(A943="","Missing date",""))))))</f>
        <v/>
      </c>
      <c r="N943" s="35" t="n"/>
    </row>
    <row r="944">
      <c r="A944" s="40" t="n"/>
      <c r="B944" s="35" t="n"/>
      <c r="C944" s="35" t="n"/>
      <c r="D944" s="35" t="n"/>
      <c r="E944" s="61" t="n"/>
      <c r="F944" s="37" t="n"/>
      <c r="G944" s="39">
        <f>IF(B944="","",IF(F944&lt;&gt;"",F944,IFERROR(VLOOKUP(B944,'Vendors &amp; Crew'!$A$5:$D$34,3,FALSE),0)))</f>
        <v/>
      </c>
      <c r="H944" s="39">
        <f>IF(B944="","",E944*G944*(1+Settings!$B$18))</f>
        <v/>
      </c>
      <c r="I944" s="39">
        <f>IF(B944="","",IFERROR(VLOOKUP(B944,'Vendors &amp; Crew'!$A$5:$D$34,4,FALSE),0))</f>
        <v/>
      </c>
      <c r="J944" s="39">
        <f>IF(B944="","",E944*I944)</f>
        <v/>
      </c>
      <c r="K944" s="59">
        <f>IF(A944="","",A944-WEEKDAY(A944,2)+7)</f>
        <v/>
      </c>
      <c r="L944" s="9">
        <f>IF(B944="","",IF(D944="","Labor",IFERROR(VLOOKUP(D944,Settings!$E$5:$G$28,3,FALSE),"Labor")))</f>
        <v/>
      </c>
      <c r="M944" s="9">
        <f>IF(B944="","",IF(COUNTIF('Vendors &amp; Crew'!$A$5:$A$34,B944)=0,"Worker not in Crew table",IF(C944="","Missing Job ID",IF(COUNTIF(Jobs!$A$5:$A$44,C944)=0,"Unknown Job ID",IF(E944="","Missing hours",IF(A944="","Missing date",""))))))</f>
        <v/>
      </c>
      <c r="N944" s="35" t="n"/>
    </row>
    <row r="945">
      <c r="A945" s="40" t="n"/>
      <c r="B945" s="35" t="n"/>
      <c r="C945" s="35" t="n"/>
      <c r="D945" s="35" t="n"/>
      <c r="E945" s="61" t="n"/>
      <c r="F945" s="37" t="n"/>
      <c r="G945" s="39">
        <f>IF(B945="","",IF(F945&lt;&gt;"",F945,IFERROR(VLOOKUP(B945,'Vendors &amp; Crew'!$A$5:$D$34,3,FALSE),0)))</f>
        <v/>
      </c>
      <c r="H945" s="39">
        <f>IF(B945="","",E945*G945*(1+Settings!$B$18))</f>
        <v/>
      </c>
      <c r="I945" s="39">
        <f>IF(B945="","",IFERROR(VLOOKUP(B945,'Vendors &amp; Crew'!$A$5:$D$34,4,FALSE),0))</f>
        <v/>
      </c>
      <c r="J945" s="39">
        <f>IF(B945="","",E945*I945)</f>
        <v/>
      </c>
      <c r="K945" s="59">
        <f>IF(A945="","",A945-WEEKDAY(A945,2)+7)</f>
        <v/>
      </c>
      <c r="L945" s="9">
        <f>IF(B945="","",IF(D945="","Labor",IFERROR(VLOOKUP(D945,Settings!$E$5:$G$28,3,FALSE),"Labor")))</f>
        <v/>
      </c>
      <c r="M945" s="9">
        <f>IF(B945="","",IF(COUNTIF('Vendors &amp; Crew'!$A$5:$A$34,B945)=0,"Worker not in Crew table",IF(C945="","Missing Job ID",IF(COUNTIF(Jobs!$A$5:$A$44,C945)=0,"Unknown Job ID",IF(E945="","Missing hours",IF(A945="","Missing date",""))))))</f>
        <v/>
      </c>
      <c r="N945" s="35" t="n"/>
    </row>
    <row r="946">
      <c r="A946" s="40" t="n"/>
      <c r="B946" s="35" t="n"/>
      <c r="C946" s="35" t="n"/>
      <c r="D946" s="35" t="n"/>
      <c r="E946" s="61" t="n"/>
      <c r="F946" s="37" t="n"/>
      <c r="G946" s="39">
        <f>IF(B946="","",IF(F946&lt;&gt;"",F946,IFERROR(VLOOKUP(B946,'Vendors &amp; Crew'!$A$5:$D$34,3,FALSE),0)))</f>
        <v/>
      </c>
      <c r="H946" s="39">
        <f>IF(B946="","",E946*G946*(1+Settings!$B$18))</f>
        <v/>
      </c>
      <c r="I946" s="39">
        <f>IF(B946="","",IFERROR(VLOOKUP(B946,'Vendors &amp; Crew'!$A$5:$D$34,4,FALSE),0))</f>
        <v/>
      </c>
      <c r="J946" s="39">
        <f>IF(B946="","",E946*I946)</f>
        <v/>
      </c>
      <c r="K946" s="59">
        <f>IF(A946="","",A946-WEEKDAY(A946,2)+7)</f>
        <v/>
      </c>
      <c r="L946" s="9">
        <f>IF(B946="","",IF(D946="","Labor",IFERROR(VLOOKUP(D946,Settings!$E$5:$G$28,3,FALSE),"Labor")))</f>
        <v/>
      </c>
      <c r="M946" s="9">
        <f>IF(B946="","",IF(COUNTIF('Vendors &amp; Crew'!$A$5:$A$34,B946)=0,"Worker not in Crew table",IF(C946="","Missing Job ID",IF(COUNTIF(Jobs!$A$5:$A$44,C946)=0,"Unknown Job ID",IF(E946="","Missing hours",IF(A946="","Missing date",""))))))</f>
        <v/>
      </c>
      <c r="N946" s="35" t="n"/>
    </row>
    <row r="947">
      <c r="A947" s="40" t="n"/>
      <c r="B947" s="35" t="n"/>
      <c r="C947" s="35" t="n"/>
      <c r="D947" s="35" t="n"/>
      <c r="E947" s="61" t="n"/>
      <c r="F947" s="37" t="n"/>
      <c r="G947" s="39">
        <f>IF(B947="","",IF(F947&lt;&gt;"",F947,IFERROR(VLOOKUP(B947,'Vendors &amp; Crew'!$A$5:$D$34,3,FALSE),0)))</f>
        <v/>
      </c>
      <c r="H947" s="39">
        <f>IF(B947="","",E947*G947*(1+Settings!$B$18))</f>
        <v/>
      </c>
      <c r="I947" s="39">
        <f>IF(B947="","",IFERROR(VLOOKUP(B947,'Vendors &amp; Crew'!$A$5:$D$34,4,FALSE),0))</f>
        <v/>
      </c>
      <c r="J947" s="39">
        <f>IF(B947="","",E947*I947)</f>
        <v/>
      </c>
      <c r="K947" s="59">
        <f>IF(A947="","",A947-WEEKDAY(A947,2)+7)</f>
        <v/>
      </c>
      <c r="L947" s="9">
        <f>IF(B947="","",IF(D947="","Labor",IFERROR(VLOOKUP(D947,Settings!$E$5:$G$28,3,FALSE),"Labor")))</f>
        <v/>
      </c>
      <c r="M947" s="9">
        <f>IF(B947="","",IF(COUNTIF('Vendors &amp; Crew'!$A$5:$A$34,B947)=0,"Worker not in Crew table",IF(C947="","Missing Job ID",IF(COUNTIF(Jobs!$A$5:$A$44,C947)=0,"Unknown Job ID",IF(E947="","Missing hours",IF(A947="","Missing date",""))))))</f>
        <v/>
      </c>
      <c r="N947" s="35" t="n"/>
    </row>
    <row r="948">
      <c r="A948" s="40" t="n"/>
      <c r="B948" s="35" t="n"/>
      <c r="C948" s="35" t="n"/>
      <c r="D948" s="35" t="n"/>
      <c r="E948" s="61" t="n"/>
      <c r="F948" s="37" t="n"/>
      <c r="G948" s="39">
        <f>IF(B948="","",IF(F948&lt;&gt;"",F948,IFERROR(VLOOKUP(B948,'Vendors &amp; Crew'!$A$5:$D$34,3,FALSE),0)))</f>
        <v/>
      </c>
      <c r="H948" s="39">
        <f>IF(B948="","",E948*G948*(1+Settings!$B$18))</f>
        <v/>
      </c>
      <c r="I948" s="39">
        <f>IF(B948="","",IFERROR(VLOOKUP(B948,'Vendors &amp; Crew'!$A$5:$D$34,4,FALSE),0))</f>
        <v/>
      </c>
      <c r="J948" s="39">
        <f>IF(B948="","",E948*I948)</f>
        <v/>
      </c>
      <c r="K948" s="59">
        <f>IF(A948="","",A948-WEEKDAY(A948,2)+7)</f>
        <v/>
      </c>
      <c r="L948" s="9">
        <f>IF(B948="","",IF(D948="","Labor",IFERROR(VLOOKUP(D948,Settings!$E$5:$G$28,3,FALSE),"Labor")))</f>
        <v/>
      </c>
      <c r="M948" s="9">
        <f>IF(B948="","",IF(COUNTIF('Vendors &amp; Crew'!$A$5:$A$34,B948)=0,"Worker not in Crew table",IF(C948="","Missing Job ID",IF(COUNTIF(Jobs!$A$5:$A$44,C948)=0,"Unknown Job ID",IF(E948="","Missing hours",IF(A948="","Missing date",""))))))</f>
        <v/>
      </c>
      <c r="N948" s="35" t="n"/>
    </row>
    <row r="949">
      <c r="A949" s="40" t="n"/>
      <c r="B949" s="35" t="n"/>
      <c r="C949" s="35" t="n"/>
      <c r="D949" s="35" t="n"/>
      <c r="E949" s="61" t="n"/>
      <c r="F949" s="37" t="n"/>
      <c r="G949" s="39">
        <f>IF(B949="","",IF(F949&lt;&gt;"",F949,IFERROR(VLOOKUP(B949,'Vendors &amp; Crew'!$A$5:$D$34,3,FALSE),0)))</f>
        <v/>
      </c>
      <c r="H949" s="39">
        <f>IF(B949="","",E949*G949*(1+Settings!$B$18))</f>
        <v/>
      </c>
      <c r="I949" s="39">
        <f>IF(B949="","",IFERROR(VLOOKUP(B949,'Vendors &amp; Crew'!$A$5:$D$34,4,FALSE),0))</f>
        <v/>
      </c>
      <c r="J949" s="39">
        <f>IF(B949="","",E949*I949)</f>
        <v/>
      </c>
      <c r="K949" s="59">
        <f>IF(A949="","",A949-WEEKDAY(A949,2)+7)</f>
        <v/>
      </c>
      <c r="L949" s="9">
        <f>IF(B949="","",IF(D949="","Labor",IFERROR(VLOOKUP(D949,Settings!$E$5:$G$28,3,FALSE),"Labor")))</f>
        <v/>
      </c>
      <c r="M949" s="9">
        <f>IF(B949="","",IF(COUNTIF('Vendors &amp; Crew'!$A$5:$A$34,B949)=0,"Worker not in Crew table",IF(C949="","Missing Job ID",IF(COUNTIF(Jobs!$A$5:$A$44,C949)=0,"Unknown Job ID",IF(E949="","Missing hours",IF(A949="","Missing date",""))))))</f>
        <v/>
      </c>
      <c r="N949" s="35" t="n"/>
    </row>
    <row r="950">
      <c r="A950" s="40" t="n"/>
      <c r="B950" s="35" t="n"/>
      <c r="C950" s="35" t="n"/>
      <c r="D950" s="35" t="n"/>
      <c r="E950" s="61" t="n"/>
      <c r="F950" s="37" t="n"/>
      <c r="G950" s="39">
        <f>IF(B950="","",IF(F950&lt;&gt;"",F950,IFERROR(VLOOKUP(B950,'Vendors &amp; Crew'!$A$5:$D$34,3,FALSE),0)))</f>
        <v/>
      </c>
      <c r="H950" s="39">
        <f>IF(B950="","",E950*G950*(1+Settings!$B$18))</f>
        <v/>
      </c>
      <c r="I950" s="39">
        <f>IF(B950="","",IFERROR(VLOOKUP(B950,'Vendors &amp; Crew'!$A$5:$D$34,4,FALSE),0))</f>
        <v/>
      </c>
      <c r="J950" s="39">
        <f>IF(B950="","",E950*I950)</f>
        <v/>
      </c>
      <c r="K950" s="59">
        <f>IF(A950="","",A950-WEEKDAY(A950,2)+7)</f>
        <v/>
      </c>
      <c r="L950" s="9">
        <f>IF(B950="","",IF(D950="","Labor",IFERROR(VLOOKUP(D950,Settings!$E$5:$G$28,3,FALSE),"Labor")))</f>
        <v/>
      </c>
      <c r="M950" s="9">
        <f>IF(B950="","",IF(COUNTIF('Vendors &amp; Crew'!$A$5:$A$34,B950)=0,"Worker not in Crew table",IF(C950="","Missing Job ID",IF(COUNTIF(Jobs!$A$5:$A$44,C950)=0,"Unknown Job ID",IF(E950="","Missing hours",IF(A950="","Missing date",""))))))</f>
        <v/>
      </c>
      <c r="N950" s="35" t="n"/>
    </row>
    <row r="951">
      <c r="A951" s="40" t="n"/>
      <c r="B951" s="35" t="n"/>
      <c r="C951" s="35" t="n"/>
      <c r="D951" s="35" t="n"/>
      <c r="E951" s="61" t="n"/>
      <c r="F951" s="37" t="n"/>
      <c r="G951" s="39">
        <f>IF(B951="","",IF(F951&lt;&gt;"",F951,IFERROR(VLOOKUP(B951,'Vendors &amp; Crew'!$A$5:$D$34,3,FALSE),0)))</f>
        <v/>
      </c>
      <c r="H951" s="39">
        <f>IF(B951="","",E951*G951*(1+Settings!$B$18))</f>
        <v/>
      </c>
      <c r="I951" s="39">
        <f>IF(B951="","",IFERROR(VLOOKUP(B951,'Vendors &amp; Crew'!$A$5:$D$34,4,FALSE),0))</f>
        <v/>
      </c>
      <c r="J951" s="39">
        <f>IF(B951="","",E951*I951)</f>
        <v/>
      </c>
      <c r="K951" s="59">
        <f>IF(A951="","",A951-WEEKDAY(A951,2)+7)</f>
        <v/>
      </c>
      <c r="L951" s="9">
        <f>IF(B951="","",IF(D951="","Labor",IFERROR(VLOOKUP(D951,Settings!$E$5:$G$28,3,FALSE),"Labor")))</f>
        <v/>
      </c>
      <c r="M951" s="9">
        <f>IF(B951="","",IF(COUNTIF('Vendors &amp; Crew'!$A$5:$A$34,B951)=0,"Worker not in Crew table",IF(C951="","Missing Job ID",IF(COUNTIF(Jobs!$A$5:$A$44,C951)=0,"Unknown Job ID",IF(E951="","Missing hours",IF(A951="","Missing date",""))))))</f>
        <v/>
      </c>
      <c r="N951" s="35" t="n"/>
    </row>
    <row r="952">
      <c r="A952" s="40" t="n"/>
      <c r="B952" s="35" t="n"/>
      <c r="C952" s="35" t="n"/>
      <c r="D952" s="35" t="n"/>
      <c r="E952" s="61" t="n"/>
      <c r="F952" s="37" t="n"/>
      <c r="G952" s="39">
        <f>IF(B952="","",IF(F952&lt;&gt;"",F952,IFERROR(VLOOKUP(B952,'Vendors &amp; Crew'!$A$5:$D$34,3,FALSE),0)))</f>
        <v/>
      </c>
      <c r="H952" s="39">
        <f>IF(B952="","",E952*G952*(1+Settings!$B$18))</f>
        <v/>
      </c>
      <c r="I952" s="39">
        <f>IF(B952="","",IFERROR(VLOOKUP(B952,'Vendors &amp; Crew'!$A$5:$D$34,4,FALSE),0))</f>
        <v/>
      </c>
      <c r="J952" s="39">
        <f>IF(B952="","",E952*I952)</f>
        <v/>
      </c>
      <c r="K952" s="59">
        <f>IF(A952="","",A952-WEEKDAY(A952,2)+7)</f>
        <v/>
      </c>
      <c r="L952" s="9">
        <f>IF(B952="","",IF(D952="","Labor",IFERROR(VLOOKUP(D952,Settings!$E$5:$G$28,3,FALSE),"Labor")))</f>
        <v/>
      </c>
      <c r="M952" s="9">
        <f>IF(B952="","",IF(COUNTIF('Vendors &amp; Crew'!$A$5:$A$34,B952)=0,"Worker not in Crew table",IF(C952="","Missing Job ID",IF(COUNTIF(Jobs!$A$5:$A$44,C952)=0,"Unknown Job ID",IF(E952="","Missing hours",IF(A952="","Missing date",""))))))</f>
        <v/>
      </c>
      <c r="N952" s="35" t="n"/>
    </row>
    <row r="953">
      <c r="A953" s="40" t="n"/>
      <c r="B953" s="35" t="n"/>
      <c r="C953" s="35" t="n"/>
      <c r="D953" s="35" t="n"/>
      <c r="E953" s="61" t="n"/>
      <c r="F953" s="37" t="n"/>
      <c r="G953" s="39">
        <f>IF(B953="","",IF(F953&lt;&gt;"",F953,IFERROR(VLOOKUP(B953,'Vendors &amp; Crew'!$A$5:$D$34,3,FALSE),0)))</f>
        <v/>
      </c>
      <c r="H953" s="39">
        <f>IF(B953="","",E953*G953*(1+Settings!$B$18))</f>
        <v/>
      </c>
      <c r="I953" s="39">
        <f>IF(B953="","",IFERROR(VLOOKUP(B953,'Vendors &amp; Crew'!$A$5:$D$34,4,FALSE),0))</f>
        <v/>
      </c>
      <c r="J953" s="39">
        <f>IF(B953="","",E953*I953)</f>
        <v/>
      </c>
      <c r="K953" s="59">
        <f>IF(A953="","",A953-WEEKDAY(A953,2)+7)</f>
        <v/>
      </c>
      <c r="L953" s="9">
        <f>IF(B953="","",IF(D953="","Labor",IFERROR(VLOOKUP(D953,Settings!$E$5:$G$28,3,FALSE),"Labor")))</f>
        <v/>
      </c>
      <c r="M953" s="9">
        <f>IF(B953="","",IF(COUNTIF('Vendors &amp; Crew'!$A$5:$A$34,B953)=0,"Worker not in Crew table",IF(C953="","Missing Job ID",IF(COUNTIF(Jobs!$A$5:$A$44,C953)=0,"Unknown Job ID",IF(E953="","Missing hours",IF(A953="","Missing date",""))))))</f>
        <v/>
      </c>
      <c r="N953" s="35" t="n"/>
    </row>
    <row r="954">
      <c r="A954" s="40" t="n"/>
      <c r="B954" s="35" t="n"/>
      <c r="C954" s="35" t="n"/>
      <c r="D954" s="35" t="n"/>
      <c r="E954" s="61" t="n"/>
      <c r="F954" s="37" t="n"/>
      <c r="G954" s="39">
        <f>IF(B954="","",IF(F954&lt;&gt;"",F954,IFERROR(VLOOKUP(B954,'Vendors &amp; Crew'!$A$5:$D$34,3,FALSE),0)))</f>
        <v/>
      </c>
      <c r="H954" s="39">
        <f>IF(B954="","",E954*G954*(1+Settings!$B$18))</f>
        <v/>
      </c>
      <c r="I954" s="39">
        <f>IF(B954="","",IFERROR(VLOOKUP(B954,'Vendors &amp; Crew'!$A$5:$D$34,4,FALSE),0))</f>
        <v/>
      </c>
      <c r="J954" s="39">
        <f>IF(B954="","",E954*I954)</f>
        <v/>
      </c>
      <c r="K954" s="59">
        <f>IF(A954="","",A954-WEEKDAY(A954,2)+7)</f>
        <v/>
      </c>
      <c r="L954" s="9">
        <f>IF(B954="","",IF(D954="","Labor",IFERROR(VLOOKUP(D954,Settings!$E$5:$G$28,3,FALSE),"Labor")))</f>
        <v/>
      </c>
      <c r="M954" s="9">
        <f>IF(B954="","",IF(COUNTIF('Vendors &amp; Crew'!$A$5:$A$34,B954)=0,"Worker not in Crew table",IF(C954="","Missing Job ID",IF(COUNTIF(Jobs!$A$5:$A$44,C954)=0,"Unknown Job ID",IF(E954="","Missing hours",IF(A954="","Missing date",""))))))</f>
        <v/>
      </c>
      <c r="N954" s="35" t="n"/>
    </row>
    <row r="955">
      <c r="A955" s="40" t="n"/>
      <c r="B955" s="35" t="n"/>
      <c r="C955" s="35" t="n"/>
      <c r="D955" s="35" t="n"/>
      <c r="E955" s="61" t="n"/>
      <c r="F955" s="37" t="n"/>
      <c r="G955" s="39">
        <f>IF(B955="","",IF(F955&lt;&gt;"",F955,IFERROR(VLOOKUP(B955,'Vendors &amp; Crew'!$A$5:$D$34,3,FALSE),0)))</f>
        <v/>
      </c>
      <c r="H955" s="39">
        <f>IF(B955="","",E955*G955*(1+Settings!$B$18))</f>
        <v/>
      </c>
      <c r="I955" s="39">
        <f>IF(B955="","",IFERROR(VLOOKUP(B955,'Vendors &amp; Crew'!$A$5:$D$34,4,FALSE),0))</f>
        <v/>
      </c>
      <c r="J955" s="39">
        <f>IF(B955="","",E955*I955)</f>
        <v/>
      </c>
      <c r="K955" s="59">
        <f>IF(A955="","",A955-WEEKDAY(A955,2)+7)</f>
        <v/>
      </c>
      <c r="L955" s="9">
        <f>IF(B955="","",IF(D955="","Labor",IFERROR(VLOOKUP(D955,Settings!$E$5:$G$28,3,FALSE),"Labor")))</f>
        <v/>
      </c>
      <c r="M955" s="9">
        <f>IF(B955="","",IF(COUNTIF('Vendors &amp; Crew'!$A$5:$A$34,B955)=0,"Worker not in Crew table",IF(C955="","Missing Job ID",IF(COUNTIF(Jobs!$A$5:$A$44,C955)=0,"Unknown Job ID",IF(E955="","Missing hours",IF(A955="","Missing date",""))))))</f>
        <v/>
      </c>
      <c r="N955" s="35" t="n"/>
    </row>
    <row r="956">
      <c r="A956" s="40" t="n"/>
      <c r="B956" s="35" t="n"/>
      <c r="C956" s="35" t="n"/>
      <c r="D956" s="35" t="n"/>
      <c r="E956" s="61" t="n"/>
      <c r="F956" s="37" t="n"/>
      <c r="G956" s="39">
        <f>IF(B956="","",IF(F956&lt;&gt;"",F956,IFERROR(VLOOKUP(B956,'Vendors &amp; Crew'!$A$5:$D$34,3,FALSE),0)))</f>
        <v/>
      </c>
      <c r="H956" s="39">
        <f>IF(B956="","",E956*G956*(1+Settings!$B$18))</f>
        <v/>
      </c>
      <c r="I956" s="39">
        <f>IF(B956="","",IFERROR(VLOOKUP(B956,'Vendors &amp; Crew'!$A$5:$D$34,4,FALSE),0))</f>
        <v/>
      </c>
      <c r="J956" s="39">
        <f>IF(B956="","",E956*I956)</f>
        <v/>
      </c>
      <c r="K956" s="59">
        <f>IF(A956="","",A956-WEEKDAY(A956,2)+7)</f>
        <v/>
      </c>
      <c r="L956" s="9">
        <f>IF(B956="","",IF(D956="","Labor",IFERROR(VLOOKUP(D956,Settings!$E$5:$G$28,3,FALSE),"Labor")))</f>
        <v/>
      </c>
      <c r="M956" s="9">
        <f>IF(B956="","",IF(COUNTIF('Vendors &amp; Crew'!$A$5:$A$34,B956)=0,"Worker not in Crew table",IF(C956="","Missing Job ID",IF(COUNTIF(Jobs!$A$5:$A$44,C956)=0,"Unknown Job ID",IF(E956="","Missing hours",IF(A956="","Missing date",""))))))</f>
        <v/>
      </c>
      <c r="N956" s="35" t="n"/>
    </row>
    <row r="957">
      <c r="A957" s="40" t="n"/>
      <c r="B957" s="35" t="n"/>
      <c r="C957" s="35" t="n"/>
      <c r="D957" s="35" t="n"/>
      <c r="E957" s="61" t="n"/>
      <c r="F957" s="37" t="n"/>
      <c r="G957" s="39">
        <f>IF(B957="","",IF(F957&lt;&gt;"",F957,IFERROR(VLOOKUP(B957,'Vendors &amp; Crew'!$A$5:$D$34,3,FALSE),0)))</f>
        <v/>
      </c>
      <c r="H957" s="39">
        <f>IF(B957="","",E957*G957*(1+Settings!$B$18))</f>
        <v/>
      </c>
      <c r="I957" s="39">
        <f>IF(B957="","",IFERROR(VLOOKUP(B957,'Vendors &amp; Crew'!$A$5:$D$34,4,FALSE),0))</f>
        <v/>
      </c>
      <c r="J957" s="39">
        <f>IF(B957="","",E957*I957)</f>
        <v/>
      </c>
      <c r="K957" s="59">
        <f>IF(A957="","",A957-WEEKDAY(A957,2)+7)</f>
        <v/>
      </c>
      <c r="L957" s="9">
        <f>IF(B957="","",IF(D957="","Labor",IFERROR(VLOOKUP(D957,Settings!$E$5:$G$28,3,FALSE),"Labor")))</f>
        <v/>
      </c>
      <c r="M957" s="9">
        <f>IF(B957="","",IF(COUNTIF('Vendors &amp; Crew'!$A$5:$A$34,B957)=0,"Worker not in Crew table",IF(C957="","Missing Job ID",IF(COUNTIF(Jobs!$A$5:$A$44,C957)=0,"Unknown Job ID",IF(E957="","Missing hours",IF(A957="","Missing date",""))))))</f>
        <v/>
      </c>
      <c r="N957" s="35" t="n"/>
    </row>
    <row r="958">
      <c r="A958" s="40" t="n"/>
      <c r="B958" s="35" t="n"/>
      <c r="C958" s="35" t="n"/>
      <c r="D958" s="35" t="n"/>
      <c r="E958" s="61" t="n"/>
      <c r="F958" s="37" t="n"/>
      <c r="G958" s="39">
        <f>IF(B958="","",IF(F958&lt;&gt;"",F958,IFERROR(VLOOKUP(B958,'Vendors &amp; Crew'!$A$5:$D$34,3,FALSE),0)))</f>
        <v/>
      </c>
      <c r="H958" s="39">
        <f>IF(B958="","",E958*G958*(1+Settings!$B$18))</f>
        <v/>
      </c>
      <c r="I958" s="39">
        <f>IF(B958="","",IFERROR(VLOOKUP(B958,'Vendors &amp; Crew'!$A$5:$D$34,4,FALSE),0))</f>
        <v/>
      </c>
      <c r="J958" s="39">
        <f>IF(B958="","",E958*I958)</f>
        <v/>
      </c>
      <c r="K958" s="59">
        <f>IF(A958="","",A958-WEEKDAY(A958,2)+7)</f>
        <v/>
      </c>
      <c r="L958" s="9">
        <f>IF(B958="","",IF(D958="","Labor",IFERROR(VLOOKUP(D958,Settings!$E$5:$G$28,3,FALSE),"Labor")))</f>
        <v/>
      </c>
      <c r="M958" s="9">
        <f>IF(B958="","",IF(COUNTIF('Vendors &amp; Crew'!$A$5:$A$34,B958)=0,"Worker not in Crew table",IF(C958="","Missing Job ID",IF(COUNTIF(Jobs!$A$5:$A$44,C958)=0,"Unknown Job ID",IF(E958="","Missing hours",IF(A958="","Missing date",""))))))</f>
        <v/>
      </c>
      <c r="N958" s="35" t="n"/>
    </row>
    <row r="959">
      <c r="A959" s="40" t="n"/>
      <c r="B959" s="35" t="n"/>
      <c r="C959" s="35" t="n"/>
      <c r="D959" s="35" t="n"/>
      <c r="E959" s="61" t="n"/>
      <c r="F959" s="37" t="n"/>
      <c r="G959" s="39">
        <f>IF(B959="","",IF(F959&lt;&gt;"",F959,IFERROR(VLOOKUP(B959,'Vendors &amp; Crew'!$A$5:$D$34,3,FALSE),0)))</f>
        <v/>
      </c>
      <c r="H959" s="39">
        <f>IF(B959="","",E959*G959*(1+Settings!$B$18))</f>
        <v/>
      </c>
      <c r="I959" s="39">
        <f>IF(B959="","",IFERROR(VLOOKUP(B959,'Vendors &amp; Crew'!$A$5:$D$34,4,FALSE),0))</f>
        <v/>
      </c>
      <c r="J959" s="39">
        <f>IF(B959="","",E959*I959)</f>
        <v/>
      </c>
      <c r="K959" s="59">
        <f>IF(A959="","",A959-WEEKDAY(A959,2)+7)</f>
        <v/>
      </c>
      <c r="L959" s="9">
        <f>IF(B959="","",IF(D959="","Labor",IFERROR(VLOOKUP(D959,Settings!$E$5:$G$28,3,FALSE),"Labor")))</f>
        <v/>
      </c>
      <c r="M959" s="9">
        <f>IF(B959="","",IF(COUNTIF('Vendors &amp; Crew'!$A$5:$A$34,B959)=0,"Worker not in Crew table",IF(C959="","Missing Job ID",IF(COUNTIF(Jobs!$A$5:$A$44,C959)=0,"Unknown Job ID",IF(E959="","Missing hours",IF(A959="","Missing date",""))))))</f>
        <v/>
      </c>
      <c r="N959" s="35" t="n"/>
    </row>
    <row r="960">
      <c r="A960" s="40" t="n"/>
      <c r="B960" s="35" t="n"/>
      <c r="C960" s="35" t="n"/>
      <c r="D960" s="35" t="n"/>
      <c r="E960" s="61" t="n"/>
      <c r="F960" s="37" t="n"/>
      <c r="G960" s="39">
        <f>IF(B960="","",IF(F960&lt;&gt;"",F960,IFERROR(VLOOKUP(B960,'Vendors &amp; Crew'!$A$5:$D$34,3,FALSE),0)))</f>
        <v/>
      </c>
      <c r="H960" s="39">
        <f>IF(B960="","",E960*G960*(1+Settings!$B$18))</f>
        <v/>
      </c>
      <c r="I960" s="39">
        <f>IF(B960="","",IFERROR(VLOOKUP(B960,'Vendors &amp; Crew'!$A$5:$D$34,4,FALSE),0))</f>
        <v/>
      </c>
      <c r="J960" s="39">
        <f>IF(B960="","",E960*I960)</f>
        <v/>
      </c>
      <c r="K960" s="59">
        <f>IF(A960="","",A960-WEEKDAY(A960,2)+7)</f>
        <v/>
      </c>
      <c r="L960" s="9">
        <f>IF(B960="","",IF(D960="","Labor",IFERROR(VLOOKUP(D960,Settings!$E$5:$G$28,3,FALSE),"Labor")))</f>
        <v/>
      </c>
      <c r="M960" s="9">
        <f>IF(B960="","",IF(COUNTIF('Vendors &amp; Crew'!$A$5:$A$34,B960)=0,"Worker not in Crew table",IF(C960="","Missing Job ID",IF(COUNTIF(Jobs!$A$5:$A$44,C960)=0,"Unknown Job ID",IF(E960="","Missing hours",IF(A960="","Missing date",""))))))</f>
        <v/>
      </c>
      <c r="N960" s="35" t="n"/>
    </row>
    <row r="961">
      <c r="A961" s="40" t="n"/>
      <c r="B961" s="35" t="n"/>
      <c r="C961" s="35" t="n"/>
      <c r="D961" s="35" t="n"/>
      <c r="E961" s="61" t="n"/>
      <c r="F961" s="37" t="n"/>
      <c r="G961" s="39">
        <f>IF(B961="","",IF(F961&lt;&gt;"",F961,IFERROR(VLOOKUP(B961,'Vendors &amp; Crew'!$A$5:$D$34,3,FALSE),0)))</f>
        <v/>
      </c>
      <c r="H961" s="39">
        <f>IF(B961="","",E961*G961*(1+Settings!$B$18))</f>
        <v/>
      </c>
      <c r="I961" s="39">
        <f>IF(B961="","",IFERROR(VLOOKUP(B961,'Vendors &amp; Crew'!$A$5:$D$34,4,FALSE),0))</f>
        <v/>
      </c>
      <c r="J961" s="39">
        <f>IF(B961="","",E961*I961)</f>
        <v/>
      </c>
      <c r="K961" s="59">
        <f>IF(A961="","",A961-WEEKDAY(A961,2)+7)</f>
        <v/>
      </c>
      <c r="L961" s="9">
        <f>IF(B961="","",IF(D961="","Labor",IFERROR(VLOOKUP(D961,Settings!$E$5:$G$28,3,FALSE),"Labor")))</f>
        <v/>
      </c>
      <c r="M961" s="9">
        <f>IF(B961="","",IF(COUNTIF('Vendors &amp; Crew'!$A$5:$A$34,B961)=0,"Worker not in Crew table",IF(C961="","Missing Job ID",IF(COUNTIF(Jobs!$A$5:$A$44,C961)=0,"Unknown Job ID",IF(E961="","Missing hours",IF(A961="","Missing date",""))))))</f>
        <v/>
      </c>
      <c r="N961" s="35" t="n"/>
    </row>
    <row r="962">
      <c r="A962" s="40" t="n"/>
      <c r="B962" s="35" t="n"/>
      <c r="C962" s="35" t="n"/>
      <c r="D962" s="35" t="n"/>
      <c r="E962" s="61" t="n"/>
      <c r="F962" s="37" t="n"/>
      <c r="G962" s="39">
        <f>IF(B962="","",IF(F962&lt;&gt;"",F962,IFERROR(VLOOKUP(B962,'Vendors &amp; Crew'!$A$5:$D$34,3,FALSE),0)))</f>
        <v/>
      </c>
      <c r="H962" s="39">
        <f>IF(B962="","",E962*G962*(1+Settings!$B$18))</f>
        <v/>
      </c>
      <c r="I962" s="39">
        <f>IF(B962="","",IFERROR(VLOOKUP(B962,'Vendors &amp; Crew'!$A$5:$D$34,4,FALSE),0))</f>
        <v/>
      </c>
      <c r="J962" s="39">
        <f>IF(B962="","",E962*I962)</f>
        <v/>
      </c>
      <c r="K962" s="59">
        <f>IF(A962="","",A962-WEEKDAY(A962,2)+7)</f>
        <v/>
      </c>
      <c r="L962" s="9">
        <f>IF(B962="","",IF(D962="","Labor",IFERROR(VLOOKUP(D962,Settings!$E$5:$G$28,3,FALSE),"Labor")))</f>
        <v/>
      </c>
      <c r="M962" s="9">
        <f>IF(B962="","",IF(COUNTIF('Vendors &amp; Crew'!$A$5:$A$34,B962)=0,"Worker not in Crew table",IF(C962="","Missing Job ID",IF(COUNTIF(Jobs!$A$5:$A$44,C962)=0,"Unknown Job ID",IF(E962="","Missing hours",IF(A962="","Missing date",""))))))</f>
        <v/>
      </c>
      <c r="N962" s="35" t="n"/>
    </row>
    <row r="963">
      <c r="A963" s="40" t="n"/>
      <c r="B963" s="35" t="n"/>
      <c r="C963" s="35" t="n"/>
      <c r="D963" s="35" t="n"/>
      <c r="E963" s="61" t="n"/>
      <c r="F963" s="37" t="n"/>
      <c r="G963" s="39">
        <f>IF(B963="","",IF(F963&lt;&gt;"",F963,IFERROR(VLOOKUP(B963,'Vendors &amp; Crew'!$A$5:$D$34,3,FALSE),0)))</f>
        <v/>
      </c>
      <c r="H963" s="39">
        <f>IF(B963="","",E963*G963*(1+Settings!$B$18))</f>
        <v/>
      </c>
      <c r="I963" s="39">
        <f>IF(B963="","",IFERROR(VLOOKUP(B963,'Vendors &amp; Crew'!$A$5:$D$34,4,FALSE),0))</f>
        <v/>
      </c>
      <c r="J963" s="39">
        <f>IF(B963="","",E963*I963)</f>
        <v/>
      </c>
      <c r="K963" s="59">
        <f>IF(A963="","",A963-WEEKDAY(A963,2)+7)</f>
        <v/>
      </c>
      <c r="L963" s="9">
        <f>IF(B963="","",IF(D963="","Labor",IFERROR(VLOOKUP(D963,Settings!$E$5:$G$28,3,FALSE),"Labor")))</f>
        <v/>
      </c>
      <c r="M963" s="9">
        <f>IF(B963="","",IF(COUNTIF('Vendors &amp; Crew'!$A$5:$A$34,B963)=0,"Worker not in Crew table",IF(C963="","Missing Job ID",IF(COUNTIF(Jobs!$A$5:$A$44,C963)=0,"Unknown Job ID",IF(E963="","Missing hours",IF(A963="","Missing date",""))))))</f>
        <v/>
      </c>
      <c r="N963" s="35" t="n"/>
    </row>
    <row r="964">
      <c r="A964" s="40" t="n"/>
      <c r="B964" s="35" t="n"/>
      <c r="C964" s="35" t="n"/>
      <c r="D964" s="35" t="n"/>
      <c r="E964" s="61" t="n"/>
      <c r="F964" s="37" t="n"/>
      <c r="G964" s="39">
        <f>IF(B964="","",IF(F964&lt;&gt;"",F964,IFERROR(VLOOKUP(B964,'Vendors &amp; Crew'!$A$5:$D$34,3,FALSE),0)))</f>
        <v/>
      </c>
      <c r="H964" s="39">
        <f>IF(B964="","",E964*G964*(1+Settings!$B$18))</f>
        <v/>
      </c>
      <c r="I964" s="39">
        <f>IF(B964="","",IFERROR(VLOOKUP(B964,'Vendors &amp; Crew'!$A$5:$D$34,4,FALSE),0))</f>
        <v/>
      </c>
      <c r="J964" s="39">
        <f>IF(B964="","",E964*I964)</f>
        <v/>
      </c>
      <c r="K964" s="59">
        <f>IF(A964="","",A964-WEEKDAY(A964,2)+7)</f>
        <v/>
      </c>
      <c r="L964" s="9">
        <f>IF(B964="","",IF(D964="","Labor",IFERROR(VLOOKUP(D964,Settings!$E$5:$G$28,3,FALSE),"Labor")))</f>
        <v/>
      </c>
      <c r="M964" s="9">
        <f>IF(B964="","",IF(COUNTIF('Vendors &amp; Crew'!$A$5:$A$34,B964)=0,"Worker not in Crew table",IF(C964="","Missing Job ID",IF(COUNTIF(Jobs!$A$5:$A$44,C964)=0,"Unknown Job ID",IF(E964="","Missing hours",IF(A964="","Missing date",""))))))</f>
        <v/>
      </c>
      <c r="N964" s="35" t="n"/>
    </row>
    <row r="965">
      <c r="A965" s="40" t="n"/>
      <c r="B965" s="35" t="n"/>
      <c r="C965" s="35" t="n"/>
      <c r="D965" s="35" t="n"/>
      <c r="E965" s="61" t="n"/>
      <c r="F965" s="37" t="n"/>
      <c r="G965" s="39">
        <f>IF(B965="","",IF(F965&lt;&gt;"",F965,IFERROR(VLOOKUP(B965,'Vendors &amp; Crew'!$A$5:$D$34,3,FALSE),0)))</f>
        <v/>
      </c>
      <c r="H965" s="39">
        <f>IF(B965="","",E965*G965*(1+Settings!$B$18))</f>
        <v/>
      </c>
      <c r="I965" s="39">
        <f>IF(B965="","",IFERROR(VLOOKUP(B965,'Vendors &amp; Crew'!$A$5:$D$34,4,FALSE),0))</f>
        <v/>
      </c>
      <c r="J965" s="39">
        <f>IF(B965="","",E965*I965)</f>
        <v/>
      </c>
      <c r="K965" s="59">
        <f>IF(A965="","",A965-WEEKDAY(A965,2)+7)</f>
        <v/>
      </c>
      <c r="L965" s="9">
        <f>IF(B965="","",IF(D965="","Labor",IFERROR(VLOOKUP(D965,Settings!$E$5:$G$28,3,FALSE),"Labor")))</f>
        <v/>
      </c>
      <c r="M965" s="9">
        <f>IF(B965="","",IF(COUNTIF('Vendors &amp; Crew'!$A$5:$A$34,B965)=0,"Worker not in Crew table",IF(C965="","Missing Job ID",IF(COUNTIF(Jobs!$A$5:$A$44,C965)=0,"Unknown Job ID",IF(E965="","Missing hours",IF(A965="","Missing date",""))))))</f>
        <v/>
      </c>
      <c r="N965" s="35" t="n"/>
    </row>
    <row r="966">
      <c r="A966" s="40" t="n"/>
      <c r="B966" s="35" t="n"/>
      <c r="C966" s="35" t="n"/>
      <c r="D966" s="35" t="n"/>
      <c r="E966" s="61" t="n"/>
      <c r="F966" s="37" t="n"/>
      <c r="G966" s="39">
        <f>IF(B966="","",IF(F966&lt;&gt;"",F966,IFERROR(VLOOKUP(B966,'Vendors &amp; Crew'!$A$5:$D$34,3,FALSE),0)))</f>
        <v/>
      </c>
      <c r="H966" s="39">
        <f>IF(B966="","",E966*G966*(1+Settings!$B$18))</f>
        <v/>
      </c>
      <c r="I966" s="39">
        <f>IF(B966="","",IFERROR(VLOOKUP(B966,'Vendors &amp; Crew'!$A$5:$D$34,4,FALSE),0))</f>
        <v/>
      </c>
      <c r="J966" s="39">
        <f>IF(B966="","",E966*I966)</f>
        <v/>
      </c>
      <c r="K966" s="59">
        <f>IF(A966="","",A966-WEEKDAY(A966,2)+7)</f>
        <v/>
      </c>
      <c r="L966" s="9">
        <f>IF(B966="","",IF(D966="","Labor",IFERROR(VLOOKUP(D966,Settings!$E$5:$G$28,3,FALSE),"Labor")))</f>
        <v/>
      </c>
      <c r="M966" s="9">
        <f>IF(B966="","",IF(COUNTIF('Vendors &amp; Crew'!$A$5:$A$34,B966)=0,"Worker not in Crew table",IF(C966="","Missing Job ID",IF(COUNTIF(Jobs!$A$5:$A$44,C966)=0,"Unknown Job ID",IF(E966="","Missing hours",IF(A966="","Missing date",""))))))</f>
        <v/>
      </c>
      <c r="N966" s="35" t="n"/>
    </row>
    <row r="967">
      <c r="A967" s="40" t="n"/>
      <c r="B967" s="35" t="n"/>
      <c r="C967" s="35" t="n"/>
      <c r="D967" s="35" t="n"/>
      <c r="E967" s="61" t="n"/>
      <c r="F967" s="37" t="n"/>
      <c r="G967" s="39">
        <f>IF(B967="","",IF(F967&lt;&gt;"",F967,IFERROR(VLOOKUP(B967,'Vendors &amp; Crew'!$A$5:$D$34,3,FALSE),0)))</f>
        <v/>
      </c>
      <c r="H967" s="39">
        <f>IF(B967="","",E967*G967*(1+Settings!$B$18))</f>
        <v/>
      </c>
      <c r="I967" s="39">
        <f>IF(B967="","",IFERROR(VLOOKUP(B967,'Vendors &amp; Crew'!$A$5:$D$34,4,FALSE),0))</f>
        <v/>
      </c>
      <c r="J967" s="39">
        <f>IF(B967="","",E967*I967)</f>
        <v/>
      </c>
      <c r="K967" s="59">
        <f>IF(A967="","",A967-WEEKDAY(A967,2)+7)</f>
        <v/>
      </c>
      <c r="L967" s="9">
        <f>IF(B967="","",IF(D967="","Labor",IFERROR(VLOOKUP(D967,Settings!$E$5:$G$28,3,FALSE),"Labor")))</f>
        <v/>
      </c>
      <c r="M967" s="9">
        <f>IF(B967="","",IF(COUNTIF('Vendors &amp; Crew'!$A$5:$A$34,B967)=0,"Worker not in Crew table",IF(C967="","Missing Job ID",IF(COUNTIF(Jobs!$A$5:$A$44,C967)=0,"Unknown Job ID",IF(E967="","Missing hours",IF(A967="","Missing date",""))))))</f>
        <v/>
      </c>
      <c r="N967" s="35" t="n"/>
    </row>
    <row r="968">
      <c r="A968" s="40" t="n"/>
      <c r="B968" s="35" t="n"/>
      <c r="C968" s="35" t="n"/>
      <c r="D968" s="35" t="n"/>
      <c r="E968" s="61" t="n"/>
      <c r="F968" s="37" t="n"/>
      <c r="G968" s="39">
        <f>IF(B968="","",IF(F968&lt;&gt;"",F968,IFERROR(VLOOKUP(B968,'Vendors &amp; Crew'!$A$5:$D$34,3,FALSE),0)))</f>
        <v/>
      </c>
      <c r="H968" s="39">
        <f>IF(B968="","",E968*G968*(1+Settings!$B$18))</f>
        <v/>
      </c>
      <c r="I968" s="39">
        <f>IF(B968="","",IFERROR(VLOOKUP(B968,'Vendors &amp; Crew'!$A$5:$D$34,4,FALSE),0))</f>
        <v/>
      </c>
      <c r="J968" s="39">
        <f>IF(B968="","",E968*I968)</f>
        <v/>
      </c>
      <c r="K968" s="59">
        <f>IF(A968="","",A968-WEEKDAY(A968,2)+7)</f>
        <v/>
      </c>
      <c r="L968" s="9">
        <f>IF(B968="","",IF(D968="","Labor",IFERROR(VLOOKUP(D968,Settings!$E$5:$G$28,3,FALSE),"Labor")))</f>
        <v/>
      </c>
      <c r="M968" s="9">
        <f>IF(B968="","",IF(COUNTIF('Vendors &amp; Crew'!$A$5:$A$34,B968)=0,"Worker not in Crew table",IF(C968="","Missing Job ID",IF(COUNTIF(Jobs!$A$5:$A$44,C968)=0,"Unknown Job ID",IF(E968="","Missing hours",IF(A968="","Missing date",""))))))</f>
        <v/>
      </c>
      <c r="N968" s="35" t="n"/>
    </row>
    <row r="969">
      <c r="A969" s="40" t="n"/>
      <c r="B969" s="35" t="n"/>
      <c r="C969" s="35" t="n"/>
      <c r="D969" s="35" t="n"/>
      <c r="E969" s="61" t="n"/>
      <c r="F969" s="37" t="n"/>
      <c r="G969" s="39">
        <f>IF(B969="","",IF(F969&lt;&gt;"",F969,IFERROR(VLOOKUP(B969,'Vendors &amp; Crew'!$A$5:$D$34,3,FALSE),0)))</f>
        <v/>
      </c>
      <c r="H969" s="39">
        <f>IF(B969="","",E969*G969*(1+Settings!$B$18))</f>
        <v/>
      </c>
      <c r="I969" s="39">
        <f>IF(B969="","",IFERROR(VLOOKUP(B969,'Vendors &amp; Crew'!$A$5:$D$34,4,FALSE),0))</f>
        <v/>
      </c>
      <c r="J969" s="39">
        <f>IF(B969="","",E969*I969)</f>
        <v/>
      </c>
      <c r="K969" s="59">
        <f>IF(A969="","",A969-WEEKDAY(A969,2)+7)</f>
        <v/>
      </c>
      <c r="L969" s="9">
        <f>IF(B969="","",IF(D969="","Labor",IFERROR(VLOOKUP(D969,Settings!$E$5:$G$28,3,FALSE),"Labor")))</f>
        <v/>
      </c>
      <c r="M969" s="9">
        <f>IF(B969="","",IF(COUNTIF('Vendors &amp; Crew'!$A$5:$A$34,B969)=0,"Worker not in Crew table",IF(C969="","Missing Job ID",IF(COUNTIF(Jobs!$A$5:$A$44,C969)=0,"Unknown Job ID",IF(E969="","Missing hours",IF(A969="","Missing date",""))))))</f>
        <v/>
      </c>
      <c r="N969" s="35" t="n"/>
    </row>
    <row r="970">
      <c r="A970" s="40" t="n"/>
      <c r="B970" s="35" t="n"/>
      <c r="C970" s="35" t="n"/>
      <c r="D970" s="35" t="n"/>
      <c r="E970" s="61" t="n"/>
      <c r="F970" s="37" t="n"/>
      <c r="G970" s="39">
        <f>IF(B970="","",IF(F970&lt;&gt;"",F970,IFERROR(VLOOKUP(B970,'Vendors &amp; Crew'!$A$5:$D$34,3,FALSE),0)))</f>
        <v/>
      </c>
      <c r="H970" s="39">
        <f>IF(B970="","",E970*G970*(1+Settings!$B$18))</f>
        <v/>
      </c>
      <c r="I970" s="39">
        <f>IF(B970="","",IFERROR(VLOOKUP(B970,'Vendors &amp; Crew'!$A$5:$D$34,4,FALSE),0))</f>
        <v/>
      </c>
      <c r="J970" s="39">
        <f>IF(B970="","",E970*I970)</f>
        <v/>
      </c>
      <c r="K970" s="59">
        <f>IF(A970="","",A970-WEEKDAY(A970,2)+7)</f>
        <v/>
      </c>
      <c r="L970" s="9">
        <f>IF(B970="","",IF(D970="","Labor",IFERROR(VLOOKUP(D970,Settings!$E$5:$G$28,3,FALSE),"Labor")))</f>
        <v/>
      </c>
      <c r="M970" s="9">
        <f>IF(B970="","",IF(COUNTIF('Vendors &amp; Crew'!$A$5:$A$34,B970)=0,"Worker not in Crew table",IF(C970="","Missing Job ID",IF(COUNTIF(Jobs!$A$5:$A$44,C970)=0,"Unknown Job ID",IF(E970="","Missing hours",IF(A970="","Missing date",""))))))</f>
        <v/>
      </c>
      <c r="N970" s="35" t="n"/>
    </row>
    <row r="971">
      <c r="A971" s="40" t="n"/>
      <c r="B971" s="35" t="n"/>
      <c r="C971" s="35" t="n"/>
      <c r="D971" s="35" t="n"/>
      <c r="E971" s="61" t="n"/>
      <c r="F971" s="37" t="n"/>
      <c r="G971" s="39">
        <f>IF(B971="","",IF(F971&lt;&gt;"",F971,IFERROR(VLOOKUP(B971,'Vendors &amp; Crew'!$A$5:$D$34,3,FALSE),0)))</f>
        <v/>
      </c>
      <c r="H971" s="39">
        <f>IF(B971="","",E971*G971*(1+Settings!$B$18))</f>
        <v/>
      </c>
      <c r="I971" s="39">
        <f>IF(B971="","",IFERROR(VLOOKUP(B971,'Vendors &amp; Crew'!$A$5:$D$34,4,FALSE),0))</f>
        <v/>
      </c>
      <c r="J971" s="39">
        <f>IF(B971="","",E971*I971)</f>
        <v/>
      </c>
      <c r="K971" s="59">
        <f>IF(A971="","",A971-WEEKDAY(A971,2)+7)</f>
        <v/>
      </c>
      <c r="L971" s="9">
        <f>IF(B971="","",IF(D971="","Labor",IFERROR(VLOOKUP(D971,Settings!$E$5:$G$28,3,FALSE),"Labor")))</f>
        <v/>
      </c>
      <c r="M971" s="9">
        <f>IF(B971="","",IF(COUNTIF('Vendors &amp; Crew'!$A$5:$A$34,B971)=0,"Worker not in Crew table",IF(C971="","Missing Job ID",IF(COUNTIF(Jobs!$A$5:$A$44,C971)=0,"Unknown Job ID",IF(E971="","Missing hours",IF(A971="","Missing date",""))))))</f>
        <v/>
      </c>
      <c r="N971" s="35" t="n"/>
    </row>
    <row r="972">
      <c r="A972" s="40" t="n"/>
      <c r="B972" s="35" t="n"/>
      <c r="C972" s="35" t="n"/>
      <c r="D972" s="35" t="n"/>
      <c r="E972" s="61" t="n"/>
      <c r="F972" s="37" t="n"/>
      <c r="G972" s="39">
        <f>IF(B972="","",IF(F972&lt;&gt;"",F972,IFERROR(VLOOKUP(B972,'Vendors &amp; Crew'!$A$5:$D$34,3,FALSE),0)))</f>
        <v/>
      </c>
      <c r="H972" s="39">
        <f>IF(B972="","",E972*G972*(1+Settings!$B$18))</f>
        <v/>
      </c>
      <c r="I972" s="39">
        <f>IF(B972="","",IFERROR(VLOOKUP(B972,'Vendors &amp; Crew'!$A$5:$D$34,4,FALSE),0))</f>
        <v/>
      </c>
      <c r="J972" s="39">
        <f>IF(B972="","",E972*I972)</f>
        <v/>
      </c>
      <c r="K972" s="59">
        <f>IF(A972="","",A972-WEEKDAY(A972,2)+7)</f>
        <v/>
      </c>
      <c r="L972" s="9">
        <f>IF(B972="","",IF(D972="","Labor",IFERROR(VLOOKUP(D972,Settings!$E$5:$G$28,3,FALSE),"Labor")))</f>
        <v/>
      </c>
      <c r="M972" s="9">
        <f>IF(B972="","",IF(COUNTIF('Vendors &amp; Crew'!$A$5:$A$34,B972)=0,"Worker not in Crew table",IF(C972="","Missing Job ID",IF(COUNTIF(Jobs!$A$5:$A$44,C972)=0,"Unknown Job ID",IF(E972="","Missing hours",IF(A972="","Missing date",""))))))</f>
        <v/>
      </c>
      <c r="N972" s="35" t="n"/>
    </row>
    <row r="973">
      <c r="A973" s="40" t="n"/>
      <c r="B973" s="35" t="n"/>
      <c r="C973" s="35" t="n"/>
      <c r="D973" s="35" t="n"/>
      <c r="E973" s="61" t="n"/>
      <c r="F973" s="37" t="n"/>
      <c r="G973" s="39">
        <f>IF(B973="","",IF(F973&lt;&gt;"",F973,IFERROR(VLOOKUP(B973,'Vendors &amp; Crew'!$A$5:$D$34,3,FALSE),0)))</f>
        <v/>
      </c>
      <c r="H973" s="39">
        <f>IF(B973="","",E973*G973*(1+Settings!$B$18))</f>
        <v/>
      </c>
      <c r="I973" s="39">
        <f>IF(B973="","",IFERROR(VLOOKUP(B973,'Vendors &amp; Crew'!$A$5:$D$34,4,FALSE),0))</f>
        <v/>
      </c>
      <c r="J973" s="39">
        <f>IF(B973="","",E973*I973)</f>
        <v/>
      </c>
      <c r="K973" s="59">
        <f>IF(A973="","",A973-WEEKDAY(A973,2)+7)</f>
        <v/>
      </c>
      <c r="L973" s="9">
        <f>IF(B973="","",IF(D973="","Labor",IFERROR(VLOOKUP(D973,Settings!$E$5:$G$28,3,FALSE),"Labor")))</f>
        <v/>
      </c>
      <c r="M973" s="9">
        <f>IF(B973="","",IF(COUNTIF('Vendors &amp; Crew'!$A$5:$A$34,B973)=0,"Worker not in Crew table",IF(C973="","Missing Job ID",IF(COUNTIF(Jobs!$A$5:$A$44,C973)=0,"Unknown Job ID",IF(E973="","Missing hours",IF(A973="","Missing date",""))))))</f>
        <v/>
      </c>
      <c r="N973" s="35" t="n"/>
    </row>
    <row r="974">
      <c r="A974" s="40" t="n"/>
      <c r="B974" s="35" t="n"/>
      <c r="C974" s="35" t="n"/>
      <c r="D974" s="35" t="n"/>
      <c r="E974" s="61" t="n"/>
      <c r="F974" s="37" t="n"/>
      <c r="G974" s="39">
        <f>IF(B974="","",IF(F974&lt;&gt;"",F974,IFERROR(VLOOKUP(B974,'Vendors &amp; Crew'!$A$5:$D$34,3,FALSE),0)))</f>
        <v/>
      </c>
      <c r="H974" s="39">
        <f>IF(B974="","",E974*G974*(1+Settings!$B$18))</f>
        <v/>
      </c>
      <c r="I974" s="39">
        <f>IF(B974="","",IFERROR(VLOOKUP(B974,'Vendors &amp; Crew'!$A$5:$D$34,4,FALSE),0))</f>
        <v/>
      </c>
      <c r="J974" s="39">
        <f>IF(B974="","",E974*I974)</f>
        <v/>
      </c>
      <c r="K974" s="59">
        <f>IF(A974="","",A974-WEEKDAY(A974,2)+7)</f>
        <v/>
      </c>
      <c r="L974" s="9">
        <f>IF(B974="","",IF(D974="","Labor",IFERROR(VLOOKUP(D974,Settings!$E$5:$G$28,3,FALSE),"Labor")))</f>
        <v/>
      </c>
      <c r="M974" s="9">
        <f>IF(B974="","",IF(COUNTIF('Vendors &amp; Crew'!$A$5:$A$34,B974)=0,"Worker not in Crew table",IF(C974="","Missing Job ID",IF(COUNTIF(Jobs!$A$5:$A$44,C974)=0,"Unknown Job ID",IF(E974="","Missing hours",IF(A974="","Missing date",""))))))</f>
        <v/>
      </c>
      <c r="N974" s="35" t="n"/>
    </row>
    <row r="975">
      <c r="A975" s="40" t="n"/>
      <c r="B975" s="35" t="n"/>
      <c r="C975" s="35" t="n"/>
      <c r="D975" s="35" t="n"/>
      <c r="E975" s="61" t="n"/>
      <c r="F975" s="37" t="n"/>
      <c r="G975" s="39">
        <f>IF(B975="","",IF(F975&lt;&gt;"",F975,IFERROR(VLOOKUP(B975,'Vendors &amp; Crew'!$A$5:$D$34,3,FALSE),0)))</f>
        <v/>
      </c>
      <c r="H975" s="39">
        <f>IF(B975="","",E975*G975*(1+Settings!$B$18))</f>
        <v/>
      </c>
      <c r="I975" s="39">
        <f>IF(B975="","",IFERROR(VLOOKUP(B975,'Vendors &amp; Crew'!$A$5:$D$34,4,FALSE),0))</f>
        <v/>
      </c>
      <c r="J975" s="39">
        <f>IF(B975="","",E975*I975)</f>
        <v/>
      </c>
      <c r="K975" s="59">
        <f>IF(A975="","",A975-WEEKDAY(A975,2)+7)</f>
        <v/>
      </c>
      <c r="L975" s="9">
        <f>IF(B975="","",IF(D975="","Labor",IFERROR(VLOOKUP(D975,Settings!$E$5:$G$28,3,FALSE),"Labor")))</f>
        <v/>
      </c>
      <c r="M975" s="9">
        <f>IF(B975="","",IF(COUNTIF('Vendors &amp; Crew'!$A$5:$A$34,B975)=0,"Worker not in Crew table",IF(C975="","Missing Job ID",IF(COUNTIF(Jobs!$A$5:$A$44,C975)=0,"Unknown Job ID",IF(E975="","Missing hours",IF(A975="","Missing date",""))))))</f>
        <v/>
      </c>
      <c r="N975" s="35" t="n"/>
    </row>
    <row r="976">
      <c r="A976" s="40" t="n"/>
      <c r="B976" s="35" t="n"/>
      <c r="C976" s="35" t="n"/>
      <c r="D976" s="35" t="n"/>
      <c r="E976" s="61" t="n"/>
      <c r="F976" s="37" t="n"/>
      <c r="G976" s="39">
        <f>IF(B976="","",IF(F976&lt;&gt;"",F976,IFERROR(VLOOKUP(B976,'Vendors &amp; Crew'!$A$5:$D$34,3,FALSE),0)))</f>
        <v/>
      </c>
      <c r="H976" s="39">
        <f>IF(B976="","",E976*G976*(1+Settings!$B$18))</f>
        <v/>
      </c>
      <c r="I976" s="39">
        <f>IF(B976="","",IFERROR(VLOOKUP(B976,'Vendors &amp; Crew'!$A$5:$D$34,4,FALSE),0))</f>
        <v/>
      </c>
      <c r="J976" s="39">
        <f>IF(B976="","",E976*I976)</f>
        <v/>
      </c>
      <c r="K976" s="59">
        <f>IF(A976="","",A976-WEEKDAY(A976,2)+7)</f>
        <v/>
      </c>
      <c r="L976" s="9">
        <f>IF(B976="","",IF(D976="","Labor",IFERROR(VLOOKUP(D976,Settings!$E$5:$G$28,3,FALSE),"Labor")))</f>
        <v/>
      </c>
      <c r="M976" s="9">
        <f>IF(B976="","",IF(COUNTIF('Vendors &amp; Crew'!$A$5:$A$34,B976)=0,"Worker not in Crew table",IF(C976="","Missing Job ID",IF(COUNTIF(Jobs!$A$5:$A$44,C976)=0,"Unknown Job ID",IF(E976="","Missing hours",IF(A976="","Missing date",""))))))</f>
        <v/>
      </c>
      <c r="N976" s="35" t="n"/>
    </row>
    <row r="977">
      <c r="A977" s="40" t="n"/>
      <c r="B977" s="35" t="n"/>
      <c r="C977" s="35" t="n"/>
      <c r="D977" s="35" t="n"/>
      <c r="E977" s="61" t="n"/>
      <c r="F977" s="37" t="n"/>
      <c r="G977" s="39">
        <f>IF(B977="","",IF(F977&lt;&gt;"",F977,IFERROR(VLOOKUP(B977,'Vendors &amp; Crew'!$A$5:$D$34,3,FALSE),0)))</f>
        <v/>
      </c>
      <c r="H977" s="39">
        <f>IF(B977="","",E977*G977*(1+Settings!$B$18))</f>
        <v/>
      </c>
      <c r="I977" s="39">
        <f>IF(B977="","",IFERROR(VLOOKUP(B977,'Vendors &amp; Crew'!$A$5:$D$34,4,FALSE),0))</f>
        <v/>
      </c>
      <c r="J977" s="39">
        <f>IF(B977="","",E977*I977)</f>
        <v/>
      </c>
      <c r="K977" s="59">
        <f>IF(A977="","",A977-WEEKDAY(A977,2)+7)</f>
        <v/>
      </c>
      <c r="L977" s="9">
        <f>IF(B977="","",IF(D977="","Labor",IFERROR(VLOOKUP(D977,Settings!$E$5:$G$28,3,FALSE),"Labor")))</f>
        <v/>
      </c>
      <c r="M977" s="9">
        <f>IF(B977="","",IF(COUNTIF('Vendors &amp; Crew'!$A$5:$A$34,B977)=0,"Worker not in Crew table",IF(C977="","Missing Job ID",IF(COUNTIF(Jobs!$A$5:$A$44,C977)=0,"Unknown Job ID",IF(E977="","Missing hours",IF(A977="","Missing date",""))))))</f>
        <v/>
      </c>
      <c r="N977" s="35" t="n"/>
    </row>
    <row r="978">
      <c r="A978" s="40" t="n"/>
      <c r="B978" s="35" t="n"/>
      <c r="C978" s="35" t="n"/>
      <c r="D978" s="35" t="n"/>
      <c r="E978" s="61" t="n"/>
      <c r="F978" s="37" t="n"/>
      <c r="G978" s="39">
        <f>IF(B978="","",IF(F978&lt;&gt;"",F978,IFERROR(VLOOKUP(B978,'Vendors &amp; Crew'!$A$5:$D$34,3,FALSE),0)))</f>
        <v/>
      </c>
      <c r="H978" s="39">
        <f>IF(B978="","",E978*G978*(1+Settings!$B$18))</f>
        <v/>
      </c>
      <c r="I978" s="39">
        <f>IF(B978="","",IFERROR(VLOOKUP(B978,'Vendors &amp; Crew'!$A$5:$D$34,4,FALSE),0))</f>
        <v/>
      </c>
      <c r="J978" s="39">
        <f>IF(B978="","",E978*I978)</f>
        <v/>
      </c>
      <c r="K978" s="59">
        <f>IF(A978="","",A978-WEEKDAY(A978,2)+7)</f>
        <v/>
      </c>
      <c r="L978" s="9">
        <f>IF(B978="","",IF(D978="","Labor",IFERROR(VLOOKUP(D978,Settings!$E$5:$G$28,3,FALSE),"Labor")))</f>
        <v/>
      </c>
      <c r="M978" s="9">
        <f>IF(B978="","",IF(COUNTIF('Vendors &amp; Crew'!$A$5:$A$34,B978)=0,"Worker not in Crew table",IF(C978="","Missing Job ID",IF(COUNTIF(Jobs!$A$5:$A$44,C978)=0,"Unknown Job ID",IF(E978="","Missing hours",IF(A978="","Missing date",""))))))</f>
        <v/>
      </c>
      <c r="N978" s="35" t="n"/>
    </row>
    <row r="979">
      <c r="A979" s="40" t="n"/>
      <c r="B979" s="35" t="n"/>
      <c r="C979" s="35" t="n"/>
      <c r="D979" s="35" t="n"/>
      <c r="E979" s="61" t="n"/>
      <c r="F979" s="37" t="n"/>
      <c r="G979" s="39">
        <f>IF(B979="","",IF(F979&lt;&gt;"",F979,IFERROR(VLOOKUP(B979,'Vendors &amp; Crew'!$A$5:$D$34,3,FALSE),0)))</f>
        <v/>
      </c>
      <c r="H979" s="39">
        <f>IF(B979="","",E979*G979*(1+Settings!$B$18))</f>
        <v/>
      </c>
      <c r="I979" s="39">
        <f>IF(B979="","",IFERROR(VLOOKUP(B979,'Vendors &amp; Crew'!$A$5:$D$34,4,FALSE),0))</f>
        <v/>
      </c>
      <c r="J979" s="39">
        <f>IF(B979="","",E979*I979)</f>
        <v/>
      </c>
      <c r="K979" s="59">
        <f>IF(A979="","",A979-WEEKDAY(A979,2)+7)</f>
        <v/>
      </c>
      <c r="L979" s="9">
        <f>IF(B979="","",IF(D979="","Labor",IFERROR(VLOOKUP(D979,Settings!$E$5:$G$28,3,FALSE),"Labor")))</f>
        <v/>
      </c>
      <c r="M979" s="9">
        <f>IF(B979="","",IF(COUNTIF('Vendors &amp; Crew'!$A$5:$A$34,B979)=0,"Worker not in Crew table",IF(C979="","Missing Job ID",IF(COUNTIF(Jobs!$A$5:$A$44,C979)=0,"Unknown Job ID",IF(E979="","Missing hours",IF(A979="","Missing date",""))))))</f>
        <v/>
      </c>
      <c r="N979" s="35" t="n"/>
    </row>
    <row r="980">
      <c r="A980" s="40" t="n"/>
      <c r="B980" s="35" t="n"/>
      <c r="C980" s="35" t="n"/>
      <c r="D980" s="35" t="n"/>
      <c r="E980" s="61" t="n"/>
      <c r="F980" s="37" t="n"/>
      <c r="G980" s="39">
        <f>IF(B980="","",IF(F980&lt;&gt;"",F980,IFERROR(VLOOKUP(B980,'Vendors &amp; Crew'!$A$5:$D$34,3,FALSE),0)))</f>
        <v/>
      </c>
      <c r="H980" s="39">
        <f>IF(B980="","",E980*G980*(1+Settings!$B$18))</f>
        <v/>
      </c>
      <c r="I980" s="39">
        <f>IF(B980="","",IFERROR(VLOOKUP(B980,'Vendors &amp; Crew'!$A$5:$D$34,4,FALSE),0))</f>
        <v/>
      </c>
      <c r="J980" s="39">
        <f>IF(B980="","",E980*I980)</f>
        <v/>
      </c>
      <c r="K980" s="59">
        <f>IF(A980="","",A980-WEEKDAY(A980,2)+7)</f>
        <v/>
      </c>
      <c r="L980" s="9">
        <f>IF(B980="","",IF(D980="","Labor",IFERROR(VLOOKUP(D980,Settings!$E$5:$G$28,3,FALSE),"Labor")))</f>
        <v/>
      </c>
      <c r="M980" s="9">
        <f>IF(B980="","",IF(COUNTIF('Vendors &amp; Crew'!$A$5:$A$34,B980)=0,"Worker not in Crew table",IF(C980="","Missing Job ID",IF(COUNTIF(Jobs!$A$5:$A$44,C980)=0,"Unknown Job ID",IF(E980="","Missing hours",IF(A980="","Missing date",""))))))</f>
        <v/>
      </c>
      <c r="N980" s="35" t="n"/>
    </row>
    <row r="981">
      <c r="A981" s="40" t="n"/>
      <c r="B981" s="35" t="n"/>
      <c r="C981" s="35" t="n"/>
      <c r="D981" s="35" t="n"/>
      <c r="E981" s="61" t="n"/>
      <c r="F981" s="37" t="n"/>
      <c r="G981" s="39">
        <f>IF(B981="","",IF(F981&lt;&gt;"",F981,IFERROR(VLOOKUP(B981,'Vendors &amp; Crew'!$A$5:$D$34,3,FALSE),0)))</f>
        <v/>
      </c>
      <c r="H981" s="39">
        <f>IF(B981="","",E981*G981*(1+Settings!$B$18))</f>
        <v/>
      </c>
      <c r="I981" s="39">
        <f>IF(B981="","",IFERROR(VLOOKUP(B981,'Vendors &amp; Crew'!$A$5:$D$34,4,FALSE),0))</f>
        <v/>
      </c>
      <c r="J981" s="39">
        <f>IF(B981="","",E981*I981)</f>
        <v/>
      </c>
      <c r="K981" s="59">
        <f>IF(A981="","",A981-WEEKDAY(A981,2)+7)</f>
        <v/>
      </c>
      <c r="L981" s="9">
        <f>IF(B981="","",IF(D981="","Labor",IFERROR(VLOOKUP(D981,Settings!$E$5:$G$28,3,FALSE),"Labor")))</f>
        <v/>
      </c>
      <c r="M981" s="9">
        <f>IF(B981="","",IF(COUNTIF('Vendors &amp; Crew'!$A$5:$A$34,B981)=0,"Worker not in Crew table",IF(C981="","Missing Job ID",IF(COUNTIF(Jobs!$A$5:$A$44,C981)=0,"Unknown Job ID",IF(E981="","Missing hours",IF(A981="","Missing date",""))))))</f>
        <v/>
      </c>
      <c r="N981" s="35" t="n"/>
    </row>
    <row r="982">
      <c r="A982" s="40" t="n"/>
      <c r="B982" s="35" t="n"/>
      <c r="C982" s="35" t="n"/>
      <c r="D982" s="35" t="n"/>
      <c r="E982" s="61" t="n"/>
      <c r="F982" s="37" t="n"/>
      <c r="G982" s="39">
        <f>IF(B982="","",IF(F982&lt;&gt;"",F982,IFERROR(VLOOKUP(B982,'Vendors &amp; Crew'!$A$5:$D$34,3,FALSE),0)))</f>
        <v/>
      </c>
      <c r="H982" s="39">
        <f>IF(B982="","",E982*G982*(1+Settings!$B$18))</f>
        <v/>
      </c>
      <c r="I982" s="39">
        <f>IF(B982="","",IFERROR(VLOOKUP(B982,'Vendors &amp; Crew'!$A$5:$D$34,4,FALSE),0))</f>
        <v/>
      </c>
      <c r="J982" s="39">
        <f>IF(B982="","",E982*I982)</f>
        <v/>
      </c>
      <c r="K982" s="59">
        <f>IF(A982="","",A982-WEEKDAY(A982,2)+7)</f>
        <v/>
      </c>
      <c r="L982" s="9">
        <f>IF(B982="","",IF(D982="","Labor",IFERROR(VLOOKUP(D982,Settings!$E$5:$G$28,3,FALSE),"Labor")))</f>
        <v/>
      </c>
      <c r="M982" s="9">
        <f>IF(B982="","",IF(COUNTIF('Vendors &amp; Crew'!$A$5:$A$34,B982)=0,"Worker not in Crew table",IF(C982="","Missing Job ID",IF(COUNTIF(Jobs!$A$5:$A$44,C982)=0,"Unknown Job ID",IF(E982="","Missing hours",IF(A982="","Missing date",""))))))</f>
        <v/>
      </c>
      <c r="N982" s="35" t="n"/>
    </row>
    <row r="983">
      <c r="A983" s="40" t="n"/>
      <c r="B983" s="35" t="n"/>
      <c r="C983" s="35" t="n"/>
      <c r="D983" s="35" t="n"/>
      <c r="E983" s="61" t="n"/>
      <c r="F983" s="37" t="n"/>
      <c r="G983" s="39">
        <f>IF(B983="","",IF(F983&lt;&gt;"",F983,IFERROR(VLOOKUP(B983,'Vendors &amp; Crew'!$A$5:$D$34,3,FALSE),0)))</f>
        <v/>
      </c>
      <c r="H983" s="39">
        <f>IF(B983="","",E983*G983*(1+Settings!$B$18))</f>
        <v/>
      </c>
      <c r="I983" s="39">
        <f>IF(B983="","",IFERROR(VLOOKUP(B983,'Vendors &amp; Crew'!$A$5:$D$34,4,FALSE),0))</f>
        <v/>
      </c>
      <c r="J983" s="39">
        <f>IF(B983="","",E983*I983)</f>
        <v/>
      </c>
      <c r="K983" s="59">
        <f>IF(A983="","",A983-WEEKDAY(A983,2)+7)</f>
        <v/>
      </c>
      <c r="L983" s="9">
        <f>IF(B983="","",IF(D983="","Labor",IFERROR(VLOOKUP(D983,Settings!$E$5:$G$28,3,FALSE),"Labor")))</f>
        <v/>
      </c>
      <c r="M983" s="9">
        <f>IF(B983="","",IF(COUNTIF('Vendors &amp; Crew'!$A$5:$A$34,B983)=0,"Worker not in Crew table",IF(C983="","Missing Job ID",IF(COUNTIF(Jobs!$A$5:$A$44,C983)=0,"Unknown Job ID",IF(E983="","Missing hours",IF(A983="","Missing date",""))))))</f>
        <v/>
      </c>
      <c r="N983" s="35" t="n"/>
    </row>
    <row r="984">
      <c r="A984" s="40" t="n"/>
      <c r="B984" s="35" t="n"/>
      <c r="C984" s="35" t="n"/>
      <c r="D984" s="35" t="n"/>
      <c r="E984" s="61" t="n"/>
      <c r="F984" s="37" t="n"/>
      <c r="G984" s="39">
        <f>IF(B984="","",IF(F984&lt;&gt;"",F984,IFERROR(VLOOKUP(B984,'Vendors &amp; Crew'!$A$5:$D$34,3,FALSE),0)))</f>
        <v/>
      </c>
      <c r="H984" s="39">
        <f>IF(B984="","",E984*G984*(1+Settings!$B$18))</f>
        <v/>
      </c>
      <c r="I984" s="39">
        <f>IF(B984="","",IFERROR(VLOOKUP(B984,'Vendors &amp; Crew'!$A$5:$D$34,4,FALSE),0))</f>
        <v/>
      </c>
      <c r="J984" s="39">
        <f>IF(B984="","",E984*I984)</f>
        <v/>
      </c>
      <c r="K984" s="59">
        <f>IF(A984="","",A984-WEEKDAY(A984,2)+7)</f>
        <v/>
      </c>
      <c r="L984" s="9">
        <f>IF(B984="","",IF(D984="","Labor",IFERROR(VLOOKUP(D984,Settings!$E$5:$G$28,3,FALSE),"Labor")))</f>
        <v/>
      </c>
      <c r="M984" s="9">
        <f>IF(B984="","",IF(COUNTIF('Vendors &amp; Crew'!$A$5:$A$34,B984)=0,"Worker not in Crew table",IF(C984="","Missing Job ID",IF(COUNTIF(Jobs!$A$5:$A$44,C984)=0,"Unknown Job ID",IF(E984="","Missing hours",IF(A984="","Missing date",""))))))</f>
        <v/>
      </c>
      <c r="N984" s="35" t="n"/>
    </row>
    <row r="985">
      <c r="A985" s="40" t="n"/>
      <c r="B985" s="35" t="n"/>
      <c r="C985" s="35" t="n"/>
      <c r="D985" s="35" t="n"/>
      <c r="E985" s="61" t="n"/>
      <c r="F985" s="37" t="n"/>
      <c r="G985" s="39">
        <f>IF(B985="","",IF(F985&lt;&gt;"",F985,IFERROR(VLOOKUP(B985,'Vendors &amp; Crew'!$A$5:$D$34,3,FALSE),0)))</f>
        <v/>
      </c>
      <c r="H985" s="39">
        <f>IF(B985="","",E985*G985*(1+Settings!$B$18))</f>
        <v/>
      </c>
      <c r="I985" s="39">
        <f>IF(B985="","",IFERROR(VLOOKUP(B985,'Vendors &amp; Crew'!$A$5:$D$34,4,FALSE),0))</f>
        <v/>
      </c>
      <c r="J985" s="39">
        <f>IF(B985="","",E985*I985)</f>
        <v/>
      </c>
      <c r="K985" s="59">
        <f>IF(A985="","",A985-WEEKDAY(A985,2)+7)</f>
        <v/>
      </c>
      <c r="L985" s="9">
        <f>IF(B985="","",IF(D985="","Labor",IFERROR(VLOOKUP(D985,Settings!$E$5:$G$28,3,FALSE),"Labor")))</f>
        <v/>
      </c>
      <c r="M985" s="9">
        <f>IF(B985="","",IF(COUNTIF('Vendors &amp; Crew'!$A$5:$A$34,B985)=0,"Worker not in Crew table",IF(C985="","Missing Job ID",IF(COUNTIF(Jobs!$A$5:$A$44,C985)=0,"Unknown Job ID",IF(E985="","Missing hours",IF(A985="","Missing date",""))))))</f>
        <v/>
      </c>
      <c r="N985" s="35" t="n"/>
    </row>
    <row r="986">
      <c r="A986" s="40" t="n"/>
      <c r="B986" s="35" t="n"/>
      <c r="C986" s="35" t="n"/>
      <c r="D986" s="35" t="n"/>
      <c r="E986" s="61" t="n"/>
      <c r="F986" s="37" t="n"/>
      <c r="G986" s="39">
        <f>IF(B986="","",IF(F986&lt;&gt;"",F986,IFERROR(VLOOKUP(B986,'Vendors &amp; Crew'!$A$5:$D$34,3,FALSE),0)))</f>
        <v/>
      </c>
      <c r="H986" s="39">
        <f>IF(B986="","",E986*G986*(1+Settings!$B$18))</f>
        <v/>
      </c>
      <c r="I986" s="39">
        <f>IF(B986="","",IFERROR(VLOOKUP(B986,'Vendors &amp; Crew'!$A$5:$D$34,4,FALSE),0))</f>
        <v/>
      </c>
      <c r="J986" s="39">
        <f>IF(B986="","",E986*I986)</f>
        <v/>
      </c>
      <c r="K986" s="59">
        <f>IF(A986="","",A986-WEEKDAY(A986,2)+7)</f>
        <v/>
      </c>
      <c r="L986" s="9">
        <f>IF(B986="","",IF(D986="","Labor",IFERROR(VLOOKUP(D986,Settings!$E$5:$G$28,3,FALSE),"Labor")))</f>
        <v/>
      </c>
      <c r="M986" s="9">
        <f>IF(B986="","",IF(COUNTIF('Vendors &amp; Crew'!$A$5:$A$34,B986)=0,"Worker not in Crew table",IF(C986="","Missing Job ID",IF(COUNTIF(Jobs!$A$5:$A$44,C986)=0,"Unknown Job ID",IF(E986="","Missing hours",IF(A986="","Missing date",""))))))</f>
        <v/>
      </c>
      <c r="N986" s="35" t="n"/>
    </row>
    <row r="987">
      <c r="A987" s="40" t="n"/>
      <c r="B987" s="35" t="n"/>
      <c r="C987" s="35" t="n"/>
      <c r="D987" s="35" t="n"/>
      <c r="E987" s="61" t="n"/>
      <c r="F987" s="37" t="n"/>
      <c r="G987" s="39">
        <f>IF(B987="","",IF(F987&lt;&gt;"",F987,IFERROR(VLOOKUP(B987,'Vendors &amp; Crew'!$A$5:$D$34,3,FALSE),0)))</f>
        <v/>
      </c>
      <c r="H987" s="39">
        <f>IF(B987="","",E987*G987*(1+Settings!$B$18))</f>
        <v/>
      </c>
      <c r="I987" s="39">
        <f>IF(B987="","",IFERROR(VLOOKUP(B987,'Vendors &amp; Crew'!$A$5:$D$34,4,FALSE),0))</f>
        <v/>
      </c>
      <c r="J987" s="39">
        <f>IF(B987="","",E987*I987)</f>
        <v/>
      </c>
      <c r="K987" s="59">
        <f>IF(A987="","",A987-WEEKDAY(A987,2)+7)</f>
        <v/>
      </c>
      <c r="L987" s="9">
        <f>IF(B987="","",IF(D987="","Labor",IFERROR(VLOOKUP(D987,Settings!$E$5:$G$28,3,FALSE),"Labor")))</f>
        <v/>
      </c>
      <c r="M987" s="9">
        <f>IF(B987="","",IF(COUNTIF('Vendors &amp; Crew'!$A$5:$A$34,B987)=0,"Worker not in Crew table",IF(C987="","Missing Job ID",IF(COUNTIF(Jobs!$A$5:$A$44,C987)=0,"Unknown Job ID",IF(E987="","Missing hours",IF(A987="","Missing date",""))))))</f>
        <v/>
      </c>
      <c r="N987" s="35" t="n"/>
    </row>
    <row r="988">
      <c r="A988" s="40" t="n"/>
      <c r="B988" s="35" t="n"/>
      <c r="C988" s="35" t="n"/>
      <c r="D988" s="35" t="n"/>
      <c r="E988" s="61" t="n"/>
      <c r="F988" s="37" t="n"/>
      <c r="G988" s="39">
        <f>IF(B988="","",IF(F988&lt;&gt;"",F988,IFERROR(VLOOKUP(B988,'Vendors &amp; Crew'!$A$5:$D$34,3,FALSE),0)))</f>
        <v/>
      </c>
      <c r="H988" s="39">
        <f>IF(B988="","",E988*G988*(1+Settings!$B$18))</f>
        <v/>
      </c>
      <c r="I988" s="39">
        <f>IF(B988="","",IFERROR(VLOOKUP(B988,'Vendors &amp; Crew'!$A$5:$D$34,4,FALSE),0))</f>
        <v/>
      </c>
      <c r="J988" s="39">
        <f>IF(B988="","",E988*I988)</f>
        <v/>
      </c>
      <c r="K988" s="59">
        <f>IF(A988="","",A988-WEEKDAY(A988,2)+7)</f>
        <v/>
      </c>
      <c r="L988" s="9">
        <f>IF(B988="","",IF(D988="","Labor",IFERROR(VLOOKUP(D988,Settings!$E$5:$G$28,3,FALSE),"Labor")))</f>
        <v/>
      </c>
      <c r="M988" s="9">
        <f>IF(B988="","",IF(COUNTIF('Vendors &amp; Crew'!$A$5:$A$34,B988)=0,"Worker not in Crew table",IF(C988="","Missing Job ID",IF(COUNTIF(Jobs!$A$5:$A$44,C988)=0,"Unknown Job ID",IF(E988="","Missing hours",IF(A988="","Missing date",""))))))</f>
        <v/>
      </c>
      <c r="N988" s="35" t="n"/>
    </row>
    <row r="989">
      <c r="A989" s="40" t="n"/>
      <c r="B989" s="35" t="n"/>
      <c r="C989" s="35" t="n"/>
      <c r="D989" s="35" t="n"/>
      <c r="E989" s="61" t="n"/>
      <c r="F989" s="37" t="n"/>
      <c r="G989" s="39">
        <f>IF(B989="","",IF(F989&lt;&gt;"",F989,IFERROR(VLOOKUP(B989,'Vendors &amp; Crew'!$A$5:$D$34,3,FALSE),0)))</f>
        <v/>
      </c>
      <c r="H989" s="39">
        <f>IF(B989="","",E989*G989*(1+Settings!$B$18))</f>
        <v/>
      </c>
      <c r="I989" s="39">
        <f>IF(B989="","",IFERROR(VLOOKUP(B989,'Vendors &amp; Crew'!$A$5:$D$34,4,FALSE),0))</f>
        <v/>
      </c>
      <c r="J989" s="39">
        <f>IF(B989="","",E989*I989)</f>
        <v/>
      </c>
      <c r="K989" s="59">
        <f>IF(A989="","",A989-WEEKDAY(A989,2)+7)</f>
        <v/>
      </c>
      <c r="L989" s="9">
        <f>IF(B989="","",IF(D989="","Labor",IFERROR(VLOOKUP(D989,Settings!$E$5:$G$28,3,FALSE),"Labor")))</f>
        <v/>
      </c>
      <c r="M989" s="9">
        <f>IF(B989="","",IF(COUNTIF('Vendors &amp; Crew'!$A$5:$A$34,B989)=0,"Worker not in Crew table",IF(C989="","Missing Job ID",IF(COUNTIF(Jobs!$A$5:$A$44,C989)=0,"Unknown Job ID",IF(E989="","Missing hours",IF(A989="","Missing date",""))))))</f>
        <v/>
      </c>
      <c r="N989" s="35" t="n"/>
    </row>
    <row r="990">
      <c r="A990" s="40" t="n"/>
      <c r="B990" s="35" t="n"/>
      <c r="C990" s="35" t="n"/>
      <c r="D990" s="35" t="n"/>
      <c r="E990" s="61" t="n"/>
      <c r="F990" s="37" t="n"/>
      <c r="G990" s="39">
        <f>IF(B990="","",IF(F990&lt;&gt;"",F990,IFERROR(VLOOKUP(B990,'Vendors &amp; Crew'!$A$5:$D$34,3,FALSE),0)))</f>
        <v/>
      </c>
      <c r="H990" s="39">
        <f>IF(B990="","",E990*G990*(1+Settings!$B$18))</f>
        <v/>
      </c>
      <c r="I990" s="39">
        <f>IF(B990="","",IFERROR(VLOOKUP(B990,'Vendors &amp; Crew'!$A$5:$D$34,4,FALSE),0))</f>
        <v/>
      </c>
      <c r="J990" s="39">
        <f>IF(B990="","",E990*I990)</f>
        <v/>
      </c>
      <c r="K990" s="59">
        <f>IF(A990="","",A990-WEEKDAY(A990,2)+7)</f>
        <v/>
      </c>
      <c r="L990" s="9">
        <f>IF(B990="","",IF(D990="","Labor",IFERROR(VLOOKUP(D990,Settings!$E$5:$G$28,3,FALSE),"Labor")))</f>
        <v/>
      </c>
      <c r="M990" s="9">
        <f>IF(B990="","",IF(COUNTIF('Vendors &amp; Crew'!$A$5:$A$34,B990)=0,"Worker not in Crew table",IF(C990="","Missing Job ID",IF(COUNTIF(Jobs!$A$5:$A$44,C990)=0,"Unknown Job ID",IF(E990="","Missing hours",IF(A990="","Missing date",""))))))</f>
        <v/>
      </c>
      <c r="N990" s="35" t="n"/>
    </row>
    <row r="991">
      <c r="A991" s="40" t="n"/>
      <c r="B991" s="35" t="n"/>
      <c r="C991" s="35" t="n"/>
      <c r="D991" s="35" t="n"/>
      <c r="E991" s="61" t="n"/>
      <c r="F991" s="37" t="n"/>
      <c r="G991" s="39">
        <f>IF(B991="","",IF(F991&lt;&gt;"",F991,IFERROR(VLOOKUP(B991,'Vendors &amp; Crew'!$A$5:$D$34,3,FALSE),0)))</f>
        <v/>
      </c>
      <c r="H991" s="39">
        <f>IF(B991="","",E991*G991*(1+Settings!$B$18))</f>
        <v/>
      </c>
      <c r="I991" s="39">
        <f>IF(B991="","",IFERROR(VLOOKUP(B991,'Vendors &amp; Crew'!$A$5:$D$34,4,FALSE),0))</f>
        <v/>
      </c>
      <c r="J991" s="39">
        <f>IF(B991="","",E991*I991)</f>
        <v/>
      </c>
      <c r="K991" s="59">
        <f>IF(A991="","",A991-WEEKDAY(A991,2)+7)</f>
        <v/>
      </c>
      <c r="L991" s="9">
        <f>IF(B991="","",IF(D991="","Labor",IFERROR(VLOOKUP(D991,Settings!$E$5:$G$28,3,FALSE),"Labor")))</f>
        <v/>
      </c>
      <c r="M991" s="9">
        <f>IF(B991="","",IF(COUNTIF('Vendors &amp; Crew'!$A$5:$A$34,B991)=0,"Worker not in Crew table",IF(C991="","Missing Job ID",IF(COUNTIF(Jobs!$A$5:$A$44,C991)=0,"Unknown Job ID",IF(E991="","Missing hours",IF(A991="","Missing date",""))))))</f>
        <v/>
      </c>
      <c r="N991" s="35" t="n"/>
    </row>
    <row r="992">
      <c r="A992" s="40" t="n"/>
      <c r="B992" s="35" t="n"/>
      <c r="C992" s="35" t="n"/>
      <c r="D992" s="35" t="n"/>
      <c r="E992" s="61" t="n"/>
      <c r="F992" s="37" t="n"/>
      <c r="G992" s="39">
        <f>IF(B992="","",IF(F992&lt;&gt;"",F992,IFERROR(VLOOKUP(B992,'Vendors &amp; Crew'!$A$5:$D$34,3,FALSE),0)))</f>
        <v/>
      </c>
      <c r="H992" s="39">
        <f>IF(B992="","",E992*G992*(1+Settings!$B$18))</f>
        <v/>
      </c>
      <c r="I992" s="39">
        <f>IF(B992="","",IFERROR(VLOOKUP(B992,'Vendors &amp; Crew'!$A$5:$D$34,4,FALSE),0))</f>
        <v/>
      </c>
      <c r="J992" s="39">
        <f>IF(B992="","",E992*I992)</f>
        <v/>
      </c>
      <c r="K992" s="59">
        <f>IF(A992="","",A992-WEEKDAY(A992,2)+7)</f>
        <v/>
      </c>
      <c r="L992" s="9">
        <f>IF(B992="","",IF(D992="","Labor",IFERROR(VLOOKUP(D992,Settings!$E$5:$G$28,3,FALSE),"Labor")))</f>
        <v/>
      </c>
      <c r="M992" s="9">
        <f>IF(B992="","",IF(COUNTIF('Vendors &amp; Crew'!$A$5:$A$34,B992)=0,"Worker not in Crew table",IF(C992="","Missing Job ID",IF(COUNTIF(Jobs!$A$5:$A$44,C992)=0,"Unknown Job ID",IF(E992="","Missing hours",IF(A992="","Missing date",""))))))</f>
        <v/>
      </c>
      <c r="N992" s="35" t="n"/>
    </row>
    <row r="993">
      <c r="A993" s="40" t="n"/>
      <c r="B993" s="35" t="n"/>
      <c r="C993" s="35" t="n"/>
      <c r="D993" s="35" t="n"/>
      <c r="E993" s="61" t="n"/>
      <c r="F993" s="37" t="n"/>
      <c r="G993" s="39">
        <f>IF(B993="","",IF(F993&lt;&gt;"",F993,IFERROR(VLOOKUP(B993,'Vendors &amp; Crew'!$A$5:$D$34,3,FALSE),0)))</f>
        <v/>
      </c>
      <c r="H993" s="39">
        <f>IF(B993="","",E993*G993*(1+Settings!$B$18))</f>
        <v/>
      </c>
      <c r="I993" s="39">
        <f>IF(B993="","",IFERROR(VLOOKUP(B993,'Vendors &amp; Crew'!$A$5:$D$34,4,FALSE),0))</f>
        <v/>
      </c>
      <c r="J993" s="39">
        <f>IF(B993="","",E993*I993)</f>
        <v/>
      </c>
      <c r="K993" s="59">
        <f>IF(A993="","",A993-WEEKDAY(A993,2)+7)</f>
        <v/>
      </c>
      <c r="L993" s="9">
        <f>IF(B993="","",IF(D993="","Labor",IFERROR(VLOOKUP(D993,Settings!$E$5:$G$28,3,FALSE),"Labor")))</f>
        <v/>
      </c>
      <c r="M993" s="9">
        <f>IF(B993="","",IF(COUNTIF('Vendors &amp; Crew'!$A$5:$A$34,B993)=0,"Worker not in Crew table",IF(C993="","Missing Job ID",IF(COUNTIF(Jobs!$A$5:$A$44,C993)=0,"Unknown Job ID",IF(E993="","Missing hours",IF(A993="","Missing date",""))))))</f>
        <v/>
      </c>
      <c r="N993" s="35" t="n"/>
    </row>
    <row r="994">
      <c r="A994" s="40" t="n"/>
      <c r="B994" s="35" t="n"/>
      <c r="C994" s="35" t="n"/>
      <c r="D994" s="35" t="n"/>
      <c r="E994" s="61" t="n"/>
      <c r="F994" s="37" t="n"/>
      <c r="G994" s="39">
        <f>IF(B994="","",IF(F994&lt;&gt;"",F994,IFERROR(VLOOKUP(B994,'Vendors &amp; Crew'!$A$5:$D$34,3,FALSE),0)))</f>
        <v/>
      </c>
      <c r="H994" s="39">
        <f>IF(B994="","",E994*G994*(1+Settings!$B$18))</f>
        <v/>
      </c>
      <c r="I994" s="39">
        <f>IF(B994="","",IFERROR(VLOOKUP(B994,'Vendors &amp; Crew'!$A$5:$D$34,4,FALSE),0))</f>
        <v/>
      </c>
      <c r="J994" s="39">
        <f>IF(B994="","",E994*I994)</f>
        <v/>
      </c>
      <c r="K994" s="59">
        <f>IF(A994="","",A994-WEEKDAY(A994,2)+7)</f>
        <v/>
      </c>
      <c r="L994" s="9">
        <f>IF(B994="","",IF(D994="","Labor",IFERROR(VLOOKUP(D994,Settings!$E$5:$G$28,3,FALSE),"Labor")))</f>
        <v/>
      </c>
      <c r="M994" s="9">
        <f>IF(B994="","",IF(COUNTIF('Vendors &amp; Crew'!$A$5:$A$34,B994)=0,"Worker not in Crew table",IF(C994="","Missing Job ID",IF(COUNTIF(Jobs!$A$5:$A$44,C994)=0,"Unknown Job ID",IF(E994="","Missing hours",IF(A994="","Missing date",""))))))</f>
        <v/>
      </c>
      <c r="N994" s="35" t="n"/>
    </row>
    <row r="995">
      <c r="A995" s="40" t="n"/>
      <c r="B995" s="35" t="n"/>
      <c r="C995" s="35" t="n"/>
      <c r="D995" s="35" t="n"/>
      <c r="E995" s="61" t="n"/>
      <c r="F995" s="37" t="n"/>
      <c r="G995" s="39">
        <f>IF(B995="","",IF(F995&lt;&gt;"",F995,IFERROR(VLOOKUP(B995,'Vendors &amp; Crew'!$A$5:$D$34,3,FALSE),0)))</f>
        <v/>
      </c>
      <c r="H995" s="39">
        <f>IF(B995="","",E995*G995*(1+Settings!$B$18))</f>
        <v/>
      </c>
      <c r="I995" s="39">
        <f>IF(B995="","",IFERROR(VLOOKUP(B995,'Vendors &amp; Crew'!$A$5:$D$34,4,FALSE),0))</f>
        <v/>
      </c>
      <c r="J995" s="39">
        <f>IF(B995="","",E995*I995)</f>
        <v/>
      </c>
      <c r="K995" s="59">
        <f>IF(A995="","",A995-WEEKDAY(A995,2)+7)</f>
        <v/>
      </c>
      <c r="L995" s="9">
        <f>IF(B995="","",IF(D995="","Labor",IFERROR(VLOOKUP(D995,Settings!$E$5:$G$28,3,FALSE),"Labor")))</f>
        <v/>
      </c>
      <c r="M995" s="9">
        <f>IF(B995="","",IF(COUNTIF('Vendors &amp; Crew'!$A$5:$A$34,B995)=0,"Worker not in Crew table",IF(C995="","Missing Job ID",IF(COUNTIF(Jobs!$A$5:$A$44,C995)=0,"Unknown Job ID",IF(E995="","Missing hours",IF(A995="","Missing date",""))))))</f>
        <v/>
      </c>
      <c r="N995" s="35" t="n"/>
    </row>
    <row r="996">
      <c r="A996" s="40" t="n"/>
      <c r="B996" s="35" t="n"/>
      <c r="C996" s="35" t="n"/>
      <c r="D996" s="35" t="n"/>
      <c r="E996" s="61" t="n"/>
      <c r="F996" s="37" t="n"/>
      <c r="G996" s="39">
        <f>IF(B996="","",IF(F996&lt;&gt;"",F996,IFERROR(VLOOKUP(B996,'Vendors &amp; Crew'!$A$5:$D$34,3,FALSE),0)))</f>
        <v/>
      </c>
      <c r="H996" s="39">
        <f>IF(B996="","",E996*G996*(1+Settings!$B$18))</f>
        <v/>
      </c>
      <c r="I996" s="39">
        <f>IF(B996="","",IFERROR(VLOOKUP(B996,'Vendors &amp; Crew'!$A$5:$D$34,4,FALSE),0))</f>
        <v/>
      </c>
      <c r="J996" s="39">
        <f>IF(B996="","",E996*I996)</f>
        <v/>
      </c>
      <c r="K996" s="59">
        <f>IF(A996="","",A996-WEEKDAY(A996,2)+7)</f>
        <v/>
      </c>
      <c r="L996" s="9">
        <f>IF(B996="","",IF(D996="","Labor",IFERROR(VLOOKUP(D996,Settings!$E$5:$G$28,3,FALSE),"Labor")))</f>
        <v/>
      </c>
      <c r="M996" s="9">
        <f>IF(B996="","",IF(COUNTIF('Vendors &amp; Crew'!$A$5:$A$34,B996)=0,"Worker not in Crew table",IF(C996="","Missing Job ID",IF(COUNTIF(Jobs!$A$5:$A$44,C996)=0,"Unknown Job ID",IF(E996="","Missing hours",IF(A996="","Missing date",""))))))</f>
        <v/>
      </c>
      <c r="N996" s="35" t="n"/>
    </row>
    <row r="997">
      <c r="A997" s="40" t="n"/>
      <c r="B997" s="35" t="n"/>
      <c r="C997" s="35" t="n"/>
      <c r="D997" s="35" t="n"/>
      <c r="E997" s="61" t="n"/>
      <c r="F997" s="37" t="n"/>
      <c r="G997" s="39">
        <f>IF(B997="","",IF(F997&lt;&gt;"",F997,IFERROR(VLOOKUP(B997,'Vendors &amp; Crew'!$A$5:$D$34,3,FALSE),0)))</f>
        <v/>
      </c>
      <c r="H997" s="39">
        <f>IF(B997="","",E997*G997*(1+Settings!$B$18))</f>
        <v/>
      </c>
      <c r="I997" s="39">
        <f>IF(B997="","",IFERROR(VLOOKUP(B997,'Vendors &amp; Crew'!$A$5:$D$34,4,FALSE),0))</f>
        <v/>
      </c>
      <c r="J997" s="39">
        <f>IF(B997="","",E997*I997)</f>
        <v/>
      </c>
      <c r="K997" s="59">
        <f>IF(A997="","",A997-WEEKDAY(A997,2)+7)</f>
        <v/>
      </c>
      <c r="L997" s="9">
        <f>IF(B997="","",IF(D997="","Labor",IFERROR(VLOOKUP(D997,Settings!$E$5:$G$28,3,FALSE),"Labor")))</f>
        <v/>
      </c>
      <c r="M997" s="9">
        <f>IF(B997="","",IF(COUNTIF('Vendors &amp; Crew'!$A$5:$A$34,B997)=0,"Worker not in Crew table",IF(C997="","Missing Job ID",IF(COUNTIF(Jobs!$A$5:$A$44,C997)=0,"Unknown Job ID",IF(E997="","Missing hours",IF(A997="","Missing date",""))))))</f>
        <v/>
      </c>
      <c r="N997" s="35" t="n"/>
    </row>
    <row r="998">
      <c r="A998" s="40" t="n"/>
      <c r="B998" s="35" t="n"/>
      <c r="C998" s="35" t="n"/>
      <c r="D998" s="35" t="n"/>
      <c r="E998" s="61" t="n"/>
      <c r="F998" s="37" t="n"/>
      <c r="G998" s="39">
        <f>IF(B998="","",IF(F998&lt;&gt;"",F998,IFERROR(VLOOKUP(B998,'Vendors &amp; Crew'!$A$5:$D$34,3,FALSE),0)))</f>
        <v/>
      </c>
      <c r="H998" s="39">
        <f>IF(B998="","",E998*G998*(1+Settings!$B$18))</f>
        <v/>
      </c>
      <c r="I998" s="39">
        <f>IF(B998="","",IFERROR(VLOOKUP(B998,'Vendors &amp; Crew'!$A$5:$D$34,4,FALSE),0))</f>
        <v/>
      </c>
      <c r="J998" s="39">
        <f>IF(B998="","",E998*I998)</f>
        <v/>
      </c>
      <c r="K998" s="59">
        <f>IF(A998="","",A998-WEEKDAY(A998,2)+7)</f>
        <v/>
      </c>
      <c r="L998" s="9">
        <f>IF(B998="","",IF(D998="","Labor",IFERROR(VLOOKUP(D998,Settings!$E$5:$G$28,3,FALSE),"Labor")))</f>
        <v/>
      </c>
      <c r="M998" s="9">
        <f>IF(B998="","",IF(COUNTIF('Vendors &amp; Crew'!$A$5:$A$34,B998)=0,"Worker not in Crew table",IF(C998="","Missing Job ID",IF(COUNTIF(Jobs!$A$5:$A$44,C998)=0,"Unknown Job ID",IF(E998="","Missing hours",IF(A998="","Missing date",""))))))</f>
        <v/>
      </c>
      <c r="N998" s="35" t="n"/>
    </row>
    <row r="999">
      <c r="A999" s="40" t="n"/>
      <c r="B999" s="35" t="n"/>
      <c r="C999" s="35" t="n"/>
      <c r="D999" s="35" t="n"/>
      <c r="E999" s="61" t="n"/>
      <c r="F999" s="37" t="n"/>
      <c r="G999" s="39">
        <f>IF(B999="","",IF(F999&lt;&gt;"",F999,IFERROR(VLOOKUP(B999,'Vendors &amp; Crew'!$A$5:$D$34,3,FALSE),0)))</f>
        <v/>
      </c>
      <c r="H999" s="39">
        <f>IF(B999="","",E999*G999*(1+Settings!$B$18))</f>
        <v/>
      </c>
      <c r="I999" s="39">
        <f>IF(B999="","",IFERROR(VLOOKUP(B999,'Vendors &amp; Crew'!$A$5:$D$34,4,FALSE),0))</f>
        <v/>
      </c>
      <c r="J999" s="39">
        <f>IF(B999="","",E999*I999)</f>
        <v/>
      </c>
      <c r="K999" s="59">
        <f>IF(A999="","",A999-WEEKDAY(A999,2)+7)</f>
        <v/>
      </c>
      <c r="L999" s="9">
        <f>IF(B999="","",IF(D999="","Labor",IFERROR(VLOOKUP(D999,Settings!$E$5:$G$28,3,FALSE),"Labor")))</f>
        <v/>
      </c>
      <c r="M999" s="9">
        <f>IF(B999="","",IF(COUNTIF('Vendors &amp; Crew'!$A$5:$A$34,B999)=0,"Worker not in Crew table",IF(C999="","Missing Job ID",IF(COUNTIF(Jobs!$A$5:$A$44,C999)=0,"Unknown Job ID",IF(E999="","Missing hours",IF(A999="","Missing date",""))))))</f>
        <v/>
      </c>
      <c r="N999" s="35" t="n"/>
    </row>
    <row r="1000">
      <c r="A1000" s="40" t="n"/>
      <c r="B1000" s="35" t="n"/>
      <c r="C1000" s="35" t="n"/>
      <c r="D1000" s="35" t="n"/>
      <c r="E1000" s="61" t="n"/>
      <c r="F1000" s="37" t="n"/>
      <c r="G1000" s="39">
        <f>IF(B1000="","",IF(F1000&lt;&gt;"",F1000,IFERROR(VLOOKUP(B1000,'Vendors &amp; Crew'!$A$5:$D$34,3,FALSE),0)))</f>
        <v/>
      </c>
      <c r="H1000" s="39">
        <f>IF(B1000="","",E1000*G1000*(1+Settings!$B$18))</f>
        <v/>
      </c>
      <c r="I1000" s="39">
        <f>IF(B1000="","",IFERROR(VLOOKUP(B1000,'Vendors &amp; Crew'!$A$5:$D$34,4,FALSE),0))</f>
        <v/>
      </c>
      <c r="J1000" s="39">
        <f>IF(B1000="","",E1000*I1000)</f>
        <v/>
      </c>
      <c r="K1000" s="59">
        <f>IF(A1000="","",A1000-WEEKDAY(A1000,2)+7)</f>
        <v/>
      </c>
      <c r="L1000" s="9">
        <f>IF(B1000="","",IF(D1000="","Labor",IFERROR(VLOOKUP(D1000,Settings!$E$5:$G$28,3,FALSE),"Labor")))</f>
        <v/>
      </c>
      <c r="M1000" s="9">
        <f>IF(B1000="","",IF(COUNTIF('Vendors &amp; Crew'!$A$5:$A$34,B1000)=0,"Worker not in Crew table",IF(C1000="","Missing Job ID",IF(COUNTIF(Jobs!$A$5:$A$44,C1000)=0,"Unknown Job ID",IF(E1000="","Missing hours",IF(A1000="","Missing date",""))))))</f>
        <v/>
      </c>
      <c r="N1000" s="35" t="n"/>
    </row>
    <row r="1001">
      <c r="A1001" s="40" t="n"/>
      <c r="B1001" s="35" t="n"/>
      <c r="C1001" s="35" t="n"/>
      <c r="D1001" s="35" t="n"/>
      <c r="E1001" s="61" t="n"/>
      <c r="F1001" s="37" t="n"/>
      <c r="G1001" s="39">
        <f>IF(B1001="","",IF(F1001&lt;&gt;"",F1001,IFERROR(VLOOKUP(B1001,'Vendors &amp; Crew'!$A$5:$D$34,3,FALSE),0)))</f>
        <v/>
      </c>
      <c r="H1001" s="39">
        <f>IF(B1001="","",E1001*G1001*(1+Settings!$B$18))</f>
        <v/>
      </c>
      <c r="I1001" s="39">
        <f>IF(B1001="","",IFERROR(VLOOKUP(B1001,'Vendors &amp; Crew'!$A$5:$D$34,4,FALSE),0))</f>
        <v/>
      </c>
      <c r="J1001" s="39">
        <f>IF(B1001="","",E1001*I1001)</f>
        <v/>
      </c>
      <c r="K1001" s="59">
        <f>IF(A1001="","",A1001-WEEKDAY(A1001,2)+7)</f>
        <v/>
      </c>
      <c r="L1001" s="9">
        <f>IF(B1001="","",IF(D1001="","Labor",IFERROR(VLOOKUP(D1001,Settings!$E$5:$G$28,3,FALSE),"Labor")))</f>
        <v/>
      </c>
      <c r="M1001" s="9">
        <f>IF(B1001="","",IF(COUNTIF('Vendors &amp; Crew'!$A$5:$A$34,B1001)=0,"Worker not in Crew table",IF(C1001="","Missing Job ID",IF(COUNTIF(Jobs!$A$5:$A$44,C1001)=0,"Unknown Job ID",IF(E1001="","Missing hours",IF(A1001="","Missing date",""))))))</f>
        <v/>
      </c>
      <c r="N1001" s="35" t="n"/>
    </row>
    <row r="1002">
      <c r="A1002" s="40" t="n"/>
      <c r="B1002" s="35" t="n"/>
      <c r="C1002" s="35" t="n"/>
      <c r="D1002" s="35" t="n"/>
      <c r="E1002" s="61" t="n"/>
      <c r="F1002" s="37" t="n"/>
      <c r="G1002" s="39">
        <f>IF(B1002="","",IF(F1002&lt;&gt;"",F1002,IFERROR(VLOOKUP(B1002,'Vendors &amp; Crew'!$A$5:$D$34,3,FALSE),0)))</f>
        <v/>
      </c>
      <c r="H1002" s="39">
        <f>IF(B1002="","",E1002*G1002*(1+Settings!$B$18))</f>
        <v/>
      </c>
      <c r="I1002" s="39">
        <f>IF(B1002="","",IFERROR(VLOOKUP(B1002,'Vendors &amp; Crew'!$A$5:$D$34,4,FALSE),0))</f>
        <v/>
      </c>
      <c r="J1002" s="39">
        <f>IF(B1002="","",E1002*I1002)</f>
        <v/>
      </c>
      <c r="K1002" s="59">
        <f>IF(A1002="","",A1002-WEEKDAY(A1002,2)+7)</f>
        <v/>
      </c>
      <c r="L1002" s="9">
        <f>IF(B1002="","",IF(D1002="","Labor",IFERROR(VLOOKUP(D1002,Settings!$E$5:$G$28,3,FALSE),"Labor")))</f>
        <v/>
      </c>
      <c r="M1002" s="9">
        <f>IF(B1002="","",IF(COUNTIF('Vendors &amp; Crew'!$A$5:$A$34,B1002)=0,"Worker not in Crew table",IF(C1002="","Missing Job ID",IF(COUNTIF(Jobs!$A$5:$A$44,C1002)=0,"Unknown Job ID",IF(E1002="","Missing hours",IF(A1002="","Missing date",""))))))</f>
        <v/>
      </c>
      <c r="N1002" s="35" t="n"/>
    </row>
    <row r="1003">
      <c r="A1003" s="40" t="n"/>
      <c r="B1003" s="35" t="n"/>
      <c r="C1003" s="35" t="n"/>
      <c r="D1003" s="35" t="n"/>
      <c r="E1003" s="61" t="n"/>
      <c r="F1003" s="37" t="n"/>
      <c r="G1003" s="39">
        <f>IF(B1003="","",IF(F1003&lt;&gt;"",F1003,IFERROR(VLOOKUP(B1003,'Vendors &amp; Crew'!$A$5:$D$34,3,FALSE),0)))</f>
        <v/>
      </c>
      <c r="H1003" s="39">
        <f>IF(B1003="","",E1003*G1003*(1+Settings!$B$18))</f>
        <v/>
      </c>
      <c r="I1003" s="39">
        <f>IF(B1003="","",IFERROR(VLOOKUP(B1003,'Vendors &amp; Crew'!$A$5:$D$34,4,FALSE),0))</f>
        <v/>
      </c>
      <c r="J1003" s="39">
        <f>IF(B1003="","",E1003*I1003)</f>
        <v/>
      </c>
      <c r="K1003" s="59">
        <f>IF(A1003="","",A1003-WEEKDAY(A1003,2)+7)</f>
        <v/>
      </c>
      <c r="L1003" s="9">
        <f>IF(B1003="","",IF(D1003="","Labor",IFERROR(VLOOKUP(D1003,Settings!$E$5:$G$28,3,FALSE),"Labor")))</f>
        <v/>
      </c>
      <c r="M1003" s="9">
        <f>IF(B1003="","",IF(COUNTIF('Vendors &amp; Crew'!$A$5:$A$34,B1003)=0,"Worker not in Crew table",IF(C1003="","Missing Job ID",IF(COUNTIF(Jobs!$A$5:$A$44,C1003)=0,"Unknown Job ID",IF(E1003="","Missing hours",IF(A1003="","Missing date",""))))))</f>
        <v/>
      </c>
      <c r="N1003" s="35" t="n"/>
    </row>
    <row r="1004">
      <c r="A1004" s="40" t="n"/>
      <c r="B1004" s="35" t="n"/>
      <c r="C1004" s="35" t="n"/>
      <c r="D1004" s="35" t="n"/>
      <c r="E1004" s="61" t="n"/>
      <c r="F1004" s="37" t="n"/>
      <c r="G1004" s="39">
        <f>IF(B1004="","",IF(F1004&lt;&gt;"",F1004,IFERROR(VLOOKUP(B1004,'Vendors &amp; Crew'!$A$5:$D$34,3,FALSE),0)))</f>
        <v/>
      </c>
      <c r="H1004" s="39">
        <f>IF(B1004="","",E1004*G1004*(1+Settings!$B$18))</f>
        <v/>
      </c>
      <c r="I1004" s="39">
        <f>IF(B1004="","",IFERROR(VLOOKUP(B1004,'Vendors &amp; Crew'!$A$5:$D$34,4,FALSE),0))</f>
        <v/>
      </c>
      <c r="J1004" s="39">
        <f>IF(B1004="","",E1004*I1004)</f>
        <v/>
      </c>
      <c r="K1004" s="59">
        <f>IF(A1004="","",A1004-WEEKDAY(A1004,2)+7)</f>
        <v/>
      </c>
      <c r="L1004" s="9">
        <f>IF(B1004="","",IF(D1004="","Labor",IFERROR(VLOOKUP(D1004,Settings!$E$5:$G$28,3,FALSE),"Labor")))</f>
        <v/>
      </c>
      <c r="M1004" s="9">
        <f>IF(B1004="","",IF(COUNTIF('Vendors &amp; Crew'!$A$5:$A$34,B1004)=0,"Worker not in Crew table",IF(C1004="","Missing Job ID",IF(COUNTIF(Jobs!$A$5:$A$44,C1004)=0,"Unknown Job ID",IF(E1004="","Missing hours",IF(A1004="","Missing date",""))))))</f>
        <v/>
      </c>
      <c r="N1004" s="35" t="n"/>
    </row>
    <row r="1005">
      <c r="A1005" s="31" t="inlineStr">
        <is>
          <t>TOTAL</t>
        </is>
      </c>
      <c r="B1005" s="31" t="n"/>
      <c r="C1005" s="31" t="n"/>
      <c r="D1005" s="31" t="n"/>
      <c r="E1005" s="33">
        <f>SUM(E5:E1004)</f>
        <v/>
      </c>
      <c r="F1005" s="31" t="n"/>
      <c r="G1005" s="31" t="n"/>
      <c r="H1005" s="41">
        <f>SUM(H5:H1004)</f>
        <v/>
      </c>
      <c r="I1005" s="31" t="n"/>
      <c r="J1005" s="41">
        <f>SUM(J5:J1004)</f>
        <v/>
      </c>
      <c r="K1005" s="31" t="n"/>
      <c r="L1005" s="31" t="n"/>
      <c r="M1005" s="31" t="n"/>
      <c r="N1005" s="31" t="n"/>
    </row>
  </sheetData>
  <conditionalFormatting sqref="M5:M1004">
    <cfRule type="expression" priority="1" dxfId="1">
      <formula>M5&lt;&gt;""</formula>
    </cfRule>
  </conditionalFormatting>
  <conditionalFormatting sqref="T5:T34">
    <cfRule type="expression" priority="2" dxfId="0">
      <formula>AND(T5&lt;&gt;"",T5&gt;0)</formula>
    </cfRule>
  </conditionalFormatting>
  <dataValidations count="3">
    <dataValidation sqref="B5:B1004" showDropDown="0" showInputMessage="1" showErrorMessage="0" allowBlank="1" promptTitle="Pick from the list" prompt="Workers come from the Crew table on Vendors &amp; Crew." type="list">
      <formula1>='Vendors &amp; Crew'!$A$5:$A$34</formula1>
    </dataValidation>
    <dataValidation sqref="C5:C1004" showDropDown="0" showInputMessage="1" showErrorMessage="0" allowBlank="1" promptTitle="Pick from the list" prompt="Job IDs come from the Jobs sheet." type="list">
      <formula1>=Jobs!$A$5:$A$44</formula1>
    </dataValidation>
    <dataValidation sqref="D5:D1004" showDropDown="0" showInputMessage="0" showErrorMessage="0" allowBlank="1" type="list">
      <formula1>=Settings!$E$5:$E$28</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2.xml><?xml version="1.0" encoding="utf-8"?>
<worksheet xmlns="http://schemas.openxmlformats.org/spreadsheetml/2006/main">
  <sheetPr>
    <tabColor rgb="004A86C8"/>
    <outlinePr summaryBelow="1" summaryRight="1"/>
    <pageSetUpPr fitToPage="1"/>
  </sheetPr>
  <dimension ref="A1:N10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0" customWidth="1" min="3" max="3"/>
    <col width="14" customWidth="1" min="4" max="4"/>
    <col width="22" customWidth="1" min="5" max="5"/>
    <col width="34" customWidth="1" min="6" max="6"/>
    <col width="11" customWidth="1" min="7" max="7"/>
    <col width="14" customWidth="1" min="8" max="8"/>
    <col width="14" customWidth="1" min="9" max="9"/>
    <col width="8" customWidth="1" min="10" max="10"/>
    <col width="14" customWidth="1" min="11" max="11"/>
    <col width="16" customWidth="1" min="12" max="12"/>
    <col width="22" customWidth="1" min="13" max="13"/>
    <col width="26" customWidth="1" min="14" max="14"/>
  </cols>
  <sheetData>
    <row r="1">
      <c r="A1" s="13" t="inlineStr">
        <is>
          <t>Job Costs (actuals)</t>
        </is>
      </c>
    </row>
    <row r="2">
      <c r="A2" s="14" t="inlineStr">
        <is>
          <t>Materials, subcontractors, equipment, permits and other real costs. Qty × Unit Cost = Amount. Category comes from the cost code. Crew hours belong on the Timesheet.</t>
        </is>
      </c>
    </row>
    <row r="4" ht="30" customHeight="1">
      <c r="A4" s="24" t="inlineStr">
        <is>
          <t>Date</t>
        </is>
      </c>
      <c r="B4" s="24" t="inlineStr">
        <is>
          <t>Job ID</t>
        </is>
      </c>
      <c r="C4" s="24" t="inlineStr">
        <is>
          <t>Cost Code</t>
        </is>
      </c>
      <c r="D4" s="24" t="inlineStr">
        <is>
          <t>Category</t>
        </is>
      </c>
      <c r="E4" s="24" t="inlineStr">
        <is>
          <t>Vendor</t>
        </is>
      </c>
      <c r="F4" s="24" t="inlineStr">
        <is>
          <t>Description</t>
        </is>
      </c>
      <c r="G4" s="24" t="inlineStr">
        <is>
          <t>Qty or Hours</t>
        </is>
      </c>
      <c r="H4" s="24" t="inlineStr">
        <is>
          <t>Unit Cost / Rate</t>
        </is>
      </c>
      <c r="I4" s="24" t="inlineStr">
        <is>
          <t>Amount</t>
        </is>
      </c>
      <c r="J4" s="24" t="inlineStr">
        <is>
          <t>Paid?</t>
        </is>
      </c>
      <c r="K4" s="24" t="inlineStr">
        <is>
          <t>Payment Method</t>
        </is>
      </c>
      <c r="L4" s="24" t="inlineStr">
        <is>
          <t>Receipt / Invoice #</t>
        </is>
      </c>
      <c r="M4" s="24" t="inlineStr">
        <is>
          <t>Check</t>
        </is>
      </c>
      <c r="N4" s="24" t="inlineStr">
        <is>
          <t>Notes</t>
        </is>
      </c>
    </row>
    <row r="5">
      <c r="A5" s="40" t="n"/>
      <c r="B5" s="35" t="n"/>
      <c r="C5" s="35" t="n"/>
      <c r="D5" s="9">
        <f>IF(C5="","",IFERROR(VLOOKUP(C5,Settings!$E$5:$G$28,3,FALSE),"Other"))</f>
        <v/>
      </c>
      <c r="E5" s="35" t="n"/>
      <c r="F5" s="35" t="n"/>
      <c r="G5" s="35" t="n"/>
      <c r="H5" s="37" t="n"/>
      <c r="I5" s="39">
        <f>IF(B5="","",G5*H5)</f>
        <v/>
      </c>
      <c r="J5" s="35" t="n"/>
      <c r="K5" s="35" t="n"/>
      <c r="L5" s="35" t="n"/>
      <c r="M5" s="9">
        <f>IF(B5="","",IF(COUNTIF(Jobs!$A$5:$A$44,B5)=0,"Unknown Job ID",IF(C5="","Missing cost code",IF(COUNTIF(Settings!$E$5:$E$28,C5)=0,"Unknown cost code",IF(A5="","Missing date",IF(OR(G5="",H5=""),"Missing qty or cost",""))))))</f>
        <v/>
      </c>
      <c r="N5" s="35" t="n"/>
    </row>
    <row r="6">
      <c r="A6" s="40" t="n"/>
      <c r="B6" s="35" t="n"/>
      <c r="C6" s="35" t="n"/>
      <c r="D6" s="9">
        <f>IF(C6="","",IFERROR(VLOOKUP(C6,Settings!$E$5:$G$28,3,FALSE),"Other"))</f>
        <v/>
      </c>
      <c r="E6" s="35" t="n"/>
      <c r="F6" s="35" t="n"/>
      <c r="G6" s="35" t="n"/>
      <c r="H6" s="37" t="n"/>
      <c r="I6" s="39">
        <f>IF(B6="","",G6*H6)</f>
        <v/>
      </c>
      <c r="J6" s="35" t="n"/>
      <c r="K6" s="35" t="n"/>
      <c r="L6" s="35" t="n"/>
      <c r="M6" s="9">
        <f>IF(B6="","",IF(COUNTIF(Jobs!$A$5:$A$44,B6)=0,"Unknown Job ID",IF(C6="","Missing cost code",IF(COUNTIF(Settings!$E$5:$E$28,C6)=0,"Unknown cost code",IF(A6="","Missing date",IF(OR(G6="",H6=""),"Missing qty or cost",""))))))</f>
        <v/>
      </c>
      <c r="N6" s="35" t="n"/>
    </row>
    <row r="7">
      <c r="A7" s="40" t="n"/>
      <c r="B7" s="35" t="n"/>
      <c r="C7" s="35" t="n"/>
      <c r="D7" s="9">
        <f>IF(C7="","",IFERROR(VLOOKUP(C7,Settings!$E$5:$G$28,3,FALSE),"Other"))</f>
        <v/>
      </c>
      <c r="E7" s="35" t="n"/>
      <c r="F7" s="35" t="n"/>
      <c r="G7" s="35" t="n"/>
      <c r="H7" s="37" t="n"/>
      <c r="I7" s="39">
        <f>IF(B7="","",G7*H7)</f>
        <v/>
      </c>
      <c r="J7" s="35" t="n"/>
      <c r="K7" s="35" t="n"/>
      <c r="L7" s="35" t="n"/>
      <c r="M7" s="9">
        <f>IF(B7="","",IF(COUNTIF(Jobs!$A$5:$A$44,B7)=0,"Unknown Job ID",IF(C7="","Missing cost code",IF(COUNTIF(Settings!$E$5:$E$28,C7)=0,"Unknown cost code",IF(A7="","Missing date",IF(OR(G7="",H7=""),"Missing qty or cost",""))))))</f>
        <v/>
      </c>
      <c r="N7" s="35" t="n"/>
    </row>
    <row r="8">
      <c r="A8" s="40" t="n"/>
      <c r="B8" s="35" t="n"/>
      <c r="C8" s="35" t="n"/>
      <c r="D8" s="9">
        <f>IF(C8="","",IFERROR(VLOOKUP(C8,Settings!$E$5:$G$28,3,FALSE),"Other"))</f>
        <v/>
      </c>
      <c r="E8" s="35" t="n"/>
      <c r="F8" s="35" t="n"/>
      <c r="G8" s="35" t="n"/>
      <c r="H8" s="37" t="n"/>
      <c r="I8" s="39">
        <f>IF(B8="","",G8*H8)</f>
        <v/>
      </c>
      <c r="J8" s="35" t="n"/>
      <c r="K8" s="35" t="n"/>
      <c r="L8" s="35" t="n"/>
      <c r="M8" s="9">
        <f>IF(B8="","",IF(COUNTIF(Jobs!$A$5:$A$44,B8)=0,"Unknown Job ID",IF(C8="","Missing cost code",IF(COUNTIF(Settings!$E$5:$E$28,C8)=0,"Unknown cost code",IF(A8="","Missing date",IF(OR(G8="",H8=""),"Missing qty or cost",""))))))</f>
        <v/>
      </c>
      <c r="N8" s="35" t="n"/>
    </row>
    <row r="9">
      <c r="A9" s="40" t="n"/>
      <c r="B9" s="35" t="n"/>
      <c r="C9" s="35" t="n"/>
      <c r="D9" s="9">
        <f>IF(C9="","",IFERROR(VLOOKUP(C9,Settings!$E$5:$G$28,3,FALSE),"Other"))</f>
        <v/>
      </c>
      <c r="E9" s="35" t="n"/>
      <c r="F9" s="35" t="n"/>
      <c r="G9" s="35" t="n"/>
      <c r="H9" s="37" t="n"/>
      <c r="I9" s="39">
        <f>IF(B9="","",G9*H9)</f>
        <v/>
      </c>
      <c r="J9" s="35" t="n"/>
      <c r="K9" s="35" t="n"/>
      <c r="L9" s="35" t="n"/>
      <c r="M9" s="9">
        <f>IF(B9="","",IF(COUNTIF(Jobs!$A$5:$A$44,B9)=0,"Unknown Job ID",IF(C9="","Missing cost code",IF(COUNTIF(Settings!$E$5:$E$28,C9)=0,"Unknown cost code",IF(A9="","Missing date",IF(OR(G9="",H9=""),"Missing qty or cost",""))))))</f>
        <v/>
      </c>
      <c r="N9" s="35" t="n"/>
    </row>
    <row r="10">
      <c r="A10" s="40" t="n"/>
      <c r="B10" s="35" t="n"/>
      <c r="C10" s="35" t="n"/>
      <c r="D10" s="9">
        <f>IF(C10="","",IFERROR(VLOOKUP(C10,Settings!$E$5:$G$28,3,FALSE),"Other"))</f>
        <v/>
      </c>
      <c r="E10" s="35" t="n"/>
      <c r="F10" s="35" t="n"/>
      <c r="G10" s="35" t="n"/>
      <c r="H10" s="37" t="n"/>
      <c r="I10" s="39">
        <f>IF(B10="","",G10*H10)</f>
        <v/>
      </c>
      <c r="J10" s="35" t="n"/>
      <c r="K10" s="35" t="n"/>
      <c r="L10" s="35" t="n"/>
      <c r="M10" s="9">
        <f>IF(B10="","",IF(COUNTIF(Jobs!$A$5:$A$44,B10)=0,"Unknown Job ID",IF(C10="","Missing cost code",IF(COUNTIF(Settings!$E$5:$E$28,C10)=0,"Unknown cost code",IF(A10="","Missing date",IF(OR(G10="",H10=""),"Missing qty or cost",""))))))</f>
        <v/>
      </c>
      <c r="N10" s="35" t="n"/>
    </row>
    <row r="11">
      <c r="A11" s="40" t="n"/>
      <c r="B11" s="35" t="n"/>
      <c r="C11" s="35" t="n"/>
      <c r="D11" s="9">
        <f>IF(C11="","",IFERROR(VLOOKUP(C11,Settings!$E$5:$G$28,3,FALSE),"Other"))</f>
        <v/>
      </c>
      <c r="E11" s="35" t="n"/>
      <c r="F11" s="35" t="n"/>
      <c r="G11" s="35" t="n"/>
      <c r="H11" s="37" t="n"/>
      <c r="I11" s="39">
        <f>IF(B11="","",G11*H11)</f>
        <v/>
      </c>
      <c r="J11" s="35" t="n"/>
      <c r="K11" s="35" t="n"/>
      <c r="L11" s="35" t="n"/>
      <c r="M11" s="9">
        <f>IF(B11="","",IF(COUNTIF(Jobs!$A$5:$A$44,B11)=0,"Unknown Job ID",IF(C11="","Missing cost code",IF(COUNTIF(Settings!$E$5:$E$28,C11)=0,"Unknown cost code",IF(A11="","Missing date",IF(OR(G11="",H11=""),"Missing qty or cost",""))))))</f>
        <v/>
      </c>
      <c r="N11" s="35" t="n"/>
    </row>
    <row r="12">
      <c r="A12" s="40" t="n"/>
      <c r="B12" s="35" t="n"/>
      <c r="C12" s="35" t="n"/>
      <c r="D12" s="9">
        <f>IF(C12="","",IFERROR(VLOOKUP(C12,Settings!$E$5:$G$28,3,FALSE),"Other"))</f>
        <v/>
      </c>
      <c r="E12" s="35" t="n"/>
      <c r="F12" s="35" t="n"/>
      <c r="G12" s="35" t="n"/>
      <c r="H12" s="37" t="n"/>
      <c r="I12" s="39">
        <f>IF(B12="","",G12*H12)</f>
        <v/>
      </c>
      <c r="J12" s="35" t="n"/>
      <c r="K12" s="35" t="n"/>
      <c r="L12" s="35" t="n"/>
      <c r="M12" s="9">
        <f>IF(B12="","",IF(COUNTIF(Jobs!$A$5:$A$44,B12)=0,"Unknown Job ID",IF(C12="","Missing cost code",IF(COUNTIF(Settings!$E$5:$E$28,C12)=0,"Unknown cost code",IF(A12="","Missing date",IF(OR(G12="",H12=""),"Missing qty or cost",""))))))</f>
        <v/>
      </c>
      <c r="N12" s="35" t="n"/>
    </row>
    <row r="13">
      <c r="A13" s="40" t="n"/>
      <c r="B13" s="35" t="n"/>
      <c r="C13" s="35" t="n"/>
      <c r="D13" s="9">
        <f>IF(C13="","",IFERROR(VLOOKUP(C13,Settings!$E$5:$G$28,3,FALSE),"Other"))</f>
        <v/>
      </c>
      <c r="E13" s="35" t="n"/>
      <c r="F13" s="35" t="n"/>
      <c r="G13" s="35" t="n"/>
      <c r="H13" s="37" t="n"/>
      <c r="I13" s="39">
        <f>IF(B13="","",G13*H13)</f>
        <v/>
      </c>
      <c r="J13" s="35" t="n"/>
      <c r="K13" s="35" t="n"/>
      <c r="L13" s="35" t="n"/>
      <c r="M13" s="9">
        <f>IF(B13="","",IF(COUNTIF(Jobs!$A$5:$A$44,B13)=0,"Unknown Job ID",IF(C13="","Missing cost code",IF(COUNTIF(Settings!$E$5:$E$28,C13)=0,"Unknown cost code",IF(A13="","Missing date",IF(OR(G13="",H13=""),"Missing qty or cost",""))))))</f>
        <v/>
      </c>
      <c r="N13" s="35" t="n"/>
    </row>
    <row r="14">
      <c r="A14" s="40" t="n"/>
      <c r="B14" s="35" t="n"/>
      <c r="C14" s="35" t="n"/>
      <c r="D14" s="9">
        <f>IF(C14="","",IFERROR(VLOOKUP(C14,Settings!$E$5:$G$28,3,FALSE),"Other"))</f>
        <v/>
      </c>
      <c r="E14" s="35" t="n"/>
      <c r="F14" s="35" t="n"/>
      <c r="G14" s="35" t="n"/>
      <c r="H14" s="37" t="n"/>
      <c r="I14" s="39">
        <f>IF(B14="","",G14*H14)</f>
        <v/>
      </c>
      <c r="J14" s="35" t="n"/>
      <c r="K14" s="35" t="n"/>
      <c r="L14" s="35" t="n"/>
      <c r="M14" s="9">
        <f>IF(B14="","",IF(COUNTIF(Jobs!$A$5:$A$44,B14)=0,"Unknown Job ID",IF(C14="","Missing cost code",IF(COUNTIF(Settings!$E$5:$E$28,C14)=0,"Unknown cost code",IF(A14="","Missing date",IF(OR(G14="",H14=""),"Missing qty or cost",""))))))</f>
        <v/>
      </c>
      <c r="N14" s="35" t="n"/>
    </row>
    <row r="15">
      <c r="A15" s="40" t="n"/>
      <c r="B15" s="35" t="n"/>
      <c r="C15" s="35" t="n"/>
      <c r="D15" s="9">
        <f>IF(C15="","",IFERROR(VLOOKUP(C15,Settings!$E$5:$G$28,3,FALSE),"Other"))</f>
        <v/>
      </c>
      <c r="E15" s="35" t="n"/>
      <c r="F15" s="35" t="n"/>
      <c r="G15" s="35" t="n"/>
      <c r="H15" s="37" t="n"/>
      <c r="I15" s="39">
        <f>IF(B15="","",G15*H15)</f>
        <v/>
      </c>
      <c r="J15" s="35" t="n"/>
      <c r="K15" s="35" t="n"/>
      <c r="L15" s="35" t="n"/>
      <c r="M15" s="9">
        <f>IF(B15="","",IF(COUNTIF(Jobs!$A$5:$A$44,B15)=0,"Unknown Job ID",IF(C15="","Missing cost code",IF(COUNTIF(Settings!$E$5:$E$28,C15)=0,"Unknown cost code",IF(A15="","Missing date",IF(OR(G15="",H15=""),"Missing qty or cost",""))))))</f>
        <v/>
      </c>
      <c r="N15" s="35" t="n"/>
    </row>
    <row r="16">
      <c r="A16" s="40" t="n"/>
      <c r="B16" s="35" t="n"/>
      <c r="C16" s="35" t="n"/>
      <c r="D16" s="9">
        <f>IF(C16="","",IFERROR(VLOOKUP(C16,Settings!$E$5:$G$28,3,FALSE),"Other"))</f>
        <v/>
      </c>
      <c r="E16" s="35" t="n"/>
      <c r="F16" s="35" t="n"/>
      <c r="G16" s="35" t="n"/>
      <c r="H16" s="37" t="n"/>
      <c r="I16" s="39">
        <f>IF(B16="","",G16*H16)</f>
        <v/>
      </c>
      <c r="J16" s="35" t="n"/>
      <c r="K16" s="35" t="n"/>
      <c r="L16" s="35" t="n"/>
      <c r="M16" s="9">
        <f>IF(B16="","",IF(COUNTIF(Jobs!$A$5:$A$44,B16)=0,"Unknown Job ID",IF(C16="","Missing cost code",IF(COUNTIF(Settings!$E$5:$E$28,C16)=0,"Unknown cost code",IF(A16="","Missing date",IF(OR(G16="",H16=""),"Missing qty or cost",""))))))</f>
        <v/>
      </c>
      <c r="N16" s="35" t="n"/>
    </row>
    <row r="17">
      <c r="A17" s="40" t="n"/>
      <c r="B17" s="35" t="n"/>
      <c r="C17" s="35" t="n"/>
      <c r="D17" s="9">
        <f>IF(C17="","",IFERROR(VLOOKUP(C17,Settings!$E$5:$G$28,3,FALSE),"Other"))</f>
        <v/>
      </c>
      <c r="E17" s="35" t="n"/>
      <c r="F17" s="35" t="n"/>
      <c r="G17" s="35" t="n"/>
      <c r="H17" s="37" t="n"/>
      <c r="I17" s="39">
        <f>IF(B17="","",G17*H17)</f>
        <v/>
      </c>
      <c r="J17" s="35" t="n"/>
      <c r="K17" s="35" t="n"/>
      <c r="L17" s="35" t="n"/>
      <c r="M17" s="9">
        <f>IF(B17="","",IF(COUNTIF(Jobs!$A$5:$A$44,B17)=0,"Unknown Job ID",IF(C17="","Missing cost code",IF(COUNTIF(Settings!$E$5:$E$28,C17)=0,"Unknown cost code",IF(A17="","Missing date",IF(OR(G17="",H17=""),"Missing qty or cost",""))))))</f>
        <v/>
      </c>
      <c r="N17" s="35" t="n"/>
    </row>
    <row r="18">
      <c r="A18" s="40" t="n"/>
      <c r="B18" s="35" t="n"/>
      <c r="C18" s="35" t="n"/>
      <c r="D18" s="9">
        <f>IF(C18="","",IFERROR(VLOOKUP(C18,Settings!$E$5:$G$28,3,FALSE),"Other"))</f>
        <v/>
      </c>
      <c r="E18" s="35" t="n"/>
      <c r="F18" s="35" t="n"/>
      <c r="G18" s="35" t="n"/>
      <c r="H18" s="37" t="n"/>
      <c r="I18" s="39">
        <f>IF(B18="","",G18*H18)</f>
        <v/>
      </c>
      <c r="J18" s="35" t="n"/>
      <c r="K18" s="35" t="n"/>
      <c r="L18" s="35" t="n"/>
      <c r="M18" s="9">
        <f>IF(B18="","",IF(COUNTIF(Jobs!$A$5:$A$44,B18)=0,"Unknown Job ID",IF(C18="","Missing cost code",IF(COUNTIF(Settings!$E$5:$E$28,C18)=0,"Unknown cost code",IF(A18="","Missing date",IF(OR(G18="",H18=""),"Missing qty or cost",""))))))</f>
        <v/>
      </c>
      <c r="N18" s="35" t="n"/>
    </row>
    <row r="19">
      <c r="A19" s="40" t="n"/>
      <c r="B19" s="35" t="n"/>
      <c r="C19" s="35" t="n"/>
      <c r="D19" s="9">
        <f>IF(C19="","",IFERROR(VLOOKUP(C19,Settings!$E$5:$G$28,3,FALSE),"Other"))</f>
        <v/>
      </c>
      <c r="E19" s="35" t="n"/>
      <c r="F19" s="35" t="n"/>
      <c r="G19" s="35" t="n"/>
      <c r="H19" s="37" t="n"/>
      <c r="I19" s="39">
        <f>IF(B19="","",G19*H19)</f>
        <v/>
      </c>
      <c r="J19" s="35" t="n"/>
      <c r="K19" s="35" t="n"/>
      <c r="L19" s="35" t="n"/>
      <c r="M19" s="9">
        <f>IF(B19="","",IF(COUNTIF(Jobs!$A$5:$A$44,B19)=0,"Unknown Job ID",IF(C19="","Missing cost code",IF(COUNTIF(Settings!$E$5:$E$28,C19)=0,"Unknown cost code",IF(A19="","Missing date",IF(OR(G19="",H19=""),"Missing qty or cost",""))))))</f>
        <v/>
      </c>
      <c r="N19" s="35" t="n"/>
    </row>
    <row r="20">
      <c r="A20" s="40" t="n"/>
      <c r="B20" s="35" t="n"/>
      <c r="C20" s="35" t="n"/>
      <c r="D20" s="9">
        <f>IF(C20="","",IFERROR(VLOOKUP(C20,Settings!$E$5:$G$28,3,FALSE),"Other"))</f>
        <v/>
      </c>
      <c r="E20" s="35" t="n"/>
      <c r="F20" s="35" t="n"/>
      <c r="G20" s="35" t="n"/>
      <c r="H20" s="37" t="n"/>
      <c r="I20" s="39">
        <f>IF(B20="","",G20*H20)</f>
        <v/>
      </c>
      <c r="J20" s="35" t="n"/>
      <c r="K20" s="35" t="n"/>
      <c r="L20" s="35" t="n"/>
      <c r="M20" s="9">
        <f>IF(B20="","",IF(COUNTIF(Jobs!$A$5:$A$44,B20)=0,"Unknown Job ID",IF(C20="","Missing cost code",IF(COUNTIF(Settings!$E$5:$E$28,C20)=0,"Unknown cost code",IF(A20="","Missing date",IF(OR(G20="",H20=""),"Missing qty or cost",""))))))</f>
        <v/>
      </c>
      <c r="N20" s="35" t="n"/>
    </row>
    <row r="21">
      <c r="A21" s="40" t="n"/>
      <c r="B21" s="35" t="n"/>
      <c r="C21" s="35" t="n"/>
      <c r="D21" s="9">
        <f>IF(C21="","",IFERROR(VLOOKUP(C21,Settings!$E$5:$G$28,3,FALSE),"Other"))</f>
        <v/>
      </c>
      <c r="E21" s="35" t="n"/>
      <c r="F21" s="35" t="n"/>
      <c r="G21" s="35" t="n"/>
      <c r="H21" s="37" t="n"/>
      <c r="I21" s="39">
        <f>IF(B21="","",G21*H21)</f>
        <v/>
      </c>
      <c r="J21" s="35" t="n"/>
      <c r="K21" s="35" t="n"/>
      <c r="L21" s="35" t="n"/>
      <c r="M21" s="9">
        <f>IF(B21="","",IF(COUNTIF(Jobs!$A$5:$A$44,B21)=0,"Unknown Job ID",IF(C21="","Missing cost code",IF(COUNTIF(Settings!$E$5:$E$28,C21)=0,"Unknown cost code",IF(A21="","Missing date",IF(OR(G21="",H21=""),"Missing qty or cost",""))))))</f>
        <v/>
      </c>
      <c r="N21" s="35" t="n"/>
    </row>
    <row r="22">
      <c r="A22" s="40" t="n"/>
      <c r="B22" s="35" t="n"/>
      <c r="C22" s="35" t="n"/>
      <c r="D22" s="9">
        <f>IF(C22="","",IFERROR(VLOOKUP(C22,Settings!$E$5:$G$28,3,FALSE),"Other"))</f>
        <v/>
      </c>
      <c r="E22" s="35" t="n"/>
      <c r="F22" s="35" t="n"/>
      <c r="G22" s="35" t="n"/>
      <c r="H22" s="37" t="n"/>
      <c r="I22" s="39">
        <f>IF(B22="","",G22*H22)</f>
        <v/>
      </c>
      <c r="J22" s="35" t="n"/>
      <c r="K22" s="35" t="n"/>
      <c r="L22" s="35" t="n"/>
      <c r="M22" s="9">
        <f>IF(B22="","",IF(COUNTIF(Jobs!$A$5:$A$44,B22)=0,"Unknown Job ID",IF(C22="","Missing cost code",IF(COUNTIF(Settings!$E$5:$E$28,C22)=0,"Unknown cost code",IF(A22="","Missing date",IF(OR(G22="",H22=""),"Missing qty or cost",""))))))</f>
        <v/>
      </c>
      <c r="N22" s="35" t="n"/>
    </row>
    <row r="23">
      <c r="A23" s="40" t="n"/>
      <c r="B23" s="35" t="n"/>
      <c r="C23" s="35" t="n"/>
      <c r="D23" s="9">
        <f>IF(C23="","",IFERROR(VLOOKUP(C23,Settings!$E$5:$G$28,3,FALSE),"Other"))</f>
        <v/>
      </c>
      <c r="E23" s="35" t="n"/>
      <c r="F23" s="35" t="n"/>
      <c r="G23" s="35" t="n"/>
      <c r="H23" s="37" t="n"/>
      <c r="I23" s="39">
        <f>IF(B23="","",G23*H23)</f>
        <v/>
      </c>
      <c r="J23" s="35" t="n"/>
      <c r="K23" s="35" t="n"/>
      <c r="L23" s="35" t="n"/>
      <c r="M23" s="9">
        <f>IF(B23="","",IF(COUNTIF(Jobs!$A$5:$A$44,B23)=0,"Unknown Job ID",IF(C23="","Missing cost code",IF(COUNTIF(Settings!$E$5:$E$28,C23)=0,"Unknown cost code",IF(A23="","Missing date",IF(OR(G23="",H23=""),"Missing qty or cost",""))))))</f>
        <v/>
      </c>
      <c r="N23" s="35" t="n"/>
    </row>
    <row r="24">
      <c r="A24" s="40" t="n"/>
      <c r="B24" s="35" t="n"/>
      <c r="C24" s="35" t="n"/>
      <c r="D24" s="9">
        <f>IF(C24="","",IFERROR(VLOOKUP(C24,Settings!$E$5:$G$28,3,FALSE),"Other"))</f>
        <v/>
      </c>
      <c r="E24" s="35" t="n"/>
      <c r="F24" s="35" t="n"/>
      <c r="G24" s="35" t="n"/>
      <c r="H24" s="37" t="n"/>
      <c r="I24" s="39">
        <f>IF(B24="","",G24*H24)</f>
        <v/>
      </c>
      <c r="J24" s="35" t="n"/>
      <c r="K24" s="35" t="n"/>
      <c r="L24" s="35" t="n"/>
      <c r="M24" s="9">
        <f>IF(B24="","",IF(COUNTIF(Jobs!$A$5:$A$44,B24)=0,"Unknown Job ID",IF(C24="","Missing cost code",IF(COUNTIF(Settings!$E$5:$E$28,C24)=0,"Unknown cost code",IF(A24="","Missing date",IF(OR(G24="",H24=""),"Missing qty or cost",""))))))</f>
        <v/>
      </c>
      <c r="N24" s="35" t="n"/>
    </row>
    <row r="25">
      <c r="A25" s="40" t="n"/>
      <c r="B25" s="35" t="n"/>
      <c r="C25" s="35" t="n"/>
      <c r="D25" s="9">
        <f>IF(C25="","",IFERROR(VLOOKUP(C25,Settings!$E$5:$G$28,3,FALSE),"Other"))</f>
        <v/>
      </c>
      <c r="E25" s="35" t="n"/>
      <c r="F25" s="35" t="n"/>
      <c r="G25" s="35" t="n"/>
      <c r="H25" s="37" t="n"/>
      <c r="I25" s="39">
        <f>IF(B25="","",G25*H25)</f>
        <v/>
      </c>
      <c r="J25" s="35" t="n"/>
      <c r="K25" s="35" t="n"/>
      <c r="L25" s="35" t="n"/>
      <c r="M25" s="9">
        <f>IF(B25="","",IF(COUNTIF(Jobs!$A$5:$A$44,B25)=0,"Unknown Job ID",IF(C25="","Missing cost code",IF(COUNTIF(Settings!$E$5:$E$28,C25)=0,"Unknown cost code",IF(A25="","Missing date",IF(OR(G25="",H25=""),"Missing qty or cost",""))))))</f>
        <v/>
      </c>
      <c r="N25" s="35" t="n"/>
    </row>
    <row r="26">
      <c r="A26" s="40" t="n"/>
      <c r="B26" s="35" t="n"/>
      <c r="C26" s="35" t="n"/>
      <c r="D26" s="9">
        <f>IF(C26="","",IFERROR(VLOOKUP(C26,Settings!$E$5:$G$28,3,FALSE),"Other"))</f>
        <v/>
      </c>
      <c r="E26" s="35" t="n"/>
      <c r="F26" s="35" t="n"/>
      <c r="G26" s="35" t="n"/>
      <c r="H26" s="37" t="n"/>
      <c r="I26" s="39">
        <f>IF(B26="","",G26*H26)</f>
        <v/>
      </c>
      <c r="J26" s="35" t="n"/>
      <c r="K26" s="35" t="n"/>
      <c r="L26" s="35" t="n"/>
      <c r="M26" s="9">
        <f>IF(B26="","",IF(COUNTIF(Jobs!$A$5:$A$44,B26)=0,"Unknown Job ID",IF(C26="","Missing cost code",IF(COUNTIF(Settings!$E$5:$E$28,C26)=0,"Unknown cost code",IF(A26="","Missing date",IF(OR(G26="",H26=""),"Missing qty or cost",""))))))</f>
        <v/>
      </c>
      <c r="N26" s="35" t="n"/>
    </row>
    <row r="27">
      <c r="A27" s="40" t="n"/>
      <c r="B27" s="35" t="n"/>
      <c r="C27" s="35" t="n"/>
      <c r="D27" s="9">
        <f>IF(C27="","",IFERROR(VLOOKUP(C27,Settings!$E$5:$G$28,3,FALSE),"Other"))</f>
        <v/>
      </c>
      <c r="E27" s="35" t="n"/>
      <c r="F27" s="35" t="n"/>
      <c r="G27" s="35" t="n"/>
      <c r="H27" s="37" t="n"/>
      <c r="I27" s="39">
        <f>IF(B27="","",G27*H27)</f>
        <v/>
      </c>
      <c r="J27" s="35" t="n"/>
      <c r="K27" s="35" t="n"/>
      <c r="L27" s="35" t="n"/>
      <c r="M27" s="9">
        <f>IF(B27="","",IF(COUNTIF(Jobs!$A$5:$A$44,B27)=0,"Unknown Job ID",IF(C27="","Missing cost code",IF(COUNTIF(Settings!$E$5:$E$28,C27)=0,"Unknown cost code",IF(A27="","Missing date",IF(OR(G27="",H27=""),"Missing qty or cost",""))))))</f>
        <v/>
      </c>
      <c r="N27" s="35" t="n"/>
    </row>
    <row r="28">
      <c r="A28" s="40" t="n"/>
      <c r="B28" s="35" t="n"/>
      <c r="C28" s="35" t="n"/>
      <c r="D28" s="9">
        <f>IF(C28="","",IFERROR(VLOOKUP(C28,Settings!$E$5:$G$28,3,FALSE),"Other"))</f>
        <v/>
      </c>
      <c r="E28" s="35" t="n"/>
      <c r="F28" s="35" t="n"/>
      <c r="G28" s="35" t="n"/>
      <c r="H28" s="37" t="n"/>
      <c r="I28" s="39">
        <f>IF(B28="","",G28*H28)</f>
        <v/>
      </c>
      <c r="J28" s="35" t="n"/>
      <c r="K28" s="35" t="n"/>
      <c r="L28" s="35" t="n"/>
      <c r="M28" s="9">
        <f>IF(B28="","",IF(COUNTIF(Jobs!$A$5:$A$44,B28)=0,"Unknown Job ID",IF(C28="","Missing cost code",IF(COUNTIF(Settings!$E$5:$E$28,C28)=0,"Unknown cost code",IF(A28="","Missing date",IF(OR(G28="",H28=""),"Missing qty or cost",""))))))</f>
        <v/>
      </c>
      <c r="N28" s="35" t="n"/>
    </row>
    <row r="29">
      <c r="A29" s="40" t="n"/>
      <c r="B29" s="35" t="n"/>
      <c r="C29" s="35" t="n"/>
      <c r="D29" s="9">
        <f>IF(C29="","",IFERROR(VLOOKUP(C29,Settings!$E$5:$G$28,3,FALSE),"Other"))</f>
        <v/>
      </c>
      <c r="E29" s="35" t="n"/>
      <c r="F29" s="35" t="n"/>
      <c r="G29" s="35" t="n"/>
      <c r="H29" s="37" t="n"/>
      <c r="I29" s="39">
        <f>IF(B29="","",G29*H29)</f>
        <v/>
      </c>
      <c r="J29" s="35" t="n"/>
      <c r="K29" s="35" t="n"/>
      <c r="L29" s="35" t="n"/>
      <c r="M29" s="9">
        <f>IF(B29="","",IF(COUNTIF(Jobs!$A$5:$A$44,B29)=0,"Unknown Job ID",IF(C29="","Missing cost code",IF(COUNTIF(Settings!$E$5:$E$28,C29)=0,"Unknown cost code",IF(A29="","Missing date",IF(OR(G29="",H29=""),"Missing qty or cost",""))))))</f>
        <v/>
      </c>
      <c r="N29" s="35" t="n"/>
    </row>
    <row r="30">
      <c r="A30" s="40" t="n"/>
      <c r="B30" s="35" t="n"/>
      <c r="C30" s="35" t="n"/>
      <c r="D30" s="9">
        <f>IF(C30="","",IFERROR(VLOOKUP(C30,Settings!$E$5:$G$28,3,FALSE),"Other"))</f>
        <v/>
      </c>
      <c r="E30" s="35" t="n"/>
      <c r="F30" s="35" t="n"/>
      <c r="G30" s="35" t="n"/>
      <c r="H30" s="37" t="n"/>
      <c r="I30" s="39">
        <f>IF(B30="","",G30*H30)</f>
        <v/>
      </c>
      <c r="J30" s="35" t="n"/>
      <c r="K30" s="35" t="n"/>
      <c r="L30" s="35" t="n"/>
      <c r="M30" s="9">
        <f>IF(B30="","",IF(COUNTIF(Jobs!$A$5:$A$44,B30)=0,"Unknown Job ID",IF(C30="","Missing cost code",IF(COUNTIF(Settings!$E$5:$E$28,C30)=0,"Unknown cost code",IF(A30="","Missing date",IF(OR(G30="",H30=""),"Missing qty or cost",""))))))</f>
        <v/>
      </c>
      <c r="N30" s="35" t="n"/>
    </row>
    <row r="31">
      <c r="A31" s="40" t="n"/>
      <c r="B31" s="35" t="n"/>
      <c r="C31" s="35" t="n"/>
      <c r="D31" s="9">
        <f>IF(C31="","",IFERROR(VLOOKUP(C31,Settings!$E$5:$G$28,3,FALSE),"Other"))</f>
        <v/>
      </c>
      <c r="E31" s="35" t="n"/>
      <c r="F31" s="35" t="n"/>
      <c r="G31" s="35" t="n"/>
      <c r="H31" s="37" t="n"/>
      <c r="I31" s="39">
        <f>IF(B31="","",G31*H31)</f>
        <v/>
      </c>
      <c r="J31" s="35" t="n"/>
      <c r="K31" s="35" t="n"/>
      <c r="L31" s="35" t="n"/>
      <c r="M31" s="9">
        <f>IF(B31="","",IF(COUNTIF(Jobs!$A$5:$A$44,B31)=0,"Unknown Job ID",IF(C31="","Missing cost code",IF(COUNTIF(Settings!$E$5:$E$28,C31)=0,"Unknown cost code",IF(A31="","Missing date",IF(OR(G31="",H31=""),"Missing qty or cost",""))))))</f>
        <v/>
      </c>
      <c r="N31" s="35" t="n"/>
    </row>
    <row r="32">
      <c r="A32" s="40" t="n"/>
      <c r="B32" s="35" t="n"/>
      <c r="C32" s="35" t="n"/>
      <c r="D32" s="9">
        <f>IF(C32="","",IFERROR(VLOOKUP(C32,Settings!$E$5:$G$28,3,FALSE),"Other"))</f>
        <v/>
      </c>
      <c r="E32" s="35" t="n"/>
      <c r="F32" s="35" t="n"/>
      <c r="G32" s="35" t="n"/>
      <c r="H32" s="37" t="n"/>
      <c r="I32" s="39">
        <f>IF(B32="","",G32*H32)</f>
        <v/>
      </c>
      <c r="J32" s="35" t="n"/>
      <c r="K32" s="35" t="n"/>
      <c r="L32" s="35" t="n"/>
      <c r="M32" s="9">
        <f>IF(B32="","",IF(COUNTIF(Jobs!$A$5:$A$44,B32)=0,"Unknown Job ID",IF(C32="","Missing cost code",IF(COUNTIF(Settings!$E$5:$E$28,C32)=0,"Unknown cost code",IF(A32="","Missing date",IF(OR(G32="",H32=""),"Missing qty or cost",""))))))</f>
        <v/>
      </c>
      <c r="N32" s="35" t="n"/>
    </row>
    <row r="33">
      <c r="A33" s="40" t="n"/>
      <c r="B33" s="35" t="n"/>
      <c r="C33" s="35" t="n"/>
      <c r="D33" s="9">
        <f>IF(C33="","",IFERROR(VLOOKUP(C33,Settings!$E$5:$G$28,3,FALSE),"Other"))</f>
        <v/>
      </c>
      <c r="E33" s="35" t="n"/>
      <c r="F33" s="35" t="n"/>
      <c r="G33" s="35" t="n"/>
      <c r="H33" s="37" t="n"/>
      <c r="I33" s="39">
        <f>IF(B33="","",G33*H33)</f>
        <v/>
      </c>
      <c r="J33" s="35" t="n"/>
      <c r="K33" s="35" t="n"/>
      <c r="L33" s="35" t="n"/>
      <c r="M33" s="9">
        <f>IF(B33="","",IF(COUNTIF(Jobs!$A$5:$A$44,B33)=0,"Unknown Job ID",IF(C33="","Missing cost code",IF(COUNTIF(Settings!$E$5:$E$28,C33)=0,"Unknown cost code",IF(A33="","Missing date",IF(OR(G33="",H33=""),"Missing qty or cost",""))))))</f>
        <v/>
      </c>
      <c r="N33" s="35" t="n"/>
    </row>
    <row r="34">
      <c r="A34" s="40" t="n"/>
      <c r="B34" s="35" t="n"/>
      <c r="C34" s="35" t="n"/>
      <c r="D34" s="9">
        <f>IF(C34="","",IFERROR(VLOOKUP(C34,Settings!$E$5:$G$28,3,FALSE),"Other"))</f>
        <v/>
      </c>
      <c r="E34" s="35" t="n"/>
      <c r="F34" s="35" t="n"/>
      <c r="G34" s="35" t="n"/>
      <c r="H34" s="37" t="n"/>
      <c r="I34" s="39">
        <f>IF(B34="","",G34*H34)</f>
        <v/>
      </c>
      <c r="J34" s="35" t="n"/>
      <c r="K34" s="35" t="n"/>
      <c r="L34" s="35" t="n"/>
      <c r="M34" s="9">
        <f>IF(B34="","",IF(COUNTIF(Jobs!$A$5:$A$44,B34)=0,"Unknown Job ID",IF(C34="","Missing cost code",IF(COUNTIF(Settings!$E$5:$E$28,C34)=0,"Unknown cost code",IF(A34="","Missing date",IF(OR(G34="",H34=""),"Missing qty or cost",""))))))</f>
        <v/>
      </c>
      <c r="N34" s="35" t="n"/>
    </row>
    <row r="35">
      <c r="A35" s="40" t="n"/>
      <c r="B35" s="35" t="n"/>
      <c r="C35" s="35" t="n"/>
      <c r="D35" s="9">
        <f>IF(C35="","",IFERROR(VLOOKUP(C35,Settings!$E$5:$G$28,3,FALSE),"Other"))</f>
        <v/>
      </c>
      <c r="E35" s="35" t="n"/>
      <c r="F35" s="35" t="n"/>
      <c r="G35" s="35" t="n"/>
      <c r="H35" s="37" t="n"/>
      <c r="I35" s="39">
        <f>IF(B35="","",G35*H35)</f>
        <v/>
      </c>
      <c r="J35" s="35" t="n"/>
      <c r="K35" s="35" t="n"/>
      <c r="L35" s="35" t="n"/>
      <c r="M35" s="9">
        <f>IF(B35="","",IF(COUNTIF(Jobs!$A$5:$A$44,B35)=0,"Unknown Job ID",IF(C35="","Missing cost code",IF(COUNTIF(Settings!$E$5:$E$28,C35)=0,"Unknown cost code",IF(A35="","Missing date",IF(OR(G35="",H35=""),"Missing qty or cost",""))))))</f>
        <v/>
      </c>
      <c r="N35" s="35" t="n"/>
    </row>
    <row r="36">
      <c r="A36" s="40" t="n"/>
      <c r="B36" s="35" t="n"/>
      <c r="C36" s="35" t="n"/>
      <c r="D36" s="9">
        <f>IF(C36="","",IFERROR(VLOOKUP(C36,Settings!$E$5:$G$28,3,FALSE),"Other"))</f>
        <v/>
      </c>
      <c r="E36" s="35" t="n"/>
      <c r="F36" s="35" t="n"/>
      <c r="G36" s="35" t="n"/>
      <c r="H36" s="37" t="n"/>
      <c r="I36" s="39">
        <f>IF(B36="","",G36*H36)</f>
        <v/>
      </c>
      <c r="J36" s="35" t="n"/>
      <c r="K36" s="35" t="n"/>
      <c r="L36" s="35" t="n"/>
      <c r="M36" s="9">
        <f>IF(B36="","",IF(COUNTIF(Jobs!$A$5:$A$44,B36)=0,"Unknown Job ID",IF(C36="","Missing cost code",IF(COUNTIF(Settings!$E$5:$E$28,C36)=0,"Unknown cost code",IF(A36="","Missing date",IF(OR(G36="",H36=""),"Missing qty or cost",""))))))</f>
        <v/>
      </c>
      <c r="N36" s="35" t="n"/>
    </row>
    <row r="37">
      <c r="A37" s="40" t="n"/>
      <c r="B37" s="35" t="n"/>
      <c r="C37" s="35" t="n"/>
      <c r="D37" s="9">
        <f>IF(C37="","",IFERROR(VLOOKUP(C37,Settings!$E$5:$G$28,3,FALSE),"Other"))</f>
        <v/>
      </c>
      <c r="E37" s="35" t="n"/>
      <c r="F37" s="35" t="n"/>
      <c r="G37" s="35" t="n"/>
      <c r="H37" s="37" t="n"/>
      <c r="I37" s="39">
        <f>IF(B37="","",G37*H37)</f>
        <v/>
      </c>
      <c r="J37" s="35" t="n"/>
      <c r="K37" s="35" t="n"/>
      <c r="L37" s="35" t="n"/>
      <c r="M37" s="9">
        <f>IF(B37="","",IF(COUNTIF(Jobs!$A$5:$A$44,B37)=0,"Unknown Job ID",IF(C37="","Missing cost code",IF(COUNTIF(Settings!$E$5:$E$28,C37)=0,"Unknown cost code",IF(A37="","Missing date",IF(OR(G37="",H37=""),"Missing qty or cost",""))))))</f>
        <v/>
      </c>
      <c r="N37" s="35" t="n"/>
    </row>
    <row r="38">
      <c r="A38" s="40" t="n"/>
      <c r="B38" s="35" t="n"/>
      <c r="C38" s="35" t="n"/>
      <c r="D38" s="9">
        <f>IF(C38="","",IFERROR(VLOOKUP(C38,Settings!$E$5:$G$28,3,FALSE),"Other"))</f>
        <v/>
      </c>
      <c r="E38" s="35" t="n"/>
      <c r="F38" s="35" t="n"/>
      <c r="G38" s="35" t="n"/>
      <c r="H38" s="37" t="n"/>
      <c r="I38" s="39">
        <f>IF(B38="","",G38*H38)</f>
        <v/>
      </c>
      <c r="J38" s="35" t="n"/>
      <c r="K38" s="35" t="n"/>
      <c r="L38" s="35" t="n"/>
      <c r="M38" s="9">
        <f>IF(B38="","",IF(COUNTIF(Jobs!$A$5:$A$44,B38)=0,"Unknown Job ID",IF(C38="","Missing cost code",IF(COUNTIF(Settings!$E$5:$E$28,C38)=0,"Unknown cost code",IF(A38="","Missing date",IF(OR(G38="",H38=""),"Missing qty or cost",""))))))</f>
        <v/>
      </c>
      <c r="N38" s="35" t="n"/>
    </row>
    <row r="39">
      <c r="A39" s="40" t="n"/>
      <c r="B39" s="35" t="n"/>
      <c r="C39" s="35" t="n"/>
      <c r="D39" s="9">
        <f>IF(C39="","",IFERROR(VLOOKUP(C39,Settings!$E$5:$G$28,3,FALSE),"Other"))</f>
        <v/>
      </c>
      <c r="E39" s="35" t="n"/>
      <c r="F39" s="35" t="n"/>
      <c r="G39" s="35" t="n"/>
      <c r="H39" s="37" t="n"/>
      <c r="I39" s="39">
        <f>IF(B39="","",G39*H39)</f>
        <v/>
      </c>
      <c r="J39" s="35" t="n"/>
      <c r="K39" s="35" t="n"/>
      <c r="L39" s="35" t="n"/>
      <c r="M39" s="9">
        <f>IF(B39="","",IF(COUNTIF(Jobs!$A$5:$A$44,B39)=0,"Unknown Job ID",IF(C39="","Missing cost code",IF(COUNTIF(Settings!$E$5:$E$28,C39)=0,"Unknown cost code",IF(A39="","Missing date",IF(OR(G39="",H39=""),"Missing qty or cost",""))))))</f>
        <v/>
      </c>
      <c r="N39" s="35" t="n"/>
    </row>
    <row r="40">
      <c r="A40" s="40" t="n"/>
      <c r="B40" s="35" t="n"/>
      <c r="C40" s="35" t="n"/>
      <c r="D40" s="9">
        <f>IF(C40="","",IFERROR(VLOOKUP(C40,Settings!$E$5:$G$28,3,FALSE),"Other"))</f>
        <v/>
      </c>
      <c r="E40" s="35" t="n"/>
      <c r="F40" s="35" t="n"/>
      <c r="G40" s="35" t="n"/>
      <c r="H40" s="37" t="n"/>
      <c r="I40" s="39">
        <f>IF(B40="","",G40*H40)</f>
        <v/>
      </c>
      <c r="J40" s="35" t="n"/>
      <c r="K40" s="35" t="n"/>
      <c r="L40" s="35" t="n"/>
      <c r="M40" s="9">
        <f>IF(B40="","",IF(COUNTIF(Jobs!$A$5:$A$44,B40)=0,"Unknown Job ID",IF(C40="","Missing cost code",IF(COUNTIF(Settings!$E$5:$E$28,C40)=0,"Unknown cost code",IF(A40="","Missing date",IF(OR(G40="",H40=""),"Missing qty or cost",""))))))</f>
        <v/>
      </c>
      <c r="N40" s="35" t="n"/>
    </row>
    <row r="41">
      <c r="A41" s="40" t="n"/>
      <c r="B41" s="35" t="n"/>
      <c r="C41" s="35" t="n"/>
      <c r="D41" s="9">
        <f>IF(C41="","",IFERROR(VLOOKUP(C41,Settings!$E$5:$G$28,3,FALSE),"Other"))</f>
        <v/>
      </c>
      <c r="E41" s="35" t="n"/>
      <c r="F41" s="35" t="n"/>
      <c r="G41" s="35" t="n"/>
      <c r="H41" s="37" t="n"/>
      <c r="I41" s="39">
        <f>IF(B41="","",G41*H41)</f>
        <v/>
      </c>
      <c r="J41" s="35" t="n"/>
      <c r="K41" s="35" t="n"/>
      <c r="L41" s="35" t="n"/>
      <c r="M41" s="9">
        <f>IF(B41="","",IF(COUNTIF(Jobs!$A$5:$A$44,B41)=0,"Unknown Job ID",IF(C41="","Missing cost code",IF(COUNTIF(Settings!$E$5:$E$28,C41)=0,"Unknown cost code",IF(A41="","Missing date",IF(OR(G41="",H41=""),"Missing qty or cost",""))))))</f>
        <v/>
      </c>
      <c r="N41" s="35" t="n"/>
    </row>
    <row r="42">
      <c r="A42" s="40" t="n"/>
      <c r="B42" s="35" t="n"/>
      <c r="C42" s="35" t="n"/>
      <c r="D42" s="9">
        <f>IF(C42="","",IFERROR(VLOOKUP(C42,Settings!$E$5:$G$28,3,FALSE),"Other"))</f>
        <v/>
      </c>
      <c r="E42" s="35" t="n"/>
      <c r="F42" s="35" t="n"/>
      <c r="G42" s="35" t="n"/>
      <c r="H42" s="37" t="n"/>
      <c r="I42" s="39">
        <f>IF(B42="","",G42*H42)</f>
        <v/>
      </c>
      <c r="J42" s="35" t="n"/>
      <c r="K42" s="35" t="n"/>
      <c r="L42" s="35" t="n"/>
      <c r="M42" s="9">
        <f>IF(B42="","",IF(COUNTIF(Jobs!$A$5:$A$44,B42)=0,"Unknown Job ID",IF(C42="","Missing cost code",IF(COUNTIF(Settings!$E$5:$E$28,C42)=0,"Unknown cost code",IF(A42="","Missing date",IF(OR(G42="",H42=""),"Missing qty or cost",""))))))</f>
        <v/>
      </c>
      <c r="N42" s="35" t="n"/>
    </row>
    <row r="43">
      <c r="A43" s="40" t="n"/>
      <c r="B43" s="35" t="n"/>
      <c r="C43" s="35" t="n"/>
      <c r="D43" s="9">
        <f>IF(C43="","",IFERROR(VLOOKUP(C43,Settings!$E$5:$G$28,3,FALSE),"Other"))</f>
        <v/>
      </c>
      <c r="E43" s="35" t="n"/>
      <c r="F43" s="35" t="n"/>
      <c r="G43" s="35" t="n"/>
      <c r="H43" s="37" t="n"/>
      <c r="I43" s="39">
        <f>IF(B43="","",G43*H43)</f>
        <v/>
      </c>
      <c r="J43" s="35" t="n"/>
      <c r="K43" s="35" t="n"/>
      <c r="L43" s="35" t="n"/>
      <c r="M43" s="9">
        <f>IF(B43="","",IF(COUNTIF(Jobs!$A$5:$A$44,B43)=0,"Unknown Job ID",IF(C43="","Missing cost code",IF(COUNTIF(Settings!$E$5:$E$28,C43)=0,"Unknown cost code",IF(A43="","Missing date",IF(OR(G43="",H43=""),"Missing qty or cost",""))))))</f>
        <v/>
      </c>
      <c r="N43" s="35" t="n"/>
    </row>
    <row r="44">
      <c r="A44" s="40" t="n"/>
      <c r="B44" s="35" t="n"/>
      <c r="C44" s="35" t="n"/>
      <c r="D44" s="9">
        <f>IF(C44="","",IFERROR(VLOOKUP(C44,Settings!$E$5:$G$28,3,FALSE),"Other"))</f>
        <v/>
      </c>
      <c r="E44" s="35" t="n"/>
      <c r="F44" s="35" t="n"/>
      <c r="G44" s="35" t="n"/>
      <c r="H44" s="37" t="n"/>
      <c r="I44" s="39">
        <f>IF(B44="","",G44*H44)</f>
        <v/>
      </c>
      <c r="J44" s="35" t="n"/>
      <c r="K44" s="35" t="n"/>
      <c r="L44" s="35" t="n"/>
      <c r="M44" s="9">
        <f>IF(B44="","",IF(COUNTIF(Jobs!$A$5:$A$44,B44)=0,"Unknown Job ID",IF(C44="","Missing cost code",IF(COUNTIF(Settings!$E$5:$E$28,C44)=0,"Unknown cost code",IF(A44="","Missing date",IF(OR(G44="",H44=""),"Missing qty or cost",""))))))</f>
        <v/>
      </c>
      <c r="N44" s="35" t="n"/>
    </row>
    <row r="45">
      <c r="A45" s="40" t="n"/>
      <c r="B45" s="35" t="n"/>
      <c r="C45" s="35" t="n"/>
      <c r="D45" s="9">
        <f>IF(C45="","",IFERROR(VLOOKUP(C45,Settings!$E$5:$G$28,3,FALSE),"Other"))</f>
        <v/>
      </c>
      <c r="E45" s="35" t="n"/>
      <c r="F45" s="35" t="n"/>
      <c r="G45" s="35" t="n"/>
      <c r="H45" s="37" t="n"/>
      <c r="I45" s="39">
        <f>IF(B45="","",G45*H45)</f>
        <v/>
      </c>
      <c r="J45" s="35" t="n"/>
      <c r="K45" s="35" t="n"/>
      <c r="L45" s="35" t="n"/>
      <c r="M45" s="9">
        <f>IF(B45="","",IF(COUNTIF(Jobs!$A$5:$A$44,B45)=0,"Unknown Job ID",IF(C45="","Missing cost code",IF(COUNTIF(Settings!$E$5:$E$28,C45)=0,"Unknown cost code",IF(A45="","Missing date",IF(OR(G45="",H45=""),"Missing qty or cost",""))))))</f>
        <v/>
      </c>
      <c r="N45" s="35" t="n"/>
    </row>
    <row r="46">
      <c r="A46" s="40" t="n"/>
      <c r="B46" s="35" t="n"/>
      <c r="C46" s="35" t="n"/>
      <c r="D46" s="9">
        <f>IF(C46="","",IFERROR(VLOOKUP(C46,Settings!$E$5:$G$28,3,FALSE),"Other"))</f>
        <v/>
      </c>
      <c r="E46" s="35" t="n"/>
      <c r="F46" s="35" t="n"/>
      <c r="G46" s="35" t="n"/>
      <c r="H46" s="37" t="n"/>
      <c r="I46" s="39">
        <f>IF(B46="","",G46*H46)</f>
        <v/>
      </c>
      <c r="J46" s="35" t="n"/>
      <c r="K46" s="35" t="n"/>
      <c r="L46" s="35" t="n"/>
      <c r="M46" s="9">
        <f>IF(B46="","",IF(COUNTIF(Jobs!$A$5:$A$44,B46)=0,"Unknown Job ID",IF(C46="","Missing cost code",IF(COUNTIF(Settings!$E$5:$E$28,C46)=0,"Unknown cost code",IF(A46="","Missing date",IF(OR(G46="",H46=""),"Missing qty or cost",""))))))</f>
        <v/>
      </c>
      <c r="N46" s="35" t="n"/>
    </row>
    <row r="47">
      <c r="A47" s="40" t="n"/>
      <c r="B47" s="35" t="n"/>
      <c r="C47" s="35" t="n"/>
      <c r="D47" s="9">
        <f>IF(C47="","",IFERROR(VLOOKUP(C47,Settings!$E$5:$G$28,3,FALSE),"Other"))</f>
        <v/>
      </c>
      <c r="E47" s="35" t="n"/>
      <c r="F47" s="35" t="n"/>
      <c r="G47" s="35" t="n"/>
      <c r="H47" s="37" t="n"/>
      <c r="I47" s="39">
        <f>IF(B47="","",G47*H47)</f>
        <v/>
      </c>
      <c r="J47" s="35" t="n"/>
      <c r="K47" s="35" t="n"/>
      <c r="L47" s="35" t="n"/>
      <c r="M47" s="9">
        <f>IF(B47="","",IF(COUNTIF(Jobs!$A$5:$A$44,B47)=0,"Unknown Job ID",IF(C47="","Missing cost code",IF(COUNTIF(Settings!$E$5:$E$28,C47)=0,"Unknown cost code",IF(A47="","Missing date",IF(OR(G47="",H47=""),"Missing qty or cost",""))))))</f>
        <v/>
      </c>
      <c r="N47" s="35" t="n"/>
    </row>
    <row r="48">
      <c r="A48" s="40" t="n"/>
      <c r="B48" s="35" t="n"/>
      <c r="C48" s="35" t="n"/>
      <c r="D48" s="9">
        <f>IF(C48="","",IFERROR(VLOOKUP(C48,Settings!$E$5:$G$28,3,FALSE),"Other"))</f>
        <v/>
      </c>
      <c r="E48" s="35" t="n"/>
      <c r="F48" s="35" t="n"/>
      <c r="G48" s="35" t="n"/>
      <c r="H48" s="37" t="n"/>
      <c r="I48" s="39">
        <f>IF(B48="","",G48*H48)</f>
        <v/>
      </c>
      <c r="J48" s="35" t="n"/>
      <c r="K48" s="35" t="n"/>
      <c r="L48" s="35" t="n"/>
      <c r="M48" s="9">
        <f>IF(B48="","",IF(COUNTIF(Jobs!$A$5:$A$44,B48)=0,"Unknown Job ID",IF(C48="","Missing cost code",IF(COUNTIF(Settings!$E$5:$E$28,C48)=0,"Unknown cost code",IF(A48="","Missing date",IF(OR(G48="",H48=""),"Missing qty or cost",""))))))</f>
        <v/>
      </c>
      <c r="N48" s="35" t="n"/>
    </row>
    <row r="49">
      <c r="A49" s="40" t="n"/>
      <c r="B49" s="35" t="n"/>
      <c r="C49" s="35" t="n"/>
      <c r="D49" s="9">
        <f>IF(C49="","",IFERROR(VLOOKUP(C49,Settings!$E$5:$G$28,3,FALSE),"Other"))</f>
        <v/>
      </c>
      <c r="E49" s="35" t="n"/>
      <c r="F49" s="35" t="n"/>
      <c r="G49" s="35" t="n"/>
      <c r="H49" s="37" t="n"/>
      <c r="I49" s="39">
        <f>IF(B49="","",G49*H49)</f>
        <v/>
      </c>
      <c r="J49" s="35" t="n"/>
      <c r="K49" s="35" t="n"/>
      <c r="L49" s="35" t="n"/>
      <c r="M49" s="9">
        <f>IF(B49="","",IF(COUNTIF(Jobs!$A$5:$A$44,B49)=0,"Unknown Job ID",IF(C49="","Missing cost code",IF(COUNTIF(Settings!$E$5:$E$28,C49)=0,"Unknown cost code",IF(A49="","Missing date",IF(OR(G49="",H49=""),"Missing qty or cost",""))))))</f>
        <v/>
      </c>
      <c r="N49" s="35" t="n"/>
    </row>
    <row r="50">
      <c r="A50" s="40" t="n"/>
      <c r="B50" s="35" t="n"/>
      <c r="C50" s="35" t="n"/>
      <c r="D50" s="9">
        <f>IF(C50="","",IFERROR(VLOOKUP(C50,Settings!$E$5:$G$28,3,FALSE),"Other"))</f>
        <v/>
      </c>
      <c r="E50" s="35" t="n"/>
      <c r="F50" s="35" t="n"/>
      <c r="G50" s="35" t="n"/>
      <c r="H50" s="37" t="n"/>
      <c r="I50" s="39">
        <f>IF(B50="","",G50*H50)</f>
        <v/>
      </c>
      <c r="J50" s="35" t="n"/>
      <c r="K50" s="35" t="n"/>
      <c r="L50" s="35" t="n"/>
      <c r="M50" s="9">
        <f>IF(B50="","",IF(COUNTIF(Jobs!$A$5:$A$44,B50)=0,"Unknown Job ID",IF(C50="","Missing cost code",IF(COUNTIF(Settings!$E$5:$E$28,C50)=0,"Unknown cost code",IF(A50="","Missing date",IF(OR(G50="",H50=""),"Missing qty or cost",""))))))</f>
        <v/>
      </c>
      <c r="N50" s="35" t="n"/>
    </row>
    <row r="51">
      <c r="A51" s="40" t="n"/>
      <c r="B51" s="35" t="n"/>
      <c r="C51" s="35" t="n"/>
      <c r="D51" s="9">
        <f>IF(C51="","",IFERROR(VLOOKUP(C51,Settings!$E$5:$G$28,3,FALSE),"Other"))</f>
        <v/>
      </c>
      <c r="E51" s="35" t="n"/>
      <c r="F51" s="35" t="n"/>
      <c r="G51" s="35" t="n"/>
      <c r="H51" s="37" t="n"/>
      <c r="I51" s="39">
        <f>IF(B51="","",G51*H51)</f>
        <v/>
      </c>
      <c r="J51" s="35" t="n"/>
      <c r="K51" s="35" t="n"/>
      <c r="L51" s="35" t="n"/>
      <c r="M51" s="9">
        <f>IF(B51="","",IF(COUNTIF(Jobs!$A$5:$A$44,B51)=0,"Unknown Job ID",IF(C51="","Missing cost code",IF(COUNTIF(Settings!$E$5:$E$28,C51)=0,"Unknown cost code",IF(A51="","Missing date",IF(OR(G51="",H51=""),"Missing qty or cost",""))))))</f>
        <v/>
      </c>
      <c r="N51" s="35" t="n"/>
    </row>
    <row r="52">
      <c r="A52" s="40" t="n"/>
      <c r="B52" s="35" t="n"/>
      <c r="C52" s="35" t="n"/>
      <c r="D52" s="9">
        <f>IF(C52="","",IFERROR(VLOOKUP(C52,Settings!$E$5:$G$28,3,FALSE),"Other"))</f>
        <v/>
      </c>
      <c r="E52" s="35" t="n"/>
      <c r="F52" s="35" t="n"/>
      <c r="G52" s="35" t="n"/>
      <c r="H52" s="37" t="n"/>
      <c r="I52" s="39">
        <f>IF(B52="","",G52*H52)</f>
        <v/>
      </c>
      <c r="J52" s="35" t="n"/>
      <c r="K52" s="35" t="n"/>
      <c r="L52" s="35" t="n"/>
      <c r="M52" s="9">
        <f>IF(B52="","",IF(COUNTIF(Jobs!$A$5:$A$44,B52)=0,"Unknown Job ID",IF(C52="","Missing cost code",IF(COUNTIF(Settings!$E$5:$E$28,C52)=0,"Unknown cost code",IF(A52="","Missing date",IF(OR(G52="",H52=""),"Missing qty or cost",""))))))</f>
        <v/>
      </c>
      <c r="N52" s="35" t="n"/>
    </row>
    <row r="53">
      <c r="A53" s="40" t="n"/>
      <c r="B53" s="35" t="n"/>
      <c r="C53" s="35" t="n"/>
      <c r="D53" s="9">
        <f>IF(C53="","",IFERROR(VLOOKUP(C53,Settings!$E$5:$G$28,3,FALSE),"Other"))</f>
        <v/>
      </c>
      <c r="E53" s="35" t="n"/>
      <c r="F53" s="35" t="n"/>
      <c r="G53" s="35" t="n"/>
      <c r="H53" s="37" t="n"/>
      <c r="I53" s="39">
        <f>IF(B53="","",G53*H53)</f>
        <v/>
      </c>
      <c r="J53" s="35" t="n"/>
      <c r="K53" s="35" t="n"/>
      <c r="L53" s="35" t="n"/>
      <c r="M53" s="9">
        <f>IF(B53="","",IF(COUNTIF(Jobs!$A$5:$A$44,B53)=0,"Unknown Job ID",IF(C53="","Missing cost code",IF(COUNTIF(Settings!$E$5:$E$28,C53)=0,"Unknown cost code",IF(A53="","Missing date",IF(OR(G53="",H53=""),"Missing qty or cost",""))))))</f>
        <v/>
      </c>
      <c r="N53" s="35" t="n"/>
    </row>
    <row r="54">
      <c r="A54" s="40" t="n"/>
      <c r="B54" s="35" t="n"/>
      <c r="C54" s="35" t="n"/>
      <c r="D54" s="9">
        <f>IF(C54="","",IFERROR(VLOOKUP(C54,Settings!$E$5:$G$28,3,FALSE),"Other"))</f>
        <v/>
      </c>
      <c r="E54" s="35" t="n"/>
      <c r="F54" s="35" t="n"/>
      <c r="G54" s="35" t="n"/>
      <c r="H54" s="37" t="n"/>
      <c r="I54" s="39">
        <f>IF(B54="","",G54*H54)</f>
        <v/>
      </c>
      <c r="J54" s="35" t="n"/>
      <c r="K54" s="35" t="n"/>
      <c r="L54" s="35" t="n"/>
      <c r="M54" s="9">
        <f>IF(B54="","",IF(COUNTIF(Jobs!$A$5:$A$44,B54)=0,"Unknown Job ID",IF(C54="","Missing cost code",IF(COUNTIF(Settings!$E$5:$E$28,C54)=0,"Unknown cost code",IF(A54="","Missing date",IF(OR(G54="",H54=""),"Missing qty or cost",""))))))</f>
        <v/>
      </c>
      <c r="N54" s="35" t="n"/>
    </row>
    <row r="55">
      <c r="A55" s="40" t="n"/>
      <c r="B55" s="35" t="n"/>
      <c r="C55" s="35" t="n"/>
      <c r="D55" s="9">
        <f>IF(C55="","",IFERROR(VLOOKUP(C55,Settings!$E$5:$G$28,3,FALSE),"Other"))</f>
        <v/>
      </c>
      <c r="E55" s="35" t="n"/>
      <c r="F55" s="35" t="n"/>
      <c r="G55" s="35" t="n"/>
      <c r="H55" s="37" t="n"/>
      <c r="I55" s="39">
        <f>IF(B55="","",G55*H55)</f>
        <v/>
      </c>
      <c r="J55" s="35" t="n"/>
      <c r="K55" s="35" t="n"/>
      <c r="L55" s="35" t="n"/>
      <c r="M55" s="9">
        <f>IF(B55="","",IF(COUNTIF(Jobs!$A$5:$A$44,B55)=0,"Unknown Job ID",IF(C55="","Missing cost code",IF(COUNTIF(Settings!$E$5:$E$28,C55)=0,"Unknown cost code",IF(A55="","Missing date",IF(OR(G55="",H55=""),"Missing qty or cost",""))))))</f>
        <v/>
      </c>
      <c r="N55" s="35" t="n"/>
    </row>
    <row r="56">
      <c r="A56" s="40" t="n"/>
      <c r="B56" s="35" t="n"/>
      <c r="C56" s="35" t="n"/>
      <c r="D56" s="9">
        <f>IF(C56="","",IFERROR(VLOOKUP(C56,Settings!$E$5:$G$28,3,FALSE),"Other"))</f>
        <v/>
      </c>
      <c r="E56" s="35" t="n"/>
      <c r="F56" s="35" t="n"/>
      <c r="G56" s="35" t="n"/>
      <c r="H56" s="37" t="n"/>
      <c r="I56" s="39">
        <f>IF(B56="","",G56*H56)</f>
        <v/>
      </c>
      <c r="J56" s="35" t="n"/>
      <c r="K56" s="35" t="n"/>
      <c r="L56" s="35" t="n"/>
      <c r="M56" s="9">
        <f>IF(B56="","",IF(COUNTIF(Jobs!$A$5:$A$44,B56)=0,"Unknown Job ID",IF(C56="","Missing cost code",IF(COUNTIF(Settings!$E$5:$E$28,C56)=0,"Unknown cost code",IF(A56="","Missing date",IF(OR(G56="",H56=""),"Missing qty or cost",""))))))</f>
        <v/>
      </c>
      <c r="N56" s="35" t="n"/>
    </row>
    <row r="57">
      <c r="A57" s="40" t="n"/>
      <c r="B57" s="35" t="n"/>
      <c r="C57" s="35" t="n"/>
      <c r="D57" s="9">
        <f>IF(C57="","",IFERROR(VLOOKUP(C57,Settings!$E$5:$G$28,3,FALSE),"Other"))</f>
        <v/>
      </c>
      <c r="E57" s="35" t="n"/>
      <c r="F57" s="35" t="n"/>
      <c r="G57" s="35" t="n"/>
      <c r="H57" s="37" t="n"/>
      <c r="I57" s="39">
        <f>IF(B57="","",G57*H57)</f>
        <v/>
      </c>
      <c r="J57" s="35" t="n"/>
      <c r="K57" s="35" t="n"/>
      <c r="L57" s="35" t="n"/>
      <c r="M57" s="9">
        <f>IF(B57="","",IF(COUNTIF(Jobs!$A$5:$A$44,B57)=0,"Unknown Job ID",IF(C57="","Missing cost code",IF(COUNTIF(Settings!$E$5:$E$28,C57)=0,"Unknown cost code",IF(A57="","Missing date",IF(OR(G57="",H57=""),"Missing qty or cost",""))))))</f>
        <v/>
      </c>
      <c r="N57" s="35" t="n"/>
    </row>
    <row r="58">
      <c r="A58" s="40" t="n"/>
      <c r="B58" s="35" t="n"/>
      <c r="C58" s="35" t="n"/>
      <c r="D58" s="9">
        <f>IF(C58="","",IFERROR(VLOOKUP(C58,Settings!$E$5:$G$28,3,FALSE),"Other"))</f>
        <v/>
      </c>
      <c r="E58" s="35" t="n"/>
      <c r="F58" s="35" t="n"/>
      <c r="G58" s="35" t="n"/>
      <c r="H58" s="37" t="n"/>
      <c r="I58" s="39">
        <f>IF(B58="","",G58*H58)</f>
        <v/>
      </c>
      <c r="J58" s="35" t="n"/>
      <c r="K58" s="35" t="n"/>
      <c r="L58" s="35" t="n"/>
      <c r="M58" s="9">
        <f>IF(B58="","",IF(COUNTIF(Jobs!$A$5:$A$44,B58)=0,"Unknown Job ID",IF(C58="","Missing cost code",IF(COUNTIF(Settings!$E$5:$E$28,C58)=0,"Unknown cost code",IF(A58="","Missing date",IF(OR(G58="",H58=""),"Missing qty or cost",""))))))</f>
        <v/>
      </c>
      <c r="N58" s="35" t="n"/>
    </row>
    <row r="59">
      <c r="A59" s="40" t="n"/>
      <c r="B59" s="35" t="n"/>
      <c r="C59" s="35" t="n"/>
      <c r="D59" s="9">
        <f>IF(C59="","",IFERROR(VLOOKUP(C59,Settings!$E$5:$G$28,3,FALSE),"Other"))</f>
        <v/>
      </c>
      <c r="E59" s="35" t="n"/>
      <c r="F59" s="35" t="n"/>
      <c r="G59" s="35" t="n"/>
      <c r="H59" s="37" t="n"/>
      <c r="I59" s="39">
        <f>IF(B59="","",G59*H59)</f>
        <v/>
      </c>
      <c r="J59" s="35" t="n"/>
      <c r="K59" s="35" t="n"/>
      <c r="L59" s="35" t="n"/>
      <c r="M59" s="9">
        <f>IF(B59="","",IF(COUNTIF(Jobs!$A$5:$A$44,B59)=0,"Unknown Job ID",IF(C59="","Missing cost code",IF(COUNTIF(Settings!$E$5:$E$28,C59)=0,"Unknown cost code",IF(A59="","Missing date",IF(OR(G59="",H59=""),"Missing qty or cost",""))))))</f>
        <v/>
      </c>
      <c r="N59" s="35" t="n"/>
    </row>
    <row r="60">
      <c r="A60" s="40" t="n"/>
      <c r="B60" s="35" t="n"/>
      <c r="C60" s="35" t="n"/>
      <c r="D60" s="9">
        <f>IF(C60="","",IFERROR(VLOOKUP(C60,Settings!$E$5:$G$28,3,FALSE),"Other"))</f>
        <v/>
      </c>
      <c r="E60" s="35" t="n"/>
      <c r="F60" s="35" t="n"/>
      <c r="G60" s="35" t="n"/>
      <c r="H60" s="37" t="n"/>
      <c r="I60" s="39">
        <f>IF(B60="","",G60*H60)</f>
        <v/>
      </c>
      <c r="J60" s="35" t="n"/>
      <c r="K60" s="35" t="n"/>
      <c r="L60" s="35" t="n"/>
      <c r="M60" s="9">
        <f>IF(B60="","",IF(COUNTIF(Jobs!$A$5:$A$44,B60)=0,"Unknown Job ID",IF(C60="","Missing cost code",IF(COUNTIF(Settings!$E$5:$E$28,C60)=0,"Unknown cost code",IF(A60="","Missing date",IF(OR(G60="",H60=""),"Missing qty or cost",""))))))</f>
        <v/>
      </c>
      <c r="N60" s="35" t="n"/>
    </row>
    <row r="61">
      <c r="A61" s="40" t="n"/>
      <c r="B61" s="35" t="n"/>
      <c r="C61" s="35" t="n"/>
      <c r="D61" s="9">
        <f>IF(C61="","",IFERROR(VLOOKUP(C61,Settings!$E$5:$G$28,3,FALSE),"Other"))</f>
        <v/>
      </c>
      <c r="E61" s="35" t="n"/>
      <c r="F61" s="35" t="n"/>
      <c r="G61" s="35" t="n"/>
      <c r="H61" s="37" t="n"/>
      <c r="I61" s="39">
        <f>IF(B61="","",G61*H61)</f>
        <v/>
      </c>
      <c r="J61" s="35" t="n"/>
      <c r="K61" s="35" t="n"/>
      <c r="L61" s="35" t="n"/>
      <c r="M61" s="9">
        <f>IF(B61="","",IF(COUNTIF(Jobs!$A$5:$A$44,B61)=0,"Unknown Job ID",IF(C61="","Missing cost code",IF(COUNTIF(Settings!$E$5:$E$28,C61)=0,"Unknown cost code",IF(A61="","Missing date",IF(OR(G61="",H61=""),"Missing qty or cost",""))))))</f>
        <v/>
      </c>
      <c r="N61" s="35" t="n"/>
    </row>
    <row r="62">
      <c r="A62" s="40" t="n"/>
      <c r="B62" s="35" t="n"/>
      <c r="C62" s="35" t="n"/>
      <c r="D62" s="9">
        <f>IF(C62="","",IFERROR(VLOOKUP(C62,Settings!$E$5:$G$28,3,FALSE),"Other"))</f>
        <v/>
      </c>
      <c r="E62" s="35" t="n"/>
      <c r="F62" s="35" t="n"/>
      <c r="G62" s="35" t="n"/>
      <c r="H62" s="37" t="n"/>
      <c r="I62" s="39">
        <f>IF(B62="","",G62*H62)</f>
        <v/>
      </c>
      <c r="J62" s="35" t="n"/>
      <c r="K62" s="35" t="n"/>
      <c r="L62" s="35" t="n"/>
      <c r="M62" s="9">
        <f>IF(B62="","",IF(COUNTIF(Jobs!$A$5:$A$44,B62)=0,"Unknown Job ID",IF(C62="","Missing cost code",IF(COUNTIF(Settings!$E$5:$E$28,C62)=0,"Unknown cost code",IF(A62="","Missing date",IF(OR(G62="",H62=""),"Missing qty or cost",""))))))</f>
        <v/>
      </c>
      <c r="N62" s="35" t="n"/>
    </row>
    <row r="63">
      <c r="A63" s="40" t="n"/>
      <c r="B63" s="35" t="n"/>
      <c r="C63" s="35" t="n"/>
      <c r="D63" s="9">
        <f>IF(C63="","",IFERROR(VLOOKUP(C63,Settings!$E$5:$G$28,3,FALSE),"Other"))</f>
        <v/>
      </c>
      <c r="E63" s="35" t="n"/>
      <c r="F63" s="35" t="n"/>
      <c r="G63" s="35" t="n"/>
      <c r="H63" s="37" t="n"/>
      <c r="I63" s="39">
        <f>IF(B63="","",G63*H63)</f>
        <v/>
      </c>
      <c r="J63" s="35" t="n"/>
      <c r="K63" s="35" t="n"/>
      <c r="L63" s="35" t="n"/>
      <c r="M63" s="9">
        <f>IF(B63="","",IF(COUNTIF(Jobs!$A$5:$A$44,B63)=0,"Unknown Job ID",IF(C63="","Missing cost code",IF(COUNTIF(Settings!$E$5:$E$28,C63)=0,"Unknown cost code",IF(A63="","Missing date",IF(OR(G63="",H63=""),"Missing qty or cost",""))))))</f>
        <v/>
      </c>
      <c r="N63" s="35" t="n"/>
    </row>
    <row r="64">
      <c r="A64" s="40" t="n"/>
      <c r="B64" s="35" t="n"/>
      <c r="C64" s="35" t="n"/>
      <c r="D64" s="9">
        <f>IF(C64="","",IFERROR(VLOOKUP(C64,Settings!$E$5:$G$28,3,FALSE),"Other"))</f>
        <v/>
      </c>
      <c r="E64" s="35" t="n"/>
      <c r="F64" s="35" t="n"/>
      <c r="G64" s="35" t="n"/>
      <c r="H64" s="37" t="n"/>
      <c r="I64" s="39">
        <f>IF(B64="","",G64*H64)</f>
        <v/>
      </c>
      <c r="J64" s="35" t="n"/>
      <c r="K64" s="35" t="n"/>
      <c r="L64" s="35" t="n"/>
      <c r="M64" s="9">
        <f>IF(B64="","",IF(COUNTIF(Jobs!$A$5:$A$44,B64)=0,"Unknown Job ID",IF(C64="","Missing cost code",IF(COUNTIF(Settings!$E$5:$E$28,C64)=0,"Unknown cost code",IF(A64="","Missing date",IF(OR(G64="",H64=""),"Missing qty or cost",""))))))</f>
        <v/>
      </c>
      <c r="N64" s="35" t="n"/>
    </row>
    <row r="65">
      <c r="A65" s="40" t="n"/>
      <c r="B65" s="35" t="n"/>
      <c r="C65" s="35" t="n"/>
      <c r="D65" s="9">
        <f>IF(C65="","",IFERROR(VLOOKUP(C65,Settings!$E$5:$G$28,3,FALSE),"Other"))</f>
        <v/>
      </c>
      <c r="E65" s="35" t="n"/>
      <c r="F65" s="35" t="n"/>
      <c r="G65" s="35" t="n"/>
      <c r="H65" s="37" t="n"/>
      <c r="I65" s="39">
        <f>IF(B65="","",G65*H65)</f>
        <v/>
      </c>
      <c r="J65" s="35" t="n"/>
      <c r="K65" s="35" t="n"/>
      <c r="L65" s="35" t="n"/>
      <c r="M65" s="9">
        <f>IF(B65="","",IF(COUNTIF(Jobs!$A$5:$A$44,B65)=0,"Unknown Job ID",IF(C65="","Missing cost code",IF(COUNTIF(Settings!$E$5:$E$28,C65)=0,"Unknown cost code",IF(A65="","Missing date",IF(OR(G65="",H65=""),"Missing qty or cost",""))))))</f>
        <v/>
      </c>
      <c r="N65" s="35" t="n"/>
    </row>
    <row r="66">
      <c r="A66" s="40" t="n"/>
      <c r="B66" s="35" t="n"/>
      <c r="C66" s="35" t="n"/>
      <c r="D66" s="9">
        <f>IF(C66="","",IFERROR(VLOOKUP(C66,Settings!$E$5:$G$28,3,FALSE),"Other"))</f>
        <v/>
      </c>
      <c r="E66" s="35" t="n"/>
      <c r="F66" s="35" t="n"/>
      <c r="G66" s="35" t="n"/>
      <c r="H66" s="37" t="n"/>
      <c r="I66" s="39">
        <f>IF(B66="","",G66*H66)</f>
        <v/>
      </c>
      <c r="J66" s="35" t="n"/>
      <c r="K66" s="35" t="n"/>
      <c r="L66" s="35" t="n"/>
      <c r="M66" s="9">
        <f>IF(B66="","",IF(COUNTIF(Jobs!$A$5:$A$44,B66)=0,"Unknown Job ID",IF(C66="","Missing cost code",IF(COUNTIF(Settings!$E$5:$E$28,C66)=0,"Unknown cost code",IF(A66="","Missing date",IF(OR(G66="",H66=""),"Missing qty or cost",""))))))</f>
        <v/>
      </c>
      <c r="N66" s="35" t="n"/>
    </row>
    <row r="67">
      <c r="A67" s="40" t="n"/>
      <c r="B67" s="35" t="n"/>
      <c r="C67" s="35" t="n"/>
      <c r="D67" s="9">
        <f>IF(C67="","",IFERROR(VLOOKUP(C67,Settings!$E$5:$G$28,3,FALSE),"Other"))</f>
        <v/>
      </c>
      <c r="E67" s="35" t="n"/>
      <c r="F67" s="35" t="n"/>
      <c r="G67" s="35" t="n"/>
      <c r="H67" s="37" t="n"/>
      <c r="I67" s="39">
        <f>IF(B67="","",G67*H67)</f>
        <v/>
      </c>
      <c r="J67" s="35" t="n"/>
      <c r="K67" s="35" t="n"/>
      <c r="L67" s="35" t="n"/>
      <c r="M67" s="9">
        <f>IF(B67="","",IF(COUNTIF(Jobs!$A$5:$A$44,B67)=0,"Unknown Job ID",IF(C67="","Missing cost code",IF(COUNTIF(Settings!$E$5:$E$28,C67)=0,"Unknown cost code",IF(A67="","Missing date",IF(OR(G67="",H67=""),"Missing qty or cost",""))))))</f>
        <v/>
      </c>
      <c r="N67" s="35" t="n"/>
    </row>
    <row r="68">
      <c r="A68" s="40" t="n"/>
      <c r="B68" s="35" t="n"/>
      <c r="C68" s="35" t="n"/>
      <c r="D68" s="9">
        <f>IF(C68="","",IFERROR(VLOOKUP(C68,Settings!$E$5:$G$28,3,FALSE),"Other"))</f>
        <v/>
      </c>
      <c r="E68" s="35" t="n"/>
      <c r="F68" s="35" t="n"/>
      <c r="G68" s="35" t="n"/>
      <c r="H68" s="37" t="n"/>
      <c r="I68" s="39">
        <f>IF(B68="","",G68*H68)</f>
        <v/>
      </c>
      <c r="J68" s="35" t="n"/>
      <c r="K68" s="35" t="n"/>
      <c r="L68" s="35" t="n"/>
      <c r="M68" s="9">
        <f>IF(B68="","",IF(COUNTIF(Jobs!$A$5:$A$44,B68)=0,"Unknown Job ID",IF(C68="","Missing cost code",IF(COUNTIF(Settings!$E$5:$E$28,C68)=0,"Unknown cost code",IF(A68="","Missing date",IF(OR(G68="",H68=""),"Missing qty or cost",""))))))</f>
        <v/>
      </c>
      <c r="N68" s="35" t="n"/>
    </row>
    <row r="69">
      <c r="A69" s="40" t="n"/>
      <c r="B69" s="35" t="n"/>
      <c r="C69" s="35" t="n"/>
      <c r="D69" s="9">
        <f>IF(C69="","",IFERROR(VLOOKUP(C69,Settings!$E$5:$G$28,3,FALSE),"Other"))</f>
        <v/>
      </c>
      <c r="E69" s="35" t="n"/>
      <c r="F69" s="35" t="n"/>
      <c r="G69" s="35" t="n"/>
      <c r="H69" s="37" t="n"/>
      <c r="I69" s="39">
        <f>IF(B69="","",G69*H69)</f>
        <v/>
      </c>
      <c r="J69" s="35" t="n"/>
      <c r="K69" s="35" t="n"/>
      <c r="L69" s="35" t="n"/>
      <c r="M69" s="9">
        <f>IF(B69="","",IF(COUNTIF(Jobs!$A$5:$A$44,B69)=0,"Unknown Job ID",IF(C69="","Missing cost code",IF(COUNTIF(Settings!$E$5:$E$28,C69)=0,"Unknown cost code",IF(A69="","Missing date",IF(OR(G69="",H69=""),"Missing qty or cost",""))))))</f>
        <v/>
      </c>
      <c r="N69" s="35" t="n"/>
    </row>
    <row r="70">
      <c r="A70" s="40" t="n"/>
      <c r="B70" s="35" t="n"/>
      <c r="C70" s="35" t="n"/>
      <c r="D70" s="9">
        <f>IF(C70="","",IFERROR(VLOOKUP(C70,Settings!$E$5:$G$28,3,FALSE),"Other"))</f>
        <v/>
      </c>
      <c r="E70" s="35" t="n"/>
      <c r="F70" s="35" t="n"/>
      <c r="G70" s="35" t="n"/>
      <c r="H70" s="37" t="n"/>
      <c r="I70" s="39">
        <f>IF(B70="","",G70*H70)</f>
        <v/>
      </c>
      <c r="J70" s="35" t="n"/>
      <c r="K70" s="35" t="n"/>
      <c r="L70" s="35" t="n"/>
      <c r="M70" s="9">
        <f>IF(B70="","",IF(COUNTIF(Jobs!$A$5:$A$44,B70)=0,"Unknown Job ID",IF(C70="","Missing cost code",IF(COUNTIF(Settings!$E$5:$E$28,C70)=0,"Unknown cost code",IF(A70="","Missing date",IF(OR(G70="",H70=""),"Missing qty or cost",""))))))</f>
        <v/>
      </c>
      <c r="N70" s="35" t="n"/>
    </row>
    <row r="71">
      <c r="A71" s="40" t="n"/>
      <c r="B71" s="35" t="n"/>
      <c r="C71" s="35" t="n"/>
      <c r="D71" s="9">
        <f>IF(C71="","",IFERROR(VLOOKUP(C71,Settings!$E$5:$G$28,3,FALSE),"Other"))</f>
        <v/>
      </c>
      <c r="E71" s="35" t="n"/>
      <c r="F71" s="35" t="n"/>
      <c r="G71" s="35" t="n"/>
      <c r="H71" s="37" t="n"/>
      <c r="I71" s="39">
        <f>IF(B71="","",G71*H71)</f>
        <v/>
      </c>
      <c r="J71" s="35" t="n"/>
      <c r="K71" s="35" t="n"/>
      <c r="L71" s="35" t="n"/>
      <c r="M71" s="9">
        <f>IF(B71="","",IF(COUNTIF(Jobs!$A$5:$A$44,B71)=0,"Unknown Job ID",IF(C71="","Missing cost code",IF(COUNTIF(Settings!$E$5:$E$28,C71)=0,"Unknown cost code",IF(A71="","Missing date",IF(OR(G71="",H71=""),"Missing qty or cost",""))))))</f>
        <v/>
      </c>
      <c r="N71" s="35" t="n"/>
    </row>
    <row r="72">
      <c r="A72" s="40" t="n"/>
      <c r="B72" s="35" t="n"/>
      <c r="C72" s="35" t="n"/>
      <c r="D72" s="9">
        <f>IF(C72="","",IFERROR(VLOOKUP(C72,Settings!$E$5:$G$28,3,FALSE),"Other"))</f>
        <v/>
      </c>
      <c r="E72" s="35" t="n"/>
      <c r="F72" s="35" t="n"/>
      <c r="G72" s="35" t="n"/>
      <c r="H72" s="37" t="n"/>
      <c r="I72" s="39">
        <f>IF(B72="","",G72*H72)</f>
        <v/>
      </c>
      <c r="J72" s="35" t="n"/>
      <c r="K72" s="35" t="n"/>
      <c r="L72" s="35" t="n"/>
      <c r="M72" s="9">
        <f>IF(B72="","",IF(COUNTIF(Jobs!$A$5:$A$44,B72)=0,"Unknown Job ID",IF(C72="","Missing cost code",IF(COUNTIF(Settings!$E$5:$E$28,C72)=0,"Unknown cost code",IF(A72="","Missing date",IF(OR(G72="",H72=""),"Missing qty or cost",""))))))</f>
        <v/>
      </c>
      <c r="N72" s="35" t="n"/>
    </row>
    <row r="73">
      <c r="A73" s="40" t="n"/>
      <c r="B73" s="35" t="n"/>
      <c r="C73" s="35" t="n"/>
      <c r="D73" s="9">
        <f>IF(C73="","",IFERROR(VLOOKUP(C73,Settings!$E$5:$G$28,3,FALSE),"Other"))</f>
        <v/>
      </c>
      <c r="E73" s="35" t="n"/>
      <c r="F73" s="35" t="n"/>
      <c r="G73" s="35" t="n"/>
      <c r="H73" s="37" t="n"/>
      <c r="I73" s="39">
        <f>IF(B73="","",G73*H73)</f>
        <v/>
      </c>
      <c r="J73" s="35" t="n"/>
      <c r="K73" s="35" t="n"/>
      <c r="L73" s="35" t="n"/>
      <c r="M73" s="9">
        <f>IF(B73="","",IF(COUNTIF(Jobs!$A$5:$A$44,B73)=0,"Unknown Job ID",IF(C73="","Missing cost code",IF(COUNTIF(Settings!$E$5:$E$28,C73)=0,"Unknown cost code",IF(A73="","Missing date",IF(OR(G73="",H73=""),"Missing qty or cost",""))))))</f>
        <v/>
      </c>
      <c r="N73" s="35" t="n"/>
    </row>
    <row r="74">
      <c r="A74" s="40" t="n"/>
      <c r="B74" s="35" t="n"/>
      <c r="C74" s="35" t="n"/>
      <c r="D74" s="9">
        <f>IF(C74="","",IFERROR(VLOOKUP(C74,Settings!$E$5:$G$28,3,FALSE),"Other"))</f>
        <v/>
      </c>
      <c r="E74" s="35" t="n"/>
      <c r="F74" s="35" t="n"/>
      <c r="G74" s="35" t="n"/>
      <c r="H74" s="37" t="n"/>
      <c r="I74" s="39">
        <f>IF(B74="","",G74*H74)</f>
        <v/>
      </c>
      <c r="J74" s="35" t="n"/>
      <c r="K74" s="35" t="n"/>
      <c r="L74" s="35" t="n"/>
      <c r="M74" s="9">
        <f>IF(B74="","",IF(COUNTIF(Jobs!$A$5:$A$44,B74)=0,"Unknown Job ID",IF(C74="","Missing cost code",IF(COUNTIF(Settings!$E$5:$E$28,C74)=0,"Unknown cost code",IF(A74="","Missing date",IF(OR(G74="",H74=""),"Missing qty or cost",""))))))</f>
        <v/>
      </c>
      <c r="N74" s="35" t="n"/>
    </row>
    <row r="75">
      <c r="A75" s="40" t="n"/>
      <c r="B75" s="35" t="n"/>
      <c r="C75" s="35" t="n"/>
      <c r="D75" s="9">
        <f>IF(C75="","",IFERROR(VLOOKUP(C75,Settings!$E$5:$G$28,3,FALSE),"Other"))</f>
        <v/>
      </c>
      <c r="E75" s="35" t="n"/>
      <c r="F75" s="35" t="n"/>
      <c r="G75" s="35" t="n"/>
      <c r="H75" s="37" t="n"/>
      <c r="I75" s="39">
        <f>IF(B75="","",G75*H75)</f>
        <v/>
      </c>
      <c r="J75" s="35" t="n"/>
      <c r="K75" s="35" t="n"/>
      <c r="L75" s="35" t="n"/>
      <c r="M75" s="9">
        <f>IF(B75="","",IF(COUNTIF(Jobs!$A$5:$A$44,B75)=0,"Unknown Job ID",IF(C75="","Missing cost code",IF(COUNTIF(Settings!$E$5:$E$28,C75)=0,"Unknown cost code",IF(A75="","Missing date",IF(OR(G75="",H75=""),"Missing qty or cost",""))))))</f>
        <v/>
      </c>
      <c r="N75" s="35" t="n"/>
    </row>
    <row r="76">
      <c r="A76" s="40" t="n"/>
      <c r="B76" s="35" t="n"/>
      <c r="C76" s="35" t="n"/>
      <c r="D76" s="9">
        <f>IF(C76="","",IFERROR(VLOOKUP(C76,Settings!$E$5:$G$28,3,FALSE),"Other"))</f>
        <v/>
      </c>
      <c r="E76" s="35" t="n"/>
      <c r="F76" s="35" t="n"/>
      <c r="G76" s="35" t="n"/>
      <c r="H76" s="37" t="n"/>
      <c r="I76" s="39">
        <f>IF(B76="","",G76*H76)</f>
        <v/>
      </c>
      <c r="J76" s="35" t="n"/>
      <c r="K76" s="35" t="n"/>
      <c r="L76" s="35" t="n"/>
      <c r="M76" s="9">
        <f>IF(B76="","",IF(COUNTIF(Jobs!$A$5:$A$44,B76)=0,"Unknown Job ID",IF(C76="","Missing cost code",IF(COUNTIF(Settings!$E$5:$E$28,C76)=0,"Unknown cost code",IF(A76="","Missing date",IF(OR(G76="",H76=""),"Missing qty or cost",""))))))</f>
        <v/>
      </c>
      <c r="N76" s="35" t="n"/>
    </row>
    <row r="77">
      <c r="A77" s="40" t="n"/>
      <c r="B77" s="35" t="n"/>
      <c r="C77" s="35" t="n"/>
      <c r="D77" s="9">
        <f>IF(C77="","",IFERROR(VLOOKUP(C77,Settings!$E$5:$G$28,3,FALSE),"Other"))</f>
        <v/>
      </c>
      <c r="E77" s="35" t="n"/>
      <c r="F77" s="35" t="n"/>
      <c r="G77" s="35" t="n"/>
      <c r="H77" s="37" t="n"/>
      <c r="I77" s="39">
        <f>IF(B77="","",G77*H77)</f>
        <v/>
      </c>
      <c r="J77" s="35" t="n"/>
      <c r="K77" s="35" t="n"/>
      <c r="L77" s="35" t="n"/>
      <c r="M77" s="9">
        <f>IF(B77="","",IF(COUNTIF(Jobs!$A$5:$A$44,B77)=0,"Unknown Job ID",IF(C77="","Missing cost code",IF(COUNTIF(Settings!$E$5:$E$28,C77)=0,"Unknown cost code",IF(A77="","Missing date",IF(OR(G77="",H77=""),"Missing qty or cost",""))))))</f>
        <v/>
      </c>
      <c r="N77" s="35" t="n"/>
    </row>
    <row r="78">
      <c r="A78" s="40" t="n"/>
      <c r="B78" s="35" t="n"/>
      <c r="C78" s="35" t="n"/>
      <c r="D78" s="9">
        <f>IF(C78="","",IFERROR(VLOOKUP(C78,Settings!$E$5:$G$28,3,FALSE),"Other"))</f>
        <v/>
      </c>
      <c r="E78" s="35" t="n"/>
      <c r="F78" s="35" t="n"/>
      <c r="G78" s="35" t="n"/>
      <c r="H78" s="37" t="n"/>
      <c r="I78" s="39">
        <f>IF(B78="","",G78*H78)</f>
        <v/>
      </c>
      <c r="J78" s="35" t="n"/>
      <c r="K78" s="35" t="n"/>
      <c r="L78" s="35" t="n"/>
      <c r="M78" s="9">
        <f>IF(B78="","",IF(COUNTIF(Jobs!$A$5:$A$44,B78)=0,"Unknown Job ID",IF(C78="","Missing cost code",IF(COUNTIF(Settings!$E$5:$E$28,C78)=0,"Unknown cost code",IF(A78="","Missing date",IF(OR(G78="",H78=""),"Missing qty or cost",""))))))</f>
        <v/>
      </c>
      <c r="N78" s="35" t="n"/>
    </row>
    <row r="79">
      <c r="A79" s="40" t="n"/>
      <c r="B79" s="35" t="n"/>
      <c r="C79" s="35" t="n"/>
      <c r="D79" s="9">
        <f>IF(C79="","",IFERROR(VLOOKUP(C79,Settings!$E$5:$G$28,3,FALSE),"Other"))</f>
        <v/>
      </c>
      <c r="E79" s="35" t="n"/>
      <c r="F79" s="35" t="n"/>
      <c r="G79" s="35" t="n"/>
      <c r="H79" s="37" t="n"/>
      <c r="I79" s="39">
        <f>IF(B79="","",G79*H79)</f>
        <v/>
      </c>
      <c r="J79" s="35" t="n"/>
      <c r="K79" s="35" t="n"/>
      <c r="L79" s="35" t="n"/>
      <c r="M79" s="9">
        <f>IF(B79="","",IF(COUNTIF(Jobs!$A$5:$A$44,B79)=0,"Unknown Job ID",IF(C79="","Missing cost code",IF(COUNTIF(Settings!$E$5:$E$28,C79)=0,"Unknown cost code",IF(A79="","Missing date",IF(OR(G79="",H79=""),"Missing qty or cost",""))))))</f>
        <v/>
      </c>
      <c r="N79" s="35" t="n"/>
    </row>
    <row r="80">
      <c r="A80" s="40" t="n"/>
      <c r="B80" s="35" t="n"/>
      <c r="C80" s="35" t="n"/>
      <c r="D80" s="9">
        <f>IF(C80="","",IFERROR(VLOOKUP(C80,Settings!$E$5:$G$28,3,FALSE),"Other"))</f>
        <v/>
      </c>
      <c r="E80" s="35" t="n"/>
      <c r="F80" s="35" t="n"/>
      <c r="G80" s="35" t="n"/>
      <c r="H80" s="37" t="n"/>
      <c r="I80" s="39">
        <f>IF(B80="","",G80*H80)</f>
        <v/>
      </c>
      <c r="J80" s="35" t="n"/>
      <c r="K80" s="35" t="n"/>
      <c r="L80" s="35" t="n"/>
      <c r="M80" s="9">
        <f>IF(B80="","",IF(COUNTIF(Jobs!$A$5:$A$44,B80)=0,"Unknown Job ID",IF(C80="","Missing cost code",IF(COUNTIF(Settings!$E$5:$E$28,C80)=0,"Unknown cost code",IF(A80="","Missing date",IF(OR(G80="",H80=""),"Missing qty or cost",""))))))</f>
        <v/>
      </c>
      <c r="N80" s="35" t="n"/>
    </row>
    <row r="81">
      <c r="A81" s="40" t="n"/>
      <c r="B81" s="35" t="n"/>
      <c r="C81" s="35" t="n"/>
      <c r="D81" s="9">
        <f>IF(C81="","",IFERROR(VLOOKUP(C81,Settings!$E$5:$G$28,3,FALSE),"Other"))</f>
        <v/>
      </c>
      <c r="E81" s="35" t="n"/>
      <c r="F81" s="35" t="n"/>
      <c r="G81" s="35" t="n"/>
      <c r="H81" s="37" t="n"/>
      <c r="I81" s="39">
        <f>IF(B81="","",G81*H81)</f>
        <v/>
      </c>
      <c r="J81" s="35" t="n"/>
      <c r="K81" s="35" t="n"/>
      <c r="L81" s="35" t="n"/>
      <c r="M81" s="9">
        <f>IF(B81="","",IF(COUNTIF(Jobs!$A$5:$A$44,B81)=0,"Unknown Job ID",IF(C81="","Missing cost code",IF(COUNTIF(Settings!$E$5:$E$28,C81)=0,"Unknown cost code",IF(A81="","Missing date",IF(OR(G81="",H81=""),"Missing qty or cost",""))))))</f>
        <v/>
      </c>
      <c r="N81" s="35" t="n"/>
    </row>
    <row r="82">
      <c r="A82" s="40" t="n"/>
      <c r="B82" s="35" t="n"/>
      <c r="C82" s="35" t="n"/>
      <c r="D82" s="9">
        <f>IF(C82="","",IFERROR(VLOOKUP(C82,Settings!$E$5:$G$28,3,FALSE),"Other"))</f>
        <v/>
      </c>
      <c r="E82" s="35" t="n"/>
      <c r="F82" s="35" t="n"/>
      <c r="G82" s="35" t="n"/>
      <c r="H82" s="37" t="n"/>
      <c r="I82" s="39">
        <f>IF(B82="","",G82*H82)</f>
        <v/>
      </c>
      <c r="J82" s="35" t="n"/>
      <c r="K82" s="35" t="n"/>
      <c r="L82" s="35" t="n"/>
      <c r="M82" s="9">
        <f>IF(B82="","",IF(COUNTIF(Jobs!$A$5:$A$44,B82)=0,"Unknown Job ID",IF(C82="","Missing cost code",IF(COUNTIF(Settings!$E$5:$E$28,C82)=0,"Unknown cost code",IF(A82="","Missing date",IF(OR(G82="",H82=""),"Missing qty or cost",""))))))</f>
        <v/>
      </c>
      <c r="N82" s="35" t="n"/>
    </row>
    <row r="83">
      <c r="A83" s="40" t="n"/>
      <c r="B83" s="35" t="n"/>
      <c r="C83" s="35" t="n"/>
      <c r="D83" s="9">
        <f>IF(C83="","",IFERROR(VLOOKUP(C83,Settings!$E$5:$G$28,3,FALSE),"Other"))</f>
        <v/>
      </c>
      <c r="E83" s="35" t="n"/>
      <c r="F83" s="35" t="n"/>
      <c r="G83" s="35" t="n"/>
      <c r="H83" s="37" t="n"/>
      <c r="I83" s="39">
        <f>IF(B83="","",G83*H83)</f>
        <v/>
      </c>
      <c r="J83" s="35" t="n"/>
      <c r="K83" s="35" t="n"/>
      <c r="L83" s="35" t="n"/>
      <c r="M83" s="9">
        <f>IF(B83="","",IF(COUNTIF(Jobs!$A$5:$A$44,B83)=0,"Unknown Job ID",IF(C83="","Missing cost code",IF(COUNTIF(Settings!$E$5:$E$28,C83)=0,"Unknown cost code",IF(A83="","Missing date",IF(OR(G83="",H83=""),"Missing qty or cost",""))))))</f>
        <v/>
      </c>
      <c r="N83" s="35" t="n"/>
    </row>
    <row r="84">
      <c r="A84" s="40" t="n"/>
      <c r="B84" s="35" t="n"/>
      <c r="C84" s="35" t="n"/>
      <c r="D84" s="9">
        <f>IF(C84="","",IFERROR(VLOOKUP(C84,Settings!$E$5:$G$28,3,FALSE),"Other"))</f>
        <v/>
      </c>
      <c r="E84" s="35" t="n"/>
      <c r="F84" s="35" t="n"/>
      <c r="G84" s="35" t="n"/>
      <c r="H84" s="37" t="n"/>
      <c r="I84" s="39">
        <f>IF(B84="","",G84*H84)</f>
        <v/>
      </c>
      <c r="J84" s="35" t="n"/>
      <c r="K84" s="35" t="n"/>
      <c r="L84" s="35" t="n"/>
      <c r="M84" s="9">
        <f>IF(B84="","",IF(COUNTIF(Jobs!$A$5:$A$44,B84)=0,"Unknown Job ID",IF(C84="","Missing cost code",IF(COUNTIF(Settings!$E$5:$E$28,C84)=0,"Unknown cost code",IF(A84="","Missing date",IF(OR(G84="",H84=""),"Missing qty or cost",""))))))</f>
        <v/>
      </c>
      <c r="N84" s="35" t="n"/>
    </row>
    <row r="85">
      <c r="A85" s="40" t="n"/>
      <c r="B85" s="35" t="n"/>
      <c r="C85" s="35" t="n"/>
      <c r="D85" s="9">
        <f>IF(C85="","",IFERROR(VLOOKUP(C85,Settings!$E$5:$G$28,3,FALSE),"Other"))</f>
        <v/>
      </c>
      <c r="E85" s="35" t="n"/>
      <c r="F85" s="35" t="n"/>
      <c r="G85" s="35" t="n"/>
      <c r="H85" s="37" t="n"/>
      <c r="I85" s="39">
        <f>IF(B85="","",G85*H85)</f>
        <v/>
      </c>
      <c r="J85" s="35" t="n"/>
      <c r="K85" s="35" t="n"/>
      <c r="L85" s="35" t="n"/>
      <c r="M85" s="9">
        <f>IF(B85="","",IF(COUNTIF(Jobs!$A$5:$A$44,B85)=0,"Unknown Job ID",IF(C85="","Missing cost code",IF(COUNTIF(Settings!$E$5:$E$28,C85)=0,"Unknown cost code",IF(A85="","Missing date",IF(OR(G85="",H85=""),"Missing qty or cost",""))))))</f>
        <v/>
      </c>
      <c r="N85" s="35" t="n"/>
    </row>
    <row r="86">
      <c r="A86" s="40" t="n"/>
      <c r="B86" s="35" t="n"/>
      <c r="C86" s="35" t="n"/>
      <c r="D86" s="9">
        <f>IF(C86="","",IFERROR(VLOOKUP(C86,Settings!$E$5:$G$28,3,FALSE),"Other"))</f>
        <v/>
      </c>
      <c r="E86" s="35" t="n"/>
      <c r="F86" s="35" t="n"/>
      <c r="G86" s="35" t="n"/>
      <c r="H86" s="37" t="n"/>
      <c r="I86" s="39">
        <f>IF(B86="","",G86*H86)</f>
        <v/>
      </c>
      <c r="J86" s="35" t="n"/>
      <c r="K86" s="35" t="n"/>
      <c r="L86" s="35" t="n"/>
      <c r="M86" s="9">
        <f>IF(B86="","",IF(COUNTIF(Jobs!$A$5:$A$44,B86)=0,"Unknown Job ID",IF(C86="","Missing cost code",IF(COUNTIF(Settings!$E$5:$E$28,C86)=0,"Unknown cost code",IF(A86="","Missing date",IF(OR(G86="",H86=""),"Missing qty or cost",""))))))</f>
        <v/>
      </c>
      <c r="N86" s="35" t="n"/>
    </row>
    <row r="87">
      <c r="A87" s="40" t="n"/>
      <c r="B87" s="35" t="n"/>
      <c r="C87" s="35" t="n"/>
      <c r="D87" s="9">
        <f>IF(C87="","",IFERROR(VLOOKUP(C87,Settings!$E$5:$G$28,3,FALSE),"Other"))</f>
        <v/>
      </c>
      <c r="E87" s="35" t="n"/>
      <c r="F87" s="35" t="n"/>
      <c r="G87" s="35" t="n"/>
      <c r="H87" s="37" t="n"/>
      <c r="I87" s="39">
        <f>IF(B87="","",G87*H87)</f>
        <v/>
      </c>
      <c r="J87" s="35" t="n"/>
      <c r="K87" s="35" t="n"/>
      <c r="L87" s="35" t="n"/>
      <c r="M87" s="9">
        <f>IF(B87="","",IF(COUNTIF(Jobs!$A$5:$A$44,B87)=0,"Unknown Job ID",IF(C87="","Missing cost code",IF(COUNTIF(Settings!$E$5:$E$28,C87)=0,"Unknown cost code",IF(A87="","Missing date",IF(OR(G87="",H87=""),"Missing qty or cost",""))))))</f>
        <v/>
      </c>
      <c r="N87" s="35" t="n"/>
    </row>
    <row r="88">
      <c r="A88" s="40" t="n"/>
      <c r="B88" s="35" t="n"/>
      <c r="C88" s="35" t="n"/>
      <c r="D88" s="9">
        <f>IF(C88="","",IFERROR(VLOOKUP(C88,Settings!$E$5:$G$28,3,FALSE),"Other"))</f>
        <v/>
      </c>
      <c r="E88" s="35" t="n"/>
      <c r="F88" s="35" t="n"/>
      <c r="G88" s="35" t="n"/>
      <c r="H88" s="37" t="n"/>
      <c r="I88" s="39">
        <f>IF(B88="","",G88*H88)</f>
        <v/>
      </c>
      <c r="J88" s="35" t="n"/>
      <c r="K88" s="35" t="n"/>
      <c r="L88" s="35" t="n"/>
      <c r="M88" s="9">
        <f>IF(B88="","",IF(COUNTIF(Jobs!$A$5:$A$44,B88)=0,"Unknown Job ID",IF(C88="","Missing cost code",IF(COUNTIF(Settings!$E$5:$E$28,C88)=0,"Unknown cost code",IF(A88="","Missing date",IF(OR(G88="",H88=""),"Missing qty or cost",""))))))</f>
        <v/>
      </c>
      <c r="N88" s="35" t="n"/>
    </row>
    <row r="89">
      <c r="A89" s="40" t="n"/>
      <c r="B89" s="35" t="n"/>
      <c r="C89" s="35" t="n"/>
      <c r="D89" s="9">
        <f>IF(C89="","",IFERROR(VLOOKUP(C89,Settings!$E$5:$G$28,3,FALSE),"Other"))</f>
        <v/>
      </c>
      <c r="E89" s="35" t="n"/>
      <c r="F89" s="35" t="n"/>
      <c r="G89" s="35" t="n"/>
      <c r="H89" s="37" t="n"/>
      <c r="I89" s="39">
        <f>IF(B89="","",G89*H89)</f>
        <v/>
      </c>
      <c r="J89" s="35" t="n"/>
      <c r="K89" s="35" t="n"/>
      <c r="L89" s="35" t="n"/>
      <c r="M89" s="9">
        <f>IF(B89="","",IF(COUNTIF(Jobs!$A$5:$A$44,B89)=0,"Unknown Job ID",IF(C89="","Missing cost code",IF(COUNTIF(Settings!$E$5:$E$28,C89)=0,"Unknown cost code",IF(A89="","Missing date",IF(OR(G89="",H89=""),"Missing qty or cost",""))))))</f>
        <v/>
      </c>
      <c r="N89" s="35" t="n"/>
    </row>
    <row r="90">
      <c r="A90" s="40" t="n"/>
      <c r="B90" s="35" t="n"/>
      <c r="C90" s="35" t="n"/>
      <c r="D90" s="9">
        <f>IF(C90="","",IFERROR(VLOOKUP(C90,Settings!$E$5:$G$28,3,FALSE),"Other"))</f>
        <v/>
      </c>
      <c r="E90" s="35" t="n"/>
      <c r="F90" s="35" t="n"/>
      <c r="G90" s="35" t="n"/>
      <c r="H90" s="37" t="n"/>
      <c r="I90" s="39">
        <f>IF(B90="","",G90*H90)</f>
        <v/>
      </c>
      <c r="J90" s="35" t="n"/>
      <c r="K90" s="35" t="n"/>
      <c r="L90" s="35" t="n"/>
      <c r="M90" s="9">
        <f>IF(B90="","",IF(COUNTIF(Jobs!$A$5:$A$44,B90)=0,"Unknown Job ID",IF(C90="","Missing cost code",IF(COUNTIF(Settings!$E$5:$E$28,C90)=0,"Unknown cost code",IF(A90="","Missing date",IF(OR(G90="",H90=""),"Missing qty or cost",""))))))</f>
        <v/>
      </c>
      <c r="N90" s="35" t="n"/>
    </row>
    <row r="91">
      <c r="A91" s="40" t="n"/>
      <c r="B91" s="35" t="n"/>
      <c r="C91" s="35" t="n"/>
      <c r="D91" s="9">
        <f>IF(C91="","",IFERROR(VLOOKUP(C91,Settings!$E$5:$G$28,3,FALSE),"Other"))</f>
        <v/>
      </c>
      <c r="E91" s="35" t="n"/>
      <c r="F91" s="35" t="n"/>
      <c r="G91" s="35" t="n"/>
      <c r="H91" s="37" t="n"/>
      <c r="I91" s="39">
        <f>IF(B91="","",G91*H91)</f>
        <v/>
      </c>
      <c r="J91" s="35" t="n"/>
      <c r="K91" s="35" t="n"/>
      <c r="L91" s="35" t="n"/>
      <c r="M91" s="9">
        <f>IF(B91="","",IF(COUNTIF(Jobs!$A$5:$A$44,B91)=0,"Unknown Job ID",IF(C91="","Missing cost code",IF(COUNTIF(Settings!$E$5:$E$28,C91)=0,"Unknown cost code",IF(A91="","Missing date",IF(OR(G91="",H91=""),"Missing qty or cost",""))))))</f>
        <v/>
      </c>
      <c r="N91" s="35" t="n"/>
    </row>
    <row r="92">
      <c r="A92" s="40" t="n"/>
      <c r="B92" s="35" t="n"/>
      <c r="C92" s="35" t="n"/>
      <c r="D92" s="9">
        <f>IF(C92="","",IFERROR(VLOOKUP(C92,Settings!$E$5:$G$28,3,FALSE),"Other"))</f>
        <v/>
      </c>
      <c r="E92" s="35" t="n"/>
      <c r="F92" s="35" t="n"/>
      <c r="G92" s="35" t="n"/>
      <c r="H92" s="37" t="n"/>
      <c r="I92" s="39">
        <f>IF(B92="","",G92*H92)</f>
        <v/>
      </c>
      <c r="J92" s="35" t="n"/>
      <c r="K92" s="35" t="n"/>
      <c r="L92" s="35" t="n"/>
      <c r="M92" s="9">
        <f>IF(B92="","",IF(COUNTIF(Jobs!$A$5:$A$44,B92)=0,"Unknown Job ID",IF(C92="","Missing cost code",IF(COUNTIF(Settings!$E$5:$E$28,C92)=0,"Unknown cost code",IF(A92="","Missing date",IF(OR(G92="",H92=""),"Missing qty or cost",""))))))</f>
        <v/>
      </c>
      <c r="N92" s="35" t="n"/>
    </row>
    <row r="93">
      <c r="A93" s="40" t="n"/>
      <c r="B93" s="35" t="n"/>
      <c r="C93" s="35" t="n"/>
      <c r="D93" s="9">
        <f>IF(C93="","",IFERROR(VLOOKUP(C93,Settings!$E$5:$G$28,3,FALSE),"Other"))</f>
        <v/>
      </c>
      <c r="E93" s="35" t="n"/>
      <c r="F93" s="35" t="n"/>
      <c r="G93" s="35" t="n"/>
      <c r="H93" s="37" t="n"/>
      <c r="I93" s="39">
        <f>IF(B93="","",G93*H93)</f>
        <v/>
      </c>
      <c r="J93" s="35" t="n"/>
      <c r="K93" s="35" t="n"/>
      <c r="L93" s="35" t="n"/>
      <c r="M93" s="9">
        <f>IF(B93="","",IF(COUNTIF(Jobs!$A$5:$A$44,B93)=0,"Unknown Job ID",IF(C93="","Missing cost code",IF(COUNTIF(Settings!$E$5:$E$28,C93)=0,"Unknown cost code",IF(A93="","Missing date",IF(OR(G93="",H93=""),"Missing qty or cost",""))))))</f>
        <v/>
      </c>
      <c r="N93" s="35" t="n"/>
    </row>
    <row r="94">
      <c r="A94" s="40" t="n"/>
      <c r="B94" s="35" t="n"/>
      <c r="C94" s="35" t="n"/>
      <c r="D94" s="9">
        <f>IF(C94="","",IFERROR(VLOOKUP(C94,Settings!$E$5:$G$28,3,FALSE),"Other"))</f>
        <v/>
      </c>
      <c r="E94" s="35" t="n"/>
      <c r="F94" s="35" t="n"/>
      <c r="G94" s="35" t="n"/>
      <c r="H94" s="37" t="n"/>
      <c r="I94" s="39">
        <f>IF(B94="","",G94*H94)</f>
        <v/>
      </c>
      <c r="J94" s="35" t="n"/>
      <c r="K94" s="35" t="n"/>
      <c r="L94" s="35" t="n"/>
      <c r="M94" s="9">
        <f>IF(B94="","",IF(COUNTIF(Jobs!$A$5:$A$44,B94)=0,"Unknown Job ID",IF(C94="","Missing cost code",IF(COUNTIF(Settings!$E$5:$E$28,C94)=0,"Unknown cost code",IF(A94="","Missing date",IF(OR(G94="",H94=""),"Missing qty or cost",""))))))</f>
        <v/>
      </c>
      <c r="N94" s="35" t="n"/>
    </row>
    <row r="95">
      <c r="A95" s="40" t="n"/>
      <c r="B95" s="35" t="n"/>
      <c r="C95" s="35" t="n"/>
      <c r="D95" s="9">
        <f>IF(C95="","",IFERROR(VLOOKUP(C95,Settings!$E$5:$G$28,3,FALSE),"Other"))</f>
        <v/>
      </c>
      <c r="E95" s="35" t="n"/>
      <c r="F95" s="35" t="n"/>
      <c r="G95" s="35" t="n"/>
      <c r="H95" s="37" t="n"/>
      <c r="I95" s="39">
        <f>IF(B95="","",G95*H95)</f>
        <v/>
      </c>
      <c r="J95" s="35" t="n"/>
      <c r="K95" s="35" t="n"/>
      <c r="L95" s="35" t="n"/>
      <c r="M95" s="9">
        <f>IF(B95="","",IF(COUNTIF(Jobs!$A$5:$A$44,B95)=0,"Unknown Job ID",IF(C95="","Missing cost code",IF(COUNTIF(Settings!$E$5:$E$28,C95)=0,"Unknown cost code",IF(A95="","Missing date",IF(OR(G95="",H95=""),"Missing qty or cost",""))))))</f>
        <v/>
      </c>
      <c r="N95" s="35" t="n"/>
    </row>
    <row r="96">
      <c r="A96" s="40" t="n"/>
      <c r="B96" s="35" t="n"/>
      <c r="C96" s="35" t="n"/>
      <c r="D96" s="9">
        <f>IF(C96="","",IFERROR(VLOOKUP(C96,Settings!$E$5:$G$28,3,FALSE),"Other"))</f>
        <v/>
      </c>
      <c r="E96" s="35" t="n"/>
      <c r="F96" s="35" t="n"/>
      <c r="G96" s="35" t="n"/>
      <c r="H96" s="37" t="n"/>
      <c r="I96" s="39">
        <f>IF(B96="","",G96*H96)</f>
        <v/>
      </c>
      <c r="J96" s="35" t="n"/>
      <c r="K96" s="35" t="n"/>
      <c r="L96" s="35" t="n"/>
      <c r="M96" s="9">
        <f>IF(B96="","",IF(COUNTIF(Jobs!$A$5:$A$44,B96)=0,"Unknown Job ID",IF(C96="","Missing cost code",IF(COUNTIF(Settings!$E$5:$E$28,C96)=0,"Unknown cost code",IF(A96="","Missing date",IF(OR(G96="",H96=""),"Missing qty or cost",""))))))</f>
        <v/>
      </c>
      <c r="N96" s="35" t="n"/>
    </row>
    <row r="97">
      <c r="A97" s="40" t="n"/>
      <c r="B97" s="35" t="n"/>
      <c r="C97" s="35" t="n"/>
      <c r="D97" s="9">
        <f>IF(C97="","",IFERROR(VLOOKUP(C97,Settings!$E$5:$G$28,3,FALSE),"Other"))</f>
        <v/>
      </c>
      <c r="E97" s="35" t="n"/>
      <c r="F97" s="35" t="n"/>
      <c r="G97" s="35" t="n"/>
      <c r="H97" s="37" t="n"/>
      <c r="I97" s="39">
        <f>IF(B97="","",G97*H97)</f>
        <v/>
      </c>
      <c r="J97" s="35" t="n"/>
      <c r="K97" s="35" t="n"/>
      <c r="L97" s="35" t="n"/>
      <c r="M97" s="9">
        <f>IF(B97="","",IF(COUNTIF(Jobs!$A$5:$A$44,B97)=0,"Unknown Job ID",IF(C97="","Missing cost code",IF(COUNTIF(Settings!$E$5:$E$28,C97)=0,"Unknown cost code",IF(A97="","Missing date",IF(OR(G97="",H97=""),"Missing qty or cost",""))))))</f>
        <v/>
      </c>
      <c r="N97" s="35" t="n"/>
    </row>
    <row r="98">
      <c r="A98" s="40" t="n"/>
      <c r="B98" s="35" t="n"/>
      <c r="C98" s="35" t="n"/>
      <c r="D98" s="9">
        <f>IF(C98="","",IFERROR(VLOOKUP(C98,Settings!$E$5:$G$28,3,FALSE),"Other"))</f>
        <v/>
      </c>
      <c r="E98" s="35" t="n"/>
      <c r="F98" s="35" t="n"/>
      <c r="G98" s="35" t="n"/>
      <c r="H98" s="37" t="n"/>
      <c r="I98" s="39">
        <f>IF(B98="","",G98*H98)</f>
        <v/>
      </c>
      <c r="J98" s="35" t="n"/>
      <c r="K98" s="35" t="n"/>
      <c r="L98" s="35" t="n"/>
      <c r="M98" s="9">
        <f>IF(B98="","",IF(COUNTIF(Jobs!$A$5:$A$44,B98)=0,"Unknown Job ID",IF(C98="","Missing cost code",IF(COUNTIF(Settings!$E$5:$E$28,C98)=0,"Unknown cost code",IF(A98="","Missing date",IF(OR(G98="",H98=""),"Missing qty or cost",""))))))</f>
        <v/>
      </c>
      <c r="N98" s="35" t="n"/>
    </row>
    <row r="99">
      <c r="A99" s="40" t="n"/>
      <c r="B99" s="35" t="n"/>
      <c r="C99" s="35" t="n"/>
      <c r="D99" s="9">
        <f>IF(C99="","",IFERROR(VLOOKUP(C99,Settings!$E$5:$G$28,3,FALSE),"Other"))</f>
        <v/>
      </c>
      <c r="E99" s="35" t="n"/>
      <c r="F99" s="35" t="n"/>
      <c r="G99" s="35" t="n"/>
      <c r="H99" s="37" t="n"/>
      <c r="I99" s="39">
        <f>IF(B99="","",G99*H99)</f>
        <v/>
      </c>
      <c r="J99" s="35" t="n"/>
      <c r="K99" s="35" t="n"/>
      <c r="L99" s="35" t="n"/>
      <c r="M99" s="9">
        <f>IF(B99="","",IF(COUNTIF(Jobs!$A$5:$A$44,B99)=0,"Unknown Job ID",IF(C99="","Missing cost code",IF(COUNTIF(Settings!$E$5:$E$28,C99)=0,"Unknown cost code",IF(A99="","Missing date",IF(OR(G99="",H99=""),"Missing qty or cost",""))))))</f>
        <v/>
      </c>
      <c r="N99" s="35" t="n"/>
    </row>
    <row r="100">
      <c r="A100" s="40" t="n"/>
      <c r="B100" s="35" t="n"/>
      <c r="C100" s="35" t="n"/>
      <c r="D100" s="9">
        <f>IF(C100="","",IFERROR(VLOOKUP(C100,Settings!$E$5:$G$28,3,FALSE),"Other"))</f>
        <v/>
      </c>
      <c r="E100" s="35" t="n"/>
      <c r="F100" s="35" t="n"/>
      <c r="G100" s="35" t="n"/>
      <c r="H100" s="37" t="n"/>
      <c r="I100" s="39">
        <f>IF(B100="","",G100*H100)</f>
        <v/>
      </c>
      <c r="J100" s="35" t="n"/>
      <c r="K100" s="35" t="n"/>
      <c r="L100" s="35" t="n"/>
      <c r="M100" s="9">
        <f>IF(B100="","",IF(COUNTIF(Jobs!$A$5:$A$44,B100)=0,"Unknown Job ID",IF(C100="","Missing cost code",IF(COUNTIF(Settings!$E$5:$E$28,C100)=0,"Unknown cost code",IF(A100="","Missing date",IF(OR(G100="",H100=""),"Missing qty or cost",""))))))</f>
        <v/>
      </c>
      <c r="N100" s="35" t="n"/>
    </row>
    <row r="101">
      <c r="A101" s="40" t="n"/>
      <c r="B101" s="35" t="n"/>
      <c r="C101" s="35" t="n"/>
      <c r="D101" s="9">
        <f>IF(C101="","",IFERROR(VLOOKUP(C101,Settings!$E$5:$G$28,3,FALSE),"Other"))</f>
        <v/>
      </c>
      <c r="E101" s="35" t="n"/>
      <c r="F101" s="35" t="n"/>
      <c r="G101" s="35" t="n"/>
      <c r="H101" s="37" t="n"/>
      <c r="I101" s="39">
        <f>IF(B101="","",G101*H101)</f>
        <v/>
      </c>
      <c r="J101" s="35" t="n"/>
      <c r="K101" s="35" t="n"/>
      <c r="L101" s="35" t="n"/>
      <c r="M101" s="9">
        <f>IF(B101="","",IF(COUNTIF(Jobs!$A$5:$A$44,B101)=0,"Unknown Job ID",IF(C101="","Missing cost code",IF(COUNTIF(Settings!$E$5:$E$28,C101)=0,"Unknown cost code",IF(A101="","Missing date",IF(OR(G101="",H101=""),"Missing qty or cost",""))))))</f>
        <v/>
      </c>
      <c r="N101" s="35" t="n"/>
    </row>
    <row r="102">
      <c r="A102" s="40" t="n"/>
      <c r="B102" s="35" t="n"/>
      <c r="C102" s="35" t="n"/>
      <c r="D102" s="9">
        <f>IF(C102="","",IFERROR(VLOOKUP(C102,Settings!$E$5:$G$28,3,FALSE),"Other"))</f>
        <v/>
      </c>
      <c r="E102" s="35" t="n"/>
      <c r="F102" s="35" t="n"/>
      <c r="G102" s="35" t="n"/>
      <c r="H102" s="37" t="n"/>
      <c r="I102" s="39">
        <f>IF(B102="","",G102*H102)</f>
        <v/>
      </c>
      <c r="J102" s="35" t="n"/>
      <c r="K102" s="35" t="n"/>
      <c r="L102" s="35" t="n"/>
      <c r="M102" s="9">
        <f>IF(B102="","",IF(COUNTIF(Jobs!$A$5:$A$44,B102)=0,"Unknown Job ID",IF(C102="","Missing cost code",IF(COUNTIF(Settings!$E$5:$E$28,C102)=0,"Unknown cost code",IF(A102="","Missing date",IF(OR(G102="",H102=""),"Missing qty or cost",""))))))</f>
        <v/>
      </c>
      <c r="N102" s="35" t="n"/>
    </row>
    <row r="103">
      <c r="A103" s="40" t="n"/>
      <c r="B103" s="35" t="n"/>
      <c r="C103" s="35" t="n"/>
      <c r="D103" s="9">
        <f>IF(C103="","",IFERROR(VLOOKUP(C103,Settings!$E$5:$G$28,3,FALSE),"Other"))</f>
        <v/>
      </c>
      <c r="E103" s="35" t="n"/>
      <c r="F103" s="35" t="n"/>
      <c r="G103" s="35" t="n"/>
      <c r="H103" s="37" t="n"/>
      <c r="I103" s="39">
        <f>IF(B103="","",G103*H103)</f>
        <v/>
      </c>
      <c r="J103" s="35" t="n"/>
      <c r="K103" s="35" t="n"/>
      <c r="L103" s="35" t="n"/>
      <c r="M103" s="9">
        <f>IF(B103="","",IF(COUNTIF(Jobs!$A$5:$A$44,B103)=0,"Unknown Job ID",IF(C103="","Missing cost code",IF(COUNTIF(Settings!$E$5:$E$28,C103)=0,"Unknown cost code",IF(A103="","Missing date",IF(OR(G103="",H103=""),"Missing qty or cost",""))))))</f>
        <v/>
      </c>
      <c r="N103" s="35" t="n"/>
    </row>
    <row r="104">
      <c r="A104" s="40" t="n"/>
      <c r="B104" s="35" t="n"/>
      <c r="C104" s="35" t="n"/>
      <c r="D104" s="9">
        <f>IF(C104="","",IFERROR(VLOOKUP(C104,Settings!$E$5:$G$28,3,FALSE),"Other"))</f>
        <v/>
      </c>
      <c r="E104" s="35" t="n"/>
      <c r="F104" s="35" t="n"/>
      <c r="G104" s="35" t="n"/>
      <c r="H104" s="37" t="n"/>
      <c r="I104" s="39">
        <f>IF(B104="","",G104*H104)</f>
        <v/>
      </c>
      <c r="J104" s="35" t="n"/>
      <c r="K104" s="35" t="n"/>
      <c r="L104" s="35" t="n"/>
      <c r="M104" s="9">
        <f>IF(B104="","",IF(COUNTIF(Jobs!$A$5:$A$44,B104)=0,"Unknown Job ID",IF(C104="","Missing cost code",IF(COUNTIF(Settings!$E$5:$E$28,C104)=0,"Unknown cost code",IF(A104="","Missing date",IF(OR(G104="",H104=""),"Missing qty or cost",""))))))</f>
        <v/>
      </c>
      <c r="N104" s="35" t="n"/>
    </row>
    <row r="105">
      <c r="A105" s="40" t="n"/>
      <c r="B105" s="35" t="n"/>
      <c r="C105" s="35" t="n"/>
      <c r="D105" s="9">
        <f>IF(C105="","",IFERROR(VLOOKUP(C105,Settings!$E$5:$G$28,3,FALSE),"Other"))</f>
        <v/>
      </c>
      <c r="E105" s="35" t="n"/>
      <c r="F105" s="35" t="n"/>
      <c r="G105" s="35" t="n"/>
      <c r="H105" s="37" t="n"/>
      <c r="I105" s="39">
        <f>IF(B105="","",G105*H105)</f>
        <v/>
      </c>
      <c r="J105" s="35" t="n"/>
      <c r="K105" s="35" t="n"/>
      <c r="L105" s="35" t="n"/>
      <c r="M105" s="9">
        <f>IF(B105="","",IF(COUNTIF(Jobs!$A$5:$A$44,B105)=0,"Unknown Job ID",IF(C105="","Missing cost code",IF(COUNTIF(Settings!$E$5:$E$28,C105)=0,"Unknown cost code",IF(A105="","Missing date",IF(OR(G105="",H105=""),"Missing qty or cost",""))))))</f>
        <v/>
      </c>
      <c r="N105" s="35" t="n"/>
    </row>
    <row r="106">
      <c r="A106" s="40" t="n"/>
      <c r="B106" s="35" t="n"/>
      <c r="C106" s="35" t="n"/>
      <c r="D106" s="9">
        <f>IF(C106="","",IFERROR(VLOOKUP(C106,Settings!$E$5:$G$28,3,FALSE),"Other"))</f>
        <v/>
      </c>
      <c r="E106" s="35" t="n"/>
      <c r="F106" s="35" t="n"/>
      <c r="G106" s="35" t="n"/>
      <c r="H106" s="37" t="n"/>
      <c r="I106" s="39">
        <f>IF(B106="","",G106*H106)</f>
        <v/>
      </c>
      <c r="J106" s="35" t="n"/>
      <c r="K106" s="35" t="n"/>
      <c r="L106" s="35" t="n"/>
      <c r="M106" s="9">
        <f>IF(B106="","",IF(COUNTIF(Jobs!$A$5:$A$44,B106)=0,"Unknown Job ID",IF(C106="","Missing cost code",IF(COUNTIF(Settings!$E$5:$E$28,C106)=0,"Unknown cost code",IF(A106="","Missing date",IF(OR(G106="",H106=""),"Missing qty or cost",""))))))</f>
        <v/>
      </c>
      <c r="N106" s="35" t="n"/>
    </row>
    <row r="107">
      <c r="A107" s="40" t="n"/>
      <c r="B107" s="35" t="n"/>
      <c r="C107" s="35" t="n"/>
      <c r="D107" s="9">
        <f>IF(C107="","",IFERROR(VLOOKUP(C107,Settings!$E$5:$G$28,3,FALSE),"Other"))</f>
        <v/>
      </c>
      <c r="E107" s="35" t="n"/>
      <c r="F107" s="35" t="n"/>
      <c r="G107" s="35" t="n"/>
      <c r="H107" s="37" t="n"/>
      <c r="I107" s="39">
        <f>IF(B107="","",G107*H107)</f>
        <v/>
      </c>
      <c r="J107" s="35" t="n"/>
      <c r="K107" s="35" t="n"/>
      <c r="L107" s="35" t="n"/>
      <c r="M107" s="9">
        <f>IF(B107="","",IF(COUNTIF(Jobs!$A$5:$A$44,B107)=0,"Unknown Job ID",IF(C107="","Missing cost code",IF(COUNTIF(Settings!$E$5:$E$28,C107)=0,"Unknown cost code",IF(A107="","Missing date",IF(OR(G107="",H107=""),"Missing qty or cost",""))))))</f>
        <v/>
      </c>
      <c r="N107" s="35" t="n"/>
    </row>
    <row r="108">
      <c r="A108" s="40" t="n"/>
      <c r="B108" s="35" t="n"/>
      <c r="C108" s="35" t="n"/>
      <c r="D108" s="9">
        <f>IF(C108="","",IFERROR(VLOOKUP(C108,Settings!$E$5:$G$28,3,FALSE),"Other"))</f>
        <v/>
      </c>
      <c r="E108" s="35" t="n"/>
      <c r="F108" s="35" t="n"/>
      <c r="G108" s="35" t="n"/>
      <c r="H108" s="37" t="n"/>
      <c r="I108" s="39">
        <f>IF(B108="","",G108*H108)</f>
        <v/>
      </c>
      <c r="J108" s="35" t="n"/>
      <c r="K108" s="35" t="n"/>
      <c r="L108" s="35" t="n"/>
      <c r="M108" s="9">
        <f>IF(B108="","",IF(COUNTIF(Jobs!$A$5:$A$44,B108)=0,"Unknown Job ID",IF(C108="","Missing cost code",IF(COUNTIF(Settings!$E$5:$E$28,C108)=0,"Unknown cost code",IF(A108="","Missing date",IF(OR(G108="",H108=""),"Missing qty or cost",""))))))</f>
        <v/>
      </c>
      <c r="N108" s="35" t="n"/>
    </row>
    <row r="109">
      <c r="A109" s="40" t="n"/>
      <c r="B109" s="35" t="n"/>
      <c r="C109" s="35" t="n"/>
      <c r="D109" s="9">
        <f>IF(C109="","",IFERROR(VLOOKUP(C109,Settings!$E$5:$G$28,3,FALSE),"Other"))</f>
        <v/>
      </c>
      <c r="E109" s="35" t="n"/>
      <c r="F109" s="35" t="n"/>
      <c r="G109" s="35" t="n"/>
      <c r="H109" s="37" t="n"/>
      <c r="I109" s="39">
        <f>IF(B109="","",G109*H109)</f>
        <v/>
      </c>
      <c r="J109" s="35" t="n"/>
      <c r="K109" s="35" t="n"/>
      <c r="L109" s="35" t="n"/>
      <c r="M109" s="9">
        <f>IF(B109="","",IF(COUNTIF(Jobs!$A$5:$A$44,B109)=0,"Unknown Job ID",IF(C109="","Missing cost code",IF(COUNTIF(Settings!$E$5:$E$28,C109)=0,"Unknown cost code",IF(A109="","Missing date",IF(OR(G109="",H109=""),"Missing qty or cost",""))))))</f>
        <v/>
      </c>
      <c r="N109" s="35" t="n"/>
    </row>
    <row r="110">
      <c r="A110" s="40" t="n"/>
      <c r="B110" s="35" t="n"/>
      <c r="C110" s="35" t="n"/>
      <c r="D110" s="9">
        <f>IF(C110="","",IFERROR(VLOOKUP(C110,Settings!$E$5:$G$28,3,FALSE),"Other"))</f>
        <v/>
      </c>
      <c r="E110" s="35" t="n"/>
      <c r="F110" s="35" t="n"/>
      <c r="G110" s="35" t="n"/>
      <c r="H110" s="37" t="n"/>
      <c r="I110" s="39">
        <f>IF(B110="","",G110*H110)</f>
        <v/>
      </c>
      <c r="J110" s="35" t="n"/>
      <c r="K110" s="35" t="n"/>
      <c r="L110" s="35" t="n"/>
      <c r="M110" s="9">
        <f>IF(B110="","",IF(COUNTIF(Jobs!$A$5:$A$44,B110)=0,"Unknown Job ID",IF(C110="","Missing cost code",IF(COUNTIF(Settings!$E$5:$E$28,C110)=0,"Unknown cost code",IF(A110="","Missing date",IF(OR(G110="",H110=""),"Missing qty or cost",""))))))</f>
        <v/>
      </c>
      <c r="N110" s="35" t="n"/>
    </row>
    <row r="111">
      <c r="A111" s="40" t="n"/>
      <c r="B111" s="35" t="n"/>
      <c r="C111" s="35" t="n"/>
      <c r="D111" s="9">
        <f>IF(C111="","",IFERROR(VLOOKUP(C111,Settings!$E$5:$G$28,3,FALSE),"Other"))</f>
        <v/>
      </c>
      <c r="E111" s="35" t="n"/>
      <c r="F111" s="35" t="n"/>
      <c r="G111" s="35" t="n"/>
      <c r="H111" s="37" t="n"/>
      <c r="I111" s="39">
        <f>IF(B111="","",G111*H111)</f>
        <v/>
      </c>
      <c r="J111" s="35" t="n"/>
      <c r="K111" s="35" t="n"/>
      <c r="L111" s="35" t="n"/>
      <c r="M111" s="9">
        <f>IF(B111="","",IF(COUNTIF(Jobs!$A$5:$A$44,B111)=0,"Unknown Job ID",IF(C111="","Missing cost code",IF(COUNTIF(Settings!$E$5:$E$28,C111)=0,"Unknown cost code",IF(A111="","Missing date",IF(OR(G111="",H111=""),"Missing qty or cost",""))))))</f>
        <v/>
      </c>
      <c r="N111" s="35" t="n"/>
    </row>
    <row r="112">
      <c r="A112" s="40" t="n"/>
      <c r="B112" s="35" t="n"/>
      <c r="C112" s="35" t="n"/>
      <c r="D112" s="9">
        <f>IF(C112="","",IFERROR(VLOOKUP(C112,Settings!$E$5:$G$28,3,FALSE),"Other"))</f>
        <v/>
      </c>
      <c r="E112" s="35" t="n"/>
      <c r="F112" s="35" t="n"/>
      <c r="G112" s="35" t="n"/>
      <c r="H112" s="37" t="n"/>
      <c r="I112" s="39">
        <f>IF(B112="","",G112*H112)</f>
        <v/>
      </c>
      <c r="J112" s="35" t="n"/>
      <c r="K112" s="35" t="n"/>
      <c r="L112" s="35" t="n"/>
      <c r="M112" s="9">
        <f>IF(B112="","",IF(COUNTIF(Jobs!$A$5:$A$44,B112)=0,"Unknown Job ID",IF(C112="","Missing cost code",IF(COUNTIF(Settings!$E$5:$E$28,C112)=0,"Unknown cost code",IF(A112="","Missing date",IF(OR(G112="",H112=""),"Missing qty or cost",""))))))</f>
        <v/>
      </c>
      <c r="N112" s="35" t="n"/>
    </row>
    <row r="113">
      <c r="A113" s="40" t="n"/>
      <c r="B113" s="35" t="n"/>
      <c r="C113" s="35" t="n"/>
      <c r="D113" s="9">
        <f>IF(C113="","",IFERROR(VLOOKUP(C113,Settings!$E$5:$G$28,3,FALSE),"Other"))</f>
        <v/>
      </c>
      <c r="E113" s="35" t="n"/>
      <c r="F113" s="35" t="n"/>
      <c r="G113" s="35" t="n"/>
      <c r="H113" s="37" t="n"/>
      <c r="I113" s="39">
        <f>IF(B113="","",G113*H113)</f>
        <v/>
      </c>
      <c r="J113" s="35" t="n"/>
      <c r="K113" s="35" t="n"/>
      <c r="L113" s="35" t="n"/>
      <c r="M113" s="9">
        <f>IF(B113="","",IF(COUNTIF(Jobs!$A$5:$A$44,B113)=0,"Unknown Job ID",IF(C113="","Missing cost code",IF(COUNTIF(Settings!$E$5:$E$28,C113)=0,"Unknown cost code",IF(A113="","Missing date",IF(OR(G113="",H113=""),"Missing qty or cost",""))))))</f>
        <v/>
      </c>
      <c r="N113" s="35" t="n"/>
    </row>
    <row r="114">
      <c r="A114" s="40" t="n"/>
      <c r="B114" s="35" t="n"/>
      <c r="C114" s="35" t="n"/>
      <c r="D114" s="9">
        <f>IF(C114="","",IFERROR(VLOOKUP(C114,Settings!$E$5:$G$28,3,FALSE),"Other"))</f>
        <v/>
      </c>
      <c r="E114" s="35" t="n"/>
      <c r="F114" s="35" t="n"/>
      <c r="G114" s="35" t="n"/>
      <c r="H114" s="37" t="n"/>
      <c r="I114" s="39">
        <f>IF(B114="","",G114*H114)</f>
        <v/>
      </c>
      <c r="J114" s="35" t="n"/>
      <c r="K114" s="35" t="n"/>
      <c r="L114" s="35" t="n"/>
      <c r="M114" s="9">
        <f>IF(B114="","",IF(COUNTIF(Jobs!$A$5:$A$44,B114)=0,"Unknown Job ID",IF(C114="","Missing cost code",IF(COUNTIF(Settings!$E$5:$E$28,C114)=0,"Unknown cost code",IF(A114="","Missing date",IF(OR(G114="",H114=""),"Missing qty or cost",""))))))</f>
        <v/>
      </c>
      <c r="N114" s="35" t="n"/>
    </row>
    <row r="115">
      <c r="A115" s="40" t="n"/>
      <c r="B115" s="35" t="n"/>
      <c r="C115" s="35" t="n"/>
      <c r="D115" s="9">
        <f>IF(C115="","",IFERROR(VLOOKUP(C115,Settings!$E$5:$G$28,3,FALSE),"Other"))</f>
        <v/>
      </c>
      <c r="E115" s="35" t="n"/>
      <c r="F115" s="35" t="n"/>
      <c r="G115" s="35" t="n"/>
      <c r="H115" s="37" t="n"/>
      <c r="I115" s="39">
        <f>IF(B115="","",G115*H115)</f>
        <v/>
      </c>
      <c r="J115" s="35" t="n"/>
      <c r="K115" s="35" t="n"/>
      <c r="L115" s="35" t="n"/>
      <c r="M115" s="9">
        <f>IF(B115="","",IF(COUNTIF(Jobs!$A$5:$A$44,B115)=0,"Unknown Job ID",IF(C115="","Missing cost code",IF(COUNTIF(Settings!$E$5:$E$28,C115)=0,"Unknown cost code",IF(A115="","Missing date",IF(OR(G115="",H115=""),"Missing qty or cost",""))))))</f>
        <v/>
      </c>
      <c r="N115" s="35" t="n"/>
    </row>
    <row r="116">
      <c r="A116" s="40" t="n"/>
      <c r="B116" s="35" t="n"/>
      <c r="C116" s="35" t="n"/>
      <c r="D116" s="9">
        <f>IF(C116="","",IFERROR(VLOOKUP(C116,Settings!$E$5:$G$28,3,FALSE),"Other"))</f>
        <v/>
      </c>
      <c r="E116" s="35" t="n"/>
      <c r="F116" s="35" t="n"/>
      <c r="G116" s="35" t="n"/>
      <c r="H116" s="37" t="n"/>
      <c r="I116" s="39">
        <f>IF(B116="","",G116*H116)</f>
        <v/>
      </c>
      <c r="J116" s="35" t="n"/>
      <c r="K116" s="35" t="n"/>
      <c r="L116" s="35" t="n"/>
      <c r="M116" s="9">
        <f>IF(B116="","",IF(COUNTIF(Jobs!$A$5:$A$44,B116)=0,"Unknown Job ID",IF(C116="","Missing cost code",IF(COUNTIF(Settings!$E$5:$E$28,C116)=0,"Unknown cost code",IF(A116="","Missing date",IF(OR(G116="",H116=""),"Missing qty or cost",""))))))</f>
        <v/>
      </c>
      <c r="N116" s="35" t="n"/>
    </row>
    <row r="117">
      <c r="A117" s="40" t="n"/>
      <c r="B117" s="35" t="n"/>
      <c r="C117" s="35" t="n"/>
      <c r="D117" s="9">
        <f>IF(C117="","",IFERROR(VLOOKUP(C117,Settings!$E$5:$G$28,3,FALSE),"Other"))</f>
        <v/>
      </c>
      <c r="E117" s="35" t="n"/>
      <c r="F117" s="35" t="n"/>
      <c r="G117" s="35" t="n"/>
      <c r="H117" s="37" t="n"/>
      <c r="I117" s="39">
        <f>IF(B117="","",G117*H117)</f>
        <v/>
      </c>
      <c r="J117" s="35" t="n"/>
      <c r="K117" s="35" t="n"/>
      <c r="L117" s="35" t="n"/>
      <c r="M117" s="9">
        <f>IF(B117="","",IF(COUNTIF(Jobs!$A$5:$A$44,B117)=0,"Unknown Job ID",IF(C117="","Missing cost code",IF(COUNTIF(Settings!$E$5:$E$28,C117)=0,"Unknown cost code",IF(A117="","Missing date",IF(OR(G117="",H117=""),"Missing qty or cost",""))))))</f>
        <v/>
      </c>
      <c r="N117" s="35" t="n"/>
    </row>
    <row r="118">
      <c r="A118" s="40" t="n"/>
      <c r="B118" s="35" t="n"/>
      <c r="C118" s="35" t="n"/>
      <c r="D118" s="9">
        <f>IF(C118="","",IFERROR(VLOOKUP(C118,Settings!$E$5:$G$28,3,FALSE),"Other"))</f>
        <v/>
      </c>
      <c r="E118" s="35" t="n"/>
      <c r="F118" s="35" t="n"/>
      <c r="G118" s="35" t="n"/>
      <c r="H118" s="37" t="n"/>
      <c r="I118" s="39">
        <f>IF(B118="","",G118*H118)</f>
        <v/>
      </c>
      <c r="J118" s="35" t="n"/>
      <c r="K118" s="35" t="n"/>
      <c r="L118" s="35" t="n"/>
      <c r="M118" s="9">
        <f>IF(B118="","",IF(COUNTIF(Jobs!$A$5:$A$44,B118)=0,"Unknown Job ID",IF(C118="","Missing cost code",IF(COUNTIF(Settings!$E$5:$E$28,C118)=0,"Unknown cost code",IF(A118="","Missing date",IF(OR(G118="",H118=""),"Missing qty or cost",""))))))</f>
        <v/>
      </c>
      <c r="N118" s="35" t="n"/>
    </row>
    <row r="119">
      <c r="A119" s="40" t="n"/>
      <c r="B119" s="35" t="n"/>
      <c r="C119" s="35" t="n"/>
      <c r="D119" s="9">
        <f>IF(C119="","",IFERROR(VLOOKUP(C119,Settings!$E$5:$G$28,3,FALSE),"Other"))</f>
        <v/>
      </c>
      <c r="E119" s="35" t="n"/>
      <c r="F119" s="35" t="n"/>
      <c r="G119" s="35" t="n"/>
      <c r="H119" s="37" t="n"/>
      <c r="I119" s="39">
        <f>IF(B119="","",G119*H119)</f>
        <v/>
      </c>
      <c r="J119" s="35" t="n"/>
      <c r="K119" s="35" t="n"/>
      <c r="L119" s="35" t="n"/>
      <c r="M119" s="9">
        <f>IF(B119="","",IF(COUNTIF(Jobs!$A$5:$A$44,B119)=0,"Unknown Job ID",IF(C119="","Missing cost code",IF(COUNTIF(Settings!$E$5:$E$28,C119)=0,"Unknown cost code",IF(A119="","Missing date",IF(OR(G119="",H119=""),"Missing qty or cost",""))))))</f>
        <v/>
      </c>
      <c r="N119" s="35" t="n"/>
    </row>
    <row r="120">
      <c r="A120" s="40" t="n"/>
      <c r="B120" s="35" t="n"/>
      <c r="C120" s="35" t="n"/>
      <c r="D120" s="9">
        <f>IF(C120="","",IFERROR(VLOOKUP(C120,Settings!$E$5:$G$28,3,FALSE),"Other"))</f>
        <v/>
      </c>
      <c r="E120" s="35" t="n"/>
      <c r="F120" s="35" t="n"/>
      <c r="G120" s="35" t="n"/>
      <c r="H120" s="37" t="n"/>
      <c r="I120" s="39">
        <f>IF(B120="","",G120*H120)</f>
        <v/>
      </c>
      <c r="J120" s="35" t="n"/>
      <c r="K120" s="35" t="n"/>
      <c r="L120" s="35" t="n"/>
      <c r="M120" s="9">
        <f>IF(B120="","",IF(COUNTIF(Jobs!$A$5:$A$44,B120)=0,"Unknown Job ID",IF(C120="","Missing cost code",IF(COUNTIF(Settings!$E$5:$E$28,C120)=0,"Unknown cost code",IF(A120="","Missing date",IF(OR(G120="",H120=""),"Missing qty or cost",""))))))</f>
        <v/>
      </c>
      <c r="N120" s="35" t="n"/>
    </row>
    <row r="121">
      <c r="A121" s="40" t="n"/>
      <c r="B121" s="35" t="n"/>
      <c r="C121" s="35" t="n"/>
      <c r="D121" s="9">
        <f>IF(C121="","",IFERROR(VLOOKUP(C121,Settings!$E$5:$G$28,3,FALSE),"Other"))</f>
        <v/>
      </c>
      <c r="E121" s="35" t="n"/>
      <c r="F121" s="35" t="n"/>
      <c r="G121" s="35" t="n"/>
      <c r="H121" s="37" t="n"/>
      <c r="I121" s="39">
        <f>IF(B121="","",G121*H121)</f>
        <v/>
      </c>
      <c r="J121" s="35" t="n"/>
      <c r="K121" s="35" t="n"/>
      <c r="L121" s="35" t="n"/>
      <c r="M121" s="9">
        <f>IF(B121="","",IF(COUNTIF(Jobs!$A$5:$A$44,B121)=0,"Unknown Job ID",IF(C121="","Missing cost code",IF(COUNTIF(Settings!$E$5:$E$28,C121)=0,"Unknown cost code",IF(A121="","Missing date",IF(OR(G121="",H121=""),"Missing qty or cost",""))))))</f>
        <v/>
      </c>
      <c r="N121" s="35" t="n"/>
    </row>
    <row r="122">
      <c r="A122" s="40" t="n"/>
      <c r="B122" s="35" t="n"/>
      <c r="C122" s="35" t="n"/>
      <c r="D122" s="9">
        <f>IF(C122="","",IFERROR(VLOOKUP(C122,Settings!$E$5:$G$28,3,FALSE),"Other"))</f>
        <v/>
      </c>
      <c r="E122" s="35" t="n"/>
      <c r="F122" s="35" t="n"/>
      <c r="G122" s="35" t="n"/>
      <c r="H122" s="37" t="n"/>
      <c r="I122" s="39">
        <f>IF(B122="","",G122*H122)</f>
        <v/>
      </c>
      <c r="J122" s="35" t="n"/>
      <c r="K122" s="35" t="n"/>
      <c r="L122" s="35" t="n"/>
      <c r="M122" s="9">
        <f>IF(B122="","",IF(COUNTIF(Jobs!$A$5:$A$44,B122)=0,"Unknown Job ID",IF(C122="","Missing cost code",IF(COUNTIF(Settings!$E$5:$E$28,C122)=0,"Unknown cost code",IF(A122="","Missing date",IF(OR(G122="",H122=""),"Missing qty or cost",""))))))</f>
        <v/>
      </c>
      <c r="N122" s="35" t="n"/>
    </row>
    <row r="123">
      <c r="A123" s="40" t="n"/>
      <c r="B123" s="35" t="n"/>
      <c r="C123" s="35" t="n"/>
      <c r="D123" s="9">
        <f>IF(C123="","",IFERROR(VLOOKUP(C123,Settings!$E$5:$G$28,3,FALSE),"Other"))</f>
        <v/>
      </c>
      <c r="E123" s="35" t="n"/>
      <c r="F123" s="35" t="n"/>
      <c r="G123" s="35" t="n"/>
      <c r="H123" s="37" t="n"/>
      <c r="I123" s="39">
        <f>IF(B123="","",G123*H123)</f>
        <v/>
      </c>
      <c r="J123" s="35" t="n"/>
      <c r="K123" s="35" t="n"/>
      <c r="L123" s="35" t="n"/>
      <c r="M123" s="9">
        <f>IF(B123="","",IF(COUNTIF(Jobs!$A$5:$A$44,B123)=0,"Unknown Job ID",IF(C123="","Missing cost code",IF(COUNTIF(Settings!$E$5:$E$28,C123)=0,"Unknown cost code",IF(A123="","Missing date",IF(OR(G123="",H123=""),"Missing qty or cost",""))))))</f>
        <v/>
      </c>
      <c r="N123" s="35" t="n"/>
    </row>
    <row r="124">
      <c r="A124" s="40" t="n"/>
      <c r="B124" s="35" t="n"/>
      <c r="C124" s="35" t="n"/>
      <c r="D124" s="9">
        <f>IF(C124="","",IFERROR(VLOOKUP(C124,Settings!$E$5:$G$28,3,FALSE),"Other"))</f>
        <v/>
      </c>
      <c r="E124" s="35" t="n"/>
      <c r="F124" s="35" t="n"/>
      <c r="G124" s="35" t="n"/>
      <c r="H124" s="37" t="n"/>
      <c r="I124" s="39">
        <f>IF(B124="","",G124*H124)</f>
        <v/>
      </c>
      <c r="J124" s="35" t="n"/>
      <c r="K124" s="35" t="n"/>
      <c r="L124" s="35" t="n"/>
      <c r="M124" s="9">
        <f>IF(B124="","",IF(COUNTIF(Jobs!$A$5:$A$44,B124)=0,"Unknown Job ID",IF(C124="","Missing cost code",IF(COUNTIF(Settings!$E$5:$E$28,C124)=0,"Unknown cost code",IF(A124="","Missing date",IF(OR(G124="",H124=""),"Missing qty or cost",""))))))</f>
        <v/>
      </c>
      <c r="N124" s="35" t="n"/>
    </row>
    <row r="125">
      <c r="A125" s="40" t="n"/>
      <c r="B125" s="35" t="n"/>
      <c r="C125" s="35" t="n"/>
      <c r="D125" s="9">
        <f>IF(C125="","",IFERROR(VLOOKUP(C125,Settings!$E$5:$G$28,3,FALSE),"Other"))</f>
        <v/>
      </c>
      <c r="E125" s="35" t="n"/>
      <c r="F125" s="35" t="n"/>
      <c r="G125" s="35" t="n"/>
      <c r="H125" s="37" t="n"/>
      <c r="I125" s="39">
        <f>IF(B125="","",G125*H125)</f>
        <v/>
      </c>
      <c r="J125" s="35" t="n"/>
      <c r="K125" s="35" t="n"/>
      <c r="L125" s="35" t="n"/>
      <c r="M125" s="9">
        <f>IF(B125="","",IF(COUNTIF(Jobs!$A$5:$A$44,B125)=0,"Unknown Job ID",IF(C125="","Missing cost code",IF(COUNTIF(Settings!$E$5:$E$28,C125)=0,"Unknown cost code",IF(A125="","Missing date",IF(OR(G125="",H125=""),"Missing qty or cost",""))))))</f>
        <v/>
      </c>
      <c r="N125" s="35" t="n"/>
    </row>
    <row r="126">
      <c r="A126" s="40" t="n"/>
      <c r="B126" s="35" t="n"/>
      <c r="C126" s="35" t="n"/>
      <c r="D126" s="9">
        <f>IF(C126="","",IFERROR(VLOOKUP(C126,Settings!$E$5:$G$28,3,FALSE),"Other"))</f>
        <v/>
      </c>
      <c r="E126" s="35" t="n"/>
      <c r="F126" s="35" t="n"/>
      <c r="G126" s="35" t="n"/>
      <c r="H126" s="37" t="n"/>
      <c r="I126" s="39">
        <f>IF(B126="","",G126*H126)</f>
        <v/>
      </c>
      <c r="J126" s="35" t="n"/>
      <c r="K126" s="35" t="n"/>
      <c r="L126" s="35" t="n"/>
      <c r="M126" s="9">
        <f>IF(B126="","",IF(COUNTIF(Jobs!$A$5:$A$44,B126)=0,"Unknown Job ID",IF(C126="","Missing cost code",IF(COUNTIF(Settings!$E$5:$E$28,C126)=0,"Unknown cost code",IF(A126="","Missing date",IF(OR(G126="",H126=""),"Missing qty or cost",""))))))</f>
        <v/>
      </c>
      <c r="N126" s="35" t="n"/>
    </row>
    <row r="127">
      <c r="A127" s="40" t="n"/>
      <c r="B127" s="35" t="n"/>
      <c r="C127" s="35" t="n"/>
      <c r="D127" s="9">
        <f>IF(C127="","",IFERROR(VLOOKUP(C127,Settings!$E$5:$G$28,3,FALSE),"Other"))</f>
        <v/>
      </c>
      <c r="E127" s="35" t="n"/>
      <c r="F127" s="35" t="n"/>
      <c r="G127" s="35" t="n"/>
      <c r="H127" s="37" t="n"/>
      <c r="I127" s="39">
        <f>IF(B127="","",G127*H127)</f>
        <v/>
      </c>
      <c r="J127" s="35" t="n"/>
      <c r="K127" s="35" t="n"/>
      <c r="L127" s="35" t="n"/>
      <c r="M127" s="9">
        <f>IF(B127="","",IF(COUNTIF(Jobs!$A$5:$A$44,B127)=0,"Unknown Job ID",IF(C127="","Missing cost code",IF(COUNTIF(Settings!$E$5:$E$28,C127)=0,"Unknown cost code",IF(A127="","Missing date",IF(OR(G127="",H127=""),"Missing qty or cost",""))))))</f>
        <v/>
      </c>
      <c r="N127" s="35" t="n"/>
    </row>
    <row r="128">
      <c r="A128" s="40" t="n"/>
      <c r="B128" s="35" t="n"/>
      <c r="C128" s="35" t="n"/>
      <c r="D128" s="9">
        <f>IF(C128="","",IFERROR(VLOOKUP(C128,Settings!$E$5:$G$28,3,FALSE),"Other"))</f>
        <v/>
      </c>
      <c r="E128" s="35" t="n"/>
      <c r="F128" s="35" t="n"/>
      <c r="G128" s="35" t="n"/>
      <c r="H128" s="37" t="n"/>
      <c r="I128" s="39">
        <f>IF(B128="","",G128*H128)</f>
        <v/>
      </c>
      <c r="J128" s="35" t="n"/>
      <c r="K128" s="35" t="n"/>
      <c r="L128" s="35" t="n"/>
      <c r="M128" s="9">
        <f>IF(B128="","",IF(COUNTIF(Jobs!$A$5:$A$44,B128)=0,"Unknown Job ID",IF(C128="","Missing cost code",IF(COUNTIF(Settings!$E$5:$E$28,C128)=0,"Unknown cost code",IF(A128="","Missing date",IF(OR(G128="",H128=""),"Missing qty or cost",""))))))</f>
        <v/>
      </c>
      <c r="N128" s="35" t="n"/>
    </row>
    <row r="129">
      <c r="A129" s="40" t="n"/>
      <c r="B129" s="35" t="n"/>
      <c r="C129" s="35" t="n"/>
      <c r="D129" s="9">
        <f>IF(C129="","",IFERROR(VLOOKUP(C129,Settings!$E$5:$G$28,3,FALSE),"Other"))</f>
        <v/>
      </c>
      <c r="E129" s="35" t="n"/>
      <c r="F129" s="35" t="n"/>
      <c r="G129" s="35" t="n"/>
      <c r="H129" s="37" t="n"/>
      <c r="I129" s="39">
        <f>IF(B129="","",G129*H129)</f>
        <v/>
      </c>
      <c r="J129" s="35" t="n"/>
      <c r="K129" s="35" t="n"/>
      <c r="L129" s="35" t="n"/>
      <c r="M129" s="9">
        <f>IF(B129="","",IF(COUNTIF(Jobs!$A$5:$A$44,B129)=0,"Unknown Job ID",IF(C129="","Missing cost code",IF(COUNTIF(Settings!$E$5:$E$28,C129)=0,"Unknown cost code",IF(A129="","Missing date",IF(OR(G129="",H129=""),"Missing qty or cost",""))))))</f>
        <v/>
      </c>
      <c r="N129" s="35" t="n"/>
    </row>
    <row r="130">
      <c r="A130" s="40" t="n"/>
      <c r="B130" s="35" t="n"/>
      <c r="C130" s="35" t="n"/>
      <c r="D130" s="9">
        <f>IF(C130="","",IFERROR(VLOOKUP(C130,Settings!$E$5:$G$28,3,FALSE),"Other"))</f>
        <v/>
      </c>
      <c r="E130" s="35" t="n"/>
      <c r="F130" s="35" t="n"/>
      <c r="G130" s="35" t="n"/>
      <c r="H130" s="37" t="n"/>
      <c r="I130" s="39">
        <f>IF(B130="","",G130*H130)</f>
        <v/>
      </c>
      <c r="J130" s="35" t="n"/>
      <c r="K130" s="35" t="n"/>
      <c r="L130" s="35" t="n"/>
      <c r="M130" s="9">
        <f>IF(B130="","",IF(COUNTIF(Jobs!$A$5:$A$44,B130)=0,"Unknown Job ID",IF(C130="","Missing cost code",IF(COUNTIF(Settings!$E$5:$E$28,C130)=0,"Unknown cost code",IF(A130="","Missing date",IF(OR(G130="",H130=""),"Missing qty or cost",""))))))</f>
        <v/>
      </c>
      <c r="N130" s="35" t="n"/>
    </row>
    <row r="131">
      <c r="A131" s="40" t="n"/>
      <c r="B131" s="35" t="n"/>
      <c r="C131" s="35" t="n"/>
      <c r="D131" s="9">
        <f>IF(C131="","",IFERROR(VLOOKUP(C131,Settings!$E$5:$G$28,3,FALSE),"Other"))</f>
        <v/>
      </c>
      <c r="E131" s="35" t="n"/>
      <c r="F131" s="35" t="n"/>
      <c r="G131" s="35" t="n"/>
      <c r="H131" s="37" t="n"/>
      <c r="I131" s="39">
        <f>IF(B131="","",G131*H131)</f>
        <v/>
      </c>
      <c r="J131" s="35" t="n"/>
      <c r="K131" s="35" t="n"/>
      <c r="L131" s="35" t="n"/>
      <c r="M131" s="9">
        <f>IF(B131="","",IF(COUNTIF(Jobs!$A$5:$A$44,B131)=0,"Unknown Job ID",IF(C131="","Missing cost code",IF(COUNTIF(Settings!$E$5:$E$28,C131)=0,"Unknown cost code",IF(A131="","Missing date",IF(OR(G131="",H131=""),"Missing qty or cost",""))))))</f>
        <v/>
      </c>
      <c r="N131" s="35" t="n"/>
    </row>
    <row r="132">
      <c r="A132" s="40" t="n"/>
      <c r="B132" s="35" t="n"/>
      <c r="C132" s="35" t="n"/>
      <c r="D132" s="9">
        <f>IF(C132="","",IFERROR(VLOOKUP(C132,Settings!$E$5:$G$28,3,FALSE),"Other"))</f>
        <v/>
      </c>
      <c r="E132" s="35" t="n"/>
      <c r="F132" s="35" t="n"/>
      <c r="G132" s="35" t="n"/>
      <c r="H132" s="37" t="n"/>
      <c r="I132" s="39">
        <f>IF(B132="","",G132*H132)</f>
        <v/>
      </c>
      <c r="J132" s="35" t="n"/>
      <c r="K132" s="35" t="n"/>
      <c r="L132" s="35" t="n"/>
      <c r="M132" s="9">
        <f>IF(B132="","",IF(COUNTIF(Jobs!$A$5:$A$44,B132)=0,"Unknown Job ID",IF(C132="","Missing cost code",IF(COUNTIF(Settings!$E$5:$E$28,C132)=0,"Unknown cost code",IF(A132="","Missing date",IF(OR(G132="",H132=""),"Missing qty or cost",""))))))</f>
        <v/>
      </c>
      <c r="N132" s="35" t="n"/>
    </row>
    <row r="133">
      <c r="A133" s="40" t="n"/>
      <c r="B133" s="35" t="n"/>
      <c r="C133" s="35" t="n"/>
      <c r="D133" s="9">
        <f>IF(C133="","",IFERROR(VLOOKUP(C133,Settings!$E$5:$G$28,3,FALSE),"Other"))</f>
        <v/>
      </c>
      <c r="E133" s="35" t="n"/>
      <c r="F133" s="35" t="n"/>
      <c r="G133" s="35" t="n"/>
      <c r="H133" s="37" t="n"/>
      <c r="I133" s="39">
        <f>IF(B133="","",G133*H133)</f>
        <v/>
      </c>
      <c r="J133" s="35" t="n"/>
      <c r="K133" s="35" t="n"/>
      <c r="L133" s="35" t="n"/>
      <c r="M133" s="9">
        <f>IF(B133="","",IF(COUNTIF(Jobs!$A$5:$A$44,B133)=0,"Unknown Job ID",IF(C133="","Missing cost code",IF(COUNTIF(Settings!$E$5:$E$28,C133)=0,"Unknown cost code",IF(A133="","Missing date",IF(OR(G133="",H133=""),"Missing qty or cost",""))))))</f>
        <v/>
      </c>
      <c r="N133" s="35" t="n"/>
    </row>
    <row r="134">
      <c r="A134" s="40" t="n"/>
      <c r="B134" s="35" t="n"/>
      <c r="C134" s="35" t="n"/>
      <c r="D134" s="9">
        <f>IF(C134="","",IFERROR(VLOOKUP(C134,Settings!$E$5:$G$28,3,FALSE),"Other"))</f>
        <v/>
      </c>
      <c r="E134" s="35" t="n"/>
      <c r="F134" s="35" t="n"/>
      <c r="G134" s="35" t="n"/>
      <c r="H134" s="37" t="n"/>
      <c r="I134" s="39">
        <f>IF(B134="","",G134*H134)</f>
        <v/>
      </c>
      <c r="J134" s="35" t="n"/>
      <c r="K134" s="35" t="n"/>
      <c r="L134" s="35" t="n"/>
      <c r="M134" s="9">
        <f>IF(B134="","",IF(COUNTIF(Jobs!$A$5:$A$44,B134)=0,"Unknown Job ID",IF(C134="","Missing cost code",IF(COUNTIF(Settings!$E$5:$E$28,C134)=0,"Unknown cost code",IF(A134="","Missing date",IF(OR(G134="",H134=""),"Missing qty or cost",""))))))</f>
        <v/>
      </c>
      <c r="N134" s="35" t="n"/>
    </row>
    <row r="135">
      <c r="A135" s="40" t="n"/>
      <c r="B135" s="35" t="n"/>
      <c r="C135" s="35" t="n"/>
      <c r="D135" s="9">
        <f>IF(C135="","",IFERROR(VLOOKUP(C135,Settings!$E$5:$G$28,3,FALSE),"Other"))</f>
        <v/>
      </c>
      <c r="E135" s="35" t="n"/>
      <c r="F135" s="35" t="n"/>
      <c r="G135" s="35" t="n"/>
      <c r="H135" s="37" t="n"/>
      <c r="I135" s="39">
        <f>IF(B135="","",G135*H135)</f>
        <v/>
      </c>
      <c r="J135" s="35" t="n"/>
      <c r="K135" s="35" t="n"/>
      <c r="L135" s="35" t="n"/>
      <c r="M135" s="9">
        <f>IF(B135="","",IF(COUNTIF(Jobs!$A$5:$A$44,B135)=0,"Unknown Job ID",IF(C135="","Missing cost code",IF(COUNTIF(Settings!$E$5:$E$28,C135)=0,"Unknown cost code",IF(A135="","Missing date",IF(OR(G135="",H135=""),"Missing qty or cost",""))))))</f>
        <v/>
      </c>
      <c r="N135" s="35" t="n"/>
    </row>
    <row r="136">
      <c r="A136" s="40" t="n"/>
      <c r="B136" s="35" t="n"/>
      <c r="C136" s="35" t="n"/>
      <c r="D136" s="9">
        <f>IF(C136="","",IFERROR(VLOOKUP(C136,Settings!$E$5:$G$28,3,FALSE),"Other"))</f>
        <v/>
      </c>
      <c r="E136" s="35" t="n"/>
      <c r="F136" s="35" t="n"/>
      <c r="G136" s="35" t="n"/>
      <c r="H136" s="37" t="n"/>
      <c r="I136" s="39">
        <f>IF(B136="","",G136*H136)</f>
        <v/>
      </c>
      <c r="J136" s="35" t="n"/>
      <c r="K136" s="35" t="n"/>
      <c r="L136" s="35" t="n"/>
      <c r="M136" s="9">
        <f>IF(B136="","",IF(COUNTIF(Jobs!$A$5:$A$44,B136)=0,"Unknown Job ID",IF(C136="","Missing cost code",IF(COUNTIF(Settings!$E$5:$E$28,C136)=0,"Unknown cost code",IF(A136="","Missing date",IF(OR(G136="",H136=""),"Missing qty or cost",""))))))</f>
        <v/>
      </c>
      <c r="N136" s="35" t="n"/>
    </row>
    <row r="137">
      <c r="A137" s="40" t="n"/>
      <c r="B137" s="35" t="n"/>
      <c r="C137" s="35" t="n"/>
      <c r="D137" s="9">
        <f>IF(C137="","",IFERROR(VLOOKUP(C137,Settings!$E$5:$G$28,3,FALSE),"Other"))</f>
        <v/>
      </c>
      <c r="E137" s="35" t="n"/>
      <c r="F137" s="35" t="n"/>
      <c r="G137" s="35" t="n"/>
      <c r="H137" s="37" t="n"/>
      <c r="I137" s="39">
        <f>IF(B137="","",G137*H137)</f>
        <v/>
      </c>
      <c r="J137" s="35" t="n"/>
      <c r="K137" s="35" t="n"/>
      <c r="L137" s="35" t="n"/>
      <c r="M137" s="9">
        <f>IF(B137="","",IF(COUNTIF(Jobs!$A$5:$A$44,B137)=0,"Unknown Job ID",IF(C137="","Missing cost code",IF(COUNTIF(Settings!$E$5:$E$28,C137)=0,"Unknown cost code",IF(A137="","Missing date",IF(OR(G137="",H137=""),"Missing qty or cost",""))))))</f>
        <v/>
      </c>
      <c r="N137" s="35" t="n"/>
    </row>
    <row r="138">
      <c r="A138" s="40" t="n"/>
      <c r="B138" s="35" t="n"/>
      <c r="C138" s="35" t="n"/>
      <c r="D138" s="9">
        <f>IF(C138="","",IFERROR(VLOOKUP(C138,Settings!$E$5:$G$28,3,FALSE),"Other"))</f>
        <v/>
      </c>
      <c r="E138" s="35" t="n"/>
      <c r="F138" s="35" t="n"/>
      <c r="G138" s="35" t="n"/>
      <c r="H138" s="37" t="n"/>
      <c r="I138" s="39">
        <f>IF(B138="","",G138*H138)</f>
        <v/>
      </c>
      <c r="J138" s="35" t="n"/>
      <c r="K138" s="35" t="n"/>
      <c r="L138" s="35" t="n"/>
      <c r="M138" s="9">
        <f>IF(B138="","",IF(COUNTIF(Jobs!$A$5:$A$44,B138)=0,"Unknown Job ID",IF(C138="","Missing cost code",IF(COUNTIF(Settings!$E$5:$E$28,C138)=0,"Unknown cost code",IF(A138="","Missing date",IF(OR(G138="",H138=""),"Missing qty or cost",""))))))</f>
        <v/>
      </c>
      <c r="N138" s="35" t="n"/>
    </row>
    <row r="139">
      <c r="A139" s="40" t="n"/>
      <c r="B139" s="35" t="n"/>
      <c r="C139" s="35" t="n"/>
      <c r="D139" s="9">
        <f>IF(C139="","",IFERROR(VLOOKUP(C139,Settings!$E$5:$G$28,3,FALSE),"Other"))</f>
        <v/>
      </c>
      <c r="E139" s="35" t="n"/>
      <c r="F139" s="35" t="n"/>
      <c r="G139" s="35" t="n"/>
      <c r="H139" s="37" t="n"/>
      <c r="I139" s="39">
        <f>IF(B139="","",G139*H139)</f>
        <v/>
      </c>
      <c r="J139" s="35" t="n"/>
      <c r="K139" s="35" t="n"/>
      <c r="L139" s="35" t="n"/>
      <c r="M139" s="9">
        <f>IF(B139="","",IF(COUNTIF(Jobs!$A$5:$A$44,B139)=0,"Unknown Job ID",IF(C139="","Missing cost code",IF(COUNTIF(Settings!$E$5:$E$28,C139)=0,"Unknown cost code",IF(A139="","Missing date",IF(OR(G139="",H139=""),"Missing qty or cost",""))))))</f>
        <v/>
      </c>
      <c r="N139" s="35" t="n"/>
    </row>
    <row r="140">
      <c r="A140" s="40" t="n"/>
      <c r="B140" s="35" t="n"/>
      <c r="C140" s="35" t="n"/>
      <c r="D140" s="9">
        <f>IF(C140="","",IFERROR(VLOOKUP(C140,Settings!$E$5:$G$28,3,FALSE),"Other"))</f>
        <v/>
      </c>
      <c r="E140" s="35" t="n"/>
      <c r="F140" s="35" t="n"/>
      <c r="G140" s="35" t="n"/>
      <c r="H140" s="37" t="n"/>
      <c r="I140" s="39">
        <f>IF(B140="","",G140*H140)</f>
        <v/>
      </c>
      <c r="J140" s="35" t="n"/>
      <c r="K140" s="35" t="n"/>
      <c r="L140" s="35" t="n"/>
      <c r="M140" s="9">
        <f>IF(B140="","",IF(COUNTIF(Jobs!$A$5:$A$44,B140)=0,"Unknown Job ID",IF(C140="","Missing cost code",IF(COUNTIF(Settings!$E$5:$E$28,C140)=0,"Unknown cost code",IF(A140="","Missing date",IF(OR(G140="",H140=""),"Missing qty or cost",""))))))</f>
        <v/>
      </c>
      <c r="N140" s="35" t="n"/>
    </row>
    <row r="141">
      <c r="A141" s="40" t="n"/>
      <c r="B141" s="35" t="n"/>
      <c r="C141" s="35" t="n"/>
      <c r="D141" s="9">
        <f>IF(C141="","",IFERROR(VLOOKUP(C141,Settings!$E$5:$G$28,3,FALSE),"Other"))</f>
        <v/>
      </c>
      <c r="E141" s="35" t="n"/>
      <c r="F141" s="35" t="n"/>
      <c r="G141" s="35" t="n"/>
      <c r="H141" s="37" t="n"/>
      <c r="I141" s="39">
        <f>IF(B141="","",G141*H141)</f>
        <v/>
      </c>
      <c r="J141" s="35" t="n"/>
      <c r="K141" s="35" t="n"/>
      <c r="L141" s="35" t="n"/>
      <c r="M141" s="9">
        <f>IF(B141="","",IF(COUNTIF(Jobs!$A$5:$A$44,B141)=0,"Unknown Job ID",IF(C141="","Missing cost code",IF(COUNTIF(Settings!$E$5:$E$28,C141)=0,"Unknown cost code",IF(A141="","Missing date",IF(OR(G141="",H141=""),"Missing qty or cost",""))))))</f>
        <v/>
      </c>
      <c r="N141" s="35" t="n"/>
    </row>
    <row r="142">
      <c r="A142" s="40" t="n"/>
      <c r="B142" s="35" t="n"/>
      <c r="C142" s="35" t="n"/>
      <c r="D142" s="9">
        <f>IF(C142="","",IFERROR(VLOOKUP(C142,Settings!$E$5:$G$28,3,FALSE),"Other"))</f>
        <v/>
      </c>
      <c r="E142" s="35" t="n"/>
      <c r="F142" s="35" t="n"/>
      <c r="G142" s="35" t="n"/>
      <c r="H142" s="37" t="n"/>
      <c r="I142" s="39">
        <f>IF(B142="","",G142*H142)</f>
        <v/>
      </c>
      <c r="J142" s="35" t="n"/>
      <c r="K142" s="35" t="n"/>
      <c r="L142" s="35" t="n"/>
      <c r="M142" s="9">
        <f>IF(B142="","",IF(COUNTIF(Jobs!$A$5:$A$44,B142)=0,"Unknown Job ID",IF(C142="","Missing cost code",IF(COUNTIF(Settings!$E$5:$E$28,C142)=0,"Unknown cost code",IF(A142="","Missing date",IF(OR(G142="",H142=""),"Missing qty or cost",""))))))</f>
        <v/>
      </c>
      <c r="N142" s="35" t="n"/>
    </row>
    <row r="143">
      <c r="A143" s="40" t="n"/>
      <c r="B143" s="35" t="n"/>
      <c r="C143" s="35" t="n"/>
      <c r="D143" s="9">
        <f>IF(C143="","",IFERROR(VLOOKUP(C143,Settings!$E$5:$G$28,3,FALSE),"Other"))</f>
        <v/>
      </c>
      <c r="E143" s="35" t="n"/>
      <c r="F143" s="35" t="n"/>
      <c r="G143" s="35" t="n"/>
      <c r="H143" s="37" t="n"/>
      <c r="I143" s="39">
        <f>IF(B143="","",G143*H143)</f>
        <v/>
      </c>
      <c r="J143" s="35" t="n"/>
      <c r="K143" s="35" t="n"/>
      <c r="L143" s="35" t="n"/>
      <c r="M143" s="9">
        <f>IF(B143="","",IF(COUNTIF(Jobs!$A$5:$A$44,B143)=0,"Unknown Job ID",IF(C143="","Missing cost code",IF(COUNTIF(Settings!$E$5:$E$28,C143)=0,"Unknown cost code",IF(A143="","Missing date",IF(OR(G143="",H143=""),"Missing qty or cost",""))))))</f>
        <v/>
      </c>
      <c r="N143" s="35" t="n"/>
    </row>
    <row r="144">
      <c r="A144" s="40" t="n"/>
      <c r="B144" s="35" t="n"/>
      <c r="C144" s="35" t="n"/>
      <c r="D144" s="9">
        <f>IF(C144="","",IFERROR(VLOOKUP(C144,Settings!$E$5:$G$28,3,FALSE),"Other"))</f>
        <v/>
      </c>
      <c r="E144" s="35" t="n"/>
      <c r="F144" s="35" t="n"/>
      <c r="G144" s="35" t="n"/>
      <c r="H144" s="37" t="n"/>
      <c r="I144" s="39">
        <f>IF(B144="","",G144*H144)</f>
        <v/>
      </c>
      <c r="J144" s="35" t="n"/>
      <c r="K144" s="35" t="n"/>
      <c r="L144" s="35" t="n"/>
      <c r="M144" s="9">
        <f>IF(B144="","",IF(COUNTIF(Jobs!$A$5:$A$44,B144)=0,"Unknown Job ID",IF(C144="","Missing cost code",IF(COUNTIF(Settings!$E$5:$E$28,C144)=0,"Unknown cost code",IF(A144="","Missing date",IF(OR(G144="",H144=""),"Missing qty or cost",""))))))</f>
        <v/>
      </c>
      <c r="N144" s="35" t="n"/>
    </row>
    <row r="145">
      <c r="A145" s="40" t="n"/>
      <c r="B145" s="35" t="n"/>
      <c r="C145" s="35" t="n"/>
      <c r="D145" s="9">
        <f>IF(C145="","",IFERROR(VLOOKUP(C145,Settings!$E$5:$G$28,3,FALSE),"Other"))</f>
        <v/>
      </c>
      <c r="E145" s="35" t="n"/>
      <c r="F145" s="35" t="n"/>
      <c r="G145" s="35" t="n"/>
      <c r="H145" s="37" t="n"/>
      <c r="I145" s="39">
        <f>IF(B145="","",G145*H145)</f>
        <v/>
      </c>
      <c r="J145" s="35" t="n"/>
      <c r="K145" s="35" t="n"/>
      <c r="L145" s="35" t="n"/>
      <c r="M145" s="9">
        <f>IF(B145="","",IF(COUNTIF(Jobs!$A$5:$A$44,B145)=0,"Unknown Job ID",IF(C145="","Missing cost code",IF(COUNTIF(Settings!$E$5:$E$28,C145)=0,"Unknown cost code",IF(A145="","Missing date",IF(OR(G145="",H145=""),"Missing qty or cost",""))))))</f>
        <v/>
      </c>
      <c r="N145" s="35" t="n"/>
    </row>
    <row r="146">
      <c r="A146" s="40" t="n"/>
      <c r="B146" s="35" t="n"/>
      <c r="C146" s="35" t="n"/>
      <c r="D146" s="9">
        <f>IF(C146="","",IFERROR(VLOOKUP(C146,Settings!$E$5:$G$28,3,FALSE),"Other"))</f>
        <v/>
      </c>
      <c r="E146" s="35" t="n"/>
      <c r="F146" s="35" t="n"/>
      <c r="G146" s="35" t="n"/>
      <c r="H146" s="37" t="n"/>
      <c r="I146" s="39">
        <f>IF(B146="","",G146*H146)</f>
        <v/>
      </c>
      <c r="J146" s="35" t="n"/>
      <c r="K146" s="35" t="n"/>
      <c r="L146" s="35" t="n"/>
      <c r="M146" s="9">
        <f>IF(B146="","",IF(COUNTIF(Jobs!$A$5:$A$44,B146)=0,"Unknown Job ID",IF(C146="","Missing cost code",IF(COUNTIF(Settings!$E$5:$E$28,C146)=0,"Unknown cost code",IF(A146="","Missing date",IF(OR(G146="",H146=""),"Missing qty or cost",""))))))</f>
        <v/>
      </c>
      <c r="N146" s="35" t="n"/>
    </row>
    <row r="147">
      <c r="A147" s="40" t="n"/>
      <c r="B147" s="35" t="n"/>
      <c r="C147" s="35" t="n"/>
      <c r="D147" s="9">
        <f>IF(C147="","",IFERROR(VLOOKUP(C147,Settings!$E$5:$G$28,3,FALSE),"Other"))</f>
        <v/>
      </c>
      <c r="E147" s="35" t="n"/>
      <c r="F147" s="35" t="n"/>
      <c r="G147" s="35" t="n"/>
      <c r="H147" s="37" t="n"/>
      <c r="I147" s="39">
        <f>IF(B147="","",G147*H147)</f>
        <v/>
      </c>
      <c r="J147" s="35" t="n"/>
      <c r="K147" s="35" t="n"/>
      <c r="L147" s="35" t="n"/>
      <c r="M147" s="9">
        <f>IF(B147="","",IF(COUNTIF(Jobs!$A$5:$A$44,B147)=0,"Unknown Job ID",IF(C147="","Missing cost code",IF(COUNTIF(Settings!$E$5:$E$28,C147)=0,"Unknown cost code",IF(A147="","Missing date",IF(OR(G147="",H147=""),"Missing qty or cost",""))))))</f>
        <v/>
      </c>
      <c r="N147" s="35" t="n"/>
    </row>
    <row r="148">
      <c r="A148" s="40" t="n"/>
      <c r="B148" s="35" t="n"/>
      <c r="C148" s="35" t="n"/>
      <c r="D148" s="9">
        <f>IF(C148="","",IFERROR(VLOOKUP(C148,Settings!$E$5:$G$28,3,FALSE),"Other"))</f>
        <v/>
      </c>
      <c r="E148" s="35" t="n"/>
      <c r="F148" s="35" t="n"/>
      <c r="G148" s="35" t="n"/>
      <c r="H148" s="37" t="n"/>
      <c r="I148" s="39">
        <f>IF(B148="","",G148*H148)</f>
        <v/>
      </c>
      <c r="J148" s="35" t="n"/>
      <c r="K148" s="35" t="n"/>
      <c r="L148" s="35" t="n"/>
      <c r="M148" s="9">
        <f>IF(B148="","",IF(COUNTIF(Jobs!$A$5:$A$44,B148)=0,"Unknown Job ID",IF(C148="","Missing cost code",IF(COUNTIF(Settings!$E$5:$E$28,C148)=0,"Unknown cost code",IF(A148="","Missing date",IF(OR(G148="",H148=""),"Missing qty or cost",""))))))</f>
        <v/>
      </c>
      <c r="N148" s="35" t="n"/>
    </row>
    <row r="149">
      <c r="A149" s="40" t="n"/>
      <c r="B149" s="35" t="n"/>
      <c r="C149" s="35" t="n"/>
      <c r="D149" s="9">
        <f>IF(C149="","",IFERROR(VLOOKUP(C149,Settings!$E$5:$G$28,3,FALSE),"Other"))</f>
        <v/>
      </c>
      <c r="E149" s="35" t="n"/>
      <c r="F149" s="35" t="n"/>
      <c r="G149" s="35" t="n"/>
      <c r="H149" s="37" t="n"/>
      <c r="I149" s="39">
        <f>IF(B149="","",G149*H149)</f>
        <v/>
      </c>
      <c r="J149" s="35" t="n"/>
      <c r="K149" s="35" t="n"/>
      <c r="L149" s="35" t="n"/>
      <c r="M149" s="9">
        <f>IF(B149="","",IF(COUNTIF(Jobs!$A$5:$A$44,B149)=0,"Unknown Job ID",IF(C149="","Missing cost code",IF(COUNTIF(Settings!$E$5:$E$28,C149)=0,"Unknown cost code",IF(A149="","Missing date",IF(OR(G149="",H149=""),"Missing qty or cost",""))))))</f>
        <v/>
      </c>
      <c r="N149" s="35" t="n"/>
    </row>
    <row r="150">
      <c r="A150" s="40" t="n"/>
      <c r="B150" s="35" t="n"/>
      <c r="C150" s="35" t="n"/>
      <c r="D150" s="9">
        <f>IF(C150="","",IFERROR(VLOOKUP(C150,Settings!$E$5:$G$28,3,FALSE),"Other"))</f>
        <v/>
      </c>
      <c r="E150" s="35" t="n"/>
      <c r="F150" s="35" t="n"/>
      <c r="G150" s="35" t="n"/>
      <c r="H150" s="37" t="n"/>
      <c r="I150" s="39">
        <f>IF(B150="","",G150*H150)</f>
        <v/>
      </c>
      <c r="J150" s="35" t="n"/>
      <c r="K150" s="35" t="n"/>
      <c r="L150" s="35" t="n"/>
      <c r="M150" s="9">
        <f>IF(B150="","",IF(COUNTIF(Jobs!$A$5:$A$44,B150)=0,"Unknown Job ID",IF(C150="","Missing cost code",IF(COUNTIF(Settings!$E$5:$E$28,C150)=0,"Unknown cost code",IF(A150="","Missing date",IF(OR(G150="",H150=""),"Missing qty or cost",""))))))</f>
        <v/>
      </c>
      <c r="N150" s="35" t="n"/>
    </row>
    <row r="151">
      <c r="A151" s="40" t="n"/>
      <c r="B151" s="35" t="n"/>
      <c r="C151" s="35" t="n"/>
      <c r="D151" s="9">
        <f>IF(C151="","",IFERROR(VLOOKUP(C151,Settings!$E$5:$G$28,3,FALSE),"Other"))</f>
        <v/>
      </c>
      <c r="E151" s="35" t="n"/>
      <c r="F151" s="35" t="n"/>
      <c r="G151" s="35" t="n"/>
      <c r="H151" s="37" t="n"/>
      <c r="I151" s="39">
        <f>IF(B151="","",G151*H151)</f>
        <v/>
      </c>
      <c r="J151" s="35" t="n"/>
      <c r="K151" s="35" t="n"/>
      <c r="L151" s="35" t="n"/>
      <c r="M151" s="9">
        <f>IF(B151="","",IF(COUNTIF(Jobs!$A$5:$A$44,B151)=0,"Unknown Job ID",IF(C151="","Missing cost code",IF(COUNTIF(Settings!$E$5:$E$28,C151)=0,"Unknown cost code",IF(A151="","Missing date",IF(OR(G151="",H151=""),"Missing qty or cost",""))))))</f>
        <v/>
      </c>
      <c r="N151" s="35" t="n"/>
    </row>
    <row r="152">
      <c r="A152" s="40" t="n"/>
      <c r="B152" s="35" t="n"/>
      <c r="C152" s="35" t="n"/>
      <c r="D152" s="9">
        <f>IF(C152="","",IFERROR(VLOOKUP(C152,Settings!$E$5:$G$28,3,FALSE),"Other"))</f>
        <v/>
      </c>
      <c r="E152" s="35" t="n"/>
      <c r="F152" s="35" t="n"/>
      <c r="G152" s="35" t="n"/>
      <c r="H152" s="37" t="n"/>
      <c r="I152" s="39">
        <f>IF(B152="","",G152*H152)</f>
        <v/>
      </c>
      <c r="J152" s="35" t="n"/>
      <c r="K152" s="35" t="n"/>
      <c r="L152" s="35" t="n"/>
      <c r="M152" s="9">
        <f>IF(B152="","",IF(COUNTIF(Jobs!$A$5:$A$44,B152)=0,"Unknown Job ID",IF(C152="","Missing cost code",IF(COUNTIF(Settings!$E$5:$E$28,C152)=0,"Unknown cost code",IF(A152="","Missing date",IF(OR(G152="",H152=""),"Missing qty or cost",""))))))</f>
        <v/>
      </c>
      <c r="N152" s="35" t="n"/>
    </row>
    <row r="153">
      <c r="A153" s="40" t="n"/>
      <c r="B153" s="35" t="n"/>
      <c r="C153" s="35" t="n"/>
      <c r="D153" s="9">
        <f>IF(C153="","",IFERROR(VLOOKUP(C153,Settings!$E$5:$G$28,3,FALSE),"Other"))</f>
        <v/>
      </c>
      <c r="E153" s="35" t="n"/>
      <c r="F153" s="35" t="n"/>
      <c r="G153" s="35" t="n"/>
      <c r="H153" s="37" t="n"/>
      <c r="I153" s="39">
        <f>IF(B153="","",G153*H153)</f>
        <v/>
      </c>
      <c r="J153" s="35" t="n"/>
      <c r="K153" s="35" t="n"/>
      <c r="L153" s="35" t="n"/>
      <c r="M153" s="9">
        <f>IF(B153="","",IF(COUNTIF(Jobs!$A$5:$A$44,B153)=0,"Unknown Job ID",IF(C153="","Missing cost code",IF(COUNTIF(Settings!$E$5:$E$28,C153)=0,"Unknown cost code",IF(A153="","Missing date",IF(OR(G153="",H153=""),"Missing qty or cost",""))))))</f>
        <v/>
      </c>
      <c r="N153" s="35" t="n"/>
    </row>
    <row r="154">
      <c r="A154" s="40" t="n"/>
      <c r="B154" s="35" t="n"/>
      <c r="C154" s="35" t="n"/>
      <c r="D154" s="9">
        <f>IF(C154="","",IFERROR(VLOOKUP(C154,Settings!$E$5:$G$28,3,FALSE),"Other"))</f>
        <v/>
      </c>
      <c r="E154" s="35" t="n"/>
      <c r="F154" s="35" t="n"/>
      <c r="G154" s="35" t="n"/>
      <c r="H154" s="37" t="n"/>
      <c r="I154" s="39">
        <f>IF(B154="","",G154*H154)</f>
        <v/>
      </c>
      <c r="J154" s="35" t="n"/>
      <c r="K154" s="35" t="n"/>
      <c r="L154" s="35" t="n"/>
      <c r="M154" s="9">
        <f>IF(B154="","",IF(COUNTIF(Jobs!$A$5:$A$44,B154)=0,"Unknown Job ID",IF(C154="","Missing cost code",IF(COUNTIF(Settings!$E$5:$E$28,C154)=0,"Unknown cost code",IF(A154="","Missing date",IF(OR(G154="",H154=""),"Missing qty or cost",""))))))</f>
        <v/>
      </c>
      <c r="N154" s="35" t="n"/>
    </row>
    <row r="155">
      <c r="A155" s="40" t="n"/>
      <c r="B155" s="35" t="n"/>
      <c r="C155" s="35" t="n"/>
      <c r="D155" s="9">
        <f>IF(C155="","",IFERROR(VLOOKUP(C155,Settings!$E$5:$G$28,3,FALSE),"Other"))</f>
        <v/>
      </c>
      <c r="E155" s="35" t="n"/>
      <c r="F155" s="35" t="n"/>
      <c r="G155" s="35" t="n"/>
      <c r="H155" s="37" t="n"/>
      <c r="I155" s="39">
        <f>IF(B155="","",G155*H155)</f>
        <v/>
      </c>
      <c r="J155" s="35" t="n"/>
      <c r="K155" s="35" t="n"/>
      <c r="L155" s="35" t="n"/>
      <c r="M155" s="9">
        <f>IF(B155="","",IF(COUNTIF(Jobs!$A$5:$A$44,B155)=0,"Unknown Job ID",IF(C155="","Missing cost code",IF(COUNTIF(Settings!$E$5:$E$28,C155)=0,"Unknown cost code",IF(A155="","Missing date",IF(OR(G155="",H155=""),"Missing qty or cost",""))))))</f>
        <v/>
      </c>
      <c r="N155" s="35" t="n"/>
    </row>
    <row r="156">
      <c r="A156" s="40" t="n"/>
      <c r="B156" s="35" t="n"/>
      <c r="C156" s="35" t="n"/>
      <c r="D156" s="9">
        <f>IF(C156="","",IFERROR(VLOOKUP(C156,Settings!$E$5:$G$28,3,FALSE),"Other"))</f>
        <v/>
      </c>
      <c r="E156" s="35" t="n"/>
      <c r="F156" s="35" t="n"/>
      <c r="G156" s="35" t="n"/>
      <c r="H156" s="37" t="n"/>
      <c r="I156" s="39">
        <f>IF(B156="","",G156*H156)</f>
        <v/>
      </c>
      <c r="J156" s="35" t="n"/>
      <c r="K156" s="35" t="n"/>
      <c r="L156" s="35" t="n"/>
      <c r="M156" s="9">
        <f>IF(B156="","",IF(COUNTIF(Jobs!$A$5:$A$44,B156)=0,"Unknown Job ID",IF(C156="","Missing cost code",IF(COUNTIF(Settings!$E$5:$E$28,C156)=0,"Unknown cost code",IF(A156="","Missing date",IF(OR(G156="",H156=""),"Missing qty or cost",""))))))</f>
        <v/>
      </c>
      <c r="N156" s="35" t="n"/>
    </row>
    <row r="157">
      <c r="A157" s="40" t="n"/>
      <c r="B157" s="35" t="n"/>
      <c r="C157" s="35" t="n"/>
      <c r="D157" s="9">
        <f>IF(C157="","",IFERROR(VLOOKUP(C157,Settings!$E$5:$G$28,3,FALSE),"Other"))</f>
        <v/>
      </c>
      <c r="E157" s="35" t="n"/>
      <c r="F157" s="35" t="n"/>
      <c r="G157" s="35" t="n"/>
      <c r="H157" s="37" t="n"/>
      <c r="I157" s="39">
        <f>IF(B157="","",G157*H157)</f>
        <v/>
      </c>
      <c r="J157" s="35" t="n"/>
      <c r="K157" s="35" t="n"/>
      <c r="L157" s="35" t="n"/>
      <c r="M157" s="9">
        <f>IF(B157="","",IF(COUNTIF(Jobs!$A$5:$A$44,B157)=0,"Unknown Job ID",IF(C157="","Missing cost code",IF(COUNTIF(Settings!$E$5:$E$28,C157)=0,"Unknown cost code",IF(A157="","Missing date",IF(OR(G157="",H157=""),"Missing qty or cost",""))))))</f>
        <v/>
      </c>
      <c r="N157" s="35" t="n"/>
    </row>
    <row r="158">
      <c r="A158" s="40" t="n"/>
      <c r="B158" s="35" t="n"/>
      <c r="C158" s="35" t="n"/>
      <c r="D158" s="9">
        <f>IF(C158="","",IFERROR(VLOOKUP(C158,Settings!$E$5:$G$28,3,FALSE),"Other"))</f>
        <v/>
      </c>
      <c r="E158" s="35" t="n"/>
      <c r="F158" s="35" t="n"/>
      <c r="G158" s="35" t="n"/>
      <c r="H158" s="37" t="n"/>
      <c r="I158" s="39">
        <f>IF(B158="","",G158*H158)</f>
        <v/>
      </c>
      <c r="J158" s="35" t="n"/>
      <c r="K158" s="35" t="n"/>
      <c r="L158" s="35" t="n"/>
      <c r="M158" s="9">
        <f>IF(B158="","",IF(COUNTIF(Jobs!$A$5:$A$44,B158)=0,"Unknown Job ID",IF(C158="","Missing cost code",IF(COUNTIF(Settings!$E$5:$E$28,C158)=0,"Unknown cost code",IF(A158="","Missing date",IF(OR(G158="",H158=""),"Missing qty or cost",""))))))</f>
        <v/>
      </c>
      <c r="N158" s="35" t="n"/>
    </row>
    <row r="159">
      <c r="A159" s="40" t="n"/>
      <c r="B159" s="35" t="n"/>
      <c r="C159" s="35" t="n"/>
      <c r="D159" s="9">
        <f>IF(C159="","",IFERROR(VLOOKUP(C159,Settings!$E$5:$G$28,3,FALSE),"Other"))</f>
        <v/>
      </c>
      <c r="E159" s="35" t="n"/>
      <c r="F159" s="35" t="n"/>
      <c r="G159" s="35" t="n"/>
      <c r="H159" s="37" t="n"/>
      <c r="I159" s="39">
        <f>IF(B159="","",G159*H159)</f>
        <v/>
      </c>
      <c r="J159" s="35" t="n"/>
      <c r="K159" s="35" t="n"/>
      <c r="L159" s="35" t="n"/>
      <c r="M159" s="9">
        <f>IF(B159="","",IF(COUNTIF(Jobs!$A$5:$A$44,B159)=0,"Unknown Job ID",IF(C159="","Missing cost code",IF(COUNTIF(Settings!$E$5:$E$28,C159)=0,"Unknown cost code",IF(A159="","Missing date",IF(OR(G159="",H159=""),"Missing qty or cost",""))))))</f>
        <v/>
      </c>
      <c r="N159" s="35" t="n"/>
    </row>
    <row r="160">
      <c r="A160" s="40" t="n"/>
      <c r="B160" s="35" t="n"/>
      <c r="C160" s="35" t="n"/>
      <c r="D160" s="9">
        <f>IF(C160="","",IFERROR(VLOOKUP(C160,Settings!$E$5:$G$28,3,FALSE),"Other"))</f>
        <v/>
      </c>
      <c r="E160" s="35" t="n"/>
      <c r="F160" s="35" t="n"/>
      <c r="G160" s="35" t="n"/>
      <c r="H160" s="37" t="n"/>
      <c r="I160" s="39">
        <f>IF(B160="","",G160*H160)</f>
        <v/>
      </c>
      <c r="J160" s="35" t="n"/>
      <c r="K160" s="35" t="n"/>
      <c r="L160" s="35" t="n"/>
      <c r="M160" s="9">
        <f>IF(B160="","",IF(COUNTIF(Jobs!$A$5:$A$44,B160)=0,"Unknown Job ID",IF(C160="","Missing cost code",IF(COUNTIF(Settings!$E$5:$E$28,C160)=0,"Unknown cost code",IF(A160="","Missing date",IF(OR(G160="",H160=""),"Missing qty or cost",""))))))</f>
        <v/>
      </c>
      <c r="N160" s="35" t="n"/>
    </row>
    <row r="161">
      <c r="A161" s="40" t="n"/>
      <c r="B161" s="35" t="n"/>
      <c r="C161" s="35" t="n"/>
      <c r="D161" s="9">
        <f>IF(C161="","",IFERROR(VLOOKUP(C161,Settings!$E$5:$G$28,3,FALSE),"Other"))</f>
        <v/>
      </c>
      <c r="E161" s="35" t="n"/>
      <c r="F161" s="35" t="n"/>
      <c r="G161" s="35" t="n"/>
      <c r="H161" s="37" t="n"/>
      <c r="I161" s="39">
        <f>IF(B161="","",G161*H161)</f>
        <v/>
      </c>
      <c r="J161" s="35" t="n"/>
      <c r="K161" s="35" t="n"/>
      <c r="L161" s="35" t="n"/>
      <c r="M161" s="9">
        <f>IF(B161="","",IF(COUNTIF(Jobs!$A$5:$A$44,B161)=0,"Unknown Job ID",IF(C161="","Missing cost code",IF(COUNTIF(Settings!$E$5:$E$28,C161)=0,"Unknown cost code",IF(A161="","Missing date",IF(OR(G161="",H161=""),"Missing qty or cost",""))))))</f>
        <v/>
      </c>
      <c r="N161" s="35" t="n"/>
    </row>
    <row r="162">
      <c r="A162" s="40" t="n"/>
      <c r="B162" s="35" t="n"/>
      <c r="C162" s="35" t="n"/>
      <c r="D162" s="9">
        <f>IF(C162="","",IFERROR(VLOOKUP(C162,Settings!$E$5:$G$28,3,FALSE),"Other"))</f>
        <v/>
      </c>
      <c r="E162" s="35" t="n"/>
      <c r="F162" s="35" t="n"/>
      <c r="G162" s="35" t="n"/>
      <c r="H162" s="37" t="n"/>
      <c r="I162" s="39">
        <f>IF(B162="","",G162*H162)</f>
        <v/>
      </c>
      <c r="J162" s="35" t="n"/>
      <c r="K162" s="35" t="n"/>
      <c r="L162" s="35" t="n"/>
      <c r="M162" s="9">
        <f>IF(B162="","",IF(COUNTIF(Jobs!$A$5:$A$44,B162)=0,"Unknown Job ID",IF(C162="","Missing cost code",IF(COUNTIF(Settings!$E$5:$E$28,C162)=0,"Unknown cost code",IF(A162="","Missing date",IF(OR(G162="",H162=""),"Missing qty or cost",""))))))</f>
        <v/>
      </c>
      <c r="N162" s="35" t="n"/>
    </row>
    <row r="163">
      <c r="A163" s="40" t="n"/>
      <c r="B163" s="35" t="n"/>
      <c r="C163" s="35" t="n"/>
      <c r="D163" s="9">
        <f>IF(C163="","",IFERROR(VLOOKUP(C163,Settings!$E$5:$G$28,3,FALSE),"Other"))</f>
        <v/>
      </c>
      <c r="E163" s="35" t="n"/>
      <c r="F163" s="35" t="n"/>
      <c r="G163" s="35" t="n"/>
      <c r="H163" s="37" t="n"/>
      <c r="I163" s="39">
        <f>IF(B163="","",G163*H163)</f>
        <v/>
      </c>
      <c r="J163" s="35" t="n"/>
      <c r="K163" s="35" t="n"/>
      <c r="L163" s="35" t="n"/>
      <c r="M163" s="9">
        <f>IF(B163="","",IF(COUNTIF(Jobs!$A$5:$A$44,B163)=0,"Unknown Job ID",IF(C163="","Missing cost code",IF(COUNTIF(Settings!$E$5:$E$28,C163)=0,"Unknown cost code",IF(A163="","Missing date",IF(OR(G163="",H163=""),"Missing qty or cost",""))))))</f>
        <v/>
      </c>
      <c r="N163" s="35" t="n"/>
    </row>
    <row r="164">
      <c r="A164" s="40" t="n"/>
      <c r="B164" s="35" t="n"/>
      <c r="C164" s="35" t="n"/>
      <c r="D164" s="9">
        <f>IF(C164="","",IFERROR(VLOOKUP(C164,Settings!$E$5:$G$28,3,FALSE),"Other"))</f>
        <v/>
      </c>
      <c r="E164" s="35" t="n"/>
      <c r="F164" s="35" t="n"/>
      <c r="G164" s="35" t="n"/>
      <c r="H164" s="37" t="n"/>
      <c r="I164" s="39">
        <f>IF(B164="","",G164*H164)</f>
        <v/>
      </c>
      <c r="J164" s="35" t="n"/>
      <c r="K164" s="35" t="n"/>
      <c r="L164" s="35" t="n"/>
      <c r="M164" s="9">
        <f>IF(B164="","",IF(COUNTIF(Jobs!$A$5:$A$44,B164)=0,"Unknown Job ID",IF(C164="","Missing cost code",IF(COUNTIF(Settings!$E$5:$E$28,C164)=0,"Unknown cost code",IF(A164="","Missing date",IF(OR(G164="",H164=""),"Missing qty or cost",""))))))</f>
        <v/>
      </c>
      <c r="N164" s="35" t="n"/>
    </row>
    <row r="165">
      <c r="A165" s="40" t="n"/>
      <c r="B165" s="35" t="n"/>
      <c r="C165" s="35" t="n"/>
      <c r="D165" s="9">
        <f>IF(C165="","",IFERROR(VLOOKUP(C165,Settings!$E$5:$G$28,3,FALSE),"Other"))</f>
        <v/>
      </c>
      <c r="E165" s="35" t="n"/>
      <c r="F165" s="35" t="n"/>
      <c r="G165" s="35" t="n"/>
      <c r="H165" s="37" t="n"/>
      <c r="I165" s="39">
        <f>IF(B165="","",G165*H165)</f>
        <v/>
      </c>
      <c r="J165" s="35" t="n"/>
      <c r="K165" s="35" t="n"/>
      <c r="L165" s="35" t="n"/>
      <c r="M165" s="9">
        <f>IF(B165="","",IF(COUNTIF(Jobs!$A$5:$A$44,B165)=0,"Unknown Job ID",IF(C165="","Missing cost code",IF(COUNTIF(Settings!$E$5:$E$28,C165)=0,"Unknown cost code",IF(A165="","Missing date",IF(OR(G165="",H165=""),"Missing qty or cost",""))))))</f>
        <v/>
      </c>
      <c r="N165" s="35" t="n"/>
    </row>
    <row r="166">
      <c r="A166" s="40" t="n"/>
      <c r="B166" s="35" t="n"/>
      <c r="C166" s="35" t="n"/>
      <c r="D166" s="9">
        <f>IF(C166="","",IFERROR(VLOOKUP(C166,Settings!$E$5:$G$28,3,FALSE),"Other"))</f>
        <v/>
      </c>
      <c r="E166" s="35" t="n"/>
      <c r="F166" s="35" t="n"/>
      <c r="G166" s="35" t="n"/>
      <c r="H166" s="37" t="n"/>
      <c r="I166" s="39">
        <f>IF(B166="","",G166*H166)</f>
        <v/>
      </c>
      <c r="J166" s="35" t="n"/>
      <c r="K166" s="35" t="n"/>
      <c r="L166" s="35" t="n"/>
      <c r="M166" s="9">
        <f>IF(B166="","",IF(COUNTIF(Jobs!$A$5:$A$44,B166)=0,"Unknown Job ID",IF(C166="","Missing cost code",IF(COUNTIF(Settings!$E$5:$E$28,C166)=0,"Unknown cost code",IF(A166="","Missing date",IF(OR(G166="",H166=""),"Missing qty or cost",""))))))</f>
        <v/>
      </c>
      <c r="N166" s="35" t="n"/>
    </row>
    <row r="167">
      <c r="A167" s="40" t="n"/>
      <c r="B167" s="35" t="n"/>
      <c r="C167" s="35" t="n"/>
      <c r="D167" s="9">
        <f>IF(C167="","",IFERROR(VLOOKUP(C167,Settings!$E$5:$G$28,3,FALSE),"Other"))</f>
        <v/>
      </c>
      <c r="E167" s="35" t="n"/>
      <c r="F167" s="35" t="n"/>
      <c r="G167" s="35" t="n"/>
      <c r="H167" s="37" t="n"/>
      <c r="I167" s="39">
        <f>IF(B167="","",G167*H167)</f>
        <v/>
      </c>
      <c r="J167" s="35" t="n"/>
      <c r="K167" s="35" t="n"/>
      <c r="L167" s="35" t="n"/>
      <c r="M167" s="9">
        <f>IF(B167="","",IF(COUNTIF(Jobs!$A$5:$A$44,B167)=0,"Unknown Job ID",IF(C167="","Missing cost code",IF(COUNTIF(Settings!$E$5:$E$28,C167)=0,"Unknown cost code",IF(A167="","Missing date",IF(OR(G167="",H167=""),"Missing qty or cost",""))))))</f>
        <v/>
      </c>
      <c r="N167" s="35" t="n"/>
    </row>
    <row r="168">
      <c r="A168" s="40" t="n"/>
      <c r="B168" s="35" t="n"/>
      <c r="C168" s="35" t="n"/>
      <c r="D168" s="9">
        <f>IF(C168="","",IFERROR(VLOOKUP(C168,Settings!$E$5:$G$28,3,FALSE),"Other"))</f>
        <v/>
      </c>
      <c r="E168" s="35" t="n"/>
      <c r="F168" s="35" t="n"/>
      <c r="G168" s="35" t="n"/>
      <c r="H168" s="37" t="n"/>
      <c r="I168" s="39">
        <f>IF(B168="","",G168*H168)</f>
        <v/>
      </c>
      <c r="J168" s="35" t="n"/>
      <c r="K168" s="35" t="n"/>
      <c r="L168" s="35" t="n"/>
      <c r="M168" s="9">
        <f>IF(B168="","",IF(COUNTIF(Jobs!$A$5:$A$44,B168)=0,"Unknown Job ID",IF(C168="","Missing cost code",IF(COUNTIF(Settings!$E$5:$E$28,C168)=0,"Unknown cost code",IF(A168="","Missing date",IF(OR(G168="",H168=""),"Missing qty or cost",""))))))</f>
        <v/>
      </c>
      <c r="N168" s="35" t="n"/>
    </row>
    <row r="169">
      <c r="A169" s="40" t="n"/>
      <c r="B169" s="35" t="n"/>
      <c r="C169" s="35" t="n"/>
      <c r="D169" s="9">
        <f>IF(C169="","",IFERROR(VLOOKUP(C169,Settings!$E$5:$G$28,3,FALSE),"Other"))</f>
        <v/>
      </c>
      <c r="E169" s="35" t="n"/>
      <c r="F169" s="35" t="n"/>
      <c r="G169" s="35" t="n"/>
      <c r="H169" s="37" t="n"/>
      <c r="I169" s="39">
        <f>IF(B169="","",G169*H169)</f>
        <v/>
      </c>
      <c r="J169" s="35" t="n"/>
      <c r="K169" s="35" t="n"/>
      <c r="L169" s="35" t="n"/>
      <c r="M169" s="9">
        <f>IF(B169="","",IF(COUNTIF(Jobs!$A$5:$A$44,B169)=0,"Unknown Job ID",IF(C169="","Missing cost code",IF(COUNTIF(Settings!$E$5:$E$28,C169)=0,"Unknown cost code",IF(A169="","Missing date",IF(OR(G169="",H169=""),"Missing qty or cost",""))))))</f>
        <v/>
      </c>
      <c r="N169" s="35" t="n"/>
    </row>
    <row r="170">
      <c r="A170" s="40" t="n"/>
      <c r="B170" s="35" t="n"/>
      <c r="C170" s="35" t="n"/>
      <c r="D170" s="9">
        <f>IF(C170="","",IFERROR(VLOOKUP(C170,Settings!$E$5:$G$28,3,FALSE),"Other"))</f>
        <v/>
      </c>
      <c r="E170" s="35" t="n"/>
      <c r="F170" s="35" t="n"/>
      <c r="G170" s="35" t="n"/>
      <c r="H170" s="37" t="n"/>
      <c r="I170" s="39">
        <f>IF(B170="","",G170*H170)</f>
        <v/>
      </c>
      <c r="J170" s="35" t="n"/>
      <c r="K170" s="35" t="n"/>
      <c r="L170" s="35" t="n"/>
      <c r="M170" s="9">
        <f>IF(B170="","",IF(COUNTIF(Jobs!$A$5:$A$44,B170)=0,"Unknown Job ID",IF(C170="","Missing cost code",IF(COUNTIF(Settings!$E$5:$E$28,C170)=0,"Unknown cost code",IF(A170="","Missing date",IF(OR(G170="",H170=""),"Missing qty or cost",""))))))</f>
        <v/>
      </c>
      <c r="N170" s="35" t="n"/>
    </row>
    <row r="171">
      <c r="A171" s="40" t="n"/>
      <c r="B171" s="35" t="n"/>
      <c r="C171" s="35" t="n"/>
      <c r="D171" s="9">
        <f>IF(C171="","",IFERROR(VLOOKUP(C171,Settings!$E$5:$G$28,3,FALSE),"Other"))</f>
        <v/>
      </c>
      <c r="E171" s="35" t="n"/>
      <c r="F171" s="35" t="n"/>
      <c r="G171" s="35" t="n"/>
      <c r="H171" s="37" t="n"/>
      <c r="I171" s="39">
        <f>IF(B171="","",G171*H171)</f>
        <v/>
      </c>
      <c r="J171" s="35" t="n"/>
      <c r="K171" s="35" t="n"/>
      <c r="L171" s="35" t="n"/>
      <c r="M171" s="9">
        <f>IF(B171="","",IF(COUNTIF(Jobs!$A$5:$A$44,B171)=0,"Unknown Job ID",IF(C171="","Missing cost code",IF(COUNTIF(Settings!$E$5:$E$28,C171)=0,"Unknown cost code",IF(A171="","Missing date",IF(OR(G171="",H171=""),"Missing qty or cost",""))))))</f>
        <v/>
      </c>
      <c r="N171" s="35" t="n"/>
    </row>
    <row r="172">
      <c r="A172" s="40" t="n"/>
      <c r="B172" s="35" t="n"/>
      <c r="C172" s="35" t="n"/>
      <c r="D172" s="9">
        <f>IF(C172="","",IFERROR(VLOOKUP(C172,Settings!$E$5:$G$28,3,FALSE),"Other"))</f>
        <v/>
      </c>
      <c r="E172" s="35" t="n"/>
      <c r="F172" s="35" t="n"/>
      <c r="G172" s="35" t="n"/>
      <c r="H172" s="37" t="n"/>
      <c r="I172" s="39">
        <f>IF(B172="","",G172*H172)</f>
        <v/>
      </c>
      <c r="J172" s="35" t="n"/>
      <c r="K172" s="35" t="n"/>
      <c r="L172" s="35" t="n"/>
      <c r="M172" s="9">
        <f>IF(B172="","",IF(COUNTIF(Jobs!$A$5:$A$44,B172)=0,"Unknown Job ID",IF(C172="","Missing cost code",IF(COUNTIF(Settings!$E$5:$E$28,C172)=0,"Unknown cost code",IF(A172="","Missing date",IF(OR(G172="",H172=""),"Missing qty or cost",""))))))</f>
        <v/>
      </c>
      <c r="N172" s="35" t="n"/>
    </row>
    <row r="173">
      <c r="A173" s="40" t="n"/>
      <c r="B173" s="35" t="n"/>
      <c r="C173" s="35" t="n"/>
      <c r="D173" s="9">
        <f>IF(C173="","",IFERROR(VLOOKUP(C173,Settings!$E$5:$G$28,3,FALSE),"Other"))</f>
        <v/>
      </c>
      <c r="E173" s="35" t="n"/>
      <c r="F173" s="35" t="n"/>
      <c r="G173" s="35" t="n"/>
      <c r="H173" s="37" t="n"/>
      <c r="I173" s="39">
        <f>IF(B173="","",G173*H173)</f>
        <v/>
      </c>
      <c r="J173" s="35" t="n"/>
      <c r="K173" s="35" t="n"/>
      <c r="L173" s="35" t="n"/>
      <c r="M173" s="9">
        <f>IF(B173="","",IF(COUNTIF(Jobs!$A$5:$A$44,B173)=0,"Unknown Job ID",IF(C173="","Missing cost code",IF(COUNTIF(Settings!$E$5:$E$28,C173)=0,"Unknown cost code",IF(A173="","Missing date",IF(OR(G173="",H173=""),"Missing qty or cost",""))))))</f>
        <v/>
      </c>
      <c r="N173" s="35" t="n"/>
    </row>
    <row r="174">
      <c r="A174" s="40" t="n"/>
      <c r="B174" s="35" t="n"/>
      <c r="C174" s="35" t="n"/>
      <c r="D174" s="9">
        <f>IF(C174="","",IFERROR(VLOOKUP(C174,Settings!$E$5:$G$28,3,FALSE),"Other"))</f>
        <v/>
      </c>
      <c r="E174" s="35" t="n"/>
      <c r="F174" s="35" t="n"/>
      <c r="G174" s="35" t="n"/>
      <c r="H174" s="37" t="n"/>
      <c r="I174" s="39">
        <f>IF(B174="","",G174*H174)</f>
        <v/>
      </c>
      <c r="J174" s="35" t="n"/>
      <c r="K174" s="35" t="n"/>
      <c r="L174" s="35" t="n"/>
      <c r="M174" s="9">
        <f>IF(B174="","",IF(COUNTIF(Jobs!$A$5:$A$44,B174)=0,"Unknown Job ID",IF(C174="","Missing cost code",IF(COUNTIF(Settings!$E$5:$E$28,C174)=0,"Unknown cost code",IF(A174="","Missing date",IF(OR(G174="",H174=""),"Missing qty or cost",""))))))</f>
        <v/>
      </c>
      <c r="N174" s="35" t="n"/>
    </row>
    <row r="175">
      <c r="A175" s="40" t="n"/>
      <c r="B175" s="35" t="n"/>
      <c r="C175" s="35" t="n"/>
      <c r="D175" s="9">
        <f>IF(C175="","",IFERROR(VLOOKUP(C175,Settings!$E$5:$G$28,3,FALSE),"Other"))</f>
        <v/>
      </c>
      <c r="E175" s="35" t="n"/>
      <c r="F175" s="35" t="n"/>
      <c r="G175" s="35" t="n"/>
      <c r="H175" s="37" t="n"/>
      <c r="I175" s="39">
        <f>IF(B175="","",G175*H175)</f>
        <v/>
      </c>
      <c r="J175" s="35" t="n"/>
      <c r="K175" s="35" t="n"/>
      <c r="L175" s="35" t="n"/>
      <c r="M175" s="9">
        <f>IF(B175="","",IF(COUNTIF(Jobs!$A$5:$A$44,B175)=0,"Unknown Job ID",IF(C175="","Missing cost code",IF(COUNTIF(Settings!$E$5:$E$28,C175)=0,"Unknown cost code",IF(A175="","Missing date",IF(OR(G175="",H175=""),"Missing qty or cost",""))))))</f>
        <v/>
      </c>
      <c r="N175" s="35" t="n"/>
    </row>
    <row r="176">
      <c r="A176" s="40" t="n"/>
      <c r="B176" s="35" t="n"/>
      <c r="C176" s="35" t="n"/>
      <c r="D176" s="9">
        <f>IF(C176="","",IFERROR(VLOOKUP(C176,Settings!$E$5:$G$28,3,FALSE),"Other"))</f>
        <v/>
      </c>
      <c r="E176" s="35" t="n"/>
      <c r="F176" s="35" t="n"/>
      <c r="G176" s="35" t="n"/>
      <c r="H176" s="37" t="n"/>
      <c r="I176" s="39">
        <f>IF(B176="","",G176*H176)</f>
        <v/>
      </c>
      <c r="J176" s="35" t="n"/>
      <c r="K176" s="35" t="n"/>
      <c r="L176" s="35" t="n"/>
      <c r="M176" s="9">
        <f>IF(B176="","",IF(COUNTIF(Jobs!$A$5:$A$44,B176)=0,"Unknown Job ID",IF(C176="","Missing cost code",IF(COUNTIF(Settings!$E$5:$E$28,C176)=0,"Unknown cost code",IF(A176="","Missing date",IF(OR(G176="",H176=""),"Missing qty or cost",""))))))</f>
        <v/>
      </c>
      <c r="N176" s="35" t="n"/>
    </row>
    <row r="177">
      <c r="A177" s="40" t="n"/>
      <c r="B177" s="35" t="n"/>
      <c r="C177" s="35" t="n"/>
      <c r="D177" s="9">
        <f>IF(C177="","",IFERROR(VLOOKUP(C177,Settings!$E$5:$G$28,3,FALSE),"Other"))</f>
        <v/>
      </c>
      <c r="E177" s="35" t="n"/>
      <c r="F177" s="35" t="n"/>
      <c r="G177" s="35" t="n"/>
      <c r="H177" s="37" t="n"/>
      <c r="I177" s="39">
        <f>IF(B177="","",G177*H177)</f>
        <v/>
      </c>
      <c r="J177" s="35" t="n"/>
      <c r="K177" s="35" t="n"/>
      <c r="L177" s="35" t="n"/>
      <c r="M177" s="9">
        <f>IF(B177="","",IF(COUNTIF(Jobs!$A$5:$A$44,B177)=0,"Unknown Job ID",IF(C177="","Missing cost code",IF(COUNTIF(Settings!$E$5:$E$28,C177)=0,"Unknown cost code",IF(A177="","Missing date",IF(OR(G177="",H177=""),"Missing qty or cost",""))))))</f>
        <v/>
      </c>
      <c r="N177" s="35" t="n"/>
    </row>
    <row r="178">
      <c r="A178" s="40" t="n"/>
      <c r="B178" s="35" t="n"/>
      <c r="C178" s="35" t="n"/>
      <c r="D178" s="9">
        <f>IF(C178="","",IFERROR(VLOOKUP(C178,Settings!$E$5:$G$28,3,FALSE),"Other"))</f>
        <v/>
      </c>
      <c r="E178" s="35" t="n"/>
      <c r="F178" s="35" t="n"/>
      <c r="G178" s="35" t="n"/>
      <c r="H178" s="37" t="n"/>
      <c r="I178" s="39">
        <f>IF(B178="","",G178*H178)</f>
        <v/>
      </c>
      <c r="J178" s="35" t="n"/>
      <c r="K178" s="35" t="n"/>
      <c r="L178" s="35" t="n"/>
      <c r="M178" s="9">
        <f>IF(B178="","",IF(COUNTIF(Jobs!$A$5:$A$44,B178)=0,"Unknown Job ID",IF(C178="","Missing cost code",IF(COUNTIF(Settings!$E$5:$E$28,C178)=0,"Unknown cost code",IF(A178="","Missing date",IF(OR(G178="",H178=""),"Missing qty or cost",""))))))</f>
        <v/>
      </c>
      <c r="N178" s="35" t="n"/>
    </row>
    <row r="179">
      <c r="A179" s="40" t="n"/>
      <c r="B179" s="35" t="n"/>
      <c r="C179" s="35" t="n"/>
      <c r="D179" s="9">
        <f>IF(C179="","",IFERROR(VLOOKUP(C179,Settings!$E$5:$G$28,3,FALSE),"Other"))</f>
        <v/>
      </c>
      <c r="E179" s="35" t="n"/>
      <c r="F179" s="35" t="n"/>
      <c r="G179" s="35" t="n"/>
      <c r="H179" s="37" t="n"/>
      <c r="I179" s="39">
        <f>IF(B179="","",G179*H179)</f>
        <v/>
      </c>
      <c r="J179" s="35" t="n"/>
      <c r="K179" s="35" t="n"/>
      <c r="L179" s="35" t="n"/>
      <c r="M179" s="9">
        <f>IF(B179="","",IF(COUNTIF(Jobs!$A$5:$A$44,B179)=0,"Unknown Job ID",IF(C179="","Missing cost code",IF(COUNTIF(Settings!$E$5:$E$28,C179)=0,"Unknown cost code",IF(A179="","Missing date",IF(OR(G179="",H179=""),"Missing qty or cost",""))))))</f>
        <v/>
      </c>
      <c r="N179" s="35" t="n"/>
    </row>
    <row r="180">
      <c r="A180" s="40" t="n"/>
      <c r="B180" s="35" t="n"/>
      <c r="C180" s="35" t="n"/>
      <c r="D180" s="9">
        <f>IF(C180="","",IFERROR(VLOOKUP(C180,Settings!$E$5:$G$28,3,FALSE),"Other"))</f>
        <v/>
      </c>
      <c r="E180" s="35" t="n"/>
      <c r="F180" s="35" t="n"/>
      <c r="G180" s="35" t="n"/>
      <c r="H180" s="37" t="n"/>
      <c r="I180" s="39">
        <f>IF(B180="","",G180*H180)</f>
        <v/>
      </c>
      <c r="J180" s="35" t="n"/>
      <c r="K180" s="35" t="n"/>
      <c r="L180" s="35" t="n"/>
      <c r="M180" s="9">
        <f>IF(B180="","",IF(COUNTIF(Jobs!$A$5:$A$44,B180)=0,"Unknown Job ID",IF(C180="","Missing cost code",IF(COUNTIF(Settings!$E$5:$E$28,C180)=0,"Unknown cost code",IF(A180="","Missing date",IF(OR(G180="",H180=""),"Missing qty or cost",""))))))</f>
        <v/>
      </c>
      <c r="N180" s="35" t="n"/>
    </row>
    <row r="181">
      <c r="A181" s="40" t="n"/>
      <c r="B181" s="35" t="n"/>
      <c r="C181" s="35" t="n"/>
      <c r="D181" s="9">
        <f>IF(C181="","",IFERROR(VLOOKUP(C181,Settings!$E$5:$G$28,3,FALSE),"Other"))</f>
        <v/>
      </c>
      <c r="E181" s="35" t="n"/>
      <c r="F181" s="35" t="n"/>
      <c r="G181" s="35" t="n"/>
      <c r="H181" s="37" t="n"/>
      <c r="I181" s="39">
        <f>IF(B181="","",G181*H181)</f>
        <v/>
      </c>
      <c r="J181" s="35" t="n"/>
      <c r="K181" s="35" t="n"/>
      <c r="L181" s="35" t="n"/>
      <c r="M181" s="9">
        <f>IF(B181="","",IF(COUNTIF(Jobs!$A$5:$A$44,B181)=0,"Unknown Job ID",IF(C181="","Missing cost code",IF(COUNTIF(Settings!$E$5:$E$28,C181)=0,"Unknown cost code",IF(A181="","Missing date",IF(OR(G181="",H181=""),"Missing qty or cost",""))))))</f>
        <v/>
      </c>
      <c r="N181" s="35" t="n"/>
    </row>
    <row r="182">
      <c r="A182" s="40" t="n"/>
      <c r="B182" s="35" t="n"/>
      <c r="C182" s="35" t="n"/>
      <c r="D182" s="9">
        <f>IF(C182="","",IFERROR(VLOOKUP(C182,Settings!$E$5:$G$28,3,FALSE),"Other"))</f>
        <v/>
      </c>
      <c r="E182" s="35" t="n"/>
      <c r="F182" s="35" t="n"/>
      <c r="G182" s="35" t="n"/>
      <c r="H182" s="37" t="n"/>
      <c r="I182" s="39">
        <f>IF(B182="","",G182*H182)</f>
        <v/>
      </c>
      <c r="J182" s="35" t="n"/>
      <c r="K182" s="35" t="n"/>
      <c r="L182" s="35" t="n"/>
      <c r="M182" s="9">
        <f>IF(B182="","",IF(COUNTIF(Jobs!$A$5:$A$44,B182)=0,"Unknown Job ID",IF(C182="","Missing cost code",IF(COUNTIF(Settings!$E$5:$E$28,C182)=0,"Unknown cost code",IF(A182="","Missing date",IF(OR(G182="",H182=""),"Missing qty or cost",""))))))</f>
        <v/>
      </c>
      <c r="N182" s="35" t="n"/>
    </row>
    <row r="183">
      <c r="A183" s="40" t="n"/>
      <c r="B183" s="35" t="n"/>
      <c r="C183" s="35" t="n"/>
      <c r="D183" s="9">
        <f>IF(C183="","",IFERROR(VLOOKUP(C183,Settings!$E$5:$G$28,3,FALSE),"Other"))</f>
        <v/>
      </c>
      <c r="E183" s="35" t="n"/>
      <c r="F183" s="35" t="n"/>
      <c r="G183" s="35" t="n"/>
      <c r="H183" s="37" t="n"/>
      <c r="I183" s="39">
        <f>IF(B183="","",G183*H183)</f>
        <v/>
      </c>
      <c r="J183" s="35" t="n"/>
      <c r="K183" s="35" t="n"/>
      <c r="L183" s="35" t="n"/>
      <c r="M183" s="9">
        <f>IF(B183="","",IF(COUNTIF(Jobs!$A$5:$A$44,B183)=0,"Unknown Job ID",IF(C183="","Missing cost code",IF(COUNTIF(Settings!$E$5:$E$28,C183)=0,"Unknown cost code",IF(A183="","Missing date",IF(OR(G183="",H183=""),"Missing qty or cost",""))))))</f>
        <v/>
      </c>
      <c r="N183" s="35" t="n"/>
    </row>
    <row r="184">
      <c r="A184" s="40" t="n"/>
      <c r="B184" s="35" t="n"/>
      <c r="C184" s="35" t="n"/>
      <c r="D184" s="9">
        <f>IF(C184="","",IFERROR(VLOOKUP(C184,Settings!$E$5:$G$28,3,FALSE),"Other"))</f>
        <v/>
      </c>
      <c r="E184" s="35" t="n"/>
      <c r="F184" s="35" t="n"/>
      <c r="G184" s="35" t="n"/>
      <c r="H184" s="37" t="n"/>
      <c r="I184" s="39">
        <f>IF(B184="","",G184*H184)</f>
        <v/>
      </c>
      <c r="J184" s="35" t="n"/>
      <c r="K184" s="35" t="n"/>
      <c r="L184" s="35" t="n"/>
      <c r="M184" s="9">
        <f>IF(B184="","",IF(COUNTIF(Jobs!$A$5:$A$44,B184)=0,"Unknown Job ID",IF(C184="","Missing cost code",IF(COUNTIF(Settings!$E$5:$E$28,C184)=0,"Unknown cost code",IF(A184="","Missing date",IF(OR(G184="",H184=""),"Missing qty or cost",""))))))</f>
        <v/>
      </c>
      <c r="N184" s="35" t="n"/>
    </row>
    <row r="185">
      <c r="A185" s="40" t="n"/>
      <c r="B185" s="35" t="n"/>
      <c r="C185" s="35" t="n"/>
      <c r="D185" s="9">
        <f>IF(C185="","",IFERROR(VLOOKUP(C185,Settings!$E$5:$G$28,3,FALSE),"Other"))</f>
        <v/>
      </c>
      <c r="E185" s="35" t="n"/>
      <c r="F185" s="35" t="n"/>
      <c r="G185" s="35" t="n"/>
      <c r="H185" s="37" t="n"/>
      <c r="I185" s="39">
        <f>IF(B185="","",G185*H185)</f>
        <v/>
      </c>
      <c r="J185" s="35" t="n"/>
      <c r="K185" s="35" t="n"/>
      <c r="L185" s="35" t="n"/>
      <c r="M185" s="9">
        <f>IF(B185="","",IF(COUNTIF(Jobs!$A$5:$A$44,B185)=0,"Unknown Job ID",IF(C185="","Missing cost code",IF(COUNTIF(Settings!$E$5:$E$28,C185)=0,"Unknown cost code",IF(A185="","Missing date",IF(OR(G185="",H185=""),"Missing qty or cost",""))))))</f>
        <v/>
      </c>
      <c r="N185" s="35" t="n"/>
    </row>
    <row r="186">
      <c r="A186" s="40" t="n"/>
      <c r="B186" s="35" t="n"/>
      <c r="C186" s="35" t="n"/>
      <c r="D186" s="9">
        <f>IF(C186="","",IFERROR(VLOOKUP(C186,Settings!$E$5:$G$28,3,FALSE),"Other"))</f>
        <v/>
      </c>
      <c r="E186" s="35" t="n"/>
      <c r="F186" s="35" t="n"/>
      <c r="G186" s="35" t="n"/>
      <c r="H186" s="37" t="n"/>
      <c r="I186" s="39">
        <f>IF(B186="","",G186*H186)</f>
        <v/>
      </c>
      <c r="J186" s="35" t="n"/>
      <c r="K186" s="35" t="n"/>
      <c r="L186" s="35" t="n"/>
      <c r="M186" s="9">
        <f>IF(B186="","",IF(COUNTIF(Jobs!$A$5:$A$44,B186)=0,"Unknown Job ID",IF(C186="","Missing cost code",IF(COUNTIF(Settings!$E$5:$E$28,C186)=0,"Unknown cost code",IF(A186="","Missing date",IF(OR(G186="",H186=""),"Missing qty or cost",""))))))</f>
        <v/>
      </c>
      <c r="N186" s="35" t="n"/>
    </row>
    <row r="187">
      <c r="A187" s="40" t="n"/>
      <c r="B187" s="35" t="n"/>
      <c r="C187" s="35" t="n"/>
      <c r="D187" s="9">
        <f>IF(C187="","",IFERROR(VLOOKUP(C187,Settings!$E$5:$G$28,3,FALSE),"Other"))</f>
        <v/>
      </c>
      <c r="E187" s="35" t="n"/>
      <c r="F187" s="35" t="n"/>
      <c r="G187" s="35" t="n"/>
      <c r="H187" s="37" t="n"/>
      <c r="I187" s="39">
        <f>IF(B187="","",G187*H187)</f>
        <v/>
      </c>
      <c r="J187" s="35" t="n"/>
      <c r="K187" s="35" t="n"/>
      <c r="L187" s="35" t="n"/>
      <c r="M187" s="9">
        <f>IF(B187="","",IF(COUNTIF(Jobs!$A$5:$A$44,B187)=0,"Unknown Job ID",IF(C187="","Missing cost code",IF(COUNTIF(Settings!$E$5:$E$28,C187)=0,"Unknown cost code",IF(A187="","Missing date",IF(OR(G187="",H187=""),"Missing qty or cost",""))))))</f>
        <v/>
      </c>
      <c r="N187" s="35" t="n"/>
    </row>
    <row r="188">
      <c r="A188" s="40" t="n"/>
      <c r="B188" s="35" t="n"/>
      <c r="C188" s="35" t="n"/>
      <c r="D188" s="9">
        <f>IF(C188="","",IFERROR(VLOOKUP(C188,Settings!$E$5:$G$28,3,FALSE),"Other"))</f>
        <v/>
      </c>
      <c r="E188" s="35" t="n"/>
      <c r="F188" s="35" t="n"/>
      <c r="G188" s="35" t="n"/>
      <c r="H188" s="37" t="n"/>
      <c r="I188" s="39">
        <f>IF(B188="","",G188*H188)</f>
        <v/>
      </c>
      <c r="J188" s="35" t="n"/>
      <c r="K188" s="35" t="n"/>
      <c r="L188" s="35" t="n"/>
      <c r="M188" s="9">
        <f>IF(B188="","",IF(COUNTIF(Jobs!$A$5:$A$44,B188)=0,"Unknown Job ID",IF(C188="","Missing cost code",IF(COUNTIF(Settings!$E$5:$E$28,C188)=0,"Unknown cost code",IF(A188="","Missing date",IF(OR(G188="",H188=""),"Missing qty or cost",""))))))</f>
        <v/>
      </c>
      <c r="N188" s="35" t="n"/>
    </row>
    <row r="189">
      <c r="A189" s="40" t="n"/>
      <c r="B189" s="35" t="n"/>
      <c r="C189" s="35" t="n"/>
      <c r="D189" s="9">
        <f>IF(C189="","",IFERROR(VLOOKUP(C189,Settings!$E$5:$G$28,3,FALSE),"Other"))</f>
        <v/>
      </c>
      <c r="E189" s="35" t="n"/>
      <c r="F189" s="35" t="n"/>
      <c r="G189" s="35" t="n"/>
      <c r="H189" s="37" t="n"/>
      <c r="I189" s="39">
        <f>IF(B189="","",G189*H189)</f>
        <v/>
      </c>
      <c r="J189" s="35" t="n"/>
      <c r="K189" s="35" t="n"/>
      <c r="L189" s="35" t="n"/>
      <c r="M189" s="9">
        <f>IF(B189="","",IF(COUNTIF(Jobs!$A$5:$A$44,B189)=0,"Unknown Job ID",IF(C189="","Missing cost code",IF(COUNTIF(Settings!$E$5:$E$28,C189)=0,"Unknown cost code",IF(A189="","Missing date",IF(OR(G189="",H189=""),"Missing qty or cost",""))))))</f>
        <v/>
      </c>
      <c r="N189" s="35" t="n"/>
    </row>
    <row r="190">
      <c r="A190" s="40" t="n"/>
      <c r="B190" s="35" t="n"/>
      <c r="C190" s="35" t="n"/>
      <c r="D190" s="9">
        <f>IF(C190="","",IFERROR(VLOOKUP(C190,Settings!$E$5:$G$28,3,FALSE),"Other"))</f>
        <v/>
      </c>
      <c r="E190" s="35" t="n"/>
      <c r="F190" s="35" t="n"/>
      <c r="G190" s="35" t="n"/>
      <c r="H190" s="37" t="n"/>
      <c r="I190" s="39">
        <f>IF(B190="","",G190*H190)</f>
        <v/>
      </c>
      <c r="J190" s="35" t="n"/>
      <c r="K190" s="35" t="n"/>
      <c r="L190" s="35" t="n"/>
      <c r="M190" s="9">
        <f>IF(B190="","",IF(COUNTIF(Jobs!$A$5:$A$44,B190)=0,"Unknown Job ID",IF(C190="","Missing cost code",IF(COUNTIF(Settings!$E$5:$E$28,C190)=0,"Unknown cost code",IF(A190="","Missing date",IF(OR(G190="",H190=""),"Missing qty or cost",""))))))</f>
        <v/>
      </c>
      <c r="N190" s="35" t="n"/>
    </row>
    <row r="191">
      <c r="A191" s="40" t="n"/>
      <c r="B191" s="35" t="n"/>
      <c r="C191" s="35" t="n"/>
      <c r="D191" s="9">
        <f>IF(C191="","",IFERROR(VLOOKUP(C191,Settings!$E$5:$G$28,3,FALSE),"Other"))</f>
        <v/>
      </c>
      <c r="E191" s="35" t="n"/>
      <c r="F191" s="35" t="n"/>
      <c r="G191" s="35" t="n"/>
      <c r="H191" s="37" t="n"/>
      <c r="I191" s="39">
        <f>IF(B191="","",G191*H191)</f>
        <v/>
      </c>
      <c r="J191" s="35" t="n"/>
      <c r="K191" s="35" t="n"/>
      <c r="L191" s="35" t="n"/>
      <c r="M191" s="9">
        <f>IF(B191="","",IF(COUNTIF(Jobs!$A$5:$A$44,B191)=0,"Unknown Job ID",IF(C191="","Missing cost code",IF(COUNTIF(Settings!$E$5:$E$28,C191)=0,"Unknown cost code",IF(A191="","Missing date",IF(OR(G191="",H191=""),"Missing qty or cost",""))))))</f>
        <v/>
      </c>
      <c r="N191" s="35" t="n"/>
    </row>
    <row r="192">
      <c r="A192" s="40" t="n"/>
      <c r="B192" s="35" t="n"/>
      <c r="C192" s="35" t="n"/>
      <c r="D192" s="9">
        <f>IF(C192="","",IFERROR(VLOOKUP(C192,Settings!$E$5:$G$28,3,FALSE),"Other"))</f>
        <v/>
      </c>
      <c r="E192" s="35" t="n"/>
      <c r="F192" s="35" t="n"/>
      <c r="G192" s="35" t="n"/>
      <c r="H192" s="37" t="n"/>
      <c r="I192" s="39">
        <f>IF(B192="","",G192*H192)</f>
        <v/>
      </c>
      <c r="J192" s="35" t="n"/>
      <c r="K192" s="35" t="n"/>
      <c r="L192" s="35" t="n"/>
      <c r="M192" s="9">
        <f>IF(B192="","",IF(COUNTIF(Jobs!$A$5:$A$44,B192)=0,"Unknown Job ID",IF(C192="","Missing cost code",IF(COUNTIF(Settings!$E$5:$E$28,C192)=0,"Unknown cost code",IF(A192="","Missing date",IF(OR(G192="",H192=""),"Missing qty or cost",""))))))</f>
        <v/>
      </c>
      <c r="N192" s="35" t="n"/>
    </row>
    <row r="193">
      <c r="A193" s="40" t="n"/>
      <c r="B193" s="35" t="n"/>
      <c r="C193" s="35" t="n"/>
      <c r="D193" s="9">
        <f>IF(C193="","",IFERROR(VLOOKUP(C193,Settings!$E$5:$G$28,3,FALSE),"Other"))</f>
        <v/>
      </c>
      <c r="E193" s="35" t="n"/>
      <c r="F193" s="35" t="n"/>
      <c r="G193" s="35" t="n"/>
      <c r="H193" s="37" t="n"/>
      <c r="I193" s="39">
        <f>IF(B193="","",G193*H193)</f>
        <v/>
      </c>
      <c r="J193" s="35" t="n"/>
      <c r="K193" s="35" t="n"/>
      <c r="L193" s="35" t="n"/>
      <c r="M193" s="9">
        <f>IF(B193="","",IF(COUNTIF(Jobs!$A$5:$A$44,B193)=0,"Unknown Job ID",IF(C193="","Missing cost code",IF(COUNTIF(Settings!$E$5:$E$28,C193)=0,"Unknown cost code",IF(A193="","Missing date",IF(OR(G193="",H193=""),"Missing qty or cost",""))))))</f>
        <v/>
      </c>
      <c r="N193" s="35" t="n"/>
    </row>
    <row r="194">
      <c r="A194" s="40" t="n"/>
      <c r="B194" s="35" t="n"/>
      <c r="C194" s="35" t="n"/>
      <c r="D194" s="9">
        <f>IF(C194="","",IFERROR(VLOOKUP(C194,Settings!$E$5:$G$28,3,FALSE),"Other"))</f>
        <v/>
      </c>
      <c r="E194" s="35" t="n"/>
      <c r="F194" s="35" t="n"/>
      <c r="G194" s="35" t="n"/>
      <c r="H194" s="37" t="n"/>
      <c r="I194" s="39">
        <f>IF(B194="","",G194*H194)</f>
        <v/>
      </c>
      <c r="J194" s="35" t="n"/>
      <c r="K194" s="35" t="n"/>
      <c r="L194" s="35" t="n"/>
      <c r="M194" s="9">
        <f>IF(B194="","",IF(COUNTIF(Jobs!$A$5:$A$44,B194)=0,"Unknown Job ID",IF(C194="","Missing cost code",IF(COUNTIF(Settings!$E$5:$E$28,C194)=0,"Unknown cost code",IF(A194="","Missing date",IF(OR(G194="",H194=""),"Missing qty or cost",""))))))</f>
        <v/>
      </c>
      <c r="N194" s="35" t="n"/>
    </row>
    <row r="195">
      <c r="A195" s="40" t="n"/>
      <c r="B195" s="35" t="n"/>
      <c r="C195" s="35" t="n"/>
      <c r="D195" s="9">
        <f>IF(C195="","",IFERROR(VLOOKUP(C195,Settings!$E$5:$G$28,3,FALSE),"Other"))</f>
        <v/>
      </c>
      <c r="E195" s="35" t="n"/>
      <c r="F195" s="35" t="n"/>
      <c r="G195" s="35" t="n"/>
      <c r="H195" s="37" t="n"/>
      <c r="I195" s="39">
        <f>IF(B195="","",G195*H195)</f>
        <v/>
      </c>
      <c r="J195" s="35" t="n"/>
      <c r="K195" s="35" t="n"/>
      <c r="L195" s="35" t="n"/>
      <c r="M195" s="9">
        <f>IF(B195="","",IF(COUNTIF(Jobs!$A$5:$A$44,B195)=0,"Unknown Job ID",IF(C195="","Missing cost code",IF(COUNTIF(Settings!$E$5:$E$28,C195)=0,"Unknown cost code",IF(A195="","Missing date",IF(OR(G195="",H195=""),"Missing qty or cost",""))))))</f>
        <v/>
      </c>
      <c r="N195" s="35" t="n"/>
    </row>
    <row r="196">
      <c r="A196" s="40" t="n"/>
      <c r="B196" s="35" t="n"/>
      <c r="C196" s="35" t="n"/>
      <c r="D196" s="9">
        <f>IF(C196="","",IFERROR(VLOOKUP(C196,Settings!$E$5:$G$28,3,FALSE),"Other"))</f>
        <v/>
      </c>
      <c r="E196" s="35" t="n"/>
      <c r="F196" s="35" t="n"/>
      <c r="G196" s="35" t="n"/>
      <c r="H196" s="37" t="n"/>
      <c r="I196" s="39">
        <f>IF(B196="","",G196*H196)</f>
        <v/>
      </c>
      <c r="J196" s="35" t="n"/>
      <c r="K196" s="35" t="n"/>
      <c r="L196" s="35" t="n"/>
      <c r="M196" s="9">
        <f>IF(B196="","",IF(COUNTIF(Jobs!$A$5:$A$44,B196)=0,"Unknown Job ID",IF(C196="","Missing cost code",IF(COUNTIF(Settings!$E$5:$E$28,C196)=0,"Unknown cost code",IF(A196="","Missing date",IF(OR(G196="",H196=""),"Missing qty or cost",""))))))</f>
        <v/>
      </c>
      <c r="N196" s="35" t="n"/>
    </row>
    <row r="197">
      <c r="A197" s="40" t="n"/>
      <c r="B197" s="35" t="n"/>
      <c r="C197" s="35" t="n"/>
      <c r="D197" s="9">
        <f>IF(C197="","",IFERROR(VLOOKUP(C197,Settings!$E$5:$G$28,3,FALSE),"Other"))</f>
        <v/>
      </c>
      <c r="E197" s="35" t="n"/>
      <c r="F197" s="35" t="n"/>
      <c r="G197" s="35" t="n"/>
      <c r="H197" s="37" t="n"/>
      <c r="I197" s="39">
        <f>IF(B197="","",G197*H197)</f>
        <v/>
      </c>
      <c r="J197" s="35" t="n"/>
      <c r="K197" s="35" t="n"/>
      <c r="L197" s="35" t="n"/>
      <c r="M197" s="9">
        <f>IF(B197="","",IF(COUNTIF(Jobs!$A$5:$A$44,B197)=0,"Unknown Job ID",IF(C197="","Missing cost code",IF(COUNTIF(Settings!$E$5:$E$28,C197)=0,"Unknown cost code",IF(A197="","Missing date",IF(OR(G197="",H197=""),"Missing qty or cost",""))))))</f>
        <v/>
      </c>
      <c r="N197" s="35" t="n"/>
    </row>
    <row r="198">
      <c r="A198" s="40" t="n"/>
      <c r="B198" s="35" t="n"/>
      <c r="C198" s="35" t="n"/>
      <c r="D198" s="9">
        <f>IF(C198="","",IFERROR(VLOOKUP(C198,Settings!$E$5:$G$28,3,FALSE),"Other"))</f>
        <v/>
      </c>
      <c r="E198" s="35" t="n"/>
      <c r="F198" s="35" t="n"/>
      <c r="G198" s="35" t="n"/>
      <c r="H198" s="37" t="n"/>
      <c r="I198" s="39">
        <f>IF(B198="","",G198*H198)</f>
        <v/>
      </c>
      <c r="J198" s="35" t="n"/>
      <c r="K198" s="35" t="n"/>
      <c r="L198" s="35" t="n"/>
      <c r="M198" s="9">
        <f>IF(B198="","",IF(COUNTIF(Jobs!$A$5:$A$44,B198)=0,"Unknown Job ID",IF(C198="","Missing cost code",IF(COUNTIF(Settings!$E$5:$E$28,C198)=0,"Unknown cost code",IF(A198="","Missing date",IF(OR(G198="",H198=""),"Missing qty or cost",""))))))</f>
        <v/>
      </c>
      <c r="N198" s="35" t="n"/>
    </row>
    <row r="199">
      <c r="A199" s="40" t="n"/>
      <c r="B199" s="35" t="n"/>
      <c r="C199" s="35" t="n"/>
      <c r="D199" s="9">
        <f>IF(C199="","",IFERROR(VLOOKUP(C199,Settings!$E$5:$G$28,3,FALSE),"Other"))</f>
        <v/>
      </c>
      <c r="E199" s="35" t="n"/>
      <c r="F199" s="35" t="n"/>
      <c r="G199" s="35" t="n"/>
      <c r="H199" s="37" t="n"/>
      <c r="I199" s="39">
        <f>IF(B199="","",G199*H199)</f>
        <v/>
      </c>
      <c r="J199" s="35" t="n"/>
      <c r="K199" s="35" t="n"/>
      <c r="L199" s="35" t="n"/>
      <c r="M199" s="9">
        <f>IF(B199="","",IF(COUNTIF(Jobs!$A$5:$A$44,B199)=0,"Unknown Job ID",IF(C199="","Missing cost code",IF(COUNTIF(Settings!$E$5:$E$28,C199)=0,"Unknown cost code",IF(A199="","Missing date",IF(OR(G199="",H199=""),"Missing qty or cost",""))))))</f>
        <v/>
      </c>
      <c r="N199" s="35" t="n"/>
    </row>
    <row r="200">
      <c r="A200" s="40" t="n"/>
      <c r="B200" s="35" t="n"/>
      <c r="C200" s="35" t="n"/>
      <c r="D200" s="9">
        <f>IF(C200="","",IFERROR(VLOOKUP(C200,Settings!$E$5:$G$28,3,FALSE),"Other"))</f>
        <v/>
      </c>
      <c r="E200" s="35" t="n"/>
      <c r="F200" s="35" t="n"/>
      <c r="G200" s="35" t="n"/>
      <c r="H200" s="37" t="n"/>
      <c r="I200" s="39">
        <f>IF(B200="","",G200*H200)</f>
        <v/>
      </c>
      <c r="J200" s="35" t="n"/>
      <c r="K200" s="35" t="n"/>
      <c r="L200" s="35" t="n"/>
      <c r="M200" s="9">
        <f>IF(B200="","",IF(COUNTIF(Jobs!$A$5:$A$44,B200)=0,"Unknown Job ID",IF(C200="","Missing cost code",IF(COUNTIF(Settings!$E$5:$E$28,C200)=0,"Unknown cost code",IF(A200="","Missing date",IF(OR(G200="",H200=""),"Missing qty or cost",""))))))</f>
        <v/>
      </c>
      <c r="N200" s="35" t="n"/>
    </row>
    <row r="201">
      <c r="A201" s="40" t="n"/>
      <c r="B201" s="35" t="n"/>
      <c r="C201" s="35" t="n"/>
      <c r="D201" s="9">
        <f>IF(C201="","",IFERROR(VLOOKUP(C201,Settings!$E$5:$G$28,3,FALSE),"Other"))</f>
        <v/>
      </c>
      <c r="E201" s="35" t="n"/>
      <c r="F201" s="35" t="n"/>
      <c r="G201" s="35" t="n"/>
      <c r="H201" s="37" t="n"/>
      <c r="I201" s="39">
        <f>IF(B201="","",G201*H201)</f>
        <v/>
      </c>
      <c r="J201" s="35" t="n"/>
      <c r="K201" s="35" t="n"/>
      <c r="L201" s="35" t="n"/>
      <c r="M201" s="9">
        <f>IF(B201="","",IF(COUNTIF(Jobs!$A$5:$A$44,B201)=0,"Unknown Job ID",IF(C201="","Missing cost code",IF(COUNTIF(Settings!$E$5:$E$28,C201)=0,"Unknown cost code",IF(A201="","Missing date",IF(OR(G201="",H201=""),"Missing qty or cost",""))))))</f>
        <v/>
      </c>
      <c r="N201" s="35" t="n"/>
    </row>
    <row r="202">
      <c r="A202" s="40" t="n"/>
      <c r="B202" s="35" t="n"/>
      <c r="C202" s="35" t="n"/>
      <c r="D202" s="9">
        <f>IF(C202="","",IFERROR(VLOOKUP(C202,Settings!$E$5:$G$28,3,FALSE),"Other"))</f>
        <v/>
      </c>
      <c r="E202" s="35" t="n"/>
      <c r="F202" s="35" t="n"/>
      <c r="G202" s="35" t="n"/>
      <c r="H202" s="37" t="n"/>
      <c r="I202" s="39">
        <f>IF(B202="","",G202*H202)</f>
        <v/>
      </c>
      <c r="J202" s="35" t="n"/>
      <c r="K202" s="35" t="n"/>
      <c r="L202" s="35" t="n"/>
      <c r="M202" s="9">
        <f>IF(B202="","",IF(COUNTIF(Jobs!$A$5:$A$44,B202)=0,"Unknown Job ID",IF(C202="","Missing cost code",IF(COUNTIF(Settings!$E$5:$E$28,C202)=0,"Unknown cost code",IF(A202="","Missing date",IF(OR(G202="",H202=""),"Missing qty or cost",""))))))</f>
        <v/>
      </c>
      <c r="N202" s="35" t="n"/>
    </row>
    <row r="203">
      <c r="A203" s="40" t="n"/>
      <c r="B203" s="35" t="n"/>
      <c r="C203" s="35" t="n"/>
      <c r="D203" s="9">
        <f>IF(C203="","",IFERROR(VLOOKUP(C203,Settings!$E$5:$G$28,3,FALSE),"Other"))</f>
        <v/>
      </c>
      <c r="E203" s="35" t="n"/>
      <c r="F203" s="35" t="n"/>
      <c r="G203" s="35" t="n"/>
      <c r="H203" s="37" t="n"/>
      <c r="I203" s="39">
        <f>IF(B203="","",G203*H203)</f>
        <v/>
      </c>
      <c r="J203" s="35" t="n"/>
      <c r="K203" s="35" t="n"/>
      <c r="L203" s="35" t="n"/>
      <c r="M203" s="9">
        <f>IF(B203="","",IF(COUNTIF(Jobs!$A$5:$A$44,B203)=0,"Unknown Job ID",IF(C203="","Missing cost code",IF(COUNTIF(Settings!$E$5:$E$28,C203)=0,"Unknown cost code",IF(A203="","Missing date",IF(OR(G203="",H203=""),"Missing qty or cost",""))))))</f>
        <v/>
      </c>
      <c r="N203" s="35" t="n"/>
    </row>
    <row r="204">
      <c r="A204" s="40" t="n"/>
      <c r="B204" s="35" t="n"/>
      <c r="C204" s="35" t="n"/>
      <c r="D204" s="9">
        <f>IF(C204="","",IFERROR(VLOOKUP(C204,Settings!$E$5:$G$28,3,FALSE),"Other"))</f>
        <v/>
      </c>
      <c r="E204" s="35" t="n"/>
      <c r="F204" s="35" t="n"/>
      <c r="G204" s="35" t="n"/>
      <c r="H204" s="37" t="n"/>
      <c r="I204" s="39">
        <f>IF(B204="","",G204*H204)</f>
        <v/>
      </c>
      <c r="J204" s="35" t="n"/>
      <c r="K204" s="35" t="n"/>
      <c r="L204" s="35" t="n"/>
      <c r="M204" s="9">
        <f>IF(B204="","",IF(COUNTIF(Jobs!$A$5:$A$44,B204)=0,"Unknown Job ID",IF(C204="","Missing cost code",IF(COUNTIF(Settings!$E$5:$E$28,C204)=0,"Unknown cost code",IF(A204="","Missing date",IF(OR(G204="",H204=""),"Missing qty or cost",""))))))</f>
        <v/>
      </c>
      <c r="N204" s="35" t="n"/>
    </row>
    <row r="205">
      <c r="A205" s="40" t="n"/>
      <c r="B205" s="35" t="n"/>
      <c r="C205" s="35" t="n"/>
      <c r="D205" s="9">
        <f>IF(C205="","",IFERROR(VLOOKUP(C205,Settings!$E$5:$G$28,3,FALSE),"Other"))</f>
        <v/>
      </c>
      <c r="E205" s="35" t="n"/>
      <c r="F205" s="35" t="n"/>
      <c r="G205" s="35" t="n"/>
      <c r="H205" s="37" t="n"/>
      <c r="I205" s="39">
        <f>IF(B205="","",G205*H205)</f>
        <v/>
      </c>
      <c r="J205" s="35" t="n"/>
      <c r="K205" s="35" t="n"/>
      <c r="L205" s="35" t="n"/>
      <c r="M205" s="9">
        <f>IF(B205="","",IF(COUNTIF(Jobs!$A$5:$A$44,B205)=0,"Unknown Job ID",IF(C205="","Missing cost code",IF(COUNTIF(Settings!$E$5:$E$28,C205)=0,"Unknown cost code",IF(A205="","Missing date",IF(OR(G205="",H205=""),"Missing qty or cost",""))))))</f>
        <v/>
      </c>
      <c r="N205" s="35" t="n"/>
    </row>
    <row r="206">
      <c r="A206" s="40" t="n"/>
      <c r="B206" s="35" t="n"/>
      <c r="C206" s="35" t="n"/>
      <c r="D206" s="9">
        <f>IF(C206="","",IFERROR(VLOOKUP(C206,Settings!$E$5:$G$28,3,FALSE),"Other"))</f>
        <v/>
      </c>
      <c r="E206" s="35" t="n"/>
      <c r="F206" s="35" t="n"/>
      <c r="G206" s="35" t="n"/>
      <c r="H206" s="37" t="n"/>
      <c r="I206" s="39">
        <f>IF(B206="","",G206*H206)</f>
        <v/>
      </c>
      <c r="J206" s="35" t="n"/>
      <c r="K206" s="35" t="n"/>
      <c r="L206" s="35" t="n"/>
      <c r="M206" s="9">
        <f>IF(B206="","",IF(COUNTIF(Jobs!$A$5:$A$44,B206)=0,"Unknown Job ID",IF(C206="","Missing cost code",IF(COUNTIF(Settings!$E$5:$E$28,C206)=0,"Unknown cost code",IF(A206="","Missing date",IF(OR(G206="",H206=""),"Missing qty or cost",""))))))</f>
        <v/>
      </c>
      <c r="N206" s="35" t="n"/>
    </row>
    <row r="207">
      <c r="A207" s="40" t="n"/>
      <c r="B207" s="35" t="n"/>
      <c r="C207" s="35" t="n"/>
      <c r="D207" s="9">
        <f>IF(C207="","",IFERROR(VLOOKUP(C207,Settings!$E$5:$G$28,3,FALSE),"Other"))</f>
        <v/>
      </c>
      <c r="E207" s="35" t="n"/>
      <c r="F207" s="35" t="n"/>
      <c r="G207" s="35" t="n"/>
      <c r="H207" s="37" t="n"/>
      <c r="I207" s="39">
        <f>IF(B207="","",G207*H207)</f>
        <v/>
      </c>
      <c r="J207" s="35" t="n"/>
      <c r="K207" s="35" t="n"/>
      <c r="L207" s="35" t="n"/>
      <c r="M207" s="9">
        <f>IF(B207="","",IF(COUNTIF(Jobs!$A$5:$A$44,B207)=0,"Unknown Job ID",IF(C207="","Missing cost code",IF(COUNTIF(Settings!$E$5:$E$28,C207)=0,"Unknown cost code",IF(A207="","Missing date",IF(OR(G207="",H207=""),"Missing qty or cost",""))))))</f>
        <v/>
      </c>
      <c r="N207" s="35" t="n"/>
    </row>
    <row r="208">
      <c r="A208" s="40" t="n"/>
      <c r="B208" s="35" t="n"/>
      <c r="C208" s="35" t="n"/>
      <c r="D208" s="9">
        <f>IF(C208="","",IFERROR(VLOOKUP(C208,Settings!$E$5:$G$28,3,FALSE),"Other"))</f>
        <v/>
      </c>
      <c r="E208" s="35" t="n"/>
      <c r="F208" s="35" t="n"/>
      <c r="G208" s="35" t="n"/>
      <c r="H208" s="37" t="n"/>
      <c r="I208" s="39">
        <f>IF(B208="","",G208*H208)</f>
        <v/>
      </c>
      <c r="J208" s="35" t="n"/>
      <c r="K208" s="35" t="n"/>
      <c r="L208" s="35" t="n"/>
      <c r="M208" s="9">
        <f>IF(B208="","",IF(COUNTIF(Jobs!$A$5:$A$44,B208)=0,"Unknown Job ID",IF(C208="","Missing cost code",IF(COUNTIF(Settings!$E$5:$E$28,C208)=0,"Unknown cost code",IF(A208="","Missing date",IF(OR(G208="",H208=""),"Missing qty or cost",""))))))</f>
        <v/>
      </c>
      <c r="N208" s="35" t="n"/>
    </row>
    <row r="209">
      <c r="A209" s="40" t="n"/>
      <c r="B209" s="35" t="n"/>
      <c r="C209" s="35" t="n"/>
      <c r="D209" s="9">
        <f>IF(C209="","",IFERROR(VLOOKUP(C209,Settings!$E$5:$G$28,3,FALSE),"Other"))</f>
        <v/>
      </c>
      <c r="E209" s="35" t="n"/>
      <c r="F209" s="35" t="n"/>
      <c r="G209" s="35" t="n"/>
      <c r="H209" s="37" t="n"/>
      <c r="I209" s="39">
        <f>IF(B209="","",G209*H209)</f>
        <v/>
      </c>
      <c r="J209" s="35" t="n"/>
      <c r="K209" s="35" t="n"/>
      <c r="L209" s="35" t="n"/>
      <c r="M209" s="9">
        <f>IF(B209="","",IF(COUNTIF(Jobs!$A$5:$A$44,B209)=0,"Unknown Job ID",IF(C209="","Missing cost code",IF(COUNTIF(Settings!$E$5:$E$28,C209)=0,"Unknown cost code",IF(A209="","Missing date",IF(OR(G209="",H209=""),"Missing qty or cost",""))))))</f>
        <v/>
      </c>
      <c r="N209" s="35" t="n"/>
    </row>
    <row r="210">
      <c r="A210" s="40" t="n"/>
      <c r="B210" s="35" t="n"/>
      <c r="C210" s="35" t="n"/>
      <c r="D210" s="9">
        <f>IF(C210="","",IFERROR(VLOOKUP(C210,Settings!$E$5:$G$28,3,FALSE),"Other"))</f>
        <v/>
      </c>
      <c r="E210" s="35" t="n"/>
      <c r="F210" s="35" t="n"/>
      <c r="G210" s="35" t="n"/>
      <c r="H210" s="37" t="n"/>
      <c r="I210" s="39">
        <f>IF(B210="","",G210*H210)</f>
        <v/>
      </c>
      <c r="J210" s="35" t="n"/>
      <c r="K210" s="35" t="n"/>
      <c r="L210" s="35" t="n"/>
      <c r="M210" s="9">
        <f>IF(B210="","",IF(COUNTIF(Jobs!$A$5:$A$44,B210)=0,"Unknown Job ID",IF(C210="","Missing cost code",IF(COUNTIF(Settings!$E$5:$E$28,C210)=0,"Unknown cost code",IF(A210="","Missing date",IF(OR(G210="",H210=""),"Missing qty or cost",""))))))</f>
        <v/>
      </c>
      <c r="N210" s="35" t="n"/>
    </row>
    <row r="211">
      <c r="A211" s="40" t="n"/>
      <c r="B211" s="35" t="n"/>
      <c r="C211" s="35" t="n"/>
      <c r="D211" s="9">
        <f>IF(C211="","",IFERROR(VLOOKUP(C211,Settings!$E$5:$G$28,3,FALSE),"Other"))</f>
        <v/>
      </c>
      <c r="E211" s="35" t="n"/>
      <c r="F211" s="35" t="n"/>
      <c r="G211" s="35" t="n"/>
      <c r="H211" s="37" t="n"/>
      <c r="I211" s="39">
        <f>IF(B211="","",G211*H211)</f>
        <v/>
      </c>
      <c r="J211" s="35" t="n"/>
      <c r="K211" s="35" t="n"/>
      <c r="L211" s="35" t="n"/>
      <c r="M211" s="9">
        <f>IF(B211="","",IF(COUNTIF(Jobs!$A$5:$A$44,B211)=0,"Unknown Job ID",IF(C211="","Missing cost code",IF(COUNTIF(Settings!$E$5:$E$28,C211)=0,"Unknown cost code",IF(A211="","Missing date",IF(OR(G211="",H211=""),"Missing qty or cost",""))))))</f>
        <v/>
      </c>
      <c r="N211" s="35" t="n"/>
    </row>
    <row r="212">
      <c r="A212" s="40" t="n"/>
      <c r="B212" s="35" t="n"/>
      <c r="C212" s="35" t="n"/>
      <c r="D212" s="9">
        <f>IF(C212="","",IFERROR(VLOOKUP(C212,Settings!$E$5:$G$28,3,FALSE),"Other"))</f>
        <v/>
      </c>
      <c r="E212" s="35" t="n"/>
      <c r="F212" s="35" t="n"/>
      <c r="G212" s="35" t="n"/>
      <c r="H212" s="37" t="n"/>
      <c r="I212" s="39">
        <f>IF(B212="","",G212*H212)</f>
        <v/>
      </c>
      <c r="J212" s="35" t="n"/>
      <c r="K212" s="35" t="n"/>
      <c r="L212" s="35" t="n"/>
      <c r="M212" s="9">
        <f>IF(B212="","",IF(COUNTIF(Jobs!$A$5:$A$44,B212)=0,"Unknown Job ID",IF(C212="","Missing cost code",IF(COUNTIF(Settings!$E$5:$E$28,C212)=0,"Unknown cost code",IF(A212="","Missing date",IF(OR(G212="",H212=""),"Missing qty or cost",""))))))</f>
        <v/>
      </c>
      <c r="N212" s="35" t="n"/>
    </row>
    <row r="213">
      <c r="A213" s="40" t="n"/>
      <c r="B213" s="35" t="n"/>
      <c r="C213" s="35" t="n"/>
      <c r="D213" s="9">
        <f>IF(C213="","",IFERROR(VLOOKUP(C213,Settings!$E$5:$G$28,3,FALSE),"Other"))</f>
        <v/>
      </c>
      <c r="E213" s="35" t="n"/>
      <c r="F213" s="35" t="n"/>
      <c r="G213" s="35" t="n"/>
      <c r="H213" s="37" t="n"/>
      <c r="I213" s="39">
        <f>IF(B213="","",G213*H213)</f>
        <v/>
      </c>
      <c r="J213" s="35" t="n"/>
      <c r="K213" s="35" t="n"/>
      <c r="L213" s="35" t="n"/>
      <c r="M213" s="9">
        <f>IF(B213="","",IF(COUNTIF(Jobs!$A$5:$A$44,B213)=0,"Unknown Job ID",IF(C213="","Missing cost code",IF(COUNTIF(Settings!$E$5:$E$28,C213)=0,"Unknown cost code",IF(A213="","Missing date",IF(OR(G213="",H213=""),"Missing qty or cost",""))))))</f>
        <v/>
      </c>
      <c r="N213" s="35" t="n"/>
    </row>
    <row r="214">
      <c r="A214" s="40" t="n"/>
      <c r="B214" s="35" t="n"/>
      <c r="C214" s="35" t="n"/>
      <c r="D214" s="9">
        <f>IF(C214="","",IFERROR(VLOOKUP(C214,Settings!$E$5:$G$28,3,FALSE),"Other"))</f>
        <v/>
      </c>
      <c r="E214" s="35" t="n"/>
      <c r="F214" s="35" t="n"/>
      <c r="G214" s="35" t="n"/>
      <c r="H214" s="37" t="n"/>
      <c r="I214" s="39">
        <f>IF(B214="","",G214*H214)</f>
        <v/>
      </c>
      <c r="J214" s="35" t="n"/>
      <c r="K214" s="35" t="n"/>
      <c r="L214" s="35" t="n"/>
      <c r="M214" s="9">
        <f>IF(B214="","",IF(COUNTIF(Jobs!$A$5:$A$44,B214)=0,"Unknown Job ID",IF(C214="","Missing cost code",IF(COUNTIF(Settings!$E$5:$E$28,C214)=0,"Unknown cost code",IF(A214="","Missing date",IF(OR(G214="",H214=""),"Missing qty or cost",""))))))</f>
        <v/>
      </c>
      <c r="N214" s="35" t="n"/>
    </row>
    <row r="215">
      <c r="A215" s="40" t="n"/>
      <c r="B215" s="35" t="n"/>
      <c r="C215" s="35" t="n"/>
      <c r="D215" s="9">
        <f>IF(C215="","",IFERROR(VLOOKUP(C215,Settings!$E$5:$G$28,3,FALSE),"Other"))</f>
        <v/>
      </c>
      <c r="E215" s="35" t="n"/>
      <c r="F215" s="35" t="n"/>
      <c r="G215" s="35" t="n"/>
      <c r="H215" s="37" t="n"/>
      <c r="I215" s="39">
        <f>IF(B215="","",G215*H215)</f>
        <v/>
      </c>
      <c r="J215" s="35" t="n"/>
      <c r="K215" s="35" t="n"/>
      <c r="L215" s="35" t="n"/>
      <c r="M215" s="9">
        <f>IF(B215="","",IF(COUNTIF(Jobs!$A$5:$A$44,B215)=0,"Unknown Job ID",IF(C215="","Missing cost code",IF(COUNTIF(Settings!$E$5:$E$28,C215)=0,"Unknown cost code",IF(A215="","Missing date",IF(OR(G215="",H215=""),"Missing qty or cost",""))))))</f>
        <v/>
      </c>
      <c r="N215" s="35" t="n"/>
    </row>
    <row r="216">
      <c r="A216" s="40" t="n"/>
      <c r="B216" s="35" t="n"/>
      <c r="C216" s="35" t="n"/>
      <c r="D216" s="9">
        <f>IF(C216="","",IFERROR(VLOOKUP(C216,Settings!$E$5:$G$28,3,FALSE),"Other"))</f>
        <v/>
      </c>
      <c r="E216" s="35" t="n"/>
      <c r="F216" s="35" t="n"/>
      <c r="G216" s="35" t="n"/>
      <c r="H216" s="37" t="n"/>
      <c r="I216" s="39">
        <f>IF(B216="","",G216*H216)</f>
        <v/>
      </c>
      <c r="J216" s="35" t="n"/>
      <c r="K216" s="35" t="n"/>
      <c r="L216" s="35" t="n"/>
      <c r="M216" s="9">
        <f>IF(B216="","",IF(COUNTIF(Jobs!$A$5:$A$44,B216)=0,"Unknown Job ID",IF(C216="","Missing cost code",IF(COUNTIF(Settings!$E$5:$E$28,C216)=0,"Unknown cost code",IF(A216="","Missing date",IF(OR(G216="",H216=""),"Missing qty or cost",""))))))</f>
        <v/>
      </c>
      <c r="N216" s="35" t="n"/>
    </row>
    <row r="217">
      <c r="A217" s="40" t="n"/>
      <c r="B217" s="35" t="n"/>
      <c r="C217" s="35" t="n"/>
      <c r="D217" s="9">
        <f>IF(C217="","",IFERROR(VLOOKUP(C217,Settings!$E$5:$G$28,3,FALSE),"Other"))</f>
        <v/>
      </c>
      <c r="E217" s="35" t="n"/>
      <c r="F217" s="35" t="n"/>
      <c r="G217" s="35" t="n"/>
      <c r="H217" s="37" t="n"/>
      <c r="I217" s="39">
        <f>IF(B217="","",G217*H217)</f>
        <v/>
      </c>
      <c r="J217" s="35" t="n"/>
      <c r="K217" s="35" t="n"/>
      <c r="L217" s="35" t="n"/>
      <c r="M217" s="9">
        <f>IF(B217="","",IF(COUNTIF(Jobs!$A$5:$A$44,B217)=0,"Unknown Job ID",IF(C217="","Missing cost code",IF(COUNTIF(Settings!$E$5:$E$28,C217)=0,"Unknown cost code",IF(A217="","Missing date",IF(OR(G217="",H217=""),"Missing qty or cost",""))))))</f>
        <v/>
      </c>
      <c r="N217" s="35" t="n"/>
    </row>
    <row r="218">
      <c r="A218" s="40" t="n"/>
      <c r="B218" s="35" t="n"/>
      <c r="C218" s="35" t="n"/>
      <c r="D218" s="9">
        <f>IF(C218="","",IFERROR(VLOOKUP(C218,Settings!$E$5:$G$28,3,FALSE),"Other"))</f>
        <v/>
      </c>
      <c r="E218" s="35" t="n"/>
      <c r="F218" s="35" t="n"/>
      <c r="G218" s="35" t="n"/>
      <c r="H218" s="37" t="n"/>
      <c r="I218" s="39">
        <f>IF(B218="","",G218*H218)</f>
        <v/>
      </c>
      <c r="J218" s="35" t="n"/>
      <c r="K218" s="35" t="n"/>
      <c r="L218" s="35" t="n"/>
      <c r="M218" s="9">
        <f>IF(B218="","",IF(COUNTIF(Jobs!$A$5:$A$44,B218)=0,"Unknown Job ID",IF(C218="","Missing cost code",IF(COUNTIF(Settings!$E$5:$E$28,C218)=0,"Unknown cost code",IF(A218="","Missing date",IF(OR(G218="",H218=""),"Missing qty or cost",""))))))</f>
        <v/>
      </c>
      <c r="N218" s="35" t="n"/>
    </row>
    <row r="219">
      <c r="A219" s="40" t="n"/>
      <c r="B219" s="35" t="n"/>
      <c r="C219" s="35" t="n"/>
      <c r="D219" s="9">
        <f>IF(C219="","",IFERROR(VLOOKUP(C219,Settings!$E$5:$G$28,3,FALSE),"Other"))</f>
        <v/>
      </c>
      <c r="E219" s="35" t="n"/>
      <c r="F219" s="35" t="n"/>
      <c r="G219" s="35" t="n"/>
      <c r="H219" s="37" t="n"/>
      <c r="I219" s="39">
        <f>IF(B219="","",G219*H219)</f>
        <v/>
      </c>
      <c r="J219" s="35" t="n"/>
      <c r="K219" s="35" t="n"/>
      <c r="L219" s="35" t="n"/>
      <c r="M219" s="9">
        <f>IF(B219="","",IF(COUNTIF(Jobs!$A$5:$A$44,B219)=0,"Unknown Job ID",IF(C219="","Missing cost code",IF(COUNTIF(Settings!$E$5:$E$28,C219)=0,"Unknown cost code",IF(A219="","Missing date",IF(OR(G219="",H219=""),"Missing qty or cost",""))))))</f>
        <v/>
      </c>
      <c r="N219" s="35" t="n"/>
    </row>
    <row r="220">
      <c r="A220" s="40" t="n"/>
      <c r="B220" s="35" t="n"/>
      <c r="C220" s="35" t="n"/>
      <c r="D220" s="9">
        <f>IF(C220="","",IFERROR(VLOOKUP(C220,Settings!$E$5:$G$28,3,FALSE),"Other"))</f>
        <v/>
      </c>
      <c r="E220" s="35" t="n"/>
      <c r="F220" s="35" t="n"/>
      <c r="G220" s="35" t="n"/>
      <c r="H220" s="37" t="n"/>
      <c r="I220" s="39">
        <f>IF(B220="","",G220*H220)</f>
        <v/>
      </c>
      <c r="J220" s="35" t="n"/>
      <c r="K220" s="35" t="n"/>
      <c r="L220" s="35" t="n"/>
      <c r="M220" s="9">
        <f>IF(B220="","",IF(COUNTIF(Jobs!$A$5:$A$44,B220)=0,"Unknown Job ID",IF(C220="","Missing cost code",IF(COUNTIF(Settings!$E$5:$E$28,C220)=0,"Unknown cost code",IF(A220="","Missing date",IF(OR(G220="",H220=""),"Missing qty or cost",""))))))</f>
        <v/>
      </c>
      <c r="N220" s="35" t="n"/>
    </row>
    <row r="221">
      <c r="A221" s="40" t="n"/>
      <c r="B221" s="35" t="n"/>
      <c r="C221" s="35" t="n"/>
      <c r="D221" s="9">
        <f>IF(C221="","",IFERROR(VLOOKUP(C221,Settings!$E$5:$G$28,3,FALSE),"Other"))</f>
        <v/>
      </c>
      <c r="E221" s="35" t="n"/>
      <c r="F221" s="35" t="n"/>
      <c r="G221" s="35" t="n"/>
      <c r="H221" s="37" t="n"/>
      <c r="I221" s="39">
        <f>IF(B221="","",G221*H221)</f>
        <v/>
      </c>
      <c r="J221" s="35" t="n"/>
      <c r="K221" s="35" t="n"/>
      <c r="L221" s="35" t="n"/>
      <c r="M221" s="9">
        <f>IF(B221="","",IF(COUNTIF(Jobs!$A$5:$A$44,B221)=0,"Unknown Job ID",IF(C221="","Missing cost code",IF(COUNTIF(Settings!$E$5:$E$28,C221)=0,"Unknown cost code",IF(A221="","Missing date",IF(OR(G221="",H221=""),"Missing qty or cost",""))))))</f>
        <v/>
      </c>
      <c r="N221" s="35" t="n"/>
    </row>
    <row r="222">
      <c r="A222" s="40" t="n"/>
      <c r="B222" s="35" t="n"/>
      <c r="C222" s="35" t="n"/>
      <c r="D222" s="9">
        <f>IF(C222="","",IFERROR(VLOOKUP(C222,Settings!$E$5:$G$28,3,FALSE),"Other"))</f>
        <v/>
      </c>
      <c r="E222" s="35" t="n"/>
      <c r="F222" s="35" t="n"/>
      <c r="G222" s="35" t="n"/>
      <c r="H222" s="37" t="n"/>
      <c r="I222" s="39">
        <f>IF(B222="","",G222*H222)</f>
        <v/>
      </c>
      <c r="J222" s="35" t="n"/>
      <c r="K222" s="35" t="n"/>
      <c r="L222" s="35" t="n"/>
      <c r="M222" s="9">
        <f>IF(B222="","",IF(COUNTIF(Jobs!$A$5:$A$44,B222)=0,"Unknown Job ID",IF(C222="","Missing cost code",IF(COUNTIF(Settings!$E$5:$E$28,C222)=0,"Unknown cost code",IF(A222="","Missing date",IF(OR(G222="",H222=""),"Missing qty or cost",""))))))</f>
        <v/>
      </c>
      <c r="N222" s="35" t="n"/>
    </row>
    <row r="223">
      <c r="A223" s="40" t="n"/>
      <c r="B223" s="35" t="n"/>
      <c r="C223" s="35" t="n"/>
      <c r="D223" s="9">
        <f>IF(C223="","",IFERROR(VLOOKUP(C223,Settings!$E$5:$G$28,3,FALSE),"Other"))</f>
        <v/>
      </c>
      <c r="E223" s="35" t="n"/>
      <c r="F223" s="35" t="n"/>
      <c r="G223" s="35" t="n"/>
      <c r="H223" s="37" t="n"/>
      <c r="I223" s="39">
        <f>IF(B223="","",G223*H223)</f>
        <v/>
      </c>
      <c r="J223" s="35" t="n"/>
      <c r="K223" s="35" t="n"/>
      <c r="L223" s="35" t="n"/>
      <c r="M223" s="9">
        <f>IF(B223="","",IF(COUNTIF(Jobs!$A$5:$A$44,B223)=0,"Unknown Job ID",IF(C223="","Missing cost code",IF(COUNTIF(Settings!$E$5:$E$28,C223)=0,"Unknown cost code",IF(A223="","Missing date",IF(OR(G223="",H223=""),"Missing qty or cost",""))))))</f>
        <v/>
      </c>
      <c r="N223" s="35" t="n"/>
    </row>
    <row r="224">
      <c r="A224" s="40" t="n"/>
      <c r="B224" s="35" t="n"/>
      <c r="C224" s="35" t="n"/>
      <c r="D224" s="9">
        <f>IF(C224="","",IFERROR(VLOOKUP(C224,Settings!$E$5:$G$28,3,FALSE),"Other"))</f>
        <v/>
      </c>
      <c r="E224" s="35" t="n"/>
      <c r="F224" s="35" t="n"/>
      <c r="G224" s="35" t="n"/>
      <c r="H224" s="37" t="n"/>
      <c r="I224" s="39">
        <f>IF(B224="","",G224*H224)</f>
        <v/>
      </c>
      <c r="J224" s="35" t="n"/>
      <c r="K224" s="35" t="n"/>
      <c r="L224" s="35" t="n"/>
      <c r="M224" s="9">
        <f>IF(B224="","",IF(COUNTIF(Jobs!$A$5:$A$44,B224)=0,"Unknown Job ID",IF(C224="","Missing cost code",IF(COUNTIF(Settings!$E$5:$E$28,C224)=0,"Unknown cost code",IF(A224="","Missing date",IF(OR(G224="",H224=""),"Missing qty or cost",""))))))</f>
        <v/>
      </c>
      <c r="N224" s="35" t="n"/>
    </row>
    <row r="225">
      <c r="A225" s="40" t="n"/>
      <c r="B225" s="35" t="n"/>
      <c r="C225" s="35" t="n"/>
      <c r="D225" s="9">
        <f>IF(C225="","",IFERROR(VLOOKUP(C225,Settings!$E$5:$G$28,3,FALSE),"Other"))</f>
        <v/>
      </c>
      <c r="E225" s="35" t="n"/>
      <c r="F225" s="35" t="n"/>
      <c r="G225" s="35" t="n"/>
      <c r="H225" s="37" t="n"/>
      <c r="I225" s="39">
        <f>IF(B225="","",G225*H225)</f>
        <v/>
      </c>
      <c r="J225" s="35" t="n"/>
      <c r="K225" s="35" t="n"/>
      <c r="L225" s="35" t="n"/>
      <c r="M225" s="9">
        <f>IF(B225="","",IF(COUNTIF(Jobs!$A$5:$A$44,B225)=0,"Unknown Job ID",IF(C225="","Missing cost code",IF(COUNTIF(Settings!$E$5:$E$28,C225)=0,"Unknown cost code",IF(A225="","Missing date",IF(OR(G225="",H225=""),"Missing qty or cost",""))))))</f>
        <v/>
      </c>
      <c r="N225" s="35" t="n"/>
    </row>
    <row r="226">
      <c r="A226" s="40" t="n"/>
      <c r="B226" s="35" t="n"/>
      <c r="C226" s="35" t="n"/>
      <c r="D226" s="9">
        <f>IF(C226="","",IFERROR(VLOOKUP(C226,Settings!$E$5:$G$28,3,FALSE),"Other"))</f>
        <v/>
      </c>
      <c r="E226" s="35" t="n"/>
      <c r="F226" s="35" t="n"/>
      <c r="G226" s="35" t="n"/>
      <c r="H226" s="37" t="n"/>
      <c r="I226" s="39">
        <f>IF(B226="","",G226*H226)</f>
        <v/>
      </c>
      <c r="J226" s="35" t="n"/>
      <c r="K226" s="35" t="n"/>
      <c r="L226" s="35" t="n"/>
      <c r="M226" s="9">
        <f>IF(B226="","",IF(COUNTIF(Jobs!$A$5:$A$44,B226)=0,"Unknown Job ID",IF(C226="","Missing cost code",IF(COUNTIF(Settings!$E$5:$E$28,C226)=0,"Unknown cost code",IF(A226="","Missing date",IF(OR(G226="",H226=""),"Missing qty or cost",""))))))</f>
        <v/>
      </c>
      <c r="N226" s="35" t="n"/>
    </row>
    <row r="227">
      <c r="A227" s="40" t="n"/>
      <c r="B227" s="35" t="n"/>
      <c r="C227" s="35" t="n"/>
      <c r="D227" s="9">
        <f>IF(C227="","",IFERROR(VLOOKUP(C227,Settings!$E$5:$G$28,3,FALSE),"Other"))</f>
        <v/>
      </c>
      <c r="E227" s="35" t="n"/>
      <c r="F227" s="35" t="n"/>
      <c r="G227" s="35" t="n"/>
      <c r="H227" s="37" t="n"/>
      <c r="I227" s="39">
        <f>IF(B227="","",G227*H227)</f>
        <v/>
      </c>
      <c r="J227" s="35" t="n"/>
      <c r="K227" s="35" t="n"/>
      <c r="L227" s="35" t="n"/>
      <c r="M227" s="9">
        <f>IF(B227="","",IF(COUNTIF(Jobs!$A$5:$A$44,B227)=0,"Unknown Job ID",IF(C227="","Missing cost code",IF(COUNTIF(Settings!$E$5:$E$28,C227)=0,"Unknown cost code",IF(A227="","Missing date",IF(OR(G227="",H227=""),"Missing qty or cost",""))))))</f>
        <v/>
      </c>
      <c r="N227" s="35" t="n"/>
    </row>
    <row r="228">
      <c r="A228" s="40" t="n"/>
      <c r="B228" s="35" t="n"/>
      <c r="C228" s="35" t="n"/>
      <c r="D228" s="9">
        <f>IF(C228="","",IFERROR(VLOOKUP(C228,Settings!$E$5:$G$28,3,FALSE),"Other"))</f>
        <v/>
      </c>
      <c r="E228" s="35" t="n"/>
      <c r="F228" s="35" t="n"/>
      <c r="G228" s="35" t="n"/>
      <c r="H228" s="37" t="n"/>
      <c r="I228" s="39">
        <f>IF(B228="","",G228*H228)</f>
        <v/>
      </c>
      <c r="J228" s="35" t="n"/>
      <c r="K228" s="35" t="n"/>
      <c r="L228" s="35" t="n"/>
      <c r="M228" s="9">
        <f>IF(B228="","",IF(COUNTIF(Jobs!$A$5:$A$44,B228)=0,"Unknown Job ID",IF(C228="","Missing cost code",IF(COUNTIF(Settings!$E$5:$E$28,C228)=0,"Unknown cost code",IF(A228="","Missing date",IF(OR(G228="",H228=""),"Missing qty or cost",""))))))</f>
        <v/>
      </c>
      <c r="N228" s="35" t="n"/>
    </row>
    <row r="229">
      <c r="A229" s="40" t="n"/>
      <c r="B229" s="35" t="n"/>
      <c r="C229" s="35" t="n"/>
      <c r="D229" s="9">
        <f>IF(C229="","",IFERROR(VLOOKUP(C229,Settings!$E$5:$G$28,3,FALSE),"Other"))</f>
        <v/>
      </c>
      <c r="E229" s="35" t="n"/>
      <c r="F229" s="35" t="n"/>
      <c r="G229" s="35" t="n"/>
      <c r="H229" s="37" t="n"/>
      <c r="I229" s="39">
        <f>IF(B229="","",G229*H229)</f>
        <v/>
      </c>
      <c r="J229" s="35" t="n"/>
      <c r="K229" s="35" t="n"/>
      <c r="L229" s="35" t="n"/>
      <c r="M229" s="9">
        <f>IF(B229="","",IF(COUNTIF(Jobs!$A$5:$A$44,B229)=0,"Unknown Job ID",IF(C229="","Missing cost code",IF(COUNTIF(Settings!$E$5:$E$28,C229)=0,"Unknown cost code",IF(A229="","Missing date",IF(OR(G229="",H229=""),"Missing qty or cost",""))))))</f>
        <v/>
      </c>
      <c r="N229" s="35" t="n"/>
    </row>
    <row r="230">
      <c r="A230" s="40" t="n"/>
      <c r="B230" s="35" t="n"/>
      <c r="C230" s="35" t="n"/>
      <c r="D230" s="9">
        <f>IF(C230="","",IFERROR(VLOOKUP(C230,Settings!$E$5:$G$28,3,FALSE),"Other"))</f>
        <v/>
      </c>
      <c r="E230" s="35" t="n"/>
      <c r="F230" s="35" t="n"/>
      <c r="G230" s="35" t="n"/>
      <c r="H230" s="37" t="n"/>
      <c r="I230" s="39">
        <f>IF(B230="","",G230*H230)</f>
        <v/>
      </c>
      <c r="J230" s="35" t="n"/>
      <c r="K230" s="35" t="n"/>
      <c r="L230" s="35" t="n"/>
      <c r="M230" s="9">
        <f>IF(B230="","",IF(COUNTIF(Jobs!$A$5:$A$44,B230)=0,"Unknown Job ID",IF(C230="","Missing cost code",IF(COUNTIF(Settings!$E$5:$E$28,C230)=0,"Unknown cost code",IF(A230="","Missing date",IF(OR(G230="",H230=""),"Missing qty or cost",""))))))</f>
        <v/>
      </c>
      <c r="N230" s="35" t="n"/>
    </row>
    <row r="231">
      <c r="A231" s="40" t="n"/>
      <c r="B231" s="35" t="n"/>
      <c r="C231" s="35" t="n"/>
      <c r="D231" s="9">
        <f>IF(C231="","",IFERROR(VLOOKUP(C231,Settings!$E$5:$G$28,3,FALSE),"Other"))</f>
        <v/>
      </c>
      <c r="E231" s="35" t="n"/>
      <c r="F231" s="35" t="n"/>
      <c r="G231" s="35" t="n"/>
      <c r="H231" s="37" t="n"/>
      <c r="I231" s="39">
        <f>IF(B231="","",G231*H231)</f>
        <v/>
      </c>
      <c r="J231" s="35" t="n"/>
      <c r="K231" s="35" t="n"/>
      <c r="L231" s="35" t="n"/>
      <c r="M231" s="9">
        <f>IF(B231="","",IF(COUNTIF(Jobs!$A$5:$A$44,B231)=0,"Unknown Job ID",IF(C231="","Missing cost code",IF(COUNTIF(Settings!$E$5:$E$28,C231)=0,"Unknown cost code",IF(A231="","Missing date",IF(OR(G231="",H231=""),"Missing qty or cost",""))))))</f>
        <v/>
      </c>
      <c r="N231" s="35" t="n"/>
    </row>
    <row r="232">
      <c r="A232" s="40" t="n"/>
      <c r="B232" s="35" t="n"/>
      <c r="C232" s="35" t="n"/>
      <c r="D232" s="9">
        <f>IF(C232="","",IFERROR(VLOOKUP(C232,Settings!$E$5:$G$28,3,FALSE),"Other"))</f>
        <v/>
      </c>
      <c r="E232" s="35" t="n"/>
      <c r="F232" s="35" t="n"/>
      <c r="G232" s="35" t="n"/>
      <c r="H232" s="37" t="n"/>
      <c r="I232" s="39">
        <f>IF(B232="","",G232*H232)</f>
        <v/>
      </c>
      <c r="J232" s="35" t="n"/>
      <c r="K232" s="35" t="n"/>
      <c r="L232" s="35" t="n"/>
      <c r="M232" s="9">
        <f>IF(B232="","",IF(COUNTIF(Jobs!$A$5:$A$44,B232)=0,"Unknown Job ID",IF(C232="","Missing cost code",IF(COUNTIF(Settings!$E$5:$E$28,C232)=0,"Unknown cost code",IF(A232="","Missing date",IF(OR(G232="",H232=""),"Missing qty or cost",""))))))</f>
        <v/>
      </c>
      <c r="N232" s="35" t="n"/>
    </row>
    <row r="233">
      <c r="A233" s="40" t="n"/>
      <c r="B233" s="35" t="n"/>
      <c r="C233" s="35" t="n"/>
      <c r="D233" s="9">
        <f>IF(C233="","",IFERROR(VLOOKUP(C233,Settings!$E$5:$G$28,3,FALSE),"Other"))</f>
        <v/>
      </c>
      <c r="E233" s="35" t="n"/>
      <c r="F233" s="35" t="n"/>
      <c r="G233" s="35" t="n"/>
      <c r="H233" s="37" t="n"/>
      <c r="I233" s="39">
        <f>IF(B233="","",G233*H233)</f>
        <v/>
      </c>
      <c r="J233" s="35" t="n"/>
      <c r="K233" s="35" t="n"/>
      <c r="L233" s="35" t="n"/>
      <c r="M233" s="9">
        <f>IF(B233="","",IF(COUNTIF(Jobs!$A$5:$A$44,B233)=0,"Unknown Job ID",IF(C233="","Missing cost code",IF(COUNTIF(Settings!$E$5:$E$28,C233)=0,"Unknown cost code",IF(A233="","Missing date",IF(OR(G233="",H233=""),"Missing qty or cost",""))))))</f>
        <v/>
      </c>
      <c r="N233" s="35" t="n"/>
    </row>
    <row r="234">
      <c r="A234" s="40" t="n"/>
      <c r="B234" s="35" t="n"/>
      <c r="C234" s="35" t="n"/>
      <c r="D234" s="9">
        <f>IF(C234="","",IFERROR(VLOOKUP(C234,Settings!$E$5:$G$28,3,FALSE),"Other"))</f>
        <v/>
      </c>
      <c r="E234" s="35" t="n"/>
      <c r="F234" s="35" t="n"/>
      <c r="G234" s="35" t="n"/>
      <c r="H234" s="37" t="n"/>
      <c r="I234" s="39">
        <f>IF(B234="","",G234*H234)</f>
        <v/>
      </c>
      <c r="J234" s="35" t="n"/>
      <c r="K234" s="35" t="n"/>
      <c r="L234" s="35" t="n"/>
      <c r="M234" s="9">
        <f>IF(B234="","",IF(COUNTIF(Jobs!$A$5:$A$44,B234)=0,"Unknown Job ID",IF(C234="","Missing cost code",IF(COUNTIF(Settings!$E$5:$E$28,C234)=0,"Unknown cost code",IF(A234="","Missing date",IF(OR(G234="",H234=""),"Missing qty or cost",""))))))</f>
        <v/>
      </c>
      <c r="N234" s="35" t="n"/>
    </row>
    <row r="235">
      <c r="A235" s="40" t="n"/>
      <c r="B235" s="35" t="n"/>
      <c r="C235" s="35" t="n"/>
      <c r="D235" s="9">
        <f>IF(C235="","",IFERROR(VLOOKUP(C235,Settings!$E$5:$G$28,3,FALSE),"Other"))</f>
        <v/>
      </c>
      <c r="E235" s="35" t="n"/>
      <c r="F235" s="35" t="n"/>
      <c r="G235" s="35" t="n"/>
      <c r="H235" s="37" t="n"/>
      <c r="I235" s="39">
        <f>IF(B235="","",G235*H235)</f>
        <v/>
      </c>
      <c r="J235" s="35" t="n"/>
      <c r="K235" s="35" t="n"/>
      <c r="L235" s="35" t="n"/>
      <c r="M235" s="9">
        <f>IF(B235="","",IF(COUNTIF(Jobs!$A$5:$A$44,B235)=0,"Unknown Job ID",IF(C235="","Missing cost code",IF(COUNTIF(Settings!$E$5:$E$28,C235)=0,"Unknown cost code",IF(A235="","Missing date",IF(OR(G235="",H235=""),"Missing qty or cost",""))))))</f>
        <v/>
      </c>
      <c r="N235" s="35" t="n"/>
    </row>
    <row r="236">
      <c r="A236" s="40" t="n"/>
      <c r="B236" s="35" t="n"/>
      <c r="C236" s="35" t="n"/>
      <c r="D236" s="9">
        <f>IF(C236="","",IFERROR(VLOOKUP(C236,Settings!$E$5:$G$28,3,FALSE),"Other"))</f>
        <v/>
      </c>
      <c r="E236" s="35" t="n"/>
      <c r="F236" s="35" t="n"/>
      <c r="G236" s="35" t="n"/>
      <c r="H236" s="37" t="n"/>
      <c r="I236" s="39">
        <f>IF(B236="","",G236*H236)</f>
        <v/>
      </c>
      <c r="J236" s="35" t="n"/>
      <c r="K236" s="35" t="n"/>
      <c r="L236" s="35" t="n"/>
      <c r="M236" s="9">
        <f>IF(B236="","",IF(COUNTIF(Jobs!$A$5:$A$44,B236)=0,"Unknown Job ID",IF(C236="","Missing cost code",IF(COUNTIF(Settings!$E$5:$E$28,C236)=0,"Unknown cost code",IF(A236="","Missing date",IF(OR(G236="",H236=""),"Missing qty or cost",""))))))</f>
        <v/>
      </c>
      <c r="N236" s="35" t="n"/>
    </row>
    <row r="237">
      <c r="A237" s="40" t="n"/>
      <c r="B237" s="35" t="n"/>
      <c r="C237" s="35" t="n"/>
      <c r="D237" s="9">
        <f>IF(C237="","",IFERROR(VLOOKUP(C237,Settings!$E$5:$G$28,3,FALSE),"Other"))</f>
        <v/>
      </c>
      <c r="E237" s="35" t="n"/>
      <c r="F237" s="35" t="n"/>
      <c r="G237" s="35" t="n"/>
      <c r="H237" s="37" t="n"/>
      <c r="I237" s="39">
        <f>IF(B237="","",G237*H237)</f>
        <v/>
      </c>
      <c r="J237" s="35" t="n"/>
      <c r="K237" s="35" t="n"/>
      <c r="L237" s="35" t="n"/>
      <c r="M237" s="9">
        <f>IF(B237="","",IF(COUNTIF(Jobs!$A$5:$A$44,B237)=0,"Unknown Job ID",IF(C237="","Missing cost code",IF(COUNTIF(Settings!$E$5:$E$28,C237)=0,"Unknown cost code",IF(A237="","Missing date",IF(OR(G237="",H237=""),"Missing qty or cost",""))))))</f>
        <v/>
      </c>
      <c r="N237" s="35" t="n"/>
    </row>
    <row r="238">
      <c r="A238" s="40" t="n"/>
      <c r="B238" s="35" t="n"/>
      <c r="C238" s="35" t="n"/>
      <c r="D238" s="9">
        <f>IF(C238="","",IFERROR(VLOOKUP(C238,Settings!$E$5:$G$28,3,FALSE),"Other"))</f>
        <v/>
      </c>
      <c r="E238" s="35" t="n"/>
      <c r="F238" s="35" t="n"/>
      <c r="G238" s="35" t="n"/>
      <c r="H238" s="37" t="n"/>
      <c r="I238" s="39">
        <f>IF(B238="","",G238*H238)</f>
        <v/>
      </c>
      <c r="J238" s="35" t="n"/>
      <c r="K238" s="35" t="n"/>
      <c r="L238" s="35" t="n"/>
      <c r="M238" s="9">
        <f>IF(B238="","",IF(COUNTIF(Jobs!$A$5:$A$44,B238)=0,"Unknown Job ID",IF(C238="","Missing cost code",IF(COUNTIF(Settings!$E$5:$E$28,C238)=0,"Unknown cost code",IF(A238="","Missing date",IF(OR(G238="",H238=""),"Missing qty or cost",""))))))</f>
        <v/>
      </c>
      <c r="N238" s="35" t="n"/>
    </row>
    <row r="239">
      <c r="A239" s="40" t="n"/>
      <c r="B239" s="35" t="n"/>
      <c r="C239" s="35" t="n"/>
      <c r="D239" s="9">
        <f>IF(C239="","",IFERROR(VLOOKUP(C239,Settings!$E$5:$G$28,3,FALSE),"Other"))</f>
        <v/>
      </c>
      <c r="E239" s="35" t="n"/>
      <c r="F239" s="35" t="n"/>
      <c r="G239" s="35" t="n"/>
      <c r="H239" s="37" t="n"/>
      <c r="I239" s="39">
        <f>IF(B239="","",G239*H239)</f>
        <v/>
      </c>
      <c r="J239" s="35" t="n"/>
      <c r="K239" s="35" t="n"/>
      <c r="L239" s="35" t="n"/>
      <c r="M239" s="9">
        <f>IF(B239="","",IF(COUNTIF(Jobs!$A$5:$A$44,B239)=0,"Unknown Job ID",IF(C239="","Missing cost code",IF(COUNTIF(Settings!$E$5:$E$28,C239)=0,"Unknown cost code",IF(A239="","Missing date",IF(OR(G239="",H239=""),"Missing qty or cost",""))))))</f>
        <v/>
      </c>
      <c r="N239" s="35" t="n"/>
    </row>
    <row r="240">
      <c r="A240" s="40" t="n"/>
      <c r="B240" s="35" t="n"/>
      <c r="C240" s="35" t="n"/>
      <c r="D240" s="9">
        <f>IF(C240="","",IFERROR(VLOOKUP(C240,Settings!$E$5:$G$28,3,FALSE),"Other"))</f>
        <v/>
      </c>
      <c r="E240" s="35" t="n"/>
      <c r="F240" s="35" t="n"/>
      <c r="G240" s="35" t="n"/>
      <c r="H240" s="37" t="n"/>
      <c r="I240" s="39">
        <f>IF(B240="","",G240*H240)</f>
        <v/>
      </c>
      <c r="J240" s="35" t="n"/>
      <c r="K240" s="35" t="n"/>
      <c r="L240" s="35" t="n"/>
      <c r="M240" s="9">
        <f>IF(B240="","",IF(COUNTIF(Jobs!$A$5:$A$44,B240)=0,"Unknown Job ID",IF(C240="","Missing cost code",IF(COUNTIF(Settings!$E$5:$E$28,C240)=0,"Unknown cost code",IF(A240="","Missing date",IF(OR(G240="",H240=""),"Missing qty or cost",""))))))</f>
        <v/>
      </c>
      <c r="N240" s="35" t="n"/>
    </row>
    <row r="241">
      <c r="A241" s="40" t="n"/>
      <c r="B241" s="35" t="n"/>
      <c r="C241" s="35" t="n"/>
      <c r="D241" s="9">
        <f>IF(C241="","",IFERROR(VLOOKUP(C241,Settings!$E$5:$G$28,3,FALSE),"Other"))</f>
        <v/>
      </c>
      <c r="E241" s="35" t="n"/>
      <c r="F241" s="35" t="n"/>
      <c r="G241" s="35" t="n"/>
      <c r="H241" s="37" t="n"/>
      <c r="I241" s="39">
        <f>IF(B241="","",G241*H241)</f>
        <v/>
      </c>
      <c r="J241" s="35" t="n"/>
      <c r="K241" s="35" t="n"/>
      <c r="L241" s="35" t="n"/>
      <c r="M241" s="9">
        <f>IF(B241="","",IF(COUNTIF(Jobs!$A$5:$A$44,B241)=0,"Unknown Job ID",IF(C241="","Missing cost code",IF(COUNTIF(Settings!$E$5:$E$28,C241)=0,"Unknown cost code",IF(A241="","Missing date",IF(OR(G241="",H241=""),"Missing qty or cost",""))))))</f>
        <v/>
      </c>
      <c r="N241" s="35" t="n"/>
    </row>
    <row r="242">
      <c r="A242" s="40" t="n"/>
      <c r="B242" s="35" t="n"/>
      <c r="C242" s="35" t="n"/>
      <c r="D242" s="9">
        <f>IF(C242="","",IFERROR(VLOOKUP(C242,Settings!$E$5:$G$28,3,FALSE),"Other"))</f>
        <v/>
      </c>
      <c r="E242" s="35" t="n"/>
      <c r="F242" s="35" t="n"/>
      <c r="G242" s="35" t="n"/>
      <c r="H242" s="37" t="n"/>
      <c r="I242" s="39">
        <f>IF(B242="","",G242*H242)</f>
        <v/>
      </c>
      <c r="J242" s="35" t="n"/>
      <c r="K242" s="35" t="n"/>
      <c r="L242" s="35" t="n"/>
      <c r="M242" s="9">
        <f>IF(B242="","",IF(COUNTIF(Jobs!$A$5:$A$44,B242)=0,"Unknown Job ID",IF(C242="","Missing cost code",IF(COUNTIF(Settings!$E$5:$E$28,C242)=0,"Unknown cost code",IF(A242="","Missing date",IF(OR(G242="",H242=""),"Missing qty or cost",""))))))</f>
        <v/>
      </c>
      <c r="N242" s="35" t="n"/>
    </row>
    <row r="243">
      <c r="A243" s="40" t="n"/>
      <c r="B243" s="35" t="n"/>
      <c r="C243" s="35" t="n"/>
      <c r="D243" s="9">
        <f>IF(C243="","",IFERROR(VLOOKUP(C243,Settings!$E$5:$G$28,3,FALSE),"Other"))</f>
        <v/>
      </c>
      <c r="E243" s="35" t="n"/>
      <c r="F243" s="35" t="n"/>
      <c r="G243" s="35" t="n"/>
      <c r="H243" s="37" t="n"/>
      <c r="I243" s="39">
        <f>IF(B243="","",G243*H243)</f>
        <v/>
      </c>
      <c r="J243" s="35" t="n"/>
      <c r="K243" s="35" t="n"/>
      <c r="L243" s="35" t="n"/>
      <c r="M243" s="9">
        <f>IF(B243="","",IF(COUNTIF(Jobs!$A$5:$A$44,B243)=0,"Unknown Job ID",IF(C243="","Missing cost code",IF(COUNTIF(Settings!$E$5:$E$28,C243)=0,"Unknown cost code",IF(A243="","Missing date",IF(OR(G243="",H243=""),"Missing qty or cost",""))))))</f>
        <v/>
      </c>
      <c r="N243" s="35" t="n"/>
    </row>
    <row r="244">
      <c r="A244" s="40" t="n"/>
      <c r="B244" s="35" t="n"/>
      <c r="C244" s="35" t="n"/>
      <c r="D244" s="9">
        <f>IF(C244="","",IFERROR(VLOOKUP(C244,Settings!$E$5:$G$28,3,FALSE),"Other"))</f>
        <v/>
      </c>
      <c r="E244" s="35" t="n"/>
      <c r="F244" s="35" t="n"/>
      <c r="G244" s="35" t="n"/>
      <c r="H244" s="37" t="n"/>
      <c r="I244" s="39">
        <f>IF(B244="","",G244*H244)</f>
        <v/>
      </c>
      <c r="J244" s="35" t="n"/>
      <c r="K244" s="35" t="n"/>
      <c r="L244" s="35" t="n"/>
      <c r="M244" s="9">
        <f>IF(B244="","",IF(COUNTIF(Jobs!$A$5:$A$44,B244)=0,"Unknown Job ID",IF(C244="","Missing cost code",IF(COUNTIF(Settings!$E$5:$E$28,C244)=0,"Unknown cost code",IF(A244="","Missing date",IF(OR(G244="",H244=""),"Missing qty or cost",""))))))</f>
        <v/>
      </c>
      <c r="N244" s="35" t="n"/>
    </row>
    <row r="245">
      <c r="A245" s="40" t="n"/>
      <c r="B245" s="35" t="n"/>
      <c r="C245" s="35" t="n"/>
      <c r="D245" s="9">
        <f>IF(C245="","",IFERROR(VLOOKUP(C245,Settings!$E$5:$G$28,3,FALSE),"Other"))</f>
        <v/>
      </c>
      <c r="E245" s="35" t="n"/>
      <c r="F245" s="35" t="n"/>
      <c r="G245" s="35" t="n"/>
      <c r="H245" s="37" t="n"/>
      <c r="I245" s="39">
        <f>IF(B245="","",G245*H245)</f>
        <v/>
      </c>
      <c r="J245" s="35" t="n"/>
      <c r="K245" s="35" t="n"/>
      <c r="L245" s="35" t="n"/>
      <c r="M245" s="9">
        <f>IF(B245="","",IF(COUNTIF(Jobs!$A$5:$A$44,B245)=0,"Unknown Job ID",IF(C245="","Missing cost code",IF(COUNTIF(Settings!$E$5:$E$28,C245)=0,"Unknown cost code",IF(A245="","Missing date",IF(OR(G245="",H245=""),"Missing qty or cost",""))))))</f>
        <v/>
      </c>
      <c r="N245" s="35" t="n"/>
    </row>
    <row r="246">
      <c r="A246" s="40" t="n"/>
      <c r="B246" s="35" t="n"/>
      <c r="C246" s="35" t="n"/>
      <c r="D246" s="9">
        <f>IF(C246="","",IFERROR(VLOOKUP(C246,Settings!$E$5:$G$28,3,FALSE),"Other"))</f>
        <v/>
      </c>
      <c r="E246" s="35" t="n"/>
      <c r="F246" s="35" t="n"/>
      <c r="G246" s="35" t="n"/>
      <c r="H246" s="37" t="n"/>
      <c r="I246" s="39">
        <f>IF(B246="","",G246*H246)</f>
        <v/>
      </c>
      <c r="J246" s="35" t="n"/>
      <c r="K246" s="35" t="n"/>
      <c r="L246" s="35" t="n"/>
      <c r="M246" s="9">
        <f>IF(B246="","",IF(COUNTIF(Jobs!$A$5:$A$44,B246)=0,"Unknown Job ID",IF(C246="","Missing cost code",IF(COUNTIF(Settings!$E$5:$E$28,C246)=0,"Unknown cost code",IF(A246="","Missing date",IF(OR(G246="",H246=""),"Missing qty or cost",""))))))</f>
        <v/>
      </c>
      <c r="N246" s="35" t="n"/>
    </row>
    <row r="247">
      <c r="A247" s="40" t="n"/>
      <c r="B247" s="35" t="n"/>
      <c r="C247" s="35" t="n"/>
      <c r="D247" s="9">
        <f>IF(C247="","",IFERROR(VLOOKUP(C247,Settings!$E$5:$G$28,3,FALSE),"Other"))</f>
        <v/>
      </c>
      <c r="E247" s="35" t="n"/>
      <c r="F247" s="35" t="n"/>
      <c r="G247" s="35" t="n"/>
      <c r="H247" s="37" t="n"/>
      <c r="I247" s="39">
        <f>IF(B247="","",G247*H247)</f>
        <v/>
      </c>
      <c r="J247" s="35" t="n"/>
      <c r="K247" s="35" t="n"/>
      <c r="L247" s="35" t="n"/>
      <c r="M247" s="9">
        <f>IF(B247="","",IF(COUNTIF(Jobs!$A$5:$A$44,B247)=0,"Unknown Job ID",IF(C247="","Missing cost code",IF(COUNTIF(Settings!$E$5:$E$28,C247)=0,"Unknown cost code",IF(A247="","Missing date",IF(OR(G247="",H247=""),"Missing qty or cost",""))))))</f>
        <v/>
      </c>
      <c r="N247" s="35" t="n"/>
    </row>
    <row r="248">
      <c r="A248" s="40" t="n"/>
      <c r="B248" s="35" t="n"/>
      <c r="C248" s="35" t="n"/>
      <c r="D248" s="9">
        <f>IF(C248="","",IFERROR(VLOOKUP(C248,Settings!$E$5:$G$28,3,FALSE),"Other"))</f>
        <v/>
      </c>
      <c r="E248" s="35" t="n"/>
      <c r="F248" s="35" t="n"/>
      <c r="G248" s="35" t="n"/>
      <c r="H248" s="37" t="n"/>
      <c r="I248" s="39">
        <f>IF(B248="","",G248*H248)</f>
        <v/>
      </c>
      <c r="J248" s="35" t="n"/>
      <c r="K248" s="35" t="n"/>
      <c r="L248" s="35" t="n"/>
      <c r="M248" s="9">
        <f>IF(B248="","",IF(COUNTIF(Jobs!$A$5:$A$44,B248)=0,"Unknown Job ID",IF(C248="","Missing cost code",IF(COUNTIF(Settings!$E$5:$E$28,C248)=0,"Unknown cost code",IF(A248="","Missing date",IF(OR(G248="",H248=""),"Missing qty or cost",""))))))</f>
        <v/>
      </c>
      <c r="N248" s="35" t="n"/>
    </row>
    <row r="249">
      <c r="A249" s="40" t="n"/>
      <c r="B249" s="35" t="n"/>
      <c r="C249" s="35" t="n"/>
      <c r="D249" s="9">
        <f>IF(C249="","",IFERROR(VLOOKUP(C249,Settings!$E$5:$G$28,3,FALSE),"Other"))</f>
        <v/>
      </c>
      <c r="E249" s="35" t="n"/>
      <c r="F249" s="35" t="n"/>
      <c r="G249" s="35" t="n"/>
      <c r="H249" s="37" t="n"/>
      <c r="I249" s="39">
        <f>IF(B249="","",G249*H249)</f>
        <v/>
      </c>
      <c r="J249" s="35" t="n"/>
      <c r="K249" s="35" t="n"/>
      <c r="L249" s="35" t="n"/>
      <c r="M249" s="9">
        <f>IF(B249="","",IF(COUNTIF(Jobs!$A$5:$A$44,B249)=0,"Unknown Job ID",IF(C249="","Missing cost code",IF(COUNTIF(Settings!$E$5:$E$28,C249)=0,"Unknown cost code",IF(A249="","Missing date",IF(OR(G249="",H249=""),"Missing qty or cost",""))))))</f>
        <v/>
      </c>
      <c r="N249" s="35" t="n"/>
    </row>
    <row r="250">
      <c r="A250" s="40" t="n"/>
      <c r="B250" s="35" t="n"/>
      <c r="C250" s="35" t="n"/>
      <c r="D250" s="9">
        <f>IF(C250="","",IFERROR(VLOOKUP(C250,Settings!$E$5:$G$28,3,FALSE),"Other"))</f>
        <v/>
      </c>
      <c r="E250" s="35" t="n"/>
      <c r="F250" s="35" t="n"/>
      <c r="G250" s="35" t="n"/>
      <c r="H250" s="37" t="n"/>
      <c r="I250" s="39">
        <f>IF(B250="","",G250*H250)</f>
        <v/>
      </c>
      <c r="J250" s="35" t="n"/>
      <c r="K250" s="35" t="n"/>
      <c r="L250" s="35" t="n"/>
      <c r="M250" s="9">
        <f>IF(B250="","",IF(COUNTIF(Jobs!$A$5:$A$44,B250)=0,"Unknown Job ID",IF(C250="","Missing cost code",IF(COUNTIF(Settings!$E$5:$E$28,C250)=0,"Unknown cost code",IF(A250="","Missing date",IF(OR(G250="",H250=""),"Missing qty or cost",""))))))</f>
        <v/>
      </c>
      <c r="N250" s="35" t="n"/>
    </row>
    <row r="251">
      <c r="A251" s="40" t="n"/>
      <c r="B251" s="35" t="n"/>
      <c r="C251" s="35" t="n"/>
      <c r="D251" s="9">
        <f>IF(C251="","",IFERROR(VLOOKUP(C251,Settings!$E$5:$G$28,3,FALSE),"Other"))</f>
        <v/>
      </c>
      <c r="E251" s="35" t="n"/>
      <c r="F251" s="35" t="n"/>
      <c r="G251" s="35" t="n"/>
      <c r="H251" s="37" t="n"/>
      <c r="I251" s="39">
        <f>IF(B251="","",G251*H251)</f>
        <v/>
      </c>
      <c r="J251" s="35" t="n"/>
      <c r="K251" s="35" t="n"/>
      <c r="L251" s="35" t="n"/>
      <c r="M251" s="9">
        <f>IF(B251="","",IF(COUNTIF(Jobs!$A$5:$A$44,B251)=0,"Unknown Job ID",IF(C251="","Missing cost code",IF(COUNTIF(Settings!$E$5:$E$28,C251)=0,"Unknown cost code",IF(A251="","Missing date",IF(OR(G251="",H251=""),"Missing qty or cost",""))))))</f>
        <v/>
      </c>
      <c r="N251" s="35" t="n"/>
    </row>
    <row r="252">
      <c r="A252" s="40" t="n"/>
      <c r="B252" s="35" t="n"/>
      <c r="C252" s="35" t="n"/>
      <c r="D252" s="9">
        <f>IF(C252="","",IFERROR(VLOOKUP(C252,Settings!$E$5:$G$28,3,FALSE),"Other"))</f>
        <v/>
      </c>
      <c r="E252" s="35" t="n"/>
      <c r="F252" s="35" t="n"/>
      <c r="G252" s="35" t="n"/>
      <c r="H252" s="37" t="n"/>
      <c r="I252" s="39">
        <f>IF(B252="","",G252*H252)</f>
        <v/>
      </c>
      <c r="J252" s="35" t="n"/>
      <c r="K252" s="35" t="n"/>
      <c r="L252" s="35" t="n"/>
      <c r="M252" s="9">
        <f>IF(B252="","",IF(COUNTIF(Jobs!$A$5:$A$44,B252)=0,"Unknown Job ID",IF(C252="","Missing cost code",IF(COUNTIF(Settings!$E$5:$E$28,C252)=0,"Unknown cost code",IF(A252="","Missing date",IF(OR(G252="",H252=""),"Missing qty or cost",""))))))</f>
        <v/>
      </c>
      <c r="N252" s="35" t="n"/>
    </row>
    <row r="253">
      <c r="A253" s="40" t="n"/>
      <c r="B253" s="35" t="n"/>
      <c r="C253" s="35" t="n"/>
      <c r="D253" s="9">
        <f>IF(C253="","",IFERROR(VLOOKUP(C253,Settings!$E$5:$G$28,3,FALSE),"Other"))</f>
        <v/>
      </c>
      <c r="E253" s="35" t="n"/>
      <c r="F253" s="35" t="n"/>
      <c r="G253" s="35" t="n"/>
      <c r="H253" s="37" t="n"/>
      <c r="I253" s="39">
        <f>IF(B253="","",G253*H253)</f>
        <v/>
      </c>
      <c r="J253" s="35" t="n"/>
      <c r="K253" s="35" t="n"/>
      <c r="L253" s="35" t="n"/>
      <c r="M253" s="9">
        <f>IF(B253="","",IF(COUNTIF(Jobs!$A$5:$A$44,B253)=0,"Unknown Job ID",IF(C253="","Missing cost code",IF(COUNTIF(Settings!$E$5:$E$28,C253)=0,"Unknown cost code",IF(A253="","Missing date",IF(OR(G253="",H253=""),"Missing qty or cost",""))))))</f>
        <v/>
      </c>
      <c r="N253" s="35" t="n"/>
    </row>
    <row r="254">
      <c r="A254" s="40" t="n"/>
      <c r="B254" s="35" t="n"/>
      <c r="C254" s="35" t="n"/>
      <c r="D254" s="9">
        <f>IF(C254="","",IFERROR(VLOOKUP(C254,Settings!$E$5:$G$28,3,FALSE),"Other"))</f>
        <v/>
      </c>
      <c r="E254" s="35" t="n"/>
      <c r="F254" s="35" t="n"/>
      <c r="G254" s="35" t="n"/>
      <c r="H254" s="37" t="n"/>
      <c r="I254" s="39">
        <f>IF(B254="","",G254*H254)</f>
        <v/>
      </c>
      <c r="J254" s="35" t="n"/>
      <c r="K254" s="35" t="n"/>
      <c r="L254" s="35" t="n"/>
      <c r="M254" s="9">
        <f>IF(B254="","",IF(COUNTIF(Jobs!$A$5:$A$44,B254)=0,"Unknown Job ID",IF(C254="","Missing cost code",IF(COUNTIF(Settings!$E$5:$E$28,C254)=0,"Unknown cost code",IF(A254="","Missing date",IF(OR(G254="",H254=""),"Missing qty or cost",""))))))</f>
        <v/>
      </c>
      <c r="N254" s="35" t="n"/>
    </row>
    <row r="255">
      <c r="A255" s="40" t="n"/>
      <c r="B255" s="35" t="n"/>
      <c r="C255" s="35" t="n"/>
      <c r="D255" s="9">
        <f>IF(C255="","",IFERROR(VLOOKUP(C255,Settings!$E$5:$G$28,3,FALSE),"Other"))</f>
        <v/>
      </c>
      <c r="E255" s="35" t="n"/>
      <c r="F255" s="35" t="n"/>
      <c r="G255" s="35" t="n"/>
      <c r="H255" s="37" t="n"/>
      <c r="I255" s="39">
        <f>IF(B255="","",G255*H255)</f>
        <v/>
      </c>
      <c r="J255" s="35" t="n"/>
      <c r="K255" s="35" t="n"/>
      <c r="L255" s="35" t="n"/>
      <c r="M255" s="9">
        <f>IF(B255="","",IF(COUNTIF(Jobs!$A$5:$A$44,B255)=0,"Unknown Job ID",IF(C255="","Missing cost code",IF(COUNTIF(Settings!$E$5:$E$28,C255)=0,"Unknown cost code",IF(A255="","Missing date",IF(OR(G255="",H255=""),"Missing qty or cost",""))))))</f>
        <v/>
      </c>
      <c r="N255" s="35" t="n"/>
    </row>
    <row r="256">
      <c r="A256" s="40" t="n"/>
      <c r="B256" s="35" t="n"/>
      <c r="C256" s="35" t="n"/>
      <c r="D256" s="9">
        <f>IF(C256="","",IFERROR(VLOOKUP(C256,Settings!$E$5:$G$28,3,FALSE),"Other"))</f>
        <v/>
      </c>
      <c r="E256" s="35" t="n"/>
      <c r="F256" s="35" t="n"/>
      <c r="G256" s="35" t="n"/>
      <c r="H256" s="37" t="n"/>
      <c r="I256" s="39">
        <f>IF(B256="","",G256*H256)</f>
        <v/>
      </c>
      <c r="J256" s="35" t="n"/>
      <c r="K256" s="35" t="n"/>
      <c r="L256" s="35" t="n"/>
      <c r="M256" s="9">
        <f>IF(B256="","",IF(COUNTIF(Jobs!$A$5:$A$44,B256)=0,"Unknown Job ID",IF(C256="","Missing cost code",IF(COUNTIF(Settings!$E$5:$E$28,C256)=0,"Unknown cost code",IF(A256="","Missing date",IF(OR(G256="",H256=""),"Missing qty or cost",""))))))</f>
        <v/>
      </c>
      <c r="N256" s="35" t="n"/>
    </row>
    <row r="257">
      <c r="A257" s="40" t="n"/>
      <c r="B257" s="35" t="n"/>
      <c r="C257" s="35" t="n"/>
      <c r="D257" s="9">
        <f>IF(C257="","",IFERROR(VLOOKUP(C257,Settings!$E$5:$G$28,3,FALSE),"Other"))</f>
        <v/>
      </c>
      <c r="E257" s="35" t="n"/>
      <c r="F257" s="35" t="n"/>
      <c r="G257" s="35" t="n"/>
      <c r="H257" s="37" t="n"/>
      <c r="I257" s="39">
        <f>IF(B257="","",G257*H257)</f>
        <v/>
      </c>
      <c r="J257" s="35" t="n"/>
      <c r="K257" s="35" t="n"/>
      <c r="L257" s="35" t="n"/>
      <c r="M257" s="9">
        <f>IF(B257="","",IF(COUNTIF(Jobs!$A$5:$A$44,B257)=0,"Unknown Job ID",IF(C257="","Missing cost code",IF(COUNTIF(Settings!$E$5:$E$28,C257)=0,"Unknown cost code",IF(A257="","Missing date",IF(OR(G257="",H257=""),"Missing qty or cost",""))))))</f>
        <v/>
      </c>
      <c r="N257" s="35" t="n"/>
    </row>
    <row r="258">
      <c r="A258" s="40" t="n"/>
      <c r="B258" s="35" t="n"/>
      <c r="C258" s="35" t="n"/>
      <c r="D258" s="9">
        <f>IF(C258="","",IFERROR(VLOOKUP(C258,Settings!$E$5:$G$28,3,FALSE),"Other"))</f>
        <v/>
      </c>
      <c r="E258" s="35" t="n"/>
      <c r="F258" s="35" t="n"/>
      <c r="G258" s="35" t="n"/>
      <c r="H258" s="37" t="n"/>
      <c r="I258" s="39">
        <f>IF(B258="","",G258*H258)</f>
        <v/>
      </c>
      <c r="J258" s="35" t="n"/>
      <c r="K258" s="35" t="n"/>
      <c r="L258" s="35" t="n"/>
      <c r="M258" s="9">
        <f>IF(B258="","",IF(COUNTIF(Jobs!$A$5:$A$44,B258)=0,"Unknown Job ID",IF(C258="","Missing cost code",IF(COUNTIF(Settings!$E$5:$E$28,C258)=0,"Unknown cost code",IF(A258="","Missing date",IF(OR(G258="",H258=""),"Missing qty or cost",""))))))</f>
        <v/>
      </c>
      <c r="N258" s="35" t="n"/>
    </row>
    <row r="259">
      <c r="A259" s="40" t="n"/>
      <c r="B259" s="35" t="n"/>
      <c r="C259" s="35" t="n"/>
      <c r="D259" s="9">
        <f>IF(C259="","",IFERROR(VLOOKUP(C259,Settings!$E$5:$G$28,3,FALSE),"Other"))</f>
        <v/>
      </c>
      <c r="E259" s="35" t="n"/>
      <c r="F259" s="35" t="n"/>
      <c r="G259" s="35" t="n"/>
      <c r="H259" s="37" t="n"/>
      <c r="I259" s="39">
        <f>IF(B259="","",G259*H259)</f>
        <v/>
      </c>
      <c r="J259" s="35" t="n"/>
      <c r="K259" s="35" t="n"/>
      <c r="L259" s="35" t="n"/>
      <c r="M259" s="9">
        <f>IF(B259="","",IF(COUNTIF(Jobs!$A$5:$A$44,B259)=0,"Unknown Job ID",IF(C259="","Missing cost code",IF(COUNTIF(Settings!$E$5:$E$28,C259)=0,"Unknown cost code",IF(A259="","Missing date",IF(OR(G259="",H259=""),"Missing qty or cost",""))))))</f>
        <v/>
      </c>
      <c r="N259" s="35" t="n"/>
    </row>
    <row r="260">
      <c r="A260" s="40" t="n"/>
      <c r="B260" s="35" t="n"/>
      <c r="C260" s="35" t="n"/>
      <c r="D260" s="9">
        <f>IF(C260="","",IFERROR(VLOOKUP(C260,Settings!$E$5:$G$28,3,FALSE),"Other"))</f>
        <v/>
      </c>
      <c r="E260" s="35" t="n"/>
      <c r="F260" s="35" t="n"/>
      <c r="G260" s="35" t="n"/>
      <c r="H260" s="37" t="n"/>
      <c r="I260" s="39">
        <f>IF(B260="","",G260*H260)</f>
        <v/>
      </c>
      <c r="J260" s="35" t="n"/>
      <c r="K260" s="35" t="n"/>
      <c r="L260" s="35" t="n"/>
      <c r="M260" s="9">
        <f>IF(B260="","",IF(COUNTIF(Jobs!$A$5:$A$44,B260)=0,"Unknown Job ID",IF(C260="","Missing cost code",IF(COUNTIF(Settings!$E$5:$E$28,C260)=0,"Unknown cost code",IF(A260="","Missing date",IF(OR(G260="",H260=""),"Missing qty or cost",""))))))</f>
        <v/>
      </c>
      <c r="N260" s="35" t="n"/>
    </row>
    <row r="261">
      <c r="A261" s="40" t="n"/>
      <c r="B261" s="35" t="n"/>
      <c r="C261" s="35" t="n"/>
      <c r="D261" s="9">
        <f>IF(C261="","",IFERROR(VLOOKUP(C261,Settings!$E$5:$G$28,3,FALSE),"Other"))</f>
        <v/>
      </c>
      <c r="E261" s="35" t="n"/>
      <c r="F261" s="35" t="n"/>
      <c r="G261" s="35" t="n"/>
      <c r="H261" s="37" t="n"/>
      <c r="I261" s="39">
        <f>IF(B261="","",G261*H261)</f>
        <v/>
      </c>
      <c r="J261" s="35" t="n"/>
      <c r="K261" s="35" t="n"/>
      <c r="L261" s="35" t="n"/>
      <c r="M261" s="9">
        <f>IF(B261="","",IF(COUNTIF(Jobs!$A$5:$A$44,B261)=0,"Unknown Job ID",IF(C261="","Missing cost code",IF(COUNTIF(Settings!$E$5:$E$28,C261)=0,"Unknown cost code",IF(A261="","Missing date",IF(OR(G261="",H261=""),"Missing qty or cost",""))))))</f>
        <v/>
      </c>
      <c r="N261" s="35" t="n"/>
    </row>
    <row r="262">
      <c r="A262" s="40" t="n"/>
      <c r="B262" s="35" t="n"/>
      <c r="C262" s="35" t="n"/>
      <c r="D262" s="9">
        <f>IF(C262="","",IFERROR(VLOOKUP(C262,Settings!$E$5:$G$28,3,FALSE),"Other"))</f>
        <v/>
      </c>
      <c r="E262" s="35" t="n"/>
      <c r="F262" s="35" t="n"/>
      <c r="G262" s="35" t="n"/>
      <c r="H262" s="37" t="n"/>
      <c r="I262" s="39">
        <f>IF(B262="","",G262*H262)</f>
        <v/>
      </c>
      <c r="J262" s="35" t="n"/>
      <c r="K262" s="35" t="n"/>
      <c r="L262" s="35" t="n"/>
      <c r="M262" s="9">
        <f>IF(B262="","",IF(COUNTIF(Jobs!$A$5:$A$44,B262)=0,"Unknown Job ID",IF(C262="","Missing cost code",IF(COUNTIF(Settings!$E$5:$E$28,C262)=0,"Unknown cost code",IF(A262="","Missing date",IF(OR(G262="",H262=""),"Missing qty or cost",""))))))</f>
        <v/>
      </c>
      <c r="N262" s="35" t="n"/>
    </row>
    <row r="263">
      <c r="A263" s="40" t="n"/>
      <c r="B263" s="35" t="n"/>
      <c r="C263" s="35" t="n"/>
      <c r="D263" s="9">
        <f>IF(C263="","",IFERROR(VLOOKUP(C263,Settings!$E$5:$G$28,3,FALSE),"Other"))</f>
        <v/>
      </c>
      <c r="E263" s="35" t="n"/>
      <c r="F263" s="35" t="n"/>
      <c r="G263" s="35" t="n"/>
      <c r="H263" s="37" t="n"/>
      <c r="I263" s="39">
        <f>IF(B263="","",G263*H263)</f>
        <v/>
      </c>
      <c r="J263" s="35" t="n"/>
      <c r="K263" s="35" t="n"/>
      <c r="L263" s="35" t="n"/>
      <c r="M263" s="9">
        <f>IF(B263="","",IF(COUNTIF(Jobs!$A$5:$A$44,B263)=0,"Unknown Job ID",IF(C263="","Missing cost code",IF(COUNTIF(Settings!$E$5:$E$28,C263)=0,"Unknown cost code",IF(A263="","Missing date",IF(OR(G263="",H263=""),"Missing qty or cost",""))))))</f>
        <v/>
      </c>
      <c r="N263" s="35" t="n"/>
    </row>
    <row r="264">
      <c r="A264" s="40" t="n"/>
      <c r="B264" s="35" t="n"/>
      <c r="C264" s="35" t="n"/>
      <c r="D264" s="9">
        <f>IF(C264="","",IFERROR(VLOOKUP(C264,Settings!$E$5:$G$28,3,FALSE),"Other"))</f>
        <v/>
      </c>
      <c r="E264" s="35" t="n"/>
      <c r="F264" s="35" t="n"/>
      <c r="G264" s="35" t="n"/>
      <c r="H264" s="37" t="n"/>
      <c r="I264" s="39">
        <f>IF(B264="","",G264*H264)</f>
        <v/>
      </c>
      <c r="J264" s="35" t="n"/>
      <c r="K264" s="35" t="n"/>
      <c r="L264" s="35" t="n"/>
      <c r="M264" s="9">
        <f>IF(B264="","",IF(COUNTIF(Jobs!$A$5:$A$44,B264)=0,"Unknown Job ID",IF(C264="","Missing cost code",IF(COUNTIF(Settings!$E$5:$E$28,C264)=0,"Unknown cost code",IF(A264="","Missing date",IF(OR(G264="",H264=""),"Missing qty or cost",""))))))</f>
        <v/>
      </c>
      <c r="N264" s="35" t="n"/>
    </row>
    <row r="265">
      <c r="A265" s="40" t="n"/>
      <c r="B265" s="35" t="n"/>
      <c r="C265" s="35" t="n"/>
      <c r="D265" s="9">
        <f>IF(C265="","",IFERROR(VLOOKUP(C265,Settings!$E$5:$G$28,3,FALSE),"Other"))</f>
        <v/>
      </c>
      <c r="E265" s="35" t="n"/>
      <c r="F265" s="35" t="n"/>
      <c r="G265" s="35" t="n"/>
      <c r="H265" s="37" t="n"/>
      <c r="I265" s="39">
        <f>IF(B265="","",G265*H265)</f>
        <v/>
      </c>
      <c r="J265" s="35" t="n"/>
      <c r="K265" s="35" t="n"/>
      <c r="L265" s="35" t="n"/>
      <c r="M265" s="9">
        <f>IF(B265="","",IF(COUNTIF(Jobs!$A$5:$A$44,B265)=0,"Unknown Job ID",IF(C265="","Missing cost code",IF(COUNTIF(Settings!$E$5:$E$28,C265)=0,"Unknown cost code",IF(A265="","Missing date",IF(OR(G265="",H265=""),"Missing qty or cost",""))))))</f>
        <v/>
      </c>
      <c r="N265" s="35" t="n"/>
    </row>
    <row r="266">
      <c r="A266" s="40" t="n"/>
      <c r="B266" s="35" t="n"/>
      <c r="C266" s="35" t="n"/>
      <c r="D266" s="9">
        <f>IF(C266="","",IFERROR(VLOOKUP(C266,Settings!$E$5:$G$28,3,FALSE),"Other"))</f>
        <v/>
      </c>
      <c r="E266" s="35" t="n"/>
      <c r="F266" s="35" t="n"/>
      <c r="G266" s="35" t="n"/>
      <c r="H266" s="37" t="n"/>
      <c r="I266" s="39">
        <f>IF(B266="","",G266*H266)</f>
        <v/>
      </c>
      <c r="J266" s="35" t="n"/>
      <c r="K266" s="35" t="n"/>
      <c r="L266" s="35" t="n"/>
      <c r="M266" s="9">
        <f>IF(B266="","",IF(COUNTIF(Jobs!$A$5:$A$44,B266)=0,"Unknown Job ID",IF(C266="","Missing cost code",IF(COUNTIF(Settings!$E$5:$E$28,C266)=0,"Unknown cost code",IF(A266="","Missing date",IF(OR(G266="",H266=""),"Missing qty or cost",""))))))</f>
        <v/>
      </c>
      <c r="N266" s="35" t="n"/>
    </row>
    <row r="267">
      <c r="A267" s="40" t="n"/>
      <c r="B267" s="35" t="n"/>
      <c r="C267" s="35" t="n"/>
      <c r="D267" s="9">
        <f>IF(C267="","",IFERROR(VLOOKUP(C267,Settings!$E$5:$G$28,3,FALSE),"Other"))</f>
        <v/>
      </c>
      <c r="E267" s="35" t="n"/>
      <c r="F267" s="35" t="n"/>
      <c r="G267" s="35" t="n"/>
      <c r="H267" s="37" t="n"/>
      <c r="I267" s="39">
        <f>IF(B267="","",G267*H267)</f>
        <v/>
      </c>
      <c r="J267" s="35" t="n"/>
      <c r="K267" s="35" t="n"/>
      <c r="L267" s="35" t="n"/>
      <c r="M267" s="9">
        <f>IF(B267="","",IF(COUNTIF(Jobs!$A$5:$A$44,B267)=0,"Unknown Job ID",IF(C267="","Missing cost code",IF(COUNTIF(Settings!$E$5:$E$28,C267)=0,"Unknown cost code",IF(A267="","Missing date",IF(OR(G267="",H267=""),"Missing qty or cost",""))))))</f>
        <v/>
      </c>
      <c r="N267" s="35" t="n"/>
    </row>
    <row r="268">
      <c r="A268" s="40" t="n"/>
      <c r="B268" s="35" t="n"/>
      <c r="C268" s="35" t="n"/>
      <c r="D268" s="9">
        <f>IF(C268="","",IFERROR(VLOOKUP(C268,Settings!$E$5:$G$28,3,FALSE),"Other"))</f>
        <v/>
      </c>
      <c r="E268" s="35" t="n"/>
      <c r="F268" s="35" t="n"/>
      <c r="G268" s="35" t="n"/>
      <c r="H268" s="37" t="n"/>
      <c r="I268" s="39">
        <f>IF(B268="","",G268*H268)</f>
        <v/>
      </c>
      <c r="J268" s="35" t="n"/>
      <c r="K268" s="35" t="n"/>
      <c r="L268" s="35" t="n"/>
      <c r="M268" s="9">
        <f>IF(B268="","",IF(COUNTIF(Jobs!$A$5:$A$44,B268)=0,"Unknown Job ID",IF(C268="","Missing cost code",IF(COUNTIF(Settings!$E$5:$E$28,C268)=0,"Unknown cost code",IF(A268="","Missing date",IF(OR(G268="",H268=""),"Missing qty or cost",""))))))</f>
        <v/>
      </c>
      <c r="N268" s="35" t="n"/>
    </row>
    <row r="269">
      <c r="A269" s="40" t="n"/>
      <c r="B269" s="35" t="n"/>
      <c r="C269" s="35" t="n"/>
      <c r="D269" s="9">
        <f>IF(C269="","",IFERROR(VLOOKUP(C269,Settings!$E$5:$G$28,3,FALSE),"Other"))</f>
        <v/>
      </c>
      <c r="E269" s="35" t="n"/>
      <c r="F269" s="35" t="n"/>
      <c r="G269" s="35" t="n"/>
      <c r="H269" s="37" t="n"/>
      <c r="I269" s="39">
        <f>IF(B269="","",G269*H269)</f>
        <v/>
      </c>
      <c r="J269" s="35" t="n"/>
      <c r="K269" s="35" t="n"/>
      <c r="L269" s="35" t="n"/>
      <c r="M269" s="9">
        <f>IF(B269="","",IF(COUNTIF(Jobs!$A$5:$A$44,B269)=0,"Unknown Job ID",IF(C269="","Missing cost code",IF(COUNTIF(Settings!$E$5:$E$28,C269)=0,"Unknown cost code",IF(A269="","Missing date",IF(OR(G269="",H269=""),"Missing qty or cost",""))))))</f>
        <v/>
      </c>
      <c r="N269" s="35" t="n"/>
    </row>
    <row r="270">
      <c r="A270" s="40" t="n"/>
      <c r="B270" s="35" t="n"/>
      <c r="C270" s="35" t="n"/>
      <c r="D270" s="9">
        <f>IF(C270="","",IFERROR(VLOOKUP(C270,Settings!$E$5:$G$28,3,FALSE),"Other"))</f>
        <v/>
      </c>
      <c r="E270" s="35" t="n"/>
      <c r="F270" s="35" t="n"/>
      <c r="G270" s="35" t="n"/>
      <c r="H270" s="37" t="n"/>
      <c r="I270" s="39">
        <f>IF(B270="","",G270*H270)</f>
        <v/>
      </c>
      <c r="J270" s="35" t="n"/>
      <c r="K270" s="35" t="n"/>
      <c r="L270" s="35" t="n"/>
      <c r="M270" s="9">
        <f>IF(B270="","",IF(COUNTIF(Jobs!$A$5:$A$44,B270)=0,"Unknown Job ID",IF(C270="","Missing cost code",IF(COUNTIF(Settings!$E$5:$E$28,C270)=0,"Unknown cost code",IF(A270="","Missing date",IF(OR(G270="",H270=""),"Missing qty or cost",""))))))</f>
        <v/>
      </c>
      <c r="N270" s="35" t="n"/>
    </row>
    <row r="271">
      <c r="A271" s="40" t="n"/>
      <c r="B271" s="35" t="n"/>
      <c r="C271" s="35" t="n"/>
      <c r="D271" s="9">
        <f>IF(C271="","",IFERROR(VLOOKUP(C271,Settings!$E$5:$G$28,3,FALSE),"Other"))</f>
        <v/>
      </c>
      <c r="E271" s="35" t="n"/>
      <c r="F271" s="35" t="n"/>
      <c r="G271" s="35" t="n"/>
      <c r="H271" s="37" t="n"/>
      <c r="I271" s="39">
        <f>IF(B271="","",G271*H271)</f>
        <v/>
      </c>
      <c r="J271" s="35" t="n"/>
      <c r="K271" s="35" t="n"/>
      <c r="L271" s="35" t="n"/>
      <c r="M271" s="9">
        <f>IF(B271="","",IF(COUNTIF(Jobs!$A$5:$A$44,B271)=0,"Unknown Job ID",IF(C271="","Missing cost code",IF(COUNTIF(Settings!$E$5:$E$28,C271)=0,"Unknown cost code",IF(A271="","Missing date",IF(OR(G271="",H271=""),"Missing qty or cost",""))))))</f>
        <v/>
      </c>
      <c r="N271" s="35" t="n"/>
    </row>
    <row r="272">
      <c r="A272" s="40" t="n"/>
      <c r="B272" s="35" t="n"/>
      <c r="C272" s="35" t="n"/>
      <c r="D272" s="9">
        <f>IF(C272="","",IFERROR(VLOOKUP(C272,Settings!$E$5:$G$28,3,FALSE),"Other"))</f>
        <v/>
      </c>
      <c r="E272" s="35" t="n"/>
      <c r="F272" s="35" t="n"/>
      <c r="G272" s="35" t="n"/>
      <c r="H272" s="37" t="n"/>
      <c r="I272" s="39">
        <f>IF(B272="","",G272*H272)</f>
        <v/>
      </c>
      <c r="J272" s="35" t="n"/>
      <c r="K272" s="35" t="n"/>
      <c r="L272" s="35" t="n"/>
      <c r="M272" s="9">
        <f>IF(B272="","",IF(COUNTIF(Jobs!$A$5:$A$44,B272)=0,"Unknown Job ID",IF(C272="","Missing cost code",IF(COUNTIF(Settings!$E$5:$E$28,C272)=0,"Unknown cost code",IF(A272="","Missing date",IF(OR(G272="",H272=""),"Missing qty or cost",""))))))</f>
        <v/>
      </c>
      <c r="N272" s="35" t="n"/>
    </row>
    <row r="273">
      <c r="A273" s="40" t="n"/>
      <c r="B273" s="35" t="n"/>
      <c r="C273" s="35" t="n"/>
      <c r="D273" s="9">
        <f>IF(C273="","",IFERROR(VLOOKUP(C273,Settings!$E$5:$G$28,3,FALSE),"Other"))</f>
        <v/>
      </c>
      <c r="E273" s="35" t="n"/>
      <c r="F273" s="35" t="n"/>
      <c r="G273" s="35" t="n"/>
      <c r="H273" s="37" t="n"/>
      <c r="I273" s="39">
        <f>IF(B273="","",G273*H273)</f>
        <v/>
      </c>
      <c r="J273" s="35" t="n"/>
      <c r="K273" s="35" t="n"/>
      <c r="L273" s="35" t="n"/>
      <c r="M273" s="9">
        <f>IF(B273="","",IF(COUNTIF(Jobs!$A$5:$A$44,B273)=0,"Unknown Job ID",IF(C273="","Missing cost code",IF(COUNTIF(Settings!$E$5:$E$28,C273)=0,"Unknown cost code",IF(A273="","Missing date",IF(OR(G273="",H273=""),"Missing qty or cost",""))))))</f>
        <v/>
      </c>
      <c r="N273" s="35" t="n"/>
    </row>
    <row r="274">
      <c r="A274" s="40" t="n"/>
      <c r="B274" s="35" t="n"/>
      <c r="C274" s="35" t="n"/>
      <c r="D274" s="9">
        <f>IF(C274="","",IFERROR(VLOOKUP(C274,Settings!$E$5:$G$28,3,FALSE),"Other"))</f>
        <v/>
      </c>
      <c r="E274" s="35" t="n"/>
      <c r="F274" s="35" t="n"/>
      <c r="G274" s="35" t="n"/>
      <c r="H274" s="37" t="n"/>
      <c r="I274" s="39">
        <f>IF(B274="","",G274*H274)</f>
        <v/>
      </c>
      <c r="J274" s="35" t="n"/>
      <c r="K274" s="35" t="n"/>
      <c r="L274" s="35" t="n"/>
      <c r="M274" s="9">
        <f>IF(B274="","",IF(COUNTIF(Jobs!$A$5:$A$44,B274)=0,"Unknown Job ID",IF(C274="","Missing cost code",IF(COUNTIF(Settings!$E$5:$E$28,C274)=0,"Unknown cost code",IF(A274="","Missing date",IF(OR(G274="",H274=""),"Missing qty or cost",""))))))</f>
        <v/>
      </c>
      <c r="N274" s="35" t="n"/>
    </row>
    <row r="275">
      <c r="A275" s="40" t="n"/>
      <c r="B275" s="35" t="n"/>
      <c r="C275" s="35" t="n"/>
      <c r="D275" s="9">
        <f>IF(C275="","",IFERROR(VLOOKUP(C275,Settings!$E$5:$G$28,3,FALSE),"Other"))</f>
        <v/>
      </c>
      <c r="E275" s="35" t="n"/>
      <c r="F275" s="35" t="n"/>
      <c r="G275" s="35" t="n"/>
      <c r="H275" s="37" t="n"/>
      <c r="I275" s="39">
        <f>IF(B275="","",G275*H275)</f>
        <v/>
      </c>
      <c r="J275" s="35" t="n"/>
      <c r="K275" s="35" t="n"/>
      <c r="L275" s="35" t="n"/>
      <c r="M275" s="9">
        <f>IF(B275="","",IF(COUNTIF(Jobs!$A$5:$A$44,B275)=0,"Unknown Job ID",IF(C275="","Missing cost code",IF(COUNTIF(Settings!$E$5:$E$28,C275)=0,"Unknown cost code",IF(A275="","Missing date",IF(OR(G275="",H275=""),"Missing qty or cost",""))))))</f>
        <v/>
      </c>
      <c r="N275" s="35" t="n"/>
    </row>
    <row r="276">
      <c r="A276" s="40" t="n"/>
      <c r="B276" s="35" t="n"/>
      <c r="C276" s="35" t="n"/>
      <c r="D276" s="9">
        <f>IF(C276="","",IFERROR(VLOOKUP(C276,Settings!$E$5:$G$28,3,FALSE),"Other"))</f>
        <v/>
      </c>
      <c r="E276" s="35" t="n"/>
      <c r="F276" s="35" t="n"/>
      <c r="G276" s="35" t="n"/>
      <c r="H276" s="37" t="n"/>
      <c r="I276" s="39">
        <f>IF(B276="","",G276*H276)</f>
        <v/>
      </c>
      <c r="J276" s="35" t="n"/>
      <c r="K276" s="35" t="n"/>
      <c r="L276" s="35" t="n"/>
      <c r="M276" s="9">
        <f>IF(B276="","",IF(COUNTIF(Jobs!$A$5:$A$44,B276)=0,"Unknown Job ID",IF(C276="","Missing cost code",IF(COUNTIF(Settings!$E$5:$E$28,C276)=0,"Unknown cost code",IF(A276="","Missing date",IF(OR(G276="",H276=""),"Missing qty or cost",""))))))</f>
        <v/>
      </c>
      <c r="N276" s="35" t="n"/>
    </row>
    <row r="277">
      <c r="A277" s="40" t="n"/>
      <c r="B277" s="35" t="n"/>
      <c r="C277" s="35" t="n"/>
      <c r="D277" s="9">
        <f>IF(C277="","",IFERROR(VLOOKUP(C277,Settings!$E$5:$G$28,3,FALSE),"Other"))</f>
        <v/>
      </c>
      <c r="E277" s="35" t="n"/>
      <c r="F277" s="35" t="n"/>
      <c r="G277" s="35" t="n"/>
      <c r="H277" s="37" t="n"/>
      <c r="I277" s="39">
        <f>IF(B277="","",G277*H277)</f>
        <v/>
      </c>
      <c r="J277" s="35" t="n"/>
      <c r="K277" s="35" t="n"/>
      <c r="L277" s="35" t="n"/>
      <c r="M277" s="9">
        <f>IF(B277="","",IF(COUNTIF(Jobs!$A$5:$A$44,B277)=0,"Unknown Job ID",IF(C277="","Missing cost code",IF(COUNTIF(Settings!$E$5:$E$28,C277)=0,"Unknown cost code",IF(A277="","Missing date",IF(OR(G277="",H277=""),"Missing qty or cost",""))))))</f>
        <v/>
      </c>
      <c r="N277" s="35" t="n"/>
    </row>
    <row r="278">
      <c r="A278" s="40" t="n"/>
      <c r="B278" s="35" t="n"/>
      <c r="C278" s="35" t="n"/>
      <c r="D278" s="9">
        <f>IF(C278="","",IFERROR(VLOOKUP(C278,Settings!$E$5:$G$28,3,FALSE),"Other"))</f>
        <v/>
      </c>
      <c r="E278" s="35" t="n"/>
      <c r="F278" s="35" t="n"/>
      <c r="G278" s="35" t="n"/>
      <c r="H278" s="37" t="n"/>
      <c r="I278" s="39">
        <f>IF(B278="","",G278*H278)</f>
        <v/>
      </c>
      <c r="J278" s="35" t="n"/>
      <c r="K278" s="35" t="n"/>
      <c r="L278" s="35" t="n"/>
      <c r="M278" s="9">
        <f>IF(B278="","",IF(COUNTIF(Jobs!$A$5:$A$44,B278)=0,"Unknown Job ID",IF(C278="","Missing cost code",IF(COUNTIF(Settings!$E$5:$E$28,C278)=0,"Unknown cost code",IF(A278="","Missing date",IF(OR(G278="",H278=""),"Missing qty or cost",""))))))</f>
        <v/>
      </c>
      <c r="N278" s="35" t="n"/>
    </row>
    <row r="279">
      <c r="A279" s="40" t="n"/>
      <c r="B279" s="35" t="n"/>
      <c r="C279" s="35" t="n"/>
      <c r="D279" s="9">
        <f>IF(C279="","",IFERROR(VLOOKUP(C279,Settings!$E$5:$G$28,3,FALSE),"Other"))</f>
        <v/>
      </c>
      <c r="E279" s="35" t="n"/>
      <c r="F279" s="35" t="n"/>
      <c r="G279" s="35" t="n"/>
      <c r="H279" s="37" t="n"/>
      <c r="I279" s="39">
        <f>IF(B279="","",G279*H279)</f>
        <v/>
      </c>
      <c r="J279" s="35" t="n"/>
      <c r="K279" s="35" t="n"/>
      <c r="L279" s="35" t="n"/>
      <c r="M279" s="9">
        <f>IF(B279="","",IF(COUNTIF(Jobs!$A$5:$A$44,B279)=0,"Unknown Job ID",IF(C279="","Missing cost code",IF(COUNTIF(Settings!$E$5:$E$28,C279)=0,"Unknown cost code",IF(A279="","Missing date",IF(OR(G279="",H279=""),"Missing qty or cost",""))))))</f>
        <v/>
      </c>
      <c r="N279" s="35" t="n"/>
    </row>
    <row r="280">
      <c r="A280" s="40" t="n"/>
      <c r="B280" s="35" t="n"/>
      <c r="C280" s="35" t="n"/>
      <c r="D280" s="9">
        <f>IF(C280="","",IFERROR(VLOOKUP(C280,Settings!$E$5:$G$28,3,FALSE),"Other"))</f>
        <v/>
      </c>
      <c r="E280" s="35" t="n"/>
      <c r="F280" s="35" t="n"/>
      <c r="G280" s="35" t="n"/>
      <c r="H280" s="37" t="n"/>
      <c r="I280" s="39">
        <f>IF(B280="","",G280*H280)</f>
        <v/>
      </c>
      <c r="J280" s="35" t="n"/>
      <c r="K280" s="35" t="n"/>
      <c r="L280" s="35" t="n"/>
      <c r="M280" s="9">
        <f>IF(B280="","",IF(COUNTIF(Jobs!$A$5:$A$44,B280)=0,"Unknown Job ID",IF(C280="","Missing cost code",IF(COUNTIF(Settings!$E$5:$E$28,C280)=0,"Unknown cost code",IF(A280="","Missing date",IF(OR(G280="",H280=""),"Missing qty or cost",""))))))</f>
        <v/>
      </c>
      <c r="N280" s="35" t="n"/>
    </row>
    <row r="281">
      <c r="A281" s="40" t="n"/>
      <c r="B281" s="35" t="n"/>
      <c r="C281" s="35" t="n"/>
      <c r="D281" s="9">
        <f>IF(C281="","",IFERROR(VLOOKUP(C281,Settings!$E$5:$G$28,3,FALSE),"Other"))</f>
        <v/>
      </c>
      <c r="E281" s="35" t="n"/>
      <c r="F281" s="35" t="n"/>
      <c r="G281" s="35" t="n"/>
      <c r="H281" s="37" t="n"/>
      <c r="I281" s="39">
        <f>IF(B281="","",G281*H281)</f>
        <v/>
      </c>
      <c r="J281" s="35" t="n"/>
      <c r="K281" s="35" t="n"/>
      <c r="L281" s="35" t="n"/>
      <c r="M281" s="9">
        <f>IF(B281="","",IF(COUNTIF(Jobs!$A$5:$A$44,B281)=0,"Unknown Job ID",IF(C281="","Missing cost code",IF(COUNTIF(Settings!$E$5:$E$28,C281)=0,"Unknown cost code",IF(A281="","Missing date",IF(OR(G281="",H281=""),"Missing qty or cost",""))))))</f>
        <v/>
      </c>
      <c r="N281" s="35" t="n"/>
    </row>
    <row r="282">
      <c r="A282" s="40" t="n"/>
      <c r="B282" s="35" t="n"/>
      <c r="C282" s="35" t="n"/>
      <c r="D282" s="9">
        <f>IF(C282="","",IFERROR(VLOOKUP(C282,Settings!$E$5:$G$28,3,FALSE),"Other"))</f>
        <v/>
      </c>
      <c r="E282" s="35" t="n"/>
      <c r="F282" s="35" t="n"/>
      <c r="G282" s="35" t="n"/>
      <c r="H282" s="37" t="n"/>
      <c r="I282" s="39">
        <f>IF(B282="","",G282*H282)</f>
        <v/>
      </c>
      <c r="J282" s="35" t="n"/>
      <c r="K282" s="35" t="n"/>
      <c r="L282" s="35" t="n"/>
      <c r="M282" s="9">
        <f>IF(B282="","",IF(COUNTIF(Jobs!$A$5:$A$44,B282)=0,"Unknown Job ID",IF(C282="","Missing cost code",IF(COUNTIF(Settings!$E$5:$E$28,C282)=0,"Unknown cost code",IF(A282="","Missing date",IF(OR(G282="",H282=""),"Missing qty or cost",""))))))</f>
        <v/>
      </c>
      <c r="N282" s="35" t="n"/>
    </row>
    <row r="283">
      <c r="A283" s="40" t="n"/>
      <c r="B283" s="35" t="n"/>
      <c r="C283" s="35" t="n"/>
      <c r="D283" s="9">
        <f>IF(C283="","",IFERROR(VLOOKUP(C283,Settings!$E$5:$G$28,3,FALSE),"Other"))</f>
        <v/>
      </c>
      <c r="E283" s="35" t="n"/>
      <c r="F283" s="35" t="n"/>
      <c r="G283" s="35" t="n"/>
      <c r="H283" s="37" t="n"/>
      <c r="I283" s="39">
        <f>IF(B283="","",G283*H283)</f>
        <v/>
      </c>
      <c r="J283" s="35" t="n"/>
      <c r="K283" s="35" t="n"/>
      <c r="L283" s="35" t="n"/>
      <c r="M283" s="9">
        <f>IF(B283="","",IF(COUNTIF(Jobs!$A$5:$A$44,B283)=0,"Unknown Job ID",IF(C283="","Missing cost code",IF(COUNTIF(Settings!$E$5:$E$28,C283)=0,"Unknown cost code",IF(A283="","Missing date",IF(OR(G283="",H283=""),"Missing qty or cost",""))))))</f>
        <v/>
      </c>
      <c r="N283" s="35" t="n"/>
    </row>
    <row r="284">
      <c r="A284" s="40" t="n"/>
      <c r="B284" s="35" t="n"/>
      <c r="C284" s="35" t="n"/>
      <c r="D284" s="9">
        <f>IF(C284="","",IFERROR(VLOOKUP(C284,Settings!$E$5:$G$28,3,FALSE),"Other"))</f>
        <v/>
      </c>
      <c r="E284" s="35" t="n"/>
      <c r="F284" s="35" t="n"/>
      <c r="G284" s="35" t="n"/>
      <c r="H284" s="37" t="n"/>
      <c r="I284" s="39">
        <f>IF(B284="","",G284*H284)</f>
        <v/>
      </c>
      <c r="J284" s="35" t="n"/>
      <c r="K284" s="35" t="n"/>
      <c r="L284" s="35" t="n"/>
      <c r="M284" s="9">
        <f>IF(B284="","",IF(COUNTIF(Jobs!$A$5:$A$44,B284)=0,"Unknown Job ID",IF(C284="","Missing cost code",IF(COUNTIF(Settings!$E$5:$E$28,C284)=0,"Unknown cost code",IF(A284="","Missing date",IF(OR(G284="",H284=""),"Missing qty or cost",""))))))</f>
        <v/>
      </c>
      <c r="N284" s="35" t="n"/>
    </row>
    <row r="285">
      <c r="A285" s="40" t="n"/>
      <c r="B285" s="35" t="n"/>
      <c r="C285" s="35" t="n"/>
      <c r="D285" s="9">
        <f>IF(C285="","",IFERROR(VLOOKUP(C285,Settings!$E$5:$G$28,3,FALSE),"Other"))</f>
        <v/>
      </c>
      <c r="E285" s="35" t="n"/>
      <c r="F285" s="35" t="n"/>
      <c r="G285" s="35" t="n"/>
      <c r="H285" s="37" t="n"/>
      <c r="I285" s="39">
        <f>IF(B285="","",G285*H285)</f>
        <v/>
      </c>
      <c r="J285" s="35" t="n"/>
      <c r="K285" s="35" t="n"/>
      <c r="L285" s="35" t="n"/>
      <c r="M285" s="9">
        <f>IF(B285="","",IF(COUNTIF(Jobs!$A$5:$A$44,B285)=0,"Unknown Job ID",IF(C285="","Missing cost code",IF(COUNTIF(Settings!$E$5:$E$28,C285)=0,"Unknown cost code",IF(A285="","Missing date",IF(OR(G285="",H285=""),"Missing qty or cost",""))))))</f>
        <v/>
      </c>
      <c r="N285" s="35" t="n"/>
    </row>
    <row r="286">
      <c r="A286" s="40" t="n"/>
      <c r="B286" s="35" t="n"/>
      <c r="C286" s="35" t="n"/>
      <c r="D286" s="9">
        <f>IF(C286="","",IFERROR(VLOOKUP(C286,Settings!$E$5:$G$28,3,FALSE),"Other"))</f>
        <v/>
      </c>
      <c r="E286" s="35" t="n"/>
      <c r="F286" s="35" t="n"/>
      <c r="G286" s="35" t="n"/>
      <c r="H286" s="37" t="n"/>
      <c r="I286" s="39">
        <f>IF(B286="","",G286*H286)</f>
        <v/>
      </c>
      <c r="J286" s="35" t="n"/>
      <c r="K286" s="35" t="n"/>
      <c r="L286" s="35" t="n"/>
      <c r="M286" s="9">
        <f>IF(B286="","",IF(COUNTIF(Jobs!$A$5:$A$44,B286)=0,"Unknown Job ID",IF(C286="","Missing cost code",IF(COUNTIF(Settings!$E$5:$E$28,C286)=0,"Unknown cost code",IF(A286="","Missing date",IF(OR(G286="",H286=""),"Missing qty or cost",""))))))</f>
        <v/>
      </c>
      <c r="N286" s="35" t="n"/>
    </row>
    <row r="287">
      <c r="A287" s="40" t="n"/>
      <c r="B287" s="35" t="n"/>
      <c r="C287" s="35" t="n"/>
      <c r="D287" s="9">
        <f>IF(C287="","",IFERROR(VLOOKUP(C287,Settings!$E$5:$G$28,3,FALSE),"Other"))</f>
        <v/>
      </c>
      <c r="E287" s="35" t="n"/>
      <c r="F287" s="35" t="n"/>
      <c r="G287" s="35" t="n"/>
      <c r="H287" s="37" t="n"/>
      <c r="I287" s="39">
        <f>IF(B287="","",G287*H287)</f>
        <v/>
      </c>
      <c r="J287" s="35" t="n"/>
      <c r="K287" s="35" t="n"/>
      <c r="L287" s="35" t="n"/>
      <c r="M287" s="9">
        <f>IF(B287="","",IF(COUNTIF(Jobs!$A$5:$A$44,B287)=0,"Unknown Job ID",IF(C287="","Missing cost code",IF(COUNTIF(Settings!$E$5:$E$28,C287)=0,"Unknown cost code",IF(A287="","Missing date",IF(OR(G287="",H287=""),"Missing qty or cost",""))))))</f>
        <v/>
      </c>
      <c r="N287" s="35" t="n"/>
    </row>
    <row r="288">
      <c r="A288" s="40" t="n"/>
      <c r="B288" s="35" t="n"/>
      <c r="C288" s="35" t="n"/>
      <c r="D288" s="9">
        <f>IF(C288="","",IFERROR(VLOOKUP(C288,Settings!$E$5:$G$28,3,FALSE),"Other"))</f>
        <v/>
      </c>
      <c r="E288" s="35" t="n"/>
      <c r="F288" s="35" t="n"/>
      <c r="G288" s="35" t="n"/>
      <c r="H288" s="37" t="n"/>
      <c r="I288" s="39">
        <f>IF(B288="","",G288*H288)</f>
        <v/>
      </c>
      <c r="J288" s="35" t="n"/>
      <c r="K288" s="35" t="n"/>
      <c r="L288" s="35" t="n"/>
      <c r="M288" s="9">
        <f>IF(B288="","",IF(COUNTIF(Jobs!$A$5:$A$44,B288)=0,"Unknown Job ID",IF(C288="","Missing cost code",IF(COUNTIF(Settings!$E$5:$E$28,C288)=0,"Unknown cost code",IF(A288="","Missing date",IF(OR(G288="",H288=""),"Missing qty or cost",""))))))</f>
        <v/>
      </c>
      <c r="N288" s="35" t="n"/>
    </row>
    <row r="289">
      <c r="A289" s="40" t="n"/>
      <c r="B289" s="35" t="n"/>
      <c r="C289" s="35" t="n"/>
      <c r="D289" s="9">
        <f>IF(C289="","",IFERROR(VLOOKUP(C289,Settings!$E$5:$G$28,3,FALSE),"Other"))</f>
        <v/>
      </c>
      <c r="E289" s="35" t="n"/>
      <c r="F289" s="35" t="n"/>
      <c r="G289" s="35" t="n"/>
      <c r="H289" s="37" t="n"/>
      <c r="I289" s="39">
        <f>IF(B289="","",G289*H289)</f>
        <v/>
      </c>
      <c r="J289" s="35" t="n"/>
      <c r="K289" s="35" t="n"/>
      <c r="L289" s="35" t="n"/>
      <c r="M289" s="9">
        <f>IF(B289="","",IF(COUNTIF(Jobs!$A$5:$A$44,B289)=0,"Unknown Job ID",IF(C289="","Missing cost code",IF(COUNTIF(Settings!$E$5:$E$28,C289)=0,"Unknown cost code",IF(A289="","Missing date",IF(OR(G289="",H289=""),"Missing qty or cost",""))))))</f>
        <v/>
      </c>
      <c r="N289" s="35" t="n"/>
    </row>
    <row r="290">
      <c r="A290" s="40" t="n"/>
      <c r="B290" s="35" t="n"/>
      <c r="C290" s="35" t="n"/>
      <c r="D290" s="9">
        <f>IF(C290="","",IFERROR(VLOOKUP(C290,Settings!$E$5:$G$28,3,FALSE),"Other"))</f>
        <v/>
      </c>
      <c r="E290" s="35" t="n"/>
      <c r="F290" s="35" t="n"/>
      <c r="G290" s="35" t="n"/>
      <c r="H290" s="37" t="n"/>
      <c r="I290" s="39">
        <f>IF(B290="","",G290*H290)</f>
        <v/>
      </c>
      <c r="J290" s="35" t="n"/>
      <c r="K290" s="35" t="n"/>
      <c r="L290" s="35" t="n"/>
      <c r="M290" s="9">
        <f>IF(B290="","",IF(COUNTIF(Jobs!$A$5:$A$44,B290)=0,"Unknown Job ID",IF(C290="","Missing cost code",IF(COUNTIF(Settings!$E$5:$E$28,C290)=0,"Unknown cost code",IF(A290="","Missing date",IF(OR(G290="",H290=""),"Missing qty or cost",""))))))</f>
        <v/>
      </c>
      <c r="N290" s="35" t="n"/>
    </row>
    <row r="291">
      <c r="A291" s="40" t="n"/>
      <c r="B291" s="35" t="n"/>
      <c r="C291" s="35" t="n"/>
      <c r="D291" s="9">
        <f>IF(C291="","",IFERROR(VLOOKUP(C291,Settings!$E$5:$G$28,3,FALSE),"Other"))</f>
        <v/>
      </c>
      <c r="E291" s="35" t="n"/>
      <c r="F291" s="35" t="n"/>
      <c r="G291" s="35" t="n"/>
      <c r="H291" s="37" t="n"/>
      <c r="I291" s="39">
        <f>IF(B291="","",G291*H291)</f>
        <v/>
      </c>
      <c r="J291" s="35" t="n"/>
      <c r="K291" s="35" t="n"/>
      <c r="L291" s="35" t="n"/>
      <c r="M291" s="9">
        <f>IF(B291="","",IF(COUNTIF(Jobs!$A$5:$A$44,B291)=0,"Unknown Job ID",IF(C291="","Missing cost code",IF(COUNTIF(Settings!$E$5:$E$28,C291)=0,"Unknown cost code",IF(A291="","Missing date",IF(OR(G291="",H291=""),"Missing qty or cost",""))))))</f>
        <v/>
      </c>
      <c r="N291" s="35" t="n"/>
    </row>
    <row r="292">
      <c r="A292" s="40" t="n"/>
      <c r="B292" s="35" t="n"/>
      <c r="C292" s="35" t="n"/>
      <c r="D292" s="9">
        <f>IF(C292="","",IFERROR(VLOOKUP(C292,Settings!$E$5:$G$28,3,FALSE),"Other"))</f>
        <v/>
      </c>
      <c r="E292" s="35" t="n"/>
      <c r="F292" s="35" t="n"/>
      <c r="G292" s="35" t="n"/>
      <c r="H292" s="37" t="n"/>
      <c r="I292" s="39">
        <f>IF(B292="","",G292*H292)</f>
        <v/>
      </c>
      <c r="J292" s="35" t="n"/>
      <c r="K292" s="35" t="n"/>
      <c r="L292" s="35" t="n"/>
      <c r="M292" s="9">
        <f>IF(B292="","",IF(COUNTIF(Jobs!$A$5:$A$44,B292)=0,"Unknown Job ID",IF(C292="","Missing cost code",IF(COUNTIF(Settings!$E$5:$E$28,C292)=0,"Unknown cost code",IF(A292="","Missing date",IF(OR(G292="",H292=""),"Missing qty or cost",""))))))</f>
        <v/>
      </c>
      <c r="N292" s="35" t="n"/>
    </row>
    <row r="293">
      <c r="A293" s="40" t="n"/>
      <c r="B293" s="35" t="n"/>
      <c r="C293" s="35" t="n"/>
      <c r="D293" s="9">
        <f>IF(C293="","",IFERROR(VLOOKUP(C293,Settings!$E$5:$G$28,3,FALSE),"Other"))</f>
        <v/>
      </c>
      <c r="E293" s="35" t="n"/>
      <c r="F293" s="35" t="n"/>
      <c r="G293" s="35" t="n"/>
      <c r="H293" s="37" t="n"/>
      <c r="I293" s="39">
        <f>IF(B293="","",G293*H293)</f>
        <v/>
      </c>
      <c r="J293" s="35" t="n"/>
      <c r="K293" s="35" t="n"/>
      <c r="L293" s="35" t="n"/>
      <c r="M293" s="9">
        <f>IF(B293="","",IF(COUNTIF(Jobs!$A$5:$A$44,B293)=0,"Unknown Job ID",IF(C293="","Missing cost code",IF(COUNTIF(Settings!$E$5:$E$28,C293)=0,"Unknown cost code",IF(A293="","Missing date",IF(OR(G293="",H293=""),"Missing qty or cost",""))))))</f>
        <v/>
      </c>
      <c r="N293" s="35" t="n"/>
    </row>
    <row r="294">
      <c r="A294" s="40" t="n"/>
      <c r="B294" s="35" t="n"/>
      <c r="C294" s="35" t="n"/>
      <c r="D294" s="9">
        <f>IF(C294="","",IFERROR(VLOOKUP(C294,Settings!$E$5:$G$28,3,FALSE),"Other"))</f>
        <v/>
      </c>
      <c r="E294" s="35" t="n"/>
      <c r="F294" s="35" t="n"/>
      <c r="G294" s="35" t="n"/>
      <c r="H294" s="37" t="n"/>
      <c r="I294" s="39">
        <f>IF(B294="","",G294*H294)</f>
        <v/>
      </c>
      <c r="J294" s="35" t="n"/>
      <c r="K294" s="35" t="n"/>
      <c r="L294" s="35" t="n"/>
      <c r="M294" s="9">
        <f>IF(B294="","",IF(COUNTIF(Jobs!$A$5:$A$44,B294)=0,"Unknown Job ID",IF(C294="","Missing cost code",IF(COUNTIF(Settings!$E$5:$E$28,C294)=0,"Unknown cost code",IF(A294="","Missing date",IF(OR(G294="",H294=""),"Missing qty or cost",""))))))</f>
        <v/>
      </c>
      <c r="N294" s="35" t="n"/>
    </row>
    <row r="295">
      <c r="A295" s="40" t="n"/>
      <c r="B295" s="35" t="n"/>
      <c r="C295" s="35" t="n"/>
      <c r="D295" s="9">
        <f>IF(C295="","",IFERROR(VLOOKUP(C295,Settings!$E$5:$G$28,3,FALSE),"Other"))</f>
        <v/>
      </c>
      <c r="E295" s="35" t="n"/>
      <c r="F295" s="35" t="n"/>
      <c r="G295" s="35" t="n"/>
      <c r="H295" s="37" t="n"/>
      <c r="I295" s="39">
        <f>IF(B295="","",G295*H295)</f>
        <v/>
      </c>
      <c r="J295" s="35" t="n"/>
      <c r="K295" s="35" t="n"/>
      <c r="L295" s="35" t="n"/>
      <c r="M295" s="9">
        <f>IF(B295="","",IF(COUNTIF(Jobs!$A$5:$A$44,B295)=0,"Unknown Job ID",IF(C295="","Missing cost code",IF(COUNTIF(Settings!$E$5:$E$28,C295)=0,"Unknown cost code",IF(A295="","Missing date",IF(OR(G295="",H295=""),"Missing qty or cost",""))))))</f>
        <v/>
      </c>
      <c r="N295" s="35" t="n"/>
    </row>
    <row r="296">
      <c r="A296" s="40" t="n"/>
      <c r="B296" s="35" t="n"/>
      <c r="C296" s="35" t="n"/>
      <c r="D296" s="9">
        <f>IF(C296="","",IFERROR(VLOOKUP(C296,Settings!$E$5:$G$28,3,FALSE),"Other"))</f>
        <v/>
      </c>
      <c r="E296" s="35" t="n"/>
      <c r="F296" s="35" t="n"/>
      <c r="G296" s="35" t="n"/>
      <c r="H296" s="37" t="n"/>
      <c r="I296" s="39">
        <f>IF(B296="","",G296*H296)</f>
        <v/>
      </c>
      <c r="J296" s="35" t="n"/>
      <c r="K296" s="35" t="n"/>
      <c r="L296" s="35" t="n"/>
      <c r="M296" s="9">
        <f>IF(B296="","",IF(COUNTIF(Jobs!$A$5:$A$44,B296)=0,"Unknown Job ID",IF(C296="","Missing cost code",IF(COUNTIF(Settings!$E$5:$E$28,C296)=0,"Unknown cost code",IF(A296="","Missing date",IF(OR(G296="",H296=""),"Missing qty or cost",""))))))</f>
        <v/>
      </c>
      <c r="N296" s="35" t="n"/>
    </row>
    <row r="297">
      <c r="A297" s="40" t="n"/>
      <c r="B297" s="35" t="n"/>
      <c r="C297" s="35" t="n"/>
      <c r="D297" s="9">
        <f>IF(C297="","",IFERROR(VLOOKUP(C297,Settings!$E$5:$G$28,3,FALSE),"Other"))</f>
        <v/>
      </c>
      <c r="E297" s="35" t="n"/>
      <c r="F297" s="35" t="n"/>
      <c r="G297" s="35" t="n"/>
      <c r="H297" s="37" t="n"/>
      <c r="I297" s="39">
        <f>IF(B297="","",G297*H297)</f>
        <v/>
      </c>
      <c r="J297" s="35" t="n"/>
      <c r="K297" s="35" t="n"/>
      <c r="L297" s="35" t="n"/>
      <c r="M297" s="9">
        <f>IF(B297="","",IF(COUNTIF(Jobs!$A$5:$A$44,B297)=0,"Unknown Job ID",IF(C297="","Missing cost code",IF(COUNTIF(Settings!$E$5:$E$28,C297)=0,"Unknown cost code",IF(A297="","Missing date",IF(OR(G297="",H297=""),"Missing qty or cost",""))))))</f>
        <v/>
      </c>
      <c r="N297" s="35" t="n"/>
    </row>
    <row r="298">
      <c r="A298" s="40" t="n"/>
      <c r="B298" s="35" t="n"/>
      <c r="C298" s="35" t="n"/>
      <c r="D298" s="9">
        <f>IF(C298="","",IFERROR(VLOOKUP(C298,Settings!$E$5:$G$28,3,FALSE),"Other"))</f>
        <v/>
      </c>
      <c r="E298" s="35" t="n"/>
      <c r="F298" s="35" t="n"/>
      <c r="G298" s="35" t="n"/>
      <c r="H298" s="37" t="n"/>
      <c r="I298" s="39">
        <f>IF(B298="","",G298*H298)</f>
        <v/>
      </c>
      <c r="J298" s="35" t="n"/>
      <c r="K298" s="35" t="n"/>
      <c r="L298" s="35" t="n"/>
      <c r="M298" s="9">
        <f>IF(B298="","",IF(COUNTIF(Jobs!$A$5:$A$44,B298)=0,"Unknown Job ID",IF(C298="","Missing cost code",IF(COUNTIF(Settings!$E$5:$E$28,C298)=0,"Unknown cost code",IF(A298="","Missing date",IF(OR(G298="",H298=""),"Missing qty or cost",""))))))</f>
        <v/>
      </c>
      <c r="N298" s="35" t="n"/>
    </row>
    <row r="299">
      <c r="A299" s="40" t="n"/>
      <c r="B299" s="35" t="n"/>
      <c r="C299" s="35" t="n"/>
      <c r="D299" s="9">
        <f>IF(C299="","",IFERROR(VLOOKUP(C299,Settings!$E$5:$G$28,3,FALSE),"Other"))</f>
        <v/>
      </c>
      <c r="E299" s="35" t="n"/>
      <c r="F299" s="35" t="n"/>
      <c r="G299" s="35" t="n"/>
      <c r="H299" s="37" t="n"/>
      <c r="I299" s="39">
        <f>IF(B299="","",G299*H299)</f>
        <v/>
      </c>
      <c r="J299" s="35" t="n"/>
      <c r="K299" s="35" t="n"/>
      <c r="L299" s="35" t="n"/>
      <c r="M299" s="9">
        <f>IF(B299="","",IF(COUNTIF(Jobs!$A$5:$A$44,B299)=0,"Unknown Job ID",IF(C299="","Missing cost code",IF(COUNTIF(Settings!$E$5:$E$28,C299)=0,"Unknown cost code",IF(A299="","Missing date",IF(OR(G299="",H299=""),"Missing qty or cost",""))))))</f>
        <v/>
      </c>
      <c r="N299" s="35" t="n"/>
    </row>
    <row r="300">
      <c r="A300" s="40" t="n"/>
      <c r="B300" s="35" t="n"/>
      <c r="C300" s="35" t="n"/>
      <c r="D300" s="9">
        <f>IF(C300="","",IFERROR(VLOOKUP(C300,Settings!$E$5:$G$28,3,FALSE),"Other"))</f>
        <v/>
      </c>
      <c r="E300" s="35" t="n"/>
      <c r="F300" s="35" t="n"/>
      <c r="G300" s="35" t="n"/>
      <c r="H300" s="37" t="n"/>
      <c r="I300" s="39">
        <f>IF(B300="","",G300*H300)</f>
        <v/>
      </c>
      <c r="J300" s="35" t="n"/>
      <c r="K300" s="35" t="n"/>
      <c r="L300" s="35" t="n"/>
      <c r="M300" s="9">
        <f>IF(B300="","",IF(COUNTIF(Jobs!$A$5:$A$44,B300)=0,"Unknown Job ID",IF(C300="","Missing cost code",IF(COUNTIF(Settings!$E$5:$E$28,C300)=0,"Unknown cost code",IF(A300="","Missing date",IF(OR(G300="",H300=""),"Missing qty or cost",""))))))</f>
        <v/>
      </c>
      <c r="N300" s="35" t="n"/>
    </row>
    <row r="301">
      <c r="A301" s="40" t="n"/>
      <c r="B301" s="35" t="n"/>
      <c r="C301" s="35" t="n"/>
      <c r="D301" s="9">
        <f>IF(C301="","",IFERROR(VLOOKUP(C301,Settings!$E$5:$G$28,3,FALSE),"Other"))</f>
        <v/>
      </c>
      <c r="E301" s="35" t="n"/>
      <c r="F301" s="35" t="n"/>
      <c r="G301" s="35" t="n"/>
      <c r="H301" s="37" t="n"/>
      <c r="I301" s="39">
        <f>IF(B301="","",G301*H301)</f>
        <v/>
      </c>
      <c r="J301" s="35" t="n"/>
      <c r="K301" s="35" t="n"/>
      <c r="L301" s="35" t="n"/>
      <c r="M301" s="9">
        <f>IF(B301="","",IF(COUNTIF(Jobs!$A$5:$A$44,B301)=0,"Unknown Job ID",IF(C301="","Missing cost code",IF(COUNTIF(Settings!$E$5:$E$28,C301)=0,"Unknown cost code",IF(A301="","Missing date",IF(OR(G301="",H301=""),"Missing qty or cost",""))))))</f>
        <v/>
      </c>
      <c r="N301" s="35" t="n"/>
    </row>
    <row r="302">
      <c r="A302" s="40" t="n"/>
      <c r="B302" s="35" t="n"/>
      <c r="C302" s="35" t="n"/>
      <c r="D302" s="9">
        <f>IF(C302="","",IFERROR(VLOOKUP(C302,Settings!$E$5:$G$28,3,FALSE),"Other"))</f>
        <v/>
      </c>
      <c r="E302" s="35" t="n"/>
      <c r="F302" s="35" t="n"/>
      <c r="G302" s="35" t="n"/>
      <c r="H302" s="37" t="n"/>
      <c r="I302" s="39">
        <f>IF(B302="","",G302*H302)</f>
        <v/>
      </c>
      <c r="J302" s="35" t="n"/>
      <c r="K302" s="35" t="n"/>
      <c r="L302" s="35" t="n"/>
      <c r="M302" s="9">
        <f>IF(B302="","",IF(COUNTIF(Jobs!$A$5:$A$44,B302)=0,"Unknown Job ID",IF(C302="","Missing cost code",IF(COUNTIF(Settings!$E$5:$E$28,C302)=0,"Unknown cost code",IF(A302="","Missing date",IF(OR(G302="",H302=""),"Missing qty or cost",""))))))</f>
        <v/>
      </c>
      <c r="N302" s="35" t="n"/>
    </row>
    <row r="303">
      <c r="A303" s="40" t="n"/>
      <c r="B303" s="35" t="n"/>
      <c r="C303" s="35" t="n"/>
      <c r="D303" s="9">
        <f>IF(C303="","",IFERROR(VLOOKUP(C303,Settings!$E$5:$G$28,3,FALSE),"Other"))</f>
        <v/>
      </c>
      <c r="E303" s="35" t="n"/>
      <c r="F303" s="35" t="n"/>
      <c r="G303" s="35" t="n"/>
      <c r="H303" s="37" t="n"/>
      <c r="I303" s="39">
        <f>IF(B303="","",G303*H303)</f>
        <v/>
      </c>
      <c r="J303" s="35" t="n"/>
      <c r="K303" s="35" t="n"/>
      <c r="L303" s="35" t="n"/>
      <c r="M303" s="9">
        <f>IF(B303="","",IF(COUNTIF(Jobs!$A$5:$A$44,B303)=0,"Unknown Job ID",IF(C303="","Missing cost code",IF(COUNTIF(Settings!$E$5:$E$28,C303)=0,"Unknown cost code",IF(A303="","Missing date",IF(OR(G303="",H303=""),"Missing qty or cost",""))))))</f>
        <v/>
      </c>
      <c r="N303" s="35" t="n"/>
    </row>
    <row r="304">
      <c r="A304" s="40" t="n"/>
      <c r="B304" s="35" t="n"/>
      <c r="C304" s="35" t="n"/>
      <c r="D304" s="9">
        <f>IF(C304="","",IFERROR(VLOOKUP(C304,Settings!$E$5:$G$28,3,FALSE),"Other"))</f>
        <v/>
      </c>
      <c r="E304" s="35" t="n"/>
      <c r="F304" s="35" t="n"/>
      <c r="G304" s="35" t="n"/>
      <c r="H304" s="37" t="n"/>
      <c r="I304" s="39">
        <f>IF(B304="","",G304*H304)</f>
        <v/>
      </c>
      <c r="J304" s="35" t="n"/>
      <c r="K304" s="35" t="n"/>
      <c r="L304" s="35" t="n"/>
      <c r="M304" s="9">
        <f>IF(B304="","",IF(COUNTIF(Jobs!$A$5:$A$44,B304)=0,"Unknown Job ID",IF(C304="","Missing cost code",IF(COUNTIF(Settings!$E$5:$E$28,C304)=0,"Unknown cost code",IF(A304="","Missing date",IF(OR(G304="",H304=""),"Missing qty or cost",""))))))</f>
        <v/>
      </c>
      <c r="N304" s="35" t="n"/>
    </row>
    <row r="305">
      <c r="A305" s="40" t="n"/>
      <c r="B305" s="35" t="n"/>
      <c r="C305" s="35" t="n"/>
      <c r="D305" s="9">
        <f>IF(C305="","",IFERROR(VLOOKUP(C305,Settings!$E$5:$G$28,3,FALSE),"Other"))</f>
        <v/>
      </c>
      <c r="E305" s="35" t="n"/>
      <c r="F305" s="35" t="n"/>
      <c r="G305" s="35" t="n"/>
      <c r="H305" s="37" t="n"/>
      <c r="I305" s="39">
        <f>IF(B305="","",G305*H305)</f>
        <v/>
      </c>
      <c r="J305" s="35" t="n"/>
      <c r="K305" s="35" t="n"/>
      <c r="L305" s="35" t="n"/>
      <c r="M305" s="9">
        <f>IF(B305="","",IF(COUNTIF(Jobs!$A$5:$A$44,B305)=0,"Unknown Job ID",IF(C305="","Missing cost code",IF(COUNTIF(Settings!$E$5:$E$28,C305)=0,"Unknown cost code",IF(A305="","Missing date",IF(OR(G305="",H305=""),"Missing qty or cost",""))))))</f>
        <v/>
      </c>
      <c r="N305" s="35" t="n"/>
    </row>
    <row r="306">
      <c r="A306" s="40" t="n"/>
      <c r="B306" s="35" t="n"/>
      <c r="C306" s="35" t="n"/>
      <c r="D306" s="9">
        <f>IF(C306="","",IFERROR(VLOOKUP(C306,Settings!$E$5:$G$28,3,FALSE),"Other"))</f>
        <v/>
      </c>
      <c r="E306" s="35" t="n"/>
      <c r="F306" s="35" t="n"/>
      <c r="G306" s="35" t="n"/>
      <c r="H306" s="37" t="n"/>
      <c r="I306" s="39">
        <f>IF(B306="","",G306*H306)</f>
        <v/>
      </c>
      <c r="J306" s="35" t="n"/>
      <c r="K306" s="35" t="n"/>
      <c r="L306" s="35" t="n"/>
      <c r="M306" s="9">
        <f>IF(B306="","",IF(COUNTIF(Jobs!$A$5:$A$44,B306)=0,"Unknown Job ID",IF(C306="","Missing cost code",IF(COUNTIF(Settings!$E$5:$E$28,C306)=0,"Unknown cost code",IF(A306="","Missing date",IF(OR(G306="",H306=""),"Missing qty or cost",""))))))</f>
        <v/>
      </c>
      <c r="N306" s="35" t="n"/>
    </row>
    <row r="307">
      <c r="A307" s="40" t="n"/>
      <c r="B307" s="35" t="n"/>
      <c r="C307" s="35" t="n"/>
      <c r="D307" s="9">
        <f>IF(C307="","",IFERROR(VLOOKUP(C307,Settings!$E$5:$G$28,3,FALSE),"Other"))</f>
        <v/>
      </c>
      <c r="E307" s="35" t="n"/>
      <c r="F307" s="35" t="n"/>
      <c r="G307" s="35" t="n"/>
      <c r="H307" s="37" t="n"/>
      <c r="I307" s="39">
        <f>IF(B307="","",G307*H307)</f>
        <v/>
      </c>
      <c r="J307" s="35" t="n"/>
      <c r="K307" s="35" t="n"/>
      <c r="L307" s="35" t="n"/>
      <c r="M307" s="9">
        <f>IF(B307="","",IF(COUNTIF(Jobs!$A$5:$A$44,B307)=0,"Unknown Job ID",IF(C307="","Missing cost code",IF(COUNTIF(Settings!$E$5:$E$28,C307)=0,"Unknown cost code",IF(A307="","Missing date",IF(OR(G307="",H307=""),"Missing qty or cost",""))))))</f>
        <v/>
      </c>
      <c r="N307" s="35" t="n"/>
    </row>
    <row r="308">
      <c r="A308" s="40" t="n"/>
      <c r="B308" s="35" t="n"/>
      <c r="C308" s="35" t="n"/>
      <c r="D308" s="9">
        <f>IF(C308="","",IFERROR(VLOOKUP(C308,Settings!$E$5:$G$28,3,FALSE),"Other"))</f>
        <v/>
      </c>
      <c r="E308" s="35" t="n"/>
      <c r="F308" s="35" t="n"/>
      <c r="G308" s="35" t="n"/>
      <c r="H308" s="37" t="n"/>
      <c r="I308" s="39">
        <f>IF(B308="","",G308*H308)</f>
        <v/>
      </c>
      <c r="J308" s="35" t="n"/>
      <c r="K308" s="35" t="n"/>
      <c r="L308" s="35" t="n"/>
      <c r="M308" s="9">
        <f>IF(B308="","",IF(COUNTIF(Jobs!$A$5:$A$44,B308)=0,"Unknown Job ID",IF(C308="","Missing cost code",IF(COUNTIF(Settings!$E$5:$E$28,C308)=0,"Unknown cost code",IF(A308="","Missing date",IF(OR(G308="",H308=""),"Missing qty or cost",""))))))</f>
        <v/>
      </c>
      <c r="N308" s="35" t="n"/>
    </row>
    <row r="309">
      <c r="A309" s="40" t="n"/>
      <c r="B309" s="35" t="n"/>
      <c r="C309" s="35" t="n"/>
      <c r="D309" s="9">
        <f>IF(C309="","",IFERROR(VLOOKUP(C309,Settings!$E$5:$G$28,3,FALSE),"Other"))</f>
        <v/>
      </c>
      <c r="E309" s="35" t="n"/>
      <c r="F309" s="35" t="n"/>
      <c r="G309" s="35" t="n"/>
      <c r="H309" s="37" t="n"/>
      <c r="I309" s="39">
        <f>IF(B309="","",G309*H309)</f>
        <v/>
      </c>
      <c r="J309" s="35" t="n"/>
      <c r="K309" s="35" t="n"/>
      <c r="L309" s="35" t="n"/>
      <c r="M309" s="9">
        <f>IF(B309="","",IF(COUNTIF(Jobs!$A$5:$A$44,B309)=0,"Unknown Job ID",IF(C309="","Missing cost code",IF(COUNTIF(Settings!$E$5:$E$28,C309)=0,"Unknown cost code",IF(A309="","Missing date",IF(OR(G309="",H309=""),"Missing qty or cost",""))))))</f>
        <v/>
      </c>
      <c r="N309" s="35" t="n"/>
    </row>
    <row r="310">
      <c r="A310" s="40" t="n"/>
      <c r="B310" s="35" t="n"/>
      <c r="C310" s="35" t="n"/>
      <c r="D310" s="9">
        <f>IF(C310="","",IFERROR(VLOOKUP(C310,Settings!$E$5:$G$28,3,FALSE),"Other"))</f>
        <v/>
      </c>
      <c r="E310" s="35" t="n"/>
      <c r="F310" s="35" t="n"/>
      <c r="G310" s="35" t="n"/>
      <c r="H310" s="37" t="n"/>
      <c r="I310" s="39">
        <f>IF(B310="","",G310*H310)</f>
        <v/>
      </c>
      <c r="J310" s="35" t="n"/>
      <c r="K310" s="35" t="n"/>
      <c r="L310" s="35" t="n"/>
      <c r="M310" s="9">
        <f>IF(B310="","",IF(COUNTIF(Jobs!$A$5:$A$44,B310)=0,"Unknown Job ID",IF(C310="","Missing cost code",IF(COUNTIF(Settings!$E$5:$E$28,C310)=0,"Unknown cost code",IF(A310="","Missing date",IF(OR(G310="",H310=""),"Missing qty or cost",""))))))</f>
        <v/>
      </c>
      <c r="N310" s="35" t="n"/>
    </row>
    <row r="311">
      <c r="A311" s="40" t="n"/>
      <c r="B311" s="35" t="n"/>
      <c r="C311" s="35" t="n"/>
      <c r="D311" s="9">
        <f>IF(C311="","",IFERROR(VLOOKUP(C311,Settings!$E$5:$G$28,3,FALSE),"Other"))</f>
        <v/>
      </c>
      <c r="E311" s="35" t="n"/>
      <c r="F311" s="35" t="n"/>
      <c r="G311" s="35" t="n"/>
      <c r="H311" s="37" t="n"/>
      <c r="I311" s="39">
        <f>IF(B311="","",G311*H311)</f>
        <v/>
      </c>
      <c r="J311" s="35" t="n"/>
      <c r="K311" s="35" t="n"/>
      <c r="L311" s="35" t="n"/>
      <c r="M311" s="9">
        <f>IF(B311="","",IF(COUNTIF(Jobs!$A$5:$A$44,B311)=0,"Unknown Job ID",IF(C311="","Missing cost code",IF(COUNTIF(Settings!$E$5:$E$28,C311)=0,"Unknown cost code",IF(A311="","Missing date",IF(OR(G311="",H311=""),"Missing qty or cost",""))))))</f>
        <v/>
      </c>
      <c r="N311" s="35" t="n"/>
    </row>
    <row r="312">
      <c r="A312" s="40" t="n"/>
      <c r="B312" s="35" t="n"/>
      <c r="C312" s="35" t="n"/>
      <c r="D312" s="9">
        <f>IF(C312="","",IFERROR(VLOOKUP(C312,Settings!$E$5:$G$28,3,FALSE),"Other"))</f>
        <v/>
      </c>
      <c r="E312" s="35" t="n"/>
      <c r="F312" s="35" t="n"/>
      <c r="G312" s="35" t="n"/>
      <c r="H312" s="37" t="n"/>
      <c r="I312" s="39">
        <f>IF(B312="","",G312*H312)</f>
        <v/>
      </c>
      <c r="J312" s="35" t="n"/>
      <c r="K312" s="35" t="n"/>
      <c r="L312" s="35" t="n"/>
      <c r="M312" s="9">
        <f>IF(B312="","",IF(COUNTIF(Jobs!$A$5:$A$44,B312)=0,"Unknown Job ID",IF(C312="","Missing cost code",IF(COUNTIF(Settings!$E$5:$E$28,C312)=0,"Unknown cost code",IF(A312="","Missing date",IF(OR(G312="",H312=""),"Missing qty or cost",""))))))</f>
        <v/>
      </c>
      <c r="N312" s="35" t="n"/>
    </row>
    <row r="313">
      <c r="A313" s="40" t="n"/>
      <c r="B313" s="35" t="n"/>
      <c r="C313" s="35" t="n"/>
      <c r="D313" s="9">
        <f>IF(C313="","",IFERROR(VLOOKUP(C313,Settings!$E$5:$G$28,3,FALSE),"Other"))</f>
        <v/>
      </c>
      <c r="E313" s="35" t="n"/>
      <c r="F313" s="35" t="n"/>
      <c r="G313" s="35" t="n"/>
      <c r="H313" s="37" t="n"/>
      <c r="I313" s="39">
        <f>IF(B313="","",G313*H313)</f>
        <v/>
      </c>
      <c r="J313" s="35" t="n"/>
      <c r="K313" s="35" t="n"/>
      <c r="L313" s="35" t="n"/>
      <c r="M313" s="9">
        <f>IF(B313="","",IF(COUNTIF(Jobs!$A$5:$A$44,B313)=0,"Unknown Job ID",IF(C313="","Missing cost code",IF(COUNTIF(Settings!$E$5:$E$28,C313)=0,"Unknown cost code",IF(A313="","Missing date",IF(OR(G313="",H313=""),"Missing qty or cost",""))))))</f>
        <v/>
      </c>
      <c r="N313" s="35" t="n"/>
    </row>
    <row r="314">
      <c r="A314" s="40" t="n"/>
      <c r="B314" s="35" t="n"/>
      <c r="C314" s="35" t="n"/>
      <c r="D314" s="9">
        <f>IF(C314="","",IFERROR(VLOOKUP(C314,Settings!$E$5:$G$28,3,FALSE),"Other"))</f>
        <v/>
      </c>
      <c r="E314" s="35" t="n"/>
      <c r="F314" s="35" t="n"/>
      <c r="G314" s="35" t="n"/>
      <c r="H314" s="37" t="n"/>
      <c r="I314" s="39">
        <f>IF(B314="","",G314*H314)</f>
        <v/>
      </c>
      <c r="J314" s="35" t="n"/>
      <c r="K314" s="35" t="n"/>
      <c r="L314" s="35" t="n"/>
      <c r="M314" s="9">
        <f>IF(B314="","",IF(COUNTIF(Jobs!$A$5:$A$44,B314)=0,"Unknown Job ID",IF(C314="","Missing cost code",IF(COUNTIF(Settings!$E$5:$E$28,C314)=0,"Unknown cost code",IF(A314="","Missing date",IF(OR(G314="",H314=""),"Missing qty or cost",""))))))</f>
        <v/>
      </c>
      <c r="N314" s="35" t="n"/>
    </row>
    <row r="315">
      <c r="A315" s="40" t="n"/>
      <c r="B315" s="35" t="n"/>
      <c r="C315" s="35" t="n"/>
      <c r="D315" s="9">
        <f>IF(C315="","",IFERROR(VLOOKUP(C315,Settings!$E$5:$G$28,3,FALSE),"Other"))</f>
        <v/>
      </c>
      <c r="E315" s="35" t="n"/>
      <c r="F315" s="35" t="n"/>
      <c r="G315" s="35" t="n"/>
      <c r="H315" s="37" t="n"/>
      <c r="I315" s="39">
        <f>IF(B315="","",G315*H315)</f>
        <v/>
      </c>
      <c r="J315" s="35" t="n"/>
      <c r="K315" s="35" t="n"/>
      <c r="L315" s="35" t="n"/>
      <c r="M315" s="9">
        <f>IF(B315="","",IF(COUNTIF(Jobs!$A$5:$A$44,B315)=0,"Unknown Job ID",IF(C315="","Missing cost code",IF(COUNTIF(Settings!$E$5:$E$28,C315)=0,"Unknown cost code",IF(A315="","Missing date",IF(OR(G315="",H315=""),"Missing qty or cost",""))))))</f>
        <v/>
      </c>
      <c r="N315" s="35" t="n"/>
    </row>
    <row r="316">
      <c r="A316" s="40" t="n"/>
      <c r="B316" s="35" t="n"/>
      <c r="C316" s="35" t="n"/>
      <c r="D316" s="9">
        <f>IF(C316="","",IFERROR(VLOOKUP(C316,Settings!$E$5:$G$28,3,FALSE),"Other"))</f>
        <v/>
      </c>
      <c r="E316" s="35" t="n"/>
      <c r="F316" s="35" t="n"/>
      <c r="G316" s="35" t="n"/>
      <c r="H316" s="37" t="n"/>
      <c r="I316" s="39">
        <f>IF(B316="","",G316*H316)</f>
        <v/>
      </c>
      <c r="J316" s="35" t="n"/>
      <c r="K316" s="35" t="n"/>
      <c r="L316" s="35" t="n"/>
      <c r="M316" s="9">
        <f>IF(B316="","",IF(COUNTIF(Jobs!$A$5:$A$44,B316)=0,"Unknown Job ID",IF(C316="","Missing cost code",IF(COUNTIF(Settings!$E$5:$E$28,C316)=0,"Unknown cost code",IF(A316="","Missing date",IF(OR(G316="",H316=""),"Missing qty or cost",""))))))</f>
        <v/>
      </c>
      <c r="N316" s="35" t="n"/>
    </row>
    <row r="317">
      <c r="A317" s="40" t="n"/>
      <c r="B317" s="35" t="n"/>
      <c r="C317" s="35" t="n"/>
      <c r="D317" s="9">
        <f>IF(C317="","",IFERROR(VLOOKUP(C317,Settings!$E$5:$G$28,3,FALSE),"Other"))</f>
        <v/>
      </c>
      <c r="E317" s="35" t="n"/>
      <c r="F317" s="35" t="n"/>
      <c r="G317" s="35" t="n"/>
      <c r="H317" s="37" t="n"/>
      <c r="I317" s="39">
        <f>IF(B317="","",G317*H317)</f>
        <v/>
      </c>
      <c r="J317" s="35" t="n"/>
      <c r="K317" s="35" t="n"/>
      <c r="L317" s="35" t="n"/>
      <c r="M317" s="9">
        <f>IF(B317="","",IF(COUNTIF(Jobs!$A$5:$A$44,B317)=0,"Unknown Job ID",IF(C317="","Missing cost code",IF(COUNTIF(Settings!$E$5:$E$28,C317)=0,"Unknown cost code",IF(A317="","Missing date",IF(OR(G317="",H317=""),"Missing qty or cost",""))))))</f>
        <v/>
      </c>
      <c r="N317" s="35" t="n"/>
    </row>
    <row r="318">
      <c r="A318" s="40" t="n"/>
      <c r="B318" s="35" t="n"/>
      <c r="C318" s="35" t="n"/>
      <c r="D318" s="9">
        <f>IF(C318="","",IFERROR(VLOOKUP(C318,Settings!$E$5:$G$28,3,FALSE),"Other"))</f>
        <v/>
      </c>
      <c r="E318" s="35" t="n"/>
      <c r="F318" s="35" t="n"/>
      <c r="G318" s="35" t="n"/>
      <c r="H318" s="37" t="n"/>
      <c r="I318" s="39">
        <f>IF(B318="","",G318*H318)</f>
        <v/>
      </c>
      <c r="J318" s="35" t="n"/>
      <c r="K318" s="35" t="n"/>
      <c r="L318" s="35" t="n"/>
      <c r="M318" s="9">
        <f>IF(B318="","",IF(COUNTIF(Jobs!$A$5:$A$44,B318)=0,"Unknown Job ID",IF(C318="","Missing cost code",IF(COUNTIF(Settings!$E$5:$E$28,C318)=0,"Unknown cost code",IF(A318="","Missing date",IF(OR(G318="",H318=""),"Missing qty or cost",""))))))</f>
        <v/>
      </c>
      <c r="N318" s="35" t="n"/>
    </row>
    <row r="319">
      <c r="A319" s="40" t="n"/>
      <c r="B319" s="35" t="n"/>
      <c r="C319" s="35" t="n"/>
      <c r="D319" s="9">
        <f>IF(C319="","",IFERROR(VLOOKUP(C319,Settings!$E$5:$G$28,3,FALSE),"Other"))</f>
        <v/>
      </c>
      <c r="E319" s="35" t="n"/>
      <c r="F319" s="35" t="n"/>
      <c r="G319" s="35" t="n"/>
      <c r="H319" s="37" t="n"/>
      <c r="I319" s="39">
        <f>IF(B319="","",G319*H319)</f>
        <v/>
      </c>
      <c r="J319" s="35" t="n"/>
      <c r="K319" s="35" t="n"/>
      <c r="L319" s="35" t="n"/>
      <c r="M319" s="9">
        <f>IF(B319="","",IF(COUNTIF(Jobs!$A$5:$A$44,B319)=0,"Unknown Job ID",IF(C319="","Missing cost code",IF(COUNTIF(Settings!$E$5:$E$28,C319)=0,"Unknown cost code",IF(A319="","Missing date",IF(OR(G319="",H319=""),"Missing qty or cost",""))))))</f>
        <v/>
      </c>
      <c r="N319" s="35" t="n"/>
    </row>
    <row r="320">
      <c r="A320" s="40" t="n"/>
      <c r="B320" s="35" t="n"/>
      <c r="C320" s="35" t="n"/>
      <c r="D320" s="9">
        <f>IF(C320="","",IFERROR(VLOOKUP(C320,Settings!$E$5:$G$28,3,FALSE),"Other"))</f>
        <v/>
      </c>
      <c r="E320" s="35" t="n"/>
      <c r="F320" s="35" t="n"/>
      <c r="G320" s="35" t="n"/>
      <c r="H320" s="37" t="n"/>
      <c r="I320" s="39">
        <f>IF(B320="","",G320*H320)</f>
        <v/>
      </c>
      <c r="J320" s="35" t="n"/>
      <c r="K320" s="35" t="n"/>
      <c r="L320" s="35" t="n"/>
      <c r="M320" s="9">
        <f>IF(B320="","",IF(COUNTIF(Jobs!$A$5:$A$44,B320)=0,"Unknown Job ID",IF(C320="","Missing cost code",IF(COUNTIF(Settings!$E$5:$E$28,C320)=0,"Unknown cost code",IF(A320="","Missing date",IF(OR(G320="",H320=""),"Missing qty or cost",""))))))</f>
        <v/>
      </c>
      <c r="N320" s="35" t="n"/>
    </row>
    <row r="321">
      <c r="A321" s="40" t="n"/>
      <c r="B321" s="35" t="n"/>
      <c r="C321" s="35" t="n"/>
      <c r="D321" s="9">
        <f>IF(C321="","",IFERROR(VLOOKUP(C321,Settings!$E$5:$G$28,3,FALSE),"Other"))</f>
        <v/>
      </c>
      <c r="E321" s="35" t="n"/>
      <c r="F321" s="35" t="n"/>
      <c r="G321" s="35" t="n"/>
      <c r="H321" s="37" t="n"/>
      <c r="I321" s="39">
        <f>IF(B321="","",G321*H321)</f>
        <v/>
      </c>
      <c r="J321" s="35" t="n"/>
      <c r="K321" s="35" t="n"/>
      <c r="L321" s="35" t="n"/>
      <c r="M321" s="9">
        <f>IF(B321="","",IF(COUNTIF(Jobs!$A$5:$A$44,B321)=0,"Unknown Job ID",IF(C321="","Missing cost code",IF(COUNTIF(Settings!$E$5:$E$28,C321)=0,"Unknown cost code",IF(A321="","Missing date",IF(OR(G321="",H321=""),"Missing qty or cost",""))))))</f>
        <v/>
      </c>
      <c r="N321" s="35" t="n"/>
    </row>
    <row r="322">
      <c r="A322" s="40" t="n"/>
      <c r="B322" s="35" t="n"/>
      <c r="C322" s="35" t="n"/>
      <c r="D322" s="9">
        <f>IF(C322="","",IFERROR(VLOOKUP(C322,Settings!$E$5:$G$28,3,FALSE),"Other"))</f>
        <v/>
      </c>
      <c r="E322" s="35" t="n"/>
      <c r="F322" s="35" t="n"/>
      <c r="G322" s="35" t="n"/>
      <c r="H322" s="37" t="n"/>
      <c r="I322" s="39">
        <f>IF(B322="","",G322*H322)</f>
        <v/>
      </c>
      <c r="J322" s="35" t="n"/>
      <c r="K322" s="35" t="n"/>
      <c r="L322" s="35" t="n"/>
      <c r="M322" s="9">
        <f>IF(B322="","",IF(COUNTIF(Jobs!$A$5:$A$44,B322)=0,"Unknown Job ID",IF(C322="","Missing cost code",IF(COUNTIF(Settings!$E$5:$E$28,C322)=0,"Unknown cost code",IF(A322="","Missing date",IF(OR(G322="",H322=""),"Missing qty or cost",""))))))</f>
        <v/>
      </c>
      <c r="N322" s="35" t="n"/>
    </row>
    <row r="323">
      <c r="A323" s="40" t="n"/>
      <c r="B323" s="35" t="n"/>
      <c r="C323" s="35" t="n"/>
      <c r="D323" s="9">
        <f>IF(C323="","",IFERROR(VLOOKUP(C323,Settings!$E$5:$G$28,3,FALSE),"Other"))</f>
        <v/>
      </c>
      <c r="E323" s="35" t="n"/>
      <c r="F323" s="35" t="n"/>
      <c r="G323" s="35" t="n"/>
      <c r="H323" s="37" t="n"/>
      <c r="I323" s="39">
        <f>IF(B323="","",G323*H323)</f>
        <v/>
      </c>
      <c r="J323" s="35" t="n"/>
      <c r="K323" s="35" t="n"/>
      <c r="L323" s="35" t="n"/>
      <c r="M323" s="9">
        <f>IF(B323="","",IF(COUNTIF(Jobs!$A$5:$A$44,B323)=0,"Unknown Job ID",IF(C323="","Missing cost code",IF(COUNTIF(Settings!$E$5:$E$28,C323)=0,"Unknown cost code",IF(A323="","Missing date",IF(OR(G323="",H323=""),"Missing qty or cost",""))))))</f>
        <v/>
      </c>
      <c r="N323" s="35" t="n"/>
    </row>
    <row r="324">
      <c r="A324" s="40" t="n"/>
      <c r="B324" s="35" t="n"/>
      <c r="C324" s="35" t="n"/>
      <c r="D324" s="9">
        <f>IF(C324="","",IFERROR(VLOOKUP(C324,Settings!$E$5:$G$28,3,FALSE),"Other"))</f>
        <v/>
      </c>
      <c r="E324" s="35" t="n"/>
      <c r="F324" s="35" t="n"/>
      <c r="G324" s="35" t="n"/>
      <c r="H324" s="37" t="n"/>
      <c r="I324" s="39">
        <f>IF(B324="","",G324*H324)</f>
        <v/>
      </c>
      <c r="J324" s="35" t="n"/>
      <c r="K324" s="35" t="n"/>
      <c r="L324" s="35" t="n"/>
      <c r="M324" s="9">
        <f>IF(B324="","",IF(COUNTIF(Jobs!$A$5:$A$44,B324)=0,"Unknown Job ID",IF(C324="","Missing cost code",IF(COUNTIF(Settings!$E$5:$E$28,C324)=0,"Unknown cost code",IF(A324="","Missing date",IF(OR(G324="",H324=""),"Missing qty or cost",""))))))</f>
        <v/>
      </c>
      <c r="N324" s="35" t="n"/>
    </row>
    <row r="325">
      <c r="A325" s="40" t="n"/>
      <c r="B325" s="35" t="n"/>
      <c r="C325" s="35" t="n"/>
      <c r="D325" s="9">
        <f>IF(C325="","",IFERROR(VLOOKUP(C325,Settings!$E$5:$G$28,3,FALSE),"Other"))</f>
        <v/>
      </c>
      <c r="E325" s="35" t="n"/>
      <c r="F325" s="35" t="n"/>
      <c r="G325" s="35" t="n"/>
      <c r="H325" s="37" t="n"/>
      <c r="I325" s="39">
        <f>IF(B325="","",G325*H325)</f>
        <v/>
      </c>
      <c r="J325" s="35" t="n"/>
      <c r="K325" s="35" t="n"/>
      <c r="L325" s="35" t="n"/>
      <c r="M325" s="9">
        <f>IF(B325="","",IF(COUNTIF(Jobs!$A$5:$A$44,B325)=0,"Unknown Job ID",IF(C325="","Missing cost code",IF(COUNTIF(Settings!$E$5:$E$28,C325)=0,"Unknown cost code",IF(A325="","Missing date",IF(OR(G325="",H325=""),"Missing qty or cost",""))))))</f>
        <v/>
      </c>
      <c r="N325" s="35" t="n"/>
    </row>
    <row r="326">
      <c r="A326" s="40" t="n"/>
      <c r="B326" s="35" t="n"/>
      <c r="C326" s="35" t="n"/>
      <c r="D326" s="9">
        <f>IF(C326="","",IFERROR(VLOOKUP(C326,Settings!$E$5:$G$28,3,FALSE),"Other"))</f>
        <v/>
      </c>
      <c r="E326" s="35" t="n"/>
      <c r="F326" s="35" t="n"/>
      <c r="G326" s="35" t="n"/>
      <c r="H326" s="37" t="n"/>
      <c r="I326" s="39">
        <f>IF(B326="","",G326*H326)</f>
        <v/>
      </c>
      <c r="J326" s="35" t="n"/>
      <c r="K326" s="35" t="n"/>
      <c r="L326" s="35" t="n"/>
      <c r="M326" s="9">
        <f>IF(B326="","",IF(COUNTIF(Jobs!$A$5:$A$44,B326)=0,"Unknown Job ID",IF(C326="","Missing cost code",IF(COUNTIF(Settings!$E$5:$E$28,C326)=0,"Unknown cost code",IF(A326="","Missing date",IF(OR(G326="",H326=""),"Missing qty or cost",""))))))</f>
        <v/>
      </c>
      <c r="N326" s="35" t="n"/>
    </row>
    <row r="327">
      <c r="A327" s="40" t="n"/>
      <c r="B327" s="35" t="n"/>
      <c r="C327" s="35" t="n"/>
      <c r="D327" s="9">
        <f>IF(C327="","",IFERROR(VLOOKUP(C327,Settings!$E$5:$G$28,3,FALSE),"Other"))</f>
        <v/>
      </c>
      <c r="E327" s="35" t="n"/>
      <c r="F327" s="35" t="n"/>
      <c r="G327" s="35" t="n"/>
      <c r="H327" s="37" t="n"/>
      <c r="I327" s="39">
        <f>IF(B327="","",G327*H327)</f>
        <v/>
      </c>
      <c r="J327" s="35" t="n"/>
      <c r="K327" s="35" t="n"/>
      <c r="L327" s="35" t="n"/>
      <c r="M327" s="9">
        <f>IF(B327="","",IF(COUNTIF(Jobs!$A$5:$A$44,B327)=0,"Unknown Job ID",IF(C327="","Missing cost code",IF(COUNTIF(Settings!$E$5:$E$28,C327)=0,"Unknown cost code",IF(A327="","Missing date",IF(OR(G327="",H327=""),"Missing qty or cost",""))))))</f>
        <v/>
      </c>
      <c r="N327" s="35" t="n"/>
    </row>
    <row r="328">
      <c r="A328" s="40" t="n"/>
      <c r="B328" s="35" t="n"/>
      <c r="C328" s="35" t="n"/>
      <c r="D328" s="9">
        <f>IF(C328="","",IFERROR(VLOOKUP(C328,Settings!$E$5:$G$28,3,FALSE),"Other"))</f>
        <v/>
      </c>
      <c r="E328" s="35" t="n"/>
      <c r="F328" s="35" t="n"/>
      <c r="G328" s="35" t="n"/>
      <c r="H328" s="37" t="n"/>
      <c r="I328" s="39">
        <f>IF(B328="","",G328*H328)</f>
        <v/>
      </c>
      <c r="J328" s="35" t="n"/>
      <c r="K328" s="35" t="n"/>
      <c r="L328" s="35" t="n"/>
      <c r="M328" s="9">
        <f>IF(B328="","",IF(COUNTIF(Jobs!$A$5:$A$44,B328)=0,"Unknown Job ID",IF(C328="","Missing cost code",IF(COUNTIF(Settings!$E$5:$E$28,C328)=0,"Unknown cost code",IF(A328="","Missing date",IF(OR(G328="",H328=""),"Missing qty or cost",""))))))</f>
        <v/>
      </c>
      <c r="N328" s="35" t="n"/>
    </row>
    <row r="329">
      <c r="A329" s="40" t="n"/>
      <c r="B329" s="35" t="n"/>
      <c r="C329" s="35" t="n"/>
      <c r="D329" s="9">
        <f>IF(C329="","",IFERROR(VLOOKUP(C329,Settings!$E$5:$G$28,3,FALSE),"Other"))</f>
        <v/>
      </c>
      <c r="E329" s="35" t="n"/>
      <c r="F329" s="35" t="n"/>
      <c r="G329" s="35" t="n"/>
      <c r="H329" s="37" t="n"/>
      <c r="I329" s="39">
        <f>IF(B329="","",G329*H329)</f>
        <v/>
      </c>
      <c r="J329" s="35" t="n"/>
      <c r="K329" s="35" t="n"/>
      <c r="L329" s="35" t="n"/>
      <c r="M329" s="9">
        <f>IF(B329="","",IF(COUNTIF(Jobs!$A$5:$A$44,B329)=0,"Unknown Job ID",IF(C329="","Missing cost code",IF(COUNTIF(Settings!$E$5:$E$28,C329)=0,"Unknown cost code",IF(A329="","Missing date",IF(OR(G329="",H329=""),"Missing qty or cost",""))))))</f>
        <v/>
      </c>
      <c r="N329" s="35" t="n"/>
    </row>
    <row r="330">
      <c r="A330" s="40" t="n"/>
      <c r="B330" s="35" t="n"/>
      <c r="C330" s="35" t="n"/>
      <c r="D330" s="9">
        <f>IF(C330="","",IFERROR(VLOOKUP(C330,Settings!$E$5:$G$28,3,FALSE),"Other"))</f>
        <v/>
      </c>
      <c r="E330" s="35" t="n"/>
      <c r="F330" s="35" t="n"/>
      <c r="G330" s="35" t="n"/>
      <c r="H330" s="37" t="n"/>
      <c r="I330" s="39">
        <f>IF(B330="","",G330*H330)</f>
        <v/>
      </c>
      <c r="J330" s="35" t="n"/>
      <c r="K330" s="35" t="n"/>
      <c r="L330" s="35" t="n"/>
      <c r="M330" s="9">
        <f>IF(B330="","",IF(COUNTIF(Jobs!$A$5:$A$44,B330)=0,"Unknown Job ID",IF(C330="","Missing cost code",IF(COUNTIF(Settings!$E$5:$E$28,C330)=0,"Unknown cost code",IF(A330="","Missing date",IF(OR(G330="",H330=""),"Missing qty or cost",""))))))</f>
        <v/>
      </c>
      <c r="N330" s="35" t="n"/>
    </row>
    <row r="331">
      <c r="A331" s="40" t="n"/>
      <c r="B331" s="35" t="n"/>
      <c r="C331" s="35" t="n"/>
      <c r="D331" s="9">
        <f>IF(C331="","",IFERROR(VLOOKUP(C331,Settings!$E$5:$G$28,3,FALSE),"Other"))</f>
        <v/>
      </c>
      <c r="E331" s="35" t="n"/>
      <c r="F331" s="35" t="n"/>
      <c r="G331" s="35" t="n"/>
      <c r="H331" s="37" t="n"/>
      <c r="I331" s="39">
        <f>IF(B331="","",G331*H331)</f>
        <v/>
      </c>
      <c r="J331" s="35" t="n"/>
      <c r="K331" s="35" t="n"/>
      <c r="L331" s="35" t="n"/>
      <c r="M331" s="9">
        <f>IF(B331="","",IF(COUNTIF(Jobs!$A$5:$A$44,B331)=0,"Unknown Job ID",IF(C331="","Missing cost code",IF(COUNTIF(Settings!$E$5:$E$28,C331)=0,"Unknown cost code",IF(A331="","Missing date",IF(OR(G331="",H331=""),"Missing qty or cost",""))))))</f>
        <v/>
      </c>
      <c r="N331" s="35" t="n"/>
    </row>
    <row r="332">
      <c r="A332" s="40" t="n"/>
      <c r="B332" s="35" t="n"/>
      <c r="C332" s="35" t="n"/>
      <c r="D332" s="9">
        <f>IF(C332="","",IFERROR(VLOOKUP(C332,Settings!$E$5:$G$28,3,FALSE),"Other"))</f>
        <v/>
      </c>
      <c r="E332" s="35" t="n"/>
      <c r="F332" s="35" t="n"/>
      <c r="G332" s="35" t="n"/>
      <c r="H332" s="37" t="n"/>
      <c r="I332" s="39">
        <f>IF(B332="","",G332*H332)</f>
        <v/>
      </c>
      <c r="J332" s="35" t="n"/>
      <c r="K332" s="35" t="n"/>
      <c r="L332" s="35" t="n"/>
      <c r="M332" s="9">
        <f>IF(B332="","",IF(COUNTIF(Jobs!$A$5:$A$44,B332)=0,"Unknown Job ID",IF(C332="","Missing cost code",IF(COUNTIF(Settings!$E$5:$E$28,C332)=0,"Unknown cost code",IF(A332="","Missing date",IF(OR(G332="",H332=""),"Missing qty or cost",""))))))</f>
        <v/>
      </c>
      <c r="N332" s="35" t="n"/>
    </row>
    <row r="333">
      <c r="A333" s="40" t="n"/>
      <c r="B333" s="35" t="n"/>
      <c r="C333" s="35" t="n"/>
      <c r="D333" s="9">
        <f>IF(C333="","",IFERROR(VLOOKUP(C333,Settings!$E$5:$G$28,3,FALSE),"Other"))</f>
        <v/>
      </c>
      <c r="E333" s="35" t="n"/>
      <c r="F333" s="35" t="n"/>
      <c r="G333" s="35" t="n"/>
      <c r="H333" s="37" t="n"/>
      <c r="I333" s="39">
        <f>IF(B333="","",G333*H333)</f>
        <v/>
      </c>
      <c r="J333" s="35" t="n"/>
      <c r="K333" s="35" t="n"/>
      <c r="L333" s="35" t="n"/>
      <c r="M333" s="9">
        <f>IF(B333="","",IF(COUNTIF(Jobs!$A$5:$A$44,B333)=0,"Unknown Job ID",IF(C333="","Missing cost code",IF(COUNTIF(Settings!$E$5:$E$28,C333)=0,"Unknown cost code",IF(A333="","Missing date",IF(OR(G333="",H333=""),"Missing qty or cost",""))))))</f>
        <v/>
      </c>
      <c r="N333" s="35" t="n"/>
    </row>
    <row r="334">
      <c r="A334" s="40" t="n"/>
      <c r="B334" s="35" t="n"/>
      <c r="C334" s="35" t="n"/>
      <c r="D334" s="9">
        <f>IF(C334="","",IFERROR(VLOOKUP(C334,Settings!$E$5:$G$28,3,FALSE),"Other"))</f>
        <v/>
      </c>
      <c r="E334" s="35" t="n"/>
      <c r="F334" s="35" t="n"/>
      <c r="G334" s="35" t="n"/>
      <c r="H334" s="37" t="n"/>
      <c r="I334" s="39">
        <f>IF(B334="","",G334*H334)</f>
        <v/>
      </c>
      <c r="J334" s="35" t="n"/>
      <c r="K334" s="35" t="n"/>
      <c r="L334" s="35" t="n"/>
      <c r="M334" s="9">
        <f>IF(B334="","",IF(COUNTIF(Jobs!$A$5:$A$44,B334)=0,"Unknown Job ID",IF(C334="","Missing cost code",IF(COUNTIF(Settings!$E$5:$E$28,C334)=0,"Unknown cost code",IF(A334="","Missing date",IF(OR(G334="",H334=""),"Missing qty or cost",""))))))</f>
        <v/>
      </c>
      <c r="N334" s="35" t="n"/>
    </row>
    <row r="335">
      <c r="A335" s="40" t="n"/>
      <c r="B335" s="35" t="n"/>
      <c r="C335" s="35" t="n"/>
      <c r="D335" s="9">
        <f>IF(C335="","",IFERROR(VLOOKUP(C335,Settings!$E$5:$G$28,3,FALSE),"Other"))</f>
        <v/>
      </c>
      <c r="E335" s="35" t="n"/>
      <c r="F335" s="35" t="n"/>
      <c r="G335" s="35" t="n"/>
      <c r="H335" s="37" t="n"/>
      <c r="I335" s="39">
        <f>IF(B335="","",G335*H335)</f>
        <v/>
      </c>
      <c r="J335" s="35" t="n"/>
      <c r="K335" s="35" t="n"/>
      <c r="L335" s="35" t="n"/>
      <c r="M335" s="9">
        <f>IF(B335="","",IF(COUNTIF(Jobs!$A$5:$A$44,B335)=0,"Unknown Job ID",IF(C335="","Missing cost code",IF(COUNTIF(Settings!$E$5:$E$28,C335)=0,"Unknown cost code",IF(A335="","Missing date",IF(OR(G335="",H335=""),"Missing qty or cost",""))))))</f>
        <v/>
      </c>
      <c r="N335" s="35" t="n"/>
    </row>
    <row r="336">
      <c r="A336" s="40" t="n"/>
      <c r="B336" s="35" t="n"/>
      <c r="C336" s="35" t="n"/>
      <c r="D336" s="9">
        <f>IF(C336="","",IFERROR(VLOOKUP(C336,Settings!$E$5:$G$28,3,FALSE),"Other"))</f>
        <v/>
      </c>
      <c r="E336" s="35" t="n"/>
      <c r="F336" s="35" t="n"/>
      <c r="G336" s="35" t="n"/>
      <c r="H336" s="37" t="n"/>
      <c r="I336" s="39">
        <f>IF(B336="","",G336*H336)</f>
        <v/>
      </c>
      <c r="J336" s="35" t="n"/>
      <c r="K336" s="35" t="n"/>
      <c r="L336" s="35" t="n"/>
      <c r="M336" s="9">
        <f>IF(B336="","",IF(COUNTIF(Jobs!$A$5:$A$44,B336)=0,"Unknown Job ID",IF(C336="","Missing cost code",IF(COUNTIF(Settings!$E$5:$E$28,C336)=0,"Unknown cost code",IF(A336="","Missing date",IF(OR(G336="",H336=""),"Missing qty or cost",""))))))</f>
        <v/>
      </c>
      <c r="N336" s="35" t="n"/>
    </row>
    <row r="337">
      <c r="A337" s="40" t="n"/>
      <c r="B337" s="35" t="n"/>
      <c r="C337" s="35" t="n"/>
      <c r="D337" s="9">
        <f>IF(C337="","",IFERROR(VLOOKUP(C337,Settings!$E$5:$G$28,3,FALSE),"Other"))</f>
        <v/>
      </c>
      <c r="E337" s="35" t="n"/>
      <c r="F337" s="35" t="n"/>
      <c r="G337" s="35" t="n"/>
      <c r="H337" s="37" t="n"/>
      <c r="I337" s="39">
        <f>IF(B337="","",G337*H337)</f>
        <v/>
      </c>
      <c r="J337" s="35" t="n"/>
      <c r="K337" s="35" t="n"/>
      <c r="L337" s="35" t="n"/>
      <c r="M337" s="9">
        <f>IF(B337="","",IF(COUNTIF(Jobs!$A$5:$A$44,B337)=0,"Unknown Job ID",IF(C337="","Missing cost code",IF(COUNTIF(Settings!$E$5:$E$28,C337)=0,"Unknown cost code",IF(A337="","Missing date",IF(OR(G337="",H337=""),"Missing qty or cost",""))))))</f>
        <v/>
      </c>
      <c r="N337" s="35" t="n"/>
    </row>
    <row r="338">
      <c r="A338" s="40" t="n"/>
      <c r="B338" s="35" t="n"/>
      <c r="C338" s="35" t="n"/>
      <c r="D338" s="9">
        <f>IF(C338="","",IFERROR(VLOOKUP(C338,Settings!$E$5:$G$28,3,FALSE),"Other"))</f>
        <v/>
      </c>
      <c r="E338" s="35" t="n"/>
      <c r="F338" s="35" t="n"/>
      <c r="G338" s="35" t="n"/>
      <c r="H338" s="37" t="n"/>
      <c r="I338" s="39">
        <f>IF(B338="","",G338*H338)</f>
        <v/>
      </c>
      <c r="J338" s="35" t="n"/>
      <c r="K338" s="35" t="n"/>
      <c r="L338" s="35" t="n"/>
      <c r="M338" s="9">
        <f>IF(B338="","",IF(COUNTIF(Jobs!$A$5:$A$44,B338)=0,"Unknown Job ID",IF(C338="","Missing cost code",IF(COUNTIF(Settings!$E$5:$E$28,C338)=0,"Unknown cost code",IF(A338="","Missing date",IF(OR(G338="",H338=""),"Missing qty or cost",""))))))</f>
        <v/>
      </c>
      <c r="N338" s="35" t="n"/>
    </row>
    <row r="339">
      <c r="A339" s="40" t="n"/>
      <c r="B339" s="35" t="n"/>
      <c r="C339" s="35" t="n"/>
      <c r="D339" s="9">
        <f>IF(C339="","",IFERROR(VLOOKUP(C339,Settings!$E$5:$G$28,3,FALSE),"Other"))</f>
        <v/>
      </c>
      <c r="E339" s="35" t="n"/>
      <c r="F339" s="35" t="n"/>
      <c r="G339" s="35" t="n"/>
      <c r="H339" s="37" t="n"/>
      <c r="I339" s="39">
        <f>IF(B339="","",G339*H339)</f>
        <v/>
      </c>
      <c r="J339" s="35" t="n"/>
      <c r="K339" s="35" t="n"/>
      <c r="L339" s="35" t="n"/>
      <c r="M339" s="9">
        <f>IF(B339="","",IF(COUNTIF(Jobs!$A$5:$A$44,B339)=0,"Unknown Job ID",IF(C339="","Missing cost code",IF(COUNTIF(Settings!$E$5:$E$28,C339)=0,"Unknown cost code",IF(A339="","Missing date",IF(OR(G339="",H339=""),"Missing qty or cost",""))))))</f>
        <v/>
      </c>
      <c r="N339" s="35" t="n"/>
    </row>
    <row r="340">
      <c r="A340" s="40" t="n"/>
      <c r="B340" s="35" t="n"/>
      <c r="C340" s="35" t="n"/>
      <c r="D340" s="9">
        <f>IF(C340="","",IFERROR(VLOOKUP(C340,Settings!$E$5:$G$28,3,FALSE),"Other"))</f>
        <v/>
      </c>
      <c r="E340" s="35" t="n"/>
      <c r="F340" s="35" t="n"/>
      <c r="G340" s="35" t="n"/>
      <c r="H340" s="37" t="n"/>
      <c r="I340" s="39">
        <f>IF(B340="","",G340*H340)</f>
        <v/>
      </c>
      <c r="J340" s="35" t="n"/>
      <c r="K340" s="35" t="n"/>
      <c r="L340" s="35" t="n"/>
      <c r="M340" s="9">
        <f>IF(B340="","",IF(COUNTIF(Jobs!$A$5:$A$44,B340)=0,"Unknown Job ID",IF(C340="","Missing cost code",IF(COUNTIF(Settings!$E$5:$E$28,C340)=0,"Unknown cost code",IF(A340="","Missing date",IF(OR(G340="",H340=""),"Missing qty or cost",""))))))</f>
        <v/>
      </c>
      <c r="N340" s="35" t="n"/>
    </row>
    <row r="341">
      <c r="A341" s="40" t="n"/>
      <c r="B341" s="35" t="n"/>
      <c r="C341" s="35" t="n"/>
      <c r="D341" s="9">
        <f>IF(C341="","",IFERROR(VLOOKUP(C341,Settings!$E$5:$G$28,3,FALSE),"Other"))</f>
        <v/>
      </c>
      <c r="E341" s="35" t="n"/>
      <c r="F341" s="35" t="n"/>
      <c r="G341" s="35" t="n"/>
      <c r="H341" s="37" t="n"/>
      <c r="I341" s="39">
        <f>IF(B341="","",G341*H341)</f>
        <v/>
      </c>
      <c r="J341" s="35" t="n"/>
      <c r="K341" s="35" t="n"/>
      <c r="L341" s="35" t="n"/>
      <c r="M341" s="9">
        <f>IF(B341="","",IF(COUNTIF(Jobs!$A$5:$A$44,B341)=0,"Unknown Job ID",IF(C341="","Missing cost code",IF(COUNTIF(Settings!$E$5:$E$28,C341)=0,"Unknown cost code",IF(A341="","Missing date",IF(OR(G341="",H341=""),"Missing qty or cost",""))))))</f>
        <v/>
      </c>
      <c r="N341" s="35" t="n"/>
    </row>
    <row r="342">
      <c r="A342" s="40" t="n"/>
      <c r="B342" s="35" t="n"/>
      <c r="C342" s="35" t="n"/>
      <c r="D342" s="9">
        <f>IF(C342="","",IFERROR(VLOOKUP(C342,Settings!$E$5:$G$28,3,FALSE),"Other"))</f>
        <v/>
      </c>
      <c r="E342" s="35" t="n"/>
      <c r="F342" s="35" t="n"/>
      <c r="G342" s="35" t="n"/>
      <c r="H342" s="37" t="n"/>
      <c r="I342" s="39">
        <f>IF(B342="","",G342*H342)</f>
        <v/>
      </c>
      <c r="J342" s="35" t="n"/>
      <c r="K342" s="35" t="n"/>
      <c r="L342" s="35" t="n"/>
      <c r="M342" s="9">
        <f>IF(B342="","",IF(COUNTIF(Jobs!$A$5:$A$44,B342)=0,"Unknown Job ID",IF(C342="","Missing cost code",IF(COUNTIF(Settings!$E$5:$E$28,C342)=0,"Unknown cost code",IF(A342="","Missing date",IF(OR(G342="",H342=""),"Missing qty or cost",""))))))</f>
        <v/>
      </c>
      <c r="N342" s="35" t="n"/>
    </row>
    <row r="343">
      <c r="A343" s="40" t="n"/>
      <c r="B343" s="35" t="n"/>
      <c r="C343" s="35" t="n"/>
      <c r="D343" s="9">
        <f>IF(C343="","",IFERROR(VLOOKUP(C343,Settings!$E$5:$G$28,3,FALSE),"Other"))</f>
        <v/>
      </c>
      <c r="E343" s="35" t="n"/>
      <c r="F343" s="35" t="n"/>
      <c r="G343" s="35" t="n"/>
      <c r="H343" s="37" t="n"/>
      <c r="I343" s="39">
        <f>IF(B343="","",G343*H343)</f>
        <v/>
      </c>
      <c r="J343" s="35" t="n"/>
      <c r="K343" s="35" t="n"/>
      <c r="L343" s="35" t="n"/>
      <c r="M343" s="9">
        <f>IF(B343="","",IF(COUNTIF(Jobs!$A$5:$A$44,B343)=0,"Unknown Job ID",IF(C343="","Missing cost code",IF(COUNTIF(Settings!$E$5:$E$28,C343)=0,"Unknown cost code",IF(A343="","Missing date",IF(OR(G343="",H343=""),"Missing qty or cost",""))))))</f>
        <v/>
      </c>
      <c r="N343" s="35" t="n"/>
    </row>
    <row r="344">
      <c r="A344" s="40" t="n"/>
      <c r="B344" s="35" t="n"/>
      <c r="C344" s="35" t="n"/>
      <c r="D344" s="9">
        <f>IF(C344="","",IFERROR(VLOOKUP(C344,Settings!$E$5:$G$28,3,FALSE),"Other"))</f>
        <v/>
      </c>
      <c r="E344" s="35" t="n"/>
      <c r="F344" s="35" t="n"/>
      <c r="G344" s="35" t="n"/>
      <c r="H344" s="37" t="n"/>
      <c r="I344" s="39">
        <f>IF(B344="","",G344*H344)</f>
        <v/>
      </c>
      <c r="J344" s="35" t="n"/>
      <c r="K344" s="35" t="n"/>
      <c r="L344" s="35" t="n"/>
      <c r="M344" s="9">
        <f>IF(B344="","",IF(COUNTIF(Jobs!$A$5:$A$44,B344)=0,"Unknown Job ID",IF(C344="","Missing cost code",IF(COUNTIF(Settings!$E$5:$E$28,C344)=0,"Unknown cost code",IF(A344="","Missing date",IF(OR(G344="",H344=""),"Missing qty or cost",""))))))</f>
        <v/>
      </c>
      <c r="N344" s="35" t="n"/>
    </row>
    <row r="345">
      <c r="A345" s="40" t="n"/>
      <c r="B345" s="35" t="n"/>
      <c r="C345" s="35" t="n"/>
      <c r="D345" s="9">
        <f>IF(C345="","",IFERROR(VLOOKUP(C345,Settings!$E$5:$G$28,3,FALSE),"Other"))</f>
        <v/>
      </c>
      <c r="E345" s="35" t="n"/>
      <c r="F345" s="35" t="n"/>
      <c r="G345" s="35" t="n"/>
      <c r="H345" s="37" t="n"/>
      <c r="I345" s="39">
        <f>IF(B345="","",G345*H345)</f>
        <v/>
      </c>
      <c r="J345" s="35" t="n"/>
      <c r="K345" s="35" t="n"/>
      <c r="L345" s="35" t="n"/>
      <c r="M345" s="9">
        <f>IF(B345="","",IF(COUNTIF(Jobs!$A$5:$A$44,B345)=0,"Unknown Job ID",IF(C345="","Missing cost code",IF(COUNTIF(Settings!$E$5:$E$28,C345)=0,"Unknown cost code",IF(A345="","Missing date",IF(OR(G345="",H345=""),"Missing qty or cost",""))))))</f>
        <v/>
      </c>
      <c r="N345" s="35" t="n"/>
    </row>
    <row r="346">
      <c r="A346" s="40" t="n"/>
      <c r="B346" s="35" t="n"/>
      <c r="C346" s="35" t="n"/>
      <c r="D346" s="9">
        <f>IF(C346="","",IFERROR(VLOOKUP(C346,Settings!$E$5:$G$28,3,FALSE),"Other"))</f>
        <v/>
      </c>
      <c r="E346" s="35" t="n"/>
      <c r="F346" s="35" t="n"/>
      <c r="G346" s="35" t="n"/>
      <c r="H346" s="37" t="n"/>
      <c r="I346" s="39">
        <f>IF(B346="","",G346*H346)</f>
        <v/>
      </c>
      <c r="J346" s="35" t="n"/>
      <c r="K346" s="35" t="n"/>
      <c r="L346" s="35" t="n"/>
      <c r="M346" s="9">
        <f>IF(B346="","",IF(COUNTIF(Jobs!$A$5:$A$44,B346)=0,"Unknown Job ID",IF(C346="","Missing cost code",IF(COUNTIF(Settings!$E$5:$E$28,C346)=0,"Unknown cost code",IF(A346="","Missing date",IF(OR(G346="",H346=""),"Missing qty or cost",""))))))</f>
        <v/>
      </c>
      <c r="N346" s="35" t="n"/>
    </row>
    <row r="347">
      <c r="A347" s="40" t="n"/>
      <c r="B347" s="35" t="n"/>
      <c r="C347" s="35" t="n"/>
      <c r="D347" s="9">
        <f>IF(C347="","",IFERROR(VLOOKUP(C347,Settings!$E$5:$G$28,3,FALSE),"Other"))</f>
        <v/>
      </c>
      <c r="E347" s="35" t="n"/>
      <c r="F347" s="35" t="n"/>
      <c r="G347" s="35" t="n"/>
      <c r="H347" s="37" t="n"/>
      <c r="I347" s="39">
        <f>IF(B347="","",G347*H347)</f>
        <v/>
      </c>
      <c r="J347" s="35" t="n"/>
      <c r="K347" s="35" t="n"/>
      <c r="L347" s="35" t="n"/>
      <c r="M347" s="9">
        <f>IF(B347="","",IF(COUNTIF(Jobs!$A$5:$A$44,B347)=0,"Unknown Job ID",IF(C347="","Missing cost code",IF(COUNTIF(Settings!$E$5:$E$28,C347)=0,"Unknown cost code",IF(A347="","Missing date",IF(OR(G347="",H347=""),"Missing qty or cost",""))))))</f>
        <v/>
      </c>
      <c r="N347" s="35" t="n"/>
    </row>
    <row r="348">
      <c r="A348" s="40" t="n"/>
      <c r="B348" s="35" t="n"/>
      <c r="C348" s="35" t="n"/>
      <c r="D348" s="9">
        <f>IF(C348="","",IFERROR(VLOOKUP(C348,Settings!$E$5:$G$28,3,FALSE),"Other"))</f>
        <v/>
      </c>
      <c r="E348" s="35" t="n"/>
      <c r="F348" s="35" t="n"/>
      <c r="G348" s="35" t="n"/>
      <c r="H348" s="37" t="n"/>
      <c r="I348" s="39">
        <f>IF(B348="","",G348*H348)</f>
        <v/>
      </c>
      <c r="J348" s="35" t="n"/>
      <c r="K348" s="35" t="n"/>
      <c r="L348" s="35" t="n"/>
      <c r="M348" s="9">
        <f>IF(B348="","",IF(COUNTIF(Jobs!$A$5:$A$44,B348)=0,"Unknown Job ID",IF(C348="","Missing cost code",IF(COUNTIF(Settings!$E$5:$E$28,C348)=0,"Unknown cost code",IF(A348="","Missing date",IF(OR(G348="",H348=""),"Missing qty or cost",""))))))</f>
        <v/>
      </c>
      <c r="N348" s="35" t="n"/>
    </row>
    <row r="349">
      <c r="A349" s="40" t="n"/>
      <c r="B349" s="35" t="n"/>
      <c r="C349" s="35" t="n"/>
      <c r="D349" s="9">
        <f>IF(C349="","",IFERROR(VLOOKUP(C349,Settings!$E$5:$G$28,3,FALSE),"Other"))</f>
        <v/>
      </c>
      <c r="E349" s="35" t="n"/>
      <c r="F349" s="35" t="n"/>
      <c r="G349" s="35" t="n"/>
      <c r="H349" s="37" t="n"/>
      <c r="I349" s="39">
        <f>IF(B349="","",G349*H349)</f>
        <v/>
      </c>
      <c r="J349" s="35" t="n"/>
      <c r="K349" s="35" t="n"/>
      <c r="L349" s="35" t="n"/>
      <c r="M349" s="9">
        <f>IF(B349="","",IF(COUNTIF(Jobs!$A$5:$A$44,B349)=0,"Unknown Job ID",IF(C349="","Missing cost code",IF(COUNTIF(Settings!$E$5:$E$28,C349)=0,"Unknown cost code",IF(A349="","Missing date",IF(OR(G349="",H349=""),"Missing qty or cost",""))))))</f>
        <v/>
      </c>
      <c r="N349" s="35" t="n"/>
    </row>
    <row r="350">
      <c r="A350" s="40" t="n"/>
      <c r="B350" s="35" t="n"/>
      <c r="C350" s="35" t="n"/>
      <c r="D350" s="9">
        <f>IF(C350="","",IFERROR(VLOOKUP(C350,Settings!$E$5:$G$28,3,FALSE),"Other"))</f>
        <v/>
      </c>
      <c r="E350" s="35" t="n"/>
      <c r="F350" s="35" t="n"/>
      <c r="G350" s="35" t="n"/>
      <c r="H350" s="37" t="n"/>
      <c r="I350" s="39">
        <f>IF(B350="","",G350*H350)</f>
        <v/>
      </c>
      <c r="J350" s="35" t="n"/>
      <c r="K350" s="35" t="n"/>
      <c r="L350" s="35" t="n"/>
      <c r="M350" s="9">
        <f>IF(B350="","",IF(COUNTIF(Jobs!$A$5:$A$44,B350)=0,"Unknown Job ID",IF(C350="","Missing cost code",IF(COUNTIF(Settings!$E$5:$E$28,C350)=0,"Unknown cost code",IF(A350="","Missing date",IF(OR(G350="",H350=""),"Missing qty or cost",""))))))</f>
        <v/>
      </c>
      <c r="N350" s="35" t="n"/>
    </row>
    <row r="351">
      <c r="A351" s="40" t="n"/>
      <c r="B351" s="35" t="n"/>
      <c r="C351" s="35" t="n"/>
      <c r="D351" s="9">
        <f>IF(C351="","",IFERROR(VLOOKUP(C351,Settings!$E$5:$G$28,3,FALSE),"Other"))</f>
        <v/>
      </c>
      <c r="E351" s="35" t="n"/>
      <c r="F351" s="35" t="n"/>
      <c r="G351" s="35" t="n"/>
      <c r="H351" s="37" t="n"/>
      <c r="I351" s="39">
        <f>IF(B351="","",G351*H351)</f>
        <v/>
      </c>
      <c r="J351" s="35" t="n"/>
      <c r="K351" s="35" t="n"/>
      <c r="L351" s="35" t="n"/>
      <c r="M351" s="9">
        <f>IF(B351="","",IF(COUNTIF(Jobs!$A$5:$A$44,B351)=0,"Unknown Job ID",IF(C351="","Missing cost code",IF(COUNTIF(Settings!$E$5:$E$28,C351)=0,"Unknown cost code",IF(A351="","Missing date",IF(OR(G351="",H351=""),"Missing qty or cost",""))))))</f>
        <v/>
      </c>
      <c r="N351" s="35" t="n"/>
    </row>
    <row r="352">
      <c r="A352" s="40" t="n"/>
      <c r="B352" s="35" t="n"/>
      <c r="C352" s="35" t="n"/>
      <c r="D352" s="9">
        <f>IF(C352="","",IFERROR(VLOOKUP(C352,Settings!$E$5:$G$28,3,FALSE),"Other"))</f>
        <v/>
      </c>
      <c r="E352" s="35" t="n"/>
      <c r="F352" s="35" t="n"/>
      <c r="G352" s="35" t="n"/>
      <c r="H352" s="37" t="n"/>
      <c r="I352" s="39">
        <f>IF(B352="","",G352*H352)</f>
        <v/>
      </c>
      <c r="J352" s="35" t="n"/>
      <c r="K352" s="35" t="n"/>
      <c r="L352" s="35" t="n"/>
      <c r="M352" s="9">
        <f>IF(B352="","",IF(COUNTIF(Jobs!$A$5:$A$44,B352)=0,"Unknown Job ID",IF(C352="","Missing cost code",IF(COUNTIF(Settings!$E$5:$E$28,C352)=0,"Unknown cost code",IF(A352="","Missing date",IF(OR(G352="",H352=""),"Missing qty or cost",""))))))</f>
        <v/>
      </c>
      <c r="N352" s="35" t="n"/>
    </row>
    <row r="353">
      <c r="A353" s="40" t="n"/>
      <c r="B353" s="35" t="n"/>
      <c r="C353" s="35" t="n"/>
      <c r="D353" s="9">
        <f>IF(C353="","",IFERROR(VLOOKUP(C353,Settings!$E$5:$G$28,3,FALSE),"Other"))</f>
        <v/>
      </c>
      <c r="E353" s="35" t="n"/>
      <c r="F353" s="35" t="n"/>
      <c r="G353" s="35" t="n"/>
      <c r="H353" s="37" t="n"/>
      <c r="I353" s="39">
        <f>IF(B353="","",G353*H353)</f>
        <v/>
      </c>
      <c r="J353" s="35" t="n"/>
      <c r="K353" s="35" t="n"/>
      <c r="L353" s="35" t="n"/>
      <c r="M353" s="9">
        <f>IF(B353="","",IF(COUNTIF(Jobs!$A$5:$A$44,B353)=0,"Unknown Job ID",IF(C353="","Missing cost code",IF(COUNTIF(Settings!$E$5:$E$28,C353)=0,"Unknown cost code",IF(A353="","Missing date",IF(OR(G353="",H353=""),"Missing qty or cost",""))))))</f>
        <v/>
      </c>
      <c r="N353" s="35" t="n"/>
    </row>
    <row r="354">
      <c r="A354" s="40" t="n"/>
      <c r="B354" s="35" t="n"/>
      <c r="C354" s="35" t="n"/>
      <c r="D354" s="9">
        <f>IF(C354="","",IFERROR(VLOOKUP(C354,Settings!$E$5:$G$28,3,FALSE),"Other"))</f>
        <v/>
      </c>
      <c r="E354" s="35" t="n"/>
      <c r="F354" s="35" t="n"/>
      <c r="G354" s="35" t="n"/>
      <c r="H354" s="37" t="n"/>
      <c r="I354" s="39">
        <f>IF(B354="","",G354*H354)</f>
        <v/>
      </c>
      <c r="J354" s="35" t="n"/>
      <c r="K354" s="35" t="n"/>
      <c r="L354" s="35" t="n"/>
      <c r="M354" s="9">
        <f>IF(B354="","",IF(COUNTIF(Jobs!$A$5:$A$44,B354)=0,"Unknown Job ID",IF(C354="","Missing cost code",IF(COUNTIF(Settings!$E$5:$E$28,C354)=0,"Unknown cost code",IF(A354="","Missing date",IF(OR(G354="",H354=""),"Missing qty or cost",""))))))</f>
        <v/>
      </c>
      <c r="N354" s="35" t="n"/>
    </row>
    <row r="355">
      <c r="A355" s="40" t="n"/>
      <c r="B355" s="35" t="n"/>
      <c r="C355" s="35" t="n"/>
      <c r="D355" s="9">
        <f>IF(C355="","",IFERROR(VLOOKUP(C355,Settings!$E$5:$G$28,3,FALSE),"Other"))</f>
        <v/>
      </c>
      <c r="E355" s="35" t="n"/>
      <c r="F355" s="35" t="n"/>
      <c r="G355" s="35" t="n"/>
      <c r="H355" s="37" t="n"/>
      <c r="I355" s="39">
        <f>IF(B355="","",G355*H355)</f>
        <v/>
      </c>
      <c r="J355" s="35" t="n"/>
      <c r="K355" s="35" t="n"/>
      <c r="L355" s="35" t="n"/>
      <c r="M355" s="9">
        <f>IF(B355="","",IF(COUNTIF(Jobs!$A$5:$A$44,B355)=0,"Unknown Job ID",IF(C355="","Missing cost code",IF(COUNTIF(Settings!$E$5:$E$28,C355)=0,"Unknown cost code",IF(A355="","Missing date",IF(OR(G355="",H355=""),"Missing qty or cost",""))))))</f>
        <v/>
      </c>
      <c r="N355" s="35" t="n"/>
    </row>
    <row r="356">
      <c r="A356" s="40" t="n"/>
      <c r="B356" s="35" t="n"/>
      <c r="C356" s="35" t="n"/>
      <c r="D356" s="9">
        <f>IF(C356="","",IFERROR(VLOOKUP(C356,Settings!$E$5:$G$28,3,FALSE),"Other"))</f>
        <v/>
      </c>
      <c r="E356" s="35" t="n"/>
      <c r="F356" s="35" t="n"/>
      <c r="G356" s="35" t="n"/>
      <c r="H356" s="37" t="n"/>
      <c r="I356" s="39">
        <f>IF(B356="","",G356*H356)</f>
        <v/>
      </c>
      <c r="J356" s="35" t="n"/>
      <c r="K356" s="35" t="n"/>
      <c r="L356" s="35" t="n"/>
      <c r="M356" s="9">
        <f>IF(B356="","",IF(COUNTIF(Jobs!$A$5:$A$44,B356)=0,"Unknown Job ID",IF(C356="","Missing cost code",IF(COUNTIF(Settings!$E$5:$E$28,C356)=0,"Unknown cost code",IF(A356="","Missing date",IF(OR(G356="",H356=""),"Missing qty or cost",""))))))</f>
        <v/>
      </c>
      <c r="N356" s="35" t="n"/>
    </row>
    <row r="357">
      <c r="A357" s="40" t="n"/>
      <c r="B357" s="35" t="n"/>
      <c r="C357" s="35" t="n"/>
      <c r="D357" s="9">
        <f>IF(C357="","",IFERROR(VLOOKUP(C357,Settings!$E$5:$G$28,3,FALSE),"Other"))</f>
        <v/>
      </c>
      <c r="E357" s="35" t="n"/>
      <c r="F357" s="35" t="n"/>
      <c r="G357" s="35" t="n"/>
      <c r="H357" s="37" t="n"/>
      <c r="I357" s="39">
        <f>IF(B357="","",G357*H357)</f>
        <v/>
      </c>
      <c r="J357" s="35" t="n"/>
      <c r="K357" s="35" t="n"/>
      <c r="L357" s="35" t="n"/>
      <c r="M357" s="9">
        <f>IF(B357="","",IF(COUNTIF(Jobs!$A$5:$A$44,B357)=0,"Unknown Job ID",IF(C357="","Missing cost code",IF(COUNTIF(Settings!$E$5:$E$28,C357)=0,"Unknown cost code",IF(A357="","Missing date",IF(OR(G357="",H357=""),"Missing qty or cost",""))))))</f>
        <v/>
      </c>
      <c r="N357" s="35" t="n"/>
    </row>
    <row r="358">
      <c r="A358" s="40" t="n"/>
      <c r="B358" s="35" t="n"/>
      <c r="C358" s="35" t="n"/>
      <c r="D358" s="9">
        <f>IF(C358="","",IFERROR(VLOOKUP(C358,Settings!$E$5:$G$28,3,FALSE),"Other"))</f>
        <v/>
      </c>
      <c r="E358" s="35" t="n"/>
      <c r="F358" s="35" t="n"/>
      <c r="G358" s="35" t="n"/>
      <c r="H358" s="37" t="n"/>
      <c r="I358" s="39">
        <f>IF(B358="","",G358*H358)</f>
        <v/>
      </c>
      <c r="J358" s="35" t="n"/>
      <c r="K358" s="35" t="n"/>
      <c r="L358" s="35" t="n"/>
      <c r="M358" s="9">
        <f>IF(B358="","",IF(COUNTIF(Jobs!$A$5:$A$44,B358)=0,"Unknown Job ID",IF(C358="","Missing cost code",IF(COUNTIF(Settings!$E$5:$E$28,C358)=0,"Unknown cost code",IF(A358="","Missing date",IF(OR(G358="",H358=""),"Missing qty or cost",""))))))</f>
        <v/>
      </c>
      <c r="N358" s="35" t="n"/>
    </row>
    <row r="359">
      <c r="A359" s="40" t="n"/>
      <c r="B359" s="35" t="n"/>
      <c r="C359" s="35" t="n"/>
      <c r="D359" s="9">
        <f>IF(C359="","",IFERROR(VLOOKUP(C359,Settings!$E$5:$G$28,3,FALSE),"Other"))</f>
        <v/>
      </c>
      <c r="E359" s="35" t="n"/>
      <c r="F359" s="35" t="n"/>
      <c r="G359" s="35" t="n"/>
      <c r="H359" s="37" t="n"/>
      <c r="I359" s="39">
        <f>IF(B359="","",G359*H359)</f>
        <v/>
      </c>
      <c r="J359" s="35" t="n"/>
      <c r="K359" s="35" t="n"/>
      <c r="L359" s="35" t="n"/>
      <c r="M359" s="9">
        <f>IF(B359="","",IF(COUNTIF(Jobs!$A$5:$A$44,B359)=0,"Unknown Job ID",IF(C359="","Missing cost code",IF(COUNTIF(Settings!$E$5:$E$28,C359)=0,"Unknown cost code",IF(A359="","Missing date",IF(OR(G359="",H359=""),"Missing qty or cost",""))))))</f>
        <v/>
      </c>
      <c r="N359" s="35" t="n"/>
    </row>
    <row r="360">
      <c r="A360" s="40" t="n"/>
      <c r="B360" s="35" t="n"/>
      <c r="C360" s="35" t="n"/>
      <c r="D360" s="9">
        <f>IF(C360="","",IFERROR(VLOOKUP(C360,Settings!$E$5:$G$28,3,FALSE),"Other"))</f>
        <v/>
      </c>
      <c r="E360" s="35" t="n"/>
      <c r="F360" s="35" t="n"/>
      <c r="G360" s="35" t="n"/>
      <c r="H360" s="37" t="n"/>
      <c r="I360" s="39">
        <f>IF(B360="","",G360*H360)</f>
        <v/>
      </c>
      <c r="J360" s="35" t="n"/>
      <c r="K360" s="35" t="n"/>
      <c r="L360" s="35" t="n"/>
      <c r="M360" s="9">
        <f>IF(B360="","",IF(COUNTIF(Jobs!$A$5:$A$44,B360)=0,"Unknown Job ID",IF(C360="","Missing cost code",IF(COUNTIF(Settings!$E$5:$E$28,C360)=0,"Unknown cost code",IF(A360="","Missing date",IF(OR(G360="",H360=""),"Missing qty or cost",""))))))</f>
        <v/>
      </c>
      <c r="N360" s="35" t="n"/>
    </row>
    <row r="361">
      <c r="A361" s="40" t="n"/>
      <c r="B361" s="35" t="n"/>
      <c r="C361" s="35" t="n"/>
      <c r="D361" s="9">
        <f>IF(C361="","",IFERROR(VLOOKUP(C361,Settings!$E$5:$G$28,3,FALSE),"Other"))</f>
        <v/>
      </c>
      <c r="E361" s="35" t="n"/>
      <c r="F361" s="35" t="n"/>
      <c r="G361" s="35" t="n"/>
      <c r="H361" s="37" t="n"/>
      <c r="I361" s="39">
        <f>IF(B361="","",G361*H361)</f>
        <v/>
      </c>
      <c r="J361" s="35" t="n"/>
      <c r="K361" s="35" t="n"/>
      <c r="L361" s="35" t="n"/>
      <c r="M361" s="9">
        <f>IF(B361="","",IF(COUNTIF(Jobs!$A$5:$A$44,B361)=0,"Unknown Job ID",IF(C361="","Missing cost code",IF(COUNTIF(Settings!$E$5:$E$28,C361)=0,"Unknown cost code",IF(A361="","Missing date",IF(OR(G361="",H361=""),"Missing qty or cost",""))))))</f>
        <v/>
      </c>
      <c r="N361" s="35" t="n"/>
    </row>
    <row r="362">
      <c r="A362" s="40" t="n"/>
      <c r="B362" s="35" t="n"/>
      <c r="C362" s="35" t="n"/>
      <c r="D362" s="9">
        <f>IF(C362="","",IFERROR(VLOOKUP(C362,Settings!$E$5:$G$28,3,FALSE),"Other"))</f>
        <v/>
      </c>
      <c r="E362" s="35" t="n"/>
      <c r="F362" s="35" t="n"/>
      <c r="G362" s="35" t="n"/>
      <c r="H362" s="37" t="n"/>
      <c r="I362" s="39">
        <f>IF(B362="","",G362*H362)</f>
        <v/>
      </c>
      <c r="J362" s="35" t="n"/>
      <c r="K362" s="35" t="n"/>
      <c r="L362" s="35" t="n"/>
      <c r="M362" s="9">
        <f>IF(B362="","",IF(COUNTIF(Jobs!$A$5:$A$44,B362)=0,"Unknown Job ID",IF(C362="","Missing cost code",IF(COUNTIF(Settings!$E$5:$E$28,C362)=0,"Unknown cost code",IF(A362="","Missing date",IF(OR(G362="",H362=""),"Missing qty or cost",""))))))</f>
        <v/>
      </c>
      <c r="N362" s="35" t="n"/>
    </row>
    <row r="363">
      <c r="A363" s="40" t="n"/>
      <c r="B363" s="35" t="n"/>
      <c r="C363" s="35" t="n"/>
      <c r="D363" s="9">
        <f>IF(C363="","",IFERROR(VLOOKUP(C363,Settings!$E$5:$G$28,3,FALSE),"Other"))</f>
        <v/>
      </c>
      <c r="E363" s="35" t="n"/>
      <c r="F363" s="35" t="n"/>
      <c r="G363" s="35" t="n"/>
      <c r="H363" s="37" t="n"/>
      <c r="I363" s="39">
        <f>IF(B363="","",G363*H363)</f>
        <v/>
      </c>
      <c r="J363" s="35" t="n"/>
      <c r="K363" s="35" t="n"/>
      <c r="L363" s="35" t="n"/>
      <c r="M363" s="9">
        <f>IF(B363="","",IF(COUNTIF(Jobs!$A$5:$A$44,B363)=0,"Unknown Job ID",IF(C363="","Missing cost code",IF(COUNTIF(Settings!$E$5:$E$28,C363)=0,"Unknown cost code",IF(A363="","Missing date",IF(OR(G363="",H363=""),"Missing qty or cost",""))))))</f>
        <v/>
      </c>
      <c r="N363" s="35" t="n"/>
    </row>
    <row r="364">
      <c r="A364" s="40" t="n"/>
      <c r="B364" s="35" t="n"/>
      <c r="C364" s="35" t="n"/>
      <c r="D364" s="9">
        <f>IF(C364="","",IFERROR(VLOOKUP(C364,Settings!$E$5:$G$28,3,FALSE),"Other"))</f>
        <v/>
      </c>
      <c r="E364" s="35" t="n"/>
      <c r="F364" s="35" t="n"/>
      <c r="G364" s="35" t="n"/>
      <c r="H364" s="37" t="n"/>
      <c r="I364" s="39">
        <f>IF(B364="","",G364*H364)</f>
        <v/>
      </c>
      <c r="J364" s="35" t="n"/>
      <c r="K364" s="35" t="n"/>
      <c r="L364" s="35" t="n"/>
      <c r="M364" s="9">
        <f>IF(B364="","",IF(COUNTIF(Jobs!$A$5:$A$44,B364)=0,"Unknown Job ID",IF(C364="","Missing cost code",IF(COUNTIF(Settings!$E$5:$E$28,C364)=0,"Unknown cost code",IF(A364="","Missing date",IF(OR(G364="",H364=""),"Missing qty or cost",""))))))</f>
        <v/>
      </c>
      <c r="N364" s="35" t="n"/>
    </row>
    <row r="365">
      <c r="A365" s="40" t="n"/>
      <c r="B365" s="35" t="n"/>
      <c r="C365" s="35" t="n"/>
      <c r="D365" s="9">
        <f>IF(C365="","",IFERROR(VLOOKUP(C365,Settings!$E$5:$G$28,3,FALSE),"Other"))</f>
        <v/>
      </c>
      <c r="E365" s="35" t="n"/>
      <c r="F365" s="35" t="n"/>
      <c r="G365" s="35" t="n"/>
      <c r="H365" s="37" t="n"/>
      <c r="I365" s="39">
        <f>IF(B365="","",G365*H365)</f>
        <v/>
      </c>
      <c r="J365" s="35" t="n"/>
      <c r="K365" s="35" t="n"/>
      <c r="L365" s="35" t="n"/>
      <c r="M365" s="9">
        <f>IF(B365="","",IF(COUNTIF(Jobs!$A$5:$A$44,B365)=0,"Unknown Job ID",IF(C365="","Missing cost code",IF(COUNTIF(Settings!$E$5:$E$28,C365)=0,"Unknown cost code",IF(A365="","Missing date",IF(OR(G365="",H365=""),"Missing qty or cost",""))))))</f>
        <v/>
      </c>
      <c r="N365" s="35" t="n"/>
    </row>
    <row r="366">
      <c r="A366" s="40" t="n"/>
      <c r="B366" s="35" t="n"/>
      <c r="C366" s="35" t="n"/>
      <c r="D366" s="9">
        <f>IF(C366="","",IFERROR(VLOOKUP(C366,Settings!$E$5:$G$28,3,FALSE),"Other"))</f>
        <v/>
      </c>
      <c r="E366" s="35" t="n"/>
      <c r="F366" s="35" t="n"/>
      <c r="G366" s="35" t="n"/>
      <c r="H366" s="37" t="n"/>
      <c r="I366" s="39">
        <f>IF(B366="","",G366*H366)</f>
        <v/>
      </c>
      <c r="J366" s="35" t="n"/>
      <c r="K366" s="35" t="n"/>
      <c r="L366" s="35" t="n"/>
      <c r="M366" s="9">
        <f>IF(B366="","",IF(COUNTIF(Jobs!$A$5:$A$44,B366)=0,"Unknown Job ID",IF(C366="","Missing cost code",IF(COUNTIF(Settings!$E$5:$E$28,C366)=0,"Unknown cost code",IF(A366="","Missing date",IF(OR(G366="",H366=""),"Missing qty or cost",""))))))</f>
        <v/>
      </c>
      <c r="N366" s="35" t="n"/>
    </row>
    <row r="367">
      <c r="A367" s="40" t="n"/>
      <c r="B367" s="35" t="n"/>
      <c r="C367" s="35" t="n"/>
      <c r="D367" s="9">
        <f>IF(C367="","",IFERROR(VLOOKUP(C367,Settings!$E$5:$G$28,3,FALSE),"Other"))</f>
        <v/>
      </c>
      <c r="E367" s="35" t="n"/>
      <c r="F367" s="35" t="n"/>
      <c r="G367" s="35" t="n"/>
      <c r="H367" s="37" t="n"/>
      <c r="I367" s="39">
        <f>IF(B367="","",G367*H367)</f>
        <v/>
      </c>
      <c r="J367" s="35" t="n"/>
      <c r="K367" s="35" t="n"/>
      <c r="L367" s="35" t="n"/>
      <c r="M367" s="9">
        <f>IF(B367="","",IF(COUNTIF(Jobs!$A$5:$A$44,B367)=0,"Unknown Job ID",IF(C367="","Missing cost code",IF(COUNTIF(Settings!$E$5:$E$28,C367)=0,"Unknown cost code",IF(A367="","Missing date",IF(OR(G367="",H367=""),"Missing qty or cost",""))))))</f>
        <v/>
      </c>
      <c r="N367" s="35" t="n"/>
    </row>
    <row r="368">
      <c r="A368" s="40" t="n"/>
      <c r="B368" s="35" t="n"/>
      <c r="C368" s="35" t="n"/>
      <c r="D368" s="9">
        <f>IF(C368="","",IFERROR(VLOOKUP(C368,Settings!$E$5:$G$28,3,FALSE),"Other"))</f>
        <v/>
      </c>
      <c r="E368" s="35" t="n"/>
      <c r="F368" s="35" t="n"/>
      <c r="G368" s="35" t="n"/>
      <c r="H368" s="37" t="n"/>
      <c r="I368" s="39">
        <f>IF(B368="","",G368*H368)</f>
        <v/>
      </c>
      <c r="J368" s="35" t="n"/>
      <c r="K368" s="35" t="n"/>
      <c r="L368" s="35" t="n"/>
      <c r="M368" s="9">
        <f>IF(B368="","",IF(COUNTIF(Jobs!$A$5:$A$44,B368)=0,"Unknown Job ID",IF(C368="","Missing cost code",IF(COUNTIF(Settings!$E$5:$E$28,C368)=0,"Unknown cost code",IF(A368="","Missing date",IF(OR(G368="",H368=""),"Missing qty or cost",""))))))</f>
        <v/>
      </c>
      <c r="N368" s="35" t="n"/>
    </row>
    <row r="369">
      <c r="A369" s="40" t="n"/>
      <c r="B369" s="35" t="n"/>
      <c r="C369" s="35" t="n"/>
      <c r="D369" s="9">
        <f>IF(C369="","",IFERROR(VLOOKUP(C369,Settings!$E$5:$G$28,3,FALSE),"Other"))</f>
        <v/>
      </c>
      <c r="E369" s="35" t="n"/>
      <c r="F369" s="35" t="n"/>
      <c r="G369" s="35" t="n"/>
      <c r="H369" s="37" t="n"/>
      <c r="I369" s="39">
        <f>IF(B369="","",G369*H369)</f>
        <v/>
      </c>
      <c r="J369" s="35" t="n"/>
      <c r="K369" s="35" t="n"/>
      <c r="L369" s="35" t="n"/>
      <c r="M369" s="9">
        <f>IF(B369="","",IF(COUNTIF(Jobs!$A$5:$A$44,B369)=0,"Unknown Job ID",IF(C369="","Missing cost code",IF(COUNTIF(Settings!$E$5:$E$28,C369)=0,"Unknown cost code",IF(A369="","Missing date",IF(OR(G369="",H369=""),"Missing qty or cost",""))))))</f>
        <v/>
      </c>
      <c r="N369" s="35" t="n"/>
    </row>
    <row r="370">
      <c r="A370" s="40" t="n"/>
      <c r="B370" s="35" t="n"/>
      <c r="C370" s="35" t="n"/>
      <c r="D370" s="9">
        <f>IF(C370="","",IFERROR(VLOOKUP(C370,Settings!$E$5:$G$28,3,FALSE),"Other"))</f>
        <v/>
      </c>
      <c r="E370" s="35" t="n"/>
      <c r="F370" s="35" t="n"/>
      <c r="G370" s="35" t="n"/>
      <c r="H370" s="37" t="n"/>
      <c r="I370" s="39">
        <f>IF(B370="","",G370*H370)</f>
        <v/>
      </c>
      <c r="J370" s="35" t="n"/>
      <c r="K370" s="35" t="n"/>
      <c r="L370" s="35" t="n"/>
      <c r="M370" s="9">
        <f>IF(B370="","",IF(COUNTIF(Jobs!$A$5:$A$44,B370)=0,"Unknown Job ID",IF(C370="","Missing cost code",IF(COUNTIF(Settings!$E$5:$E$28,C370)=0,"Unknown cost code",IF(A370="","Missing date",IF(OR(G370="",H370=""),"Missing qty or cost",""))))))</f>
        <v/>
      </c>
      <c r="N370" s="35" t="n"/>
    </row>
    <row r="371">
      <c r="A371" s="40" t="n"/>
      <c r="B371" s="35" t="n"/>
      <c r="C371" s="35" t="n"/>
      <c r="D371" s="9">
        <f>IF(C371="","",IFERROR(VLOOKUP(C371,Settings!$E$5:$G$28,3,FALSE),"Other"))</f>
        <v/>
      </c>
      <c r="E371" s="35" t="n"/>
      <c r="F371" s="35" t="n"/>
      <c r="G371" s="35" t="n"/>
      <c r="H371" s="37" t="n"/>
      <c r="I371" s="39">
        <f>IF(B371="","",G371*H371)</f>
        <v/>
      </c>
      <c r="J371" s="35" t="n"/>
      <c r="K371" s="35" t="n"/>
      <c r="L371" s="35" t="n"/>
      <c r="M371" s="9">
        <f>IF(B371="","",IF(COUNTIF(Jobs!$A$5:$A$44,B371)=0,"Unknown Job ID",IF(C371="","Missing cost code",IF(COUNTIF(Settings!$E$5:$E$28,C371)=0,"Unknown cost code",IF(A371="","Missing date",IF(OR(G371="",H371=""),"Missing qty or cost",""))))))</f>
        <v/>
      </c>
      <c r="N371" s="35" t="n"/>
    </row>
    <row r="372">
      <c r="A372" s="40" t="n"/>
      <c r="B372" s="35" t="n"/>
      <c r="C372" s="35" t="n"/>
      <c r="D372" s="9">
        <f>IF(C372="","",IFERROR(VLOOKUP(C372,Settings!$E$5:$G$28,3,FALSE),"Other"))</f>
        <v/>
      </c>
      <c r="E372" s="35" t="n"/>
      <c r="F372" s="35" t="n"/>
      <c r="G372" s="35" t="n"/>
      <c r="H372" s="37" t="n"/>
      <c r="I372" s="39">
        <f>IF(B372="","",G372*H372)</f>
        <v/>
      </c>
      <c r="J372" s="35" t="n"/>
      <c r="K372" s="35" t="n"/>
      <c r="L372" s="35" t="n"/>
      <c r="M372" s="9">
        <f>IF(B372="","",IF(COUNTIF(Jobs!$A$5:$A$44,B372)=0,"Unknown Job ID",IF(C372="","Missing cost code",IF(COUNTIF(Settings!$E$5:$E$28,C372)=0,"Unknown cost code",IF(A372="","Missing date",IF(OR(G372="",H372=""),"Missing qty or cost",""))))))</f>
        <v/>
      </c>
      <c r="N372" s="35" t="n"/>
    </row>
    <row r="373">
      <c r="A373" s="40" t="n"/>
      <c r="B373" s="35" t="n"/>
      <c r="C373" s="35" t="n"/>
      <c r="D373" s="9">
        <f>IF(C373="","",IFERROR(VLOOKUP(C373,Settings!$E$5:$G$28,3,FALSE),"Other"))</f>
        <v/>
      </c>
      <c r="E373" s="35" t="n"/>
      <c r="F373" s="35" t="n"/>
      <c r="G373" s="35" t="n"/>
      <c r="H373" s="37" t="n"/>
      <c r="I373" s="39">
        <f>IF(B373="","",G373*H373)</f>
        <v/>
      </c>
      <c r="J373" s="35" t="n"/>
      <c r="K373" s="35" t="n"/>
      <c r="L373" s="35" t="n"/>
      <c r="M373" s="9">
        <f>IF(B373="","",IF(COUNTIF(Jobs!$A$5:$A$44,B373)=0,"Unknown Job ID",IF(C373="","Missing cost code",IF(COUNTIF(Settings!$E$5:$E$28,C373)=0,"Unknown cost code",IF(A373="","Missing date",IF(OR(G373="",H373=""),"Missing qty or cost",""))))))</f>
        <v/>
      </c>
      <c r="N373" s="35" t="n"/>
    </row>
    <row r="374">
      <c r="A374" s="40" t="n"/>
      <c r="B374" s="35" t="n"/>
      <c r="C374" s="35" t="n"/>
      <c r="D374" s="9">
        <f>IF(C374="","",IFERROR(VLOOKUP(C374,Settings!$E$5:$G$28,3,FALSE),"Other"))</f>
        <v/>
      </c>
      <c r="E374" s="35" t="n"/>
      <c r="F374" s="35" t="n"/>
      <c r="G374" s="35" t="n"/>
      <c r="H374" s="37" t="n"/>
      <c r="I374" s="39">
        <f>IF(B374="","",G374*H374)</f>
        <v/>
      </c>
      <c r="J374" s="35" t="n"/>
      <c r="K374" s="35" t="n"/>
      <c r="L374" s="35" t="n"/>
      <c r="M374" s="9">
        <f>IF(B374="","",IF(COUNTIF(Jobs!$A$5:$A$44,B374)=0,"Unknown Job ID",IF(C374="","Missing cost code",IF(COUNTIF(Settings!$E$5:$E$28,C374)=0,"Unknown cost code",IF(A374="","Missing date",IF(OR(G374="",H374=""),"Missing qty or cost",""))))))</f>
        <v/>
      </c>
      <c r="N374" s="35" t="n"/>
    </row>
    <row r="375">
      <c r="A375" s="40" t="n"/>
      <c r="B375" s="35" t="n"/>
      <c r="C375" s="35" t="n"/>
      <c r="D375" s="9">
        <f>IF(C375="","",IFERROR(VLOOKUP(C375,Settings!$E$5:$G$28,3,FALSE),"Other"))</f>
        <v/>
      </c>
      <c r="E375" s="35" t="n"/>
      <c r="F375" s="35" t="n"/>
      <c r="G375" s="35" t="n"/>
      <c r="H375" s="37" t="n"/>
      <c r="I375" s="39">
        <f>IF(B375="","",G375*H375)</f>
        <v/>
      </c>
      <c r="J375" s="35" t="n"/>
      <c r="K375" s="35" t="n"/>
      <c r="L375" s="35" t="n"/>
      <c r="M375" s="9">
        <f>IF(B375="","",IF(COUNTIF(Jobs!$A$5:$A$44,B375)=0,"Unknown Job ID",IF(C375="","Missing cost code",IF(COUNTIF(Settings!$E$5:$E$28,C375)=0,"Unknown cost code",IF(A375="","Missing date",IF(OR(G375="",H375=""),"Missing qty or cost",""))))))</f>
        <v/>
      </c>
      <c r="N375" s="35" t="n"/>
    </row>
    <row r="376">
      <c r="A376" s="40" t="n"/>
      <c r="B376" s="35" t="n"/>
      <c r="C376" s="35" t="n"/>
      <c r="D376" s="9">
        <f>IF(C376="","",IFERROR(VLOOKUP(C376,Settings!$E$5:$G$28,3,FALSE),"Other"))</f>
        <v/>
      </c>
      <c r="E376" s="35" t="n"/>
      <c r="F376" s="35" t="n"/>
      <c r="G376" s="35" t="n"/>
      <c r="H376" s="37" t="n"/>
      <c r="I376" s="39">
        <f>IF(B376="","",G376*H376)</f>
        <v/>
      </c>
      <c r="J376" s="35" t="n"/>
      <c r="K376" s="35" t="n"/>
      <c r="L376" s="35" t="n"/>
      <c r="M376" s="9">
        <f>IF(B376="","",IF(COUNTIF(Jobs!$A$5:$A$44,B376)=0,"Unknown Job ID",IF(C376="","Missing cost code",IF(COUNTIF(Settings!$E$5:$E$28,C376)=0,"Unknown cost code",IF(A376="","Missing date",IF(OR(G376="",H376=""),"Missing qty or cost",""))))))</f>
        <v/>
      </c>
      <c r="N376" s="35" t="n"/>
    </row>
    <row r="377">
      <c r="A377" s="40" t="n"/>
      <c r="B377" s="35" t="n"/>
      <c r="C377" s="35" t="n"/>
      <c r="D377" s="9">
        <f>IF(C377="","",IFERROR(VLOOKUP(C377,Settings!$E$5:$G$28,3,FALSE),"Other"))</f>
        <v/>
      </c>
      <c r="E377" s="35" t="n"/>
      <c r="F377" s="35" t="n"/>
      <c r="G377" s="35" t="n"/>
      <c r="H377" s="37" t="n"/>
      <c r="I377" s="39">
        <f>IF(B377="","",G377*H377)</f>
        <v/>
      </c>
      <c r="J377" s="35" t="n"/>
      <c r="K377" s="35" t="n"/>
      <c r="L377" s="35" t="n"/>
      <c r="M377" s="9">
        <f>IF(B377="","",IF(COUNTIF(Jobs!$A$5:$A$44,B377)=0,"Unknown Job ID",IF(C377="","Missing cost code",IF(COUNTIF(Settings!$E$5:$E$28,C377)=0,"Unknown cost code",IF(A377="","Missing date",IF(OR(G377="",H377=""),"Missing qty or cost",""))))))</f>
        <v/>
      </c>
      <c r="N377" s="35" t="n"/>
    </row>
    <row r="378">
      <c r="A378" s="40" t="n"/>
      <c r="B378" s="35" t="n"/>
      <c r="C378" s="35" t="n"/>
      <c r="D378" s="9">
        <f>IF(C378="","",IFERROR(VLOOKUP(C378,Settings!$E$5:$G$28,3,FALSE),"Other"))</f>
        <v/>
      </c>
      <c r="E378" s="35" t="n"/>
      <c r="F378" s="35" t="n"/>
      <c r="G378" s="35" t="n"/>
      <c r="H378" s="37" t="n"/>
      <c r="I378" s="39">
        <f>IF(B378="","",G378*H378)</f>
        <v/>
      </c>
      <c r="J378" s="35" t="n"/>
      <c r="K378" s="35" t="n"/>
      <c r="L378" s="35" t="n"/>
      <c r="M378" s="9">
        <f>IF(B378="","",IF(COUNTIF(Jobs!$A$5:$A$44,B378)=0,"Unknown Job ID",IF(C378="","Missing cost code",IF(COUNTIF(Settings!$E$5:$E$28,C378)=0,"Unknown cost code",IF(A378="","Missing date",IF(OR(G378="",H378=""),"Missing qty or cost",""))))))</f>
        <v/>
      </c>
      <c r="N378" s="35" t="n"/>
    </row>
    <row r="379">
      <c r="A379" s="40" t="n"/>
      <c r="B379" s="35" t="n"/>
      <c r="C379" s="35" t="n"/>
      <c r="D379" s="9">
        <f>IF(C379="","",IFERROR(VLOOKUP(C379,Settings!$E$5:$G$28,3,FALSE),"Other"))</f>
        <v/>
      </c>
      <c r="E379" s="35" t="n"/>
      <c r="F379" s="35" t="n"/>
      <c r="G379" s="35" t="n"/>
      <c r="H379" s="37" t="n"/>
      <c r="I379" s="39">
        <f>IF(B379="","",G379*H379)</f>
        <v/>
      </c>
      <c r="J379" s="35" t="n"/>
      <c r="K379" s="35" t="n"/>
      <c r="L379" s="35" t="n"/>
      <c r="M379" s="9">
        <f>IF(B379="","",IF(COUNTIF(Jobs!$A$5:$A$44,B379)=0,"Unknown Job ID",IF(C379="","Missing cost code",IF(COUNTIF(Settings!$E$5:$E$28,C379)=0,"Unknown cost code",IF(A379="","Missing date",IF(OR(G379="",H379=""),"Missing qty or cost",""))))))</f>
        <v/>
      </c>
      <c r="N379" s="35" t="n"/>
    </row>
    <row r="380">
      <c r="A380" s="40" t="n"/>
      <c r="B380" s="35" t="n"/>
      <c r="C380" s="35" t="n"/>
      <c r="D380" s="9">
        <f>IF(C380="","",IFERROR(VLOOKUP(C380,Settings!$E$5:$G$28,3,FALSE),"Other"))</f>
        <v/>
      </c>
      <c r="E380" s="35" t="n"/>
      <c r="F380" s="35" t="n"/>
      <c r="G380" s="35" t="n"/>
      <c r="H380" s="37" t="n"/>
      <c r="I380" s="39">
        <f>IF(B380="","",G380*H380)</f>
        <v/>
      </c>
      <c r="J380" s="35" t="n"/>
      <c r="K380" s="35" t="n"/>
      <c r="L380" s="35" t="n"/>
      <c r="M380" s="9">
        <f>IF(B380="","",IF(COUNTIF(Jobs!$A$5:$A$44,B380)=0,"Unknown Job ID",IF(C380="","Missing cost code",IF(COUNTIF(Settings!$E$5:$E$28,C380)=0,"Unknown cost code",IF(A380="","Missing date",IF(OR(G380="",H380=""),"Missing qty or cost",""))))))</f>
        <v/>
      </c>
      <c r="N380" s="35" t="n"/>
    </row>
    <row r="381">
      <c r="A381" s="40" t="n"/>
      <c r="B381" s="35" t="n"/>
      <c r="C381" s="35" t="n"/>
      <c r="D381" s="9">
        <f>IF(C381="","",IFERROR(VLOOKUP(C381,Settings!$E$5:$G$28,3,FALSE),"Other"))</f>
        <v/>
      </c>
      <c r="E381" s="35" t="n"/>
      <c r="F381" s="35" t="n"/>
      <c r="G381" s="35" t="n"/>
      <c r="H381" s="37" t="n"/>
      <c r="I381" s="39">
        <f>IF(B381="","",G381*H381)</f>
        <v/>
      </c>
      <c r="J381" s="35" t="n"/>
      <c r="K381" s="35" t="n"/>
      <c r="L381" s="35" t="n"/>
      <c r="M381" s="9">
        <f>IF(B381="","",IF(COUNTIF(Jobs!$A$5:$A$44,B381)=0,"Unknown Job ID",IF(C381="","Missing cost code",IF(COUNTIF(Settings!$E$5:$E$28,C381)=0,"Unknown cost code",IF(A381="","Missing date",IF(OR(G381="",H381=""),"Missing qty or cost",""))))))</f>
        <v/>
      </c>
      <c r="N381" s="35" t="n"/>
    </row>
    <row r="382">
      <c r="A382" s="40" t="n"/>
      <c r="B382" s="35" t="n"/>
      <c r="C382" s="35" t="n"/>
      <c r="D382" s="9">
        <f>IF(C382="","",IFERROR(VLOOKUP(C382,Settings!$E$5:$G$28,3,FALSE),"Other"))</f>
        <v/>
      </c>
      <c r="E382" s="35" t="n"/>
      <c r="F382" s="35" t="n"/>
      <c r="G382" s="35" t="n"/>
      <c r="H382" s="37" t="n"/>
      <c r="I382" s="39">
        <f>IF(B382="","",G382*H382)</f>
        <v/>
      </c>
      <c r="J382" s="35" t="n"/>
      <c r="K382" s="35" t="n"/>
      <c r="L382" s="35" t="n"/>
      <c r="M382" s="9">
        <f>IF(B382="","",IF(COUNTIF(Jobs!$A$5:$A$44,B382)=0,"Unknown Job ID",IF(C382="","Missing cost code",IF(COUNTIF(Settings!$E$5:$E$28,C382)=0,"Unknown cost code",IF(A382="","Missing date",IF(OR(G382="",H382=""),"Missing qty or cost",""))))))</f>
        <v/>
      </c>
      <c r="N382" s="35" t="n"/>
    </row>
    <row r="383">
      <c r="A383" s="40" t="n"/>
      <c r="B383" s="35" t="n"/>
      <c r="C383" s="35" t="n"/>
      <c r="D383" s="9">
        <f>IF(C383="","",IFERROR(VLOOKUP(C383,Settings!$E$5:$G$28,3,FALSE),"Other"))</f>
        <v/>
      </c>
      <c r="E383" s="35" t="n"/>
      <c r="F383" s="35" t="n"/>
      <c r="G383" s="35" t="n"/>
      <c r="H383" s="37" t="n"/>
      <c r="I383" s="39">
        <f>IF(B383="","",G383*H383)</f>
        <v/>
      </c>
      <c r="J383" s="35" t="n"/>
      <c r="K383" s="35" t="n"/>
      <c r="L383" s="35" t="n"/>
      <c r="M383" s="9">
        <f>IF(B383="","",IF(COUNTIF(Jobs!$A$5:$A$44,B383)=0,"Unknown Job ID",IF(C383="","Missing cost code",IF(COUNTIF(Settings!$E$5:$E$28,C383)=0,"Unknown cost code",IF(A383="","Missing date",IF(OR(G383="",H383=""),"Missing qty or cost",""))))))</f>
        <v/>
      </c>
      <c r="N383" s="35" t="n"/>
    </row>
    <row r="384">
      <c r="A384" s="40" t="n"/>
      <c r="B384" s="35" t="n"/>
      <c r="C384" s="35" t="n"/>
      <c r="D384" s="9">
        <f>IF(C384="","",IFERROR(VLOOKUP(C384,Settings!$E$5:$G$28,3,FALSE),"Other"))</f>
        <v/>
      </c>
      <c r="E384" s="35" t="n"/>
      <c r="F384" s="35" t="n"/>
      <c r="G384" s="35" t="n"/>
      <c r="H384" s="37" t="n"/>
      <c r="I384" s="39">
        <f>IF(B384="","",G384*H384)</f>
        <v/>
      </c>
      <c r="J384" s="35" t="n"/>
      <c r="K384" s="35" t="n"/>
      <c r="L384" s="35" t="n"/>
      <c r="M384" s="9">
        <f>IF(B384="","",IF(COUNTIF(Jobs!$A$5:$A$44,B384)=0,"Unknown Job ID",IF(C384="","Missing cost code",IF(COUNTIF(Settings!$E$5:$E$28,C384)=0,"Unknown cost code",IF(A384="","Missing date",IF(OR(G384="",H384=""),"Missing qty or cost",""))))))</f>
        <v/>
      </c>
      <c r="N384" s="35" t="n"/>
    </row>
    <row r="385">
      <c r="A385" s="40" t="n"/>
      <c r="B385" s="35" t="n"/>
      <c r="C385" s="35" t="n"/>
      <c r="D385" s="9">
        <f>IF(C385="","",IFERROR(VLOOKUP(C385,Settings!$E$5:$G$28,3,FALSE),"Other"))</f>
        <v/>
      </c>
      <c r="E385" s="35" t="n"/>
      <c r="F385" s="35" t="n"/>
      <c r="G385" s="35" t="n"/>
      <c r="H385" s="37" t="n"/>
      <c r="I385" s="39">
        <f>IF(B385="","",G385*H385)</f>
        <v/>
      </c>
      <c r="J385" s="35" t="n"/>
      <c r="K385" s="35" t="n"/>
      <c r="L385" s="35" t="n"/>
      <c r="M385" s="9">
        <f>IF(B385="","",IF(COUNTIF(Jobs!$A$5:$A$44,B385)=0,"Unknown Job ID",IF(C385="","Missing cost code",IF(COUNTIF(Settings!$E$5:$E$28,C385)=0,"Unknown cost code",IF(A385="","Missing date",IF(OR(G385="",H385=""),"Missing qty or cost",""))))))</f>
        <v/>
      </c>
      <c r="N385" s="35" t="n"/>
    </row>
    <row r="386">
      <c r="A386" s="40" t="n"/>
      <c r="B386" s="35" t="n"/>
      <c r="C386" s="35" t="n"/>
      <c r="D386" s="9">
        <f>IF(C386="","",IFERROR(VLOOKUP(C386,Settings!$E$5:$G$28,3,FALSE),"Other"))</f>
        <v/>
      </c>
      <c r="E386" s="35" t="n"/>
      <c r="F386" s="35" t="n"/>
      <c r="G386" s="35" t="n"/>
      <c r="H386" s="37" t="n"/>
      <c r="I386" s="39">
        <f>IF(B386="","",G386*H386)</f>
        <v/>
      </c>
      <c r="J386" s="35" t="n"/>
      <c r="K386" s="35" t="n"/>
      <c r="L386" s="35" t="n"/>
      <c r="M386" s="9">
        <f>IF(B386="","",IF(COUNTIF(Jobs!$A$5:$A$44,B386)=0,"Unknown Job ID",IF(C386="","Missing cost code",IF(COUNTIF(Settings!$E$5:$E$28,C386)=0,"Unknown cost code",IF(A386="","Missing date",IF(OR(G386="",H386=""),"Missing qty or cost",""))))))</f>
        <v/>
      </c>
      <c r="N386" s="35" t="n"/>
    </row>
    <row r="387">
      <c r="A387" s="40" t="n"/>
      <c r="B387" s="35" t="n"/>
      <c r="C387" s="35" t="n"/>
      <c r="D387" s="9">
        <f>IF(C387="","",IFERROR(VLOOKUP(C387,Settings!$E$5:$G$28,3,FALSE),"Other"))</f>
        <v/>
      </c>
      <c r="E387" s="35" t="n"/>
      <c r="F387" s="35" t="n"/>
      <c r="G387" s="35" t="n"/>
      <c r="H387" s="37" t="n"/>
      <c r="I387" s="39">
        <f>IF(B387="","",G387*H387)</f>
        <v/>
      </c>
      <c r="J387" s="35" t="n"/>
      <c r="K387" s="35" t="n"/>
      <c r="L387" s="35" t="n"/>
      <c r="M387" s="9">
        <f>IF(B387="","",IF(COUNTIF(Jobs!$A$5:$A$44,B387)=0,"Unknown Job ID",IF(C387="","Missing cost code",IF(COUNTIF(Settings!$E$5:$E$28,C387)=0,"Unknown cost code",IF(A387="","Missing date",IF(OR(G387="",H387=""),"Missing qty or cost",""))))))</f>
        <v/>
      </c>
      <c r="N387" s="35" t="n"/>
    </row>
    <row r="388">
      <c r="A388" s="40" t="n"/>
      <c r="B388" s="35" t="n"/>
      <c r="C388" s="35" t="n"/>
      <c r="D388" s="9">
        <f>IF(C388="","",IFERROR(VLOOKUP(C388,Settings!$E$5:$G$28,3,FALSE),"Other"))</f>
        <v/>
      </c>
      <c r="E388" s="35" t="n"/>
      <c r="F388" s="35" t="n"/>
      <c r="G388" s="35" t="n"/>
      <c r="H388" s="37" t="n"/>
      <c r="I388" s="39">
        <f>IF(B388="","",G388*H388)</f>
        <v/>
      </c>
      <c r="J388" s="35" t="n"/>
      <c r="K388" s="35" t="n"/>
      <c r="L388" s="35" t="n"/>
      <c r="M388" s="9">
        <f>IF(B388="","",IF(COUNTIF(Jobs!$A$5:$A$44,B388)=0,"Unknown Job ID",IF(C388="","Missing cost code",IF(COUNTIF(Settings!$E$5:$E$28,C388)=0,"Unknown cost code",IF(A388="","Missing date",IF(OR(G388="",H388=""),"Missing qty or cost",""))))))</f>
        <v/>
      </c>
      <c r="N388" s="35" t="n"/>
    </row>
    <row r="389">
      <c r="A389" s="40" t="n"/>
      <c r="B389" s="35" t="n"/>
      <c r="C389" s="35" t="n"/>
      <c r="D389" s="9">
        <f>IF(C389="","",IFERROR(VLOOKUP(C389,Settings!$E$5:$G$28,3,FALSE),"Other"))</f>
        <v/>
      </c>
      <c r="E389" s="35" t="n"/>
      <c r="F389" s="35" t="n"/>
      <c r="G389" s="35" t="n"/>
      <c r="H389" s="37" t="n"/>
      <c r="I389" s="39">
        <f>IF(B389="","",G389*H389)</f>
        <v/>
      </c>
      <c r="J389" s="35" t="n"/>
      <c r="K389" s="35" t="n"/>
      <c r="L389" s="35" t="n"/>
      <c r="M389" s="9">
        <f>IF(B389="","",IF(COUNTIF(Jobs!$A$5:$A$44,B389)=0,"Unknown Job ID",IF(C389="","Missing cost code",IF(COUNTIF(Settings!$E$5:$E$28,C389)=0,"Unknown cost code",IF(A389="","Missing date",IF(OR(G389="",H389=""),"Missing qty or cost",""))))))</f>
        <v/>
      </c>
      <c r="N389" s="35" t="n"/>
    </row>
    <row r="390">
      <c r="A390" s="40" t="n"/>
      <c r="B390" s="35" t="n"/>
      <c r="C390" s="35" t="n"/>
      <c r="D390" s="9">
        <f>IF(C390="","",IFERROR(VLOOKUP(C390,Settings!$E$5:$G$28,3,FALSE),"Other"))</f>
        <v/>
      </c>
      <c r="E390" s="35" t="n"/>
      <c r="F390" s="35" t="n"/>
      <c r="G390" s="35" t="n"/>
      <c r="H390" s="37" t="n"/>
      <c r="I390" s="39">
        <f>IF(B390="","",G390*H390)</f>
        <v/>
      </c>
      <c r="J390" s="35" t="n"/>
      <c r="K390" s="35" t="n"/>
      <c r="L390" s="35" t="n"/>
      <c r="M390" s="9">
        <f>IF(B390="","",IF(COUNTIF(Jobs!$A$5:$A$44,B390)=0,"Unknown Job ID",IF(C390="","Missing cost code",IF(COUNTIF(Settings!$E$5:$E$28,C390)=0,"Unknown cost code",IF(A390="","Missing date",IF(OR(G390="",H390=""),"Missing qty or cost",""))))))</f>
        <v/>
      </c>
      <c r="N390" s="35" t="n"/>
    </row>
    <row r="391">
      <c r="A391" s="40" t="n"/>
      <c r="B391" s="35" t="n"/>
      <c r="C391" s="35" t="n"/>
      <c r="D391" s="9">
        <f>IF(C391="","",IFERROR(VLOOKUP(C391,Settings!$E$5:$G$28,3,FALSE),"Other"))</f>
        <v/>
      </c>
      <c r="E391" s="35" t="n"/>
      <c r="F391" s="35" t="n"/>
      <c r="G391" s="35" t="n"/>
      <c r="H391" s="37" t="n"/>
      <c r="I391" s="39">
        <f>IF(B391="","",G391*H391)</f>
        <v/>
      </c>
      <c r="J391" s="35" t="n"/>
      <c r="K391" s="35" t="n"/>
      <c r="L391" s="35" t="n"/>
      <c r="M391" s="9">
        <f>IF(B391="","",IF(COUNTIF(Jobs!$A$5:$A$44,B391)=0,"Unknown Job ID",IF(C391="","Missing cost code",IF(COUNTIF(Settings!$E$5:$E$28,C391)=0,"Unknown cost code",IF(A391="","Missing date",IF(OR(G391="",H391=""),"Missing qty or cost",""))))))</f>
        <v/>
      </c>
      <c r="N391" s="35" t="n"/>
    </row>
    <row r="392">
      <c r="A392" s="40" t="n"/>
      <c r="B392" s="35" t="n"/>
      <c r="C392" s="35" t="n"/>
      <c r="D392" s="9">
        <f>IF(C392="","",IFERROR(VLOOKUP(C392,Settings!$E$5:$G$28,3,FALSE),"Other"))</f>
        <v/>
      </c>
      <c r="E392" s="35" t="n"/>
      <c r="F392" s="35" t="n"/>
      <c r="G392" s="35" t="n"/>
      <c r="H392" s="37" t="n"/>
      <c r="I392" s="39">
        <f>IF(B392="","",G392*H392)</f>
        <v/>
      </c>
      <c r="J392" s="35" t="n"/>
      <c r="K392" s="35" t="n"/>
      <c r="L392" s="35" t="n"/>
      <c r="M392" s="9">
        <f>IF(B392="","",IF(COUNTIF(Jobs!$A$5:$A$44,B392)=0,"Unknown Job ID",IF(C392="","Missing cost code",IF(COUNTIF(Settings!$E$5:$E$28,C392)=0,"Unknown cost code",IF(A392="","Missing date",IF(OR(G392="",H392=""),"Missing qty or cost",""))))))</f>
        <v/>
      </c>
      <c r="N392" s="35" t="n"/>
    </row>
    <row r="393">
      <c r="A393" s="40" t="n"/>
      <c r="B393" s="35" t="n"/>
      <c r="C393" s="35" t="n"/>
      <c r="D393" s="9">
        <f>IF(C393="","",IFERROR(VLOOKUP(C393,Settings!$E$5:$G$28,3,FALSE),"Other"))</f>
        <v/>
      </c>
      <c r="E393" s="35" t="n"/>
      <c r="F393" s="35" t="n"/>
      <c r="G393" s="35" t="n"/>
      <c r="H393" s="37" t="n"/>
      <c r="I393" s="39">
        <f>IF(B393="","",G393*H393)</f>
        <v/>
      </c>
      <c r="J393" s="35" t="n"/>
      <c r="K393" s="35" t="n"/>
      <c r="L393" s="35" t="n"/>
      <c r="M393" s="9">
        <f>IF(B393="","",IF(COUNTIF(Jobs!$A$5:$A$44,B393)=0,"Unknown Job ID",IF(C393="","Missing cost code",IF(COUNTIF(Settings!$E$5:$E$28,C393)=0,"Unknown cost code",IF(A393="","Missing date",IF(OR(G393="",H393=""),"Missing qty or cost",""))))))</f>
        <v/>
      </c>
      <c r="N393" s="35" t="n"/>
    </row>
    <row r="394">
      <c r="A394" s="40" t="n"/>
      <c r="B394" s="35" t="n"/>
      <c r="C394" s="35" t="n"/>
      <c r="D394" s="9">
        <f>IF(C394="","",IFERROR(VLOOKUP(C394,Settings!$E$5:$G$28,3,FALSE),"Other"))</f>
        <v/>
      </c>
      <c r="E394" s="35" t="n"/>
      <c r="F394" s="35" t="n"/>
      <c r="G394" s="35" t="n"/>
      <c r="H394" s="37" t="n"/>
      <c r="I394" s="39">
        <f>IF(B394="","",G394*H394)</f>
        <v/>
      </c>
      <c r="J394" s="35" t="n"/>
      <c r="K394" s="35" t="n"/>
      <c r="L394" s="35" t="n"/>
      <c r="M394" s="9">
        <f>IF(B394="","",IF(COUNTIF(Jobs!$A$5:$A$44,B394)=0,"Unknown Job ID",IF(C394="","Missing cost code",IF(COUNTIF(Settings!$E$5:$E$28,C394)=0,"Unknown cost code",IF(A394="","Missing date",IF(OR(G394="",H394=""),"Missing qty or cost",""))))))</f>
        <v/>
      </c>
      <c r="N394" s="35" t="n"/>
    </row>
    <row r="395">
      <c r="A395" s="40" t="n"/>
      <c r="B395" s="35" t="n"/>
      <c r="C395" s="35" t="n"/>
      <c r="D395" s="9">
        <f>IF(C395="","",IFERROR(VLOOKUP(C395,Settings!$E$5:$G$28,3,FALSE),"Other"))</f>
        <v/>
      </c>
      <c r="E395" s="35" t="n"/>
      <c r="F395" s="35" t="n"/>
      <c r="G395" s="35" t="n"/>
      <c r="H395" s="37" t="n"/>
      <c r="I395" s="39">
        <f>IF(B395="","",G395*H395)</f>
        <v/>
      </c>
      <c r="J395" s="35" t="n"/>
      <c r="K395" s="35" t="n"/>
      <c r="L395" s="35" t="n"/>
      <c r="M395" s="9">
        <f>IF(B395="","",IF(COUNTIF(Jobs!$A$5:$A$44,B395)=0,"Unknown Job ID",IF(C395="","Missing cost code",IF(COUNTIF(Settings!$E$5:$E$28,C395)=0,"Unknown cost code",IF(A395="","Missing date",IF(OR(G395="",H395=""),"Missing qty or cost",""))))))</f>
        <v/>
      </c>
      <c r="N395" s="35" t="n"/>
    </row>
    <row r="396">
      <c r="A396" s="40" t="n"/>
      <c r="B396" s="35" t="n"/>
      <c r="C396" s="35" t="n"/>
      <c r="D396" s="9">
        <f>IF(C396="","",IFERROR(VLOOKUP(C396,Settings!$E$5:$G$28,3,FALSE),"Other"))</f>
        <v/>
      </c>
      <c r="E396" s="35" t="n"/>
      <c r="F396" s="35" t="n"/>
      <c r="G396" s="35" t="n"/>
      <c r="H396" s="37" t="n"/>
      <c r="I396" s="39">
        <f>IF(B396="","",G396*H396)</f>
        <v/>
      </c>
      <c r="J396" s="35" t="n"/>
      <c r="K396" s="35" t="n"/>
      <c r="L396" s="35" t="n"/>
      <c r="M396" s="9">
        <f>IF(B396="","",IF(COUNTIF(Jobs!$A$5:$A$44,B396)=0,"Unknown Job ID",IF(C396="","Missing cost code",IF(COUNTIF(Settings!$E$5:$E$28,C396)=0,"Unknown cost code",IF(A396="","Missing date",IF(OR(G396="",H396=""),"Missing qty or cost",""))))))</f>
        <v/>
      </c>
      <c r="N396" s="35" t="n"/>
    </row>
    <row r="397">
      <c r="A397" s="40" t="n"/>
      <c r="B397" s="35" t="n"/>
      <c r="C397" s="35" t="n"/>
      <c r="D397" s="9">
        <f>IF(C397="","",IFERROR(VLOOKUP(C397,Settings!$E$5:$G$28,3,FALSE),"Other"))</f>
        <v/>
      </c>
      <c r="E397" s="35" t="n"/>
      <c r="F397" s="35" t="n"/>
      <c r="G397" s="35" t="n"/>
      <c r="H397" s="37" t="n"/>
      <c r="I397" s="39">
        <f>IF(B397="","",G397*H397)</f>
        <v/>
      </c>
      <c r="J397" s="35" t="n"/>
      <c r="K397" s="35" t="n"/>
      <c r="L397" s="35" t="n"/>
      <c r="M397" s="9">
        <f>IF(B397="","",IF(COUNTIF(Jobs!$A$5:$A$44,B397)=0,"Unknown Job ID",IF(C397="","Missing cost code",IF(COUNTIF(Settings!$E$5:$E$28,C397)=0,"Unknown cost code",IF(A397="","Missing date",IF(OR(G397="",H397=""),"Missing qty or cost",""))))))</f>
        <v/>
      </c>
      <c r="N397" s="35" t="n"/>
    </row>
    <row r="398">
      <c r="A398" s="40" t="n"/>
      <c r="B398" s="35" t="n"/>
      <c r="C398" s="35" t="n"/>
      <c r="D398" s="9">
        <f>IF(C398="","",IFERROR(VLOOKUP(C398,Settings!$E$5:$G$28,3,FALSE),"Other"))</f>
        <v/>
      </c>
      <c r="E398" s="35" t="n"/>
      <c r="F398" s="35" t="n"/>
      <c r="G398" s="35" t="n"/>
      <c r="H398" s="37" t="n"/>
      <c r="I398" s="39">
        <f>IF(B398="","",G398*H398)</f>
        <v/>
      </c>
      <c r="J398" s="35" t="n"/>
      <c r="K398" s="35" t="n"/>
      <c r="L398" s="35" t="n"/>
      <c r="M398" s="9">
        <f>IF(B398="","",IF(COUNTIF(Jobs!$A$5:$A$44,B398)=0,"Unknown Job ID",IF(C398="","Missing cost code",IF(COUNTIF(Settings!$E$5:$E$28,C398)=0,"Unknown cost code",IF(A398="","Missing date",IF(OR(G398="",H398=""),"Missing qty or cost",""))))))</f>
        <v/>
      </c>
      <c r="N398" s="35" t="n"/>
    </row>
    <row r="399">
      <c r="A399" s="40" t="n"/>
      <c r="B399" s="35" t="n"/>
      <c r="C399" s="35" t="n"/>
      <c r="D399" s="9">
        <f>IF(C399="","",IFERROR(VLOOKUP(C399,Settings!$E$5:$G$28,3,FALSE),"Other"))</f>
        <v/>
      </c>
      <c r="E399" s="35" t="n"/>
      <c r="F399" s="35" t="n"/>
      <c r="G399" s="35" t="n"/>
      <c r="H399" s="37" t="n"/>
      <c r="I399" s="39">
        <f>IF(B399="","",G399*H399)</f>
        <v/>
      </c>
      <c r="J399" s="35" t="n"/>
      <c r="K399" s="35" t="n"/>
      <c r="L399" s="35" t="n"/>
      <c r="M399" s="9">
        <f>IF(B399="","",IF(COUNTIF(Jobs!$A$5:$A$44,B399)=0,"Unknown Job ID",IF(C399="","Missing cost code",IF(COUNTIF(Settings!$E$5:$E$28,C399)=0,"Unknown cost code",IF(A399="","Missing date",IF(OR(G399="",H399=""),"Missing qty or cost",""))))))</f>
        <v/>
      </c>
      <c r="N399" s="35" t="n"/>
    </row>
    <row r="400">
      <c r="A400" s="40" t="n"/>
      <c r="B400" s="35" t="n"/>
      <c r="C400" s="35" t="n"/>
      <c r="D400" s="9">
        <f>IF(C400="","",IFERROR(VLOOKUP(C400,Settings!$E$5:$G$28,3,FALSE),"Other"))</f>
        <v/>
      </c>
      <c r="E400" s="35" t="n"/>
      <c r="F400" s="35" t="n"/>
      <c r="G400" s="35" t="n"/>
      <c r="H400" s="37" t="n"/>
      <c r="I400" s="39">
        <f>IF(B400="","",G400*H400)</f>
        <v/>
      </c>
      <c r="J400" s="35" t="n"/>
      <c r="K400" s="35" t="n"/>
      <c r="L400" s="35" t="n"/>
      <c r="M400" s="9">
        <f>IF(B400="","",IF(COUNTIF(Jobs!$A$5:$A$44,B400)=0,"Unknown Job ID",IF(C400="","Missing cost code",IF(COUNTIF(Settings!$E$5:$E$28,C400)=0,"Unknown cost code",IF(A400="","Missing date",IF(OR(G400="",H400=""),"Missing qty or cost",""))))))</f>
        <v/>
      </c>
      <c r="N400" s="35" t="n"/>
    </row>
    <row r="401">
      <c r="A401" s="40" t="n"/>
      <c r="B401" s="35" t="n"/>
      <c r="C401" s="35" t="n"/>
      <c r="D401" s="9">
        <f>IF(C401="","",IFERROR(VLOOKUP(C401,Settings!$E$5:$G$28,3,FALSE),"Other"))</f>
        <v/>
      </c>
      <c r="E401" s="35" t="n"/>
      <c r="F401" s="35" t="n"/>
      <c r="G401" s="35" t="n"/>
      <c r="H401" s="37" t="n"/>
      <c r="I401" s="39">
        <f>IF(B401="","",G401*H401)</f>
        <v/>
      </c>
      <c r="J401" s="35" t="n"/>
      <c r="K401" s="35" t="n"/>
      <c r="L401" s="35" t="n"/>
      <c r="M401" s="9">
        <f>IF(B401="","",IF(COUNTIF(Jobs!$A$5:$A$44,B401)=0,"Unknown Job ID",IF(C401="","Missing cost code",IF(COUNTIF(Settings!$E$5:$E$28,C401)=0,"Unknown cost code",IF(A401="","Missing date",IF(OR(G401="",H401=""),"Missing qty or cost",""))))))</f>
        <v/>
      </c>
      <c r="N401" s="35" t="n"/>
    </row>
    <row r="402">
      <c r="A402" s="40" t="n"/>
      <c r="B402" s="35" t="n"/>
      <c r="C402" s="35" t="n"/>
      <c r="D402" s="9">
        <f>IF(C402="","",IFERROR(VLOOKUP(C402,Settings!$E$5:$G$28,3,FALSE),"Other"))</f>
        <v/>
      </c>
      <c r="E402" s="35" t="n"/>
      <c r="F402" s="35" t="n"/>
      <c r="G402" s="35" t="n"/>
      <c r="H402" s="37" t="n"/>
      <c r="I402" s="39">
        <f>IF(B402="","",G402*H402)</f>
        <v/>
      </c>
      <c r="J402" s="35" t="n"/>
      <c r="K402" s="35" t="n"/>
      <c r="L402" s="35" t="n"/>
      <c r="M402" s="9">
        <f>IF(B402="","",IF(COUNTIF(Jobs!$A$5:$A$44,B402)=0,"Unknown Job ID",IF(C402="","Missing cost code",IF(COUNTIF(Settings!$E$5:$E$28,C402)=0,"Unknown cost code",IF(A402="","Missing date",IF(OR(G402="",H402=""),"Missing qty or cost",""))))))</f>
        <v/>
      </c>
      <c r="N402" s="35" t="n"/>
    </row>
    <row r="403">
      <c r="A403" s="40" t="n"/>
      <c r="B403" s="35" t="n"/>
      <c r="C403" s="35" t="n"/>
      <c r="D403" s="9">
        <f>IF(C403="","",IFERROR(VLOOKUP(C403,Settings!$E$5:$G$28,3,FALSE),"Other"))</f>
        <v/>
      </c>
      <c r="E403" s="35" t="n"/>
      <c r="F403" s="35" t="n"/>
      <c r="G403" s="35" t="n"/>
      <c r="H403" s="37" t="n"/>
      <c r="I403" s="39">
        <f>IF(B403="","",G403*H403)</f>
        <v/>
      </c>
      <c r="J403" s="35" t="n"/>
      <c r="K403" s="35" t="n"/>
      <c r="L403" s="35" t="n"/>
      <c r="M403" s="9">
        <f>IF(B403="","",IF(COUNTIF(Jobs!$A$5:$A$44,B403)=0,"Unknown Job ID",IF(C403="","Missing cost code",IF(COUNTIF(Settings!$E$5:$E$28,C403)=0,"Unknown cost code",IF(A403="","Missing date",IF(OR(G403="",H403=""),"Missing qty or cost",""))))))</f>
        <v/>
      </c>
      <c r="N403" s="35" t="n"/>
    </row>
    <row r="404">
      <c r="A404" s="40" t="n"/>
      <c r="B404" s="35" t="n"/>
      <c r="C404" s="35" t="n"/>
      <c r="D404" s="9">
        <f>IF(C404="","",IFERROR(VLOOKUP(C404,Settings!$E$5:$G$28,3,FALSE),"Other"))</f>
        <v/>
      </c>
      <c r="E404" s="35" t="n"/>
      <c r="F404" s="35" t="n"/>
      <c r="G404" s="35" t="n"/>
      <c r="H404" s="37" t="n"/>
      <c r="I404" s="39">
        <f>IF(B404="","",G404*H404)</f>
        <v/>
      </c>
      <c r="J404" s="35" t="n"/>
      <c r="K404" s="35" t="n"/>
      <c r="L404" s="35" t="n"/>
      <c r="M404" s="9">
        <f>IF(B404="","",IF(COUNTIF(Jobs!$A$5:$A$44,B404)=0,"Unknown Job ID",IF(C404="","Missing cost code",IF(COUNTIF(Settings!$E$5:$E$28,C404)=0,"Unknown cost code",IF(A404="","Missing date",IF(OR(G404="",H404=""),"Missing qty or cost",""))))))</f>
        <v/>
      </c>
      <c r="N404" s="35" t="n"/>
    </row>
    <row r="405">
      <c r="A405" s="40" t="n"/>
      <c r="B405" s="35" t="n"/>
      <c r="C405" s="35" t="n"/>
      <c r="D405" s="9">
        <f>IF(C405="","",IFERROR(VLOOKUP(C405,Settings!$E$5:$G$28,3,FALSE),"Other"))</f>
        <v/>
      </c>
      <c r="E405" s="35" t="n"/>
      <c r="F405" s="35" t="n"/>
      <c r="G405" s="35" t="n"/>
      <c r="H405" s="37" t="n"/>
      <c r="I405" s="39">
        <f>IF(B405="","",G405*H405)</f>
        <v/>
      </c>
      <c r="J405" s="35" t="n"/>
      <c r="K405" s="35" t="n"/>
      <c r="L405" s="35" t="n"/>
      <c r="M405" s="9">
        <f>IF(B405="","",IF(COUNTIF(Jobs!$A$5:$A$44,B405)=0,"Unknown Job ID",IF(C405="","Missing cost code",IF(COUNTIF(Settings!$E$5:$E$28,C405)=0,"Unknown cost code",IF(A405="","Missing date",IF(OR(G405="",H405=""),"Missing qty or cost",""))))))</f>
        <v/>
      </c>
      <c r="N405" s="35" t="n"/>
    </row>
    <row r="406">
      <c r="A406" s="40" t="n"/>
      <c r="B406" s="35" t="n"/>
      <c r="C406" s="35" t="n"/>
      <c r="D406" s="9">
        <f>IF(C406="","",IFERROR(VLOOKUP(C406,Settings!$E$5:$G$28,3,FALSE),"Other"))</f>
        <v/>
      </c>
      <c r="E406" s="35" t="n"/>
      <c r="F406" s="35" t="n"/>
      <c r="G406" s="35" t="n"/>
      <c r="H406" s="37" t="n"/>
      <c r="I406" s="39">
        <f>IF(B406="","",G406*H406)</f>
        <v/>
      </c>
      <c r="J406" s="35" t="n"/>
      <c r="K406" s="35" t="n"/>
      <c r="L406" s="35" t="n"/>
      <c r="M406" s="9">
        <f>IF(B406="","",IF(COUNTIF(Jobs!$A$5:$A$44,B406)=0,"Unknown Job ID",IF(C406="","Missing cost code",IF(COUNTIF(Settings!$E$5:$E$28,C406)=0,"Unknown cost code",IF(A406="","Missing date",IF(OR(G406="",H406=""),"Missing qty or cost",""))))))</f>
        <v/>
      </c>
      <c r="N406" s="35" t="n"/>
    </row>
    <row r="407">
      <c r="A407" s="40" t="n"/>
      <c r="B407" s="35" t="n"/>
      <c r="C407" s="35" t="n"/>
      <c r="D407" s="9">
        <f>IF(C407="","",IFERROR(VLOOKUP(C407,Settings!$E$5:$G$28,3,FALSE),"Other"))</f>
        <v/>
      </c>
      <c r="E407" s="35" t="n"/>
      <c r="F407" s="35" t="n"/>
      <c r="G407" s="35" t="n"/>
      <c r="H407" s="37" t="n"/>
      <c r="I407" s="39">
        <f>IF(B407="","",G407*H407)</f>
        <v/>
      </c>
      <c r="J407" s="35" t="n"/>
      <c r="K407" s="35" t="n"/>
      <c r="L407" s="35" t="n"/>
      <c r="M407" s="9">
        <f>IF(B407="","",IF(COUNTIF(Jobs!$A$5:$A$44,B407)=0,"Unknown Job ID",IF(C407="","Missing cost code",IF(COUNTIF(Settings!$E$5:$E$28,C407)=0,"Unknown cost code",IF(A407="","Missing date",IF(OR(G407="",H407=""),"Missing qty or cost",""))))))</f>
        <v/>
      </c>
      <c r="N407" s="35" t="n"/>
    </row>
    <row r="408">
      <c r="A408" s="40" t="n"/>
      <c r="B408" s="35" t="n"/>
      <c r="C408" s="35" t="n"/>
      <c r="D408" s="9">
        <f>IF(C408="","",IFERROR(VLOOKUP(C408,Settings!$E$5:$G$28,3,FALSE),"Other"))</f>
        <v/>
      </c>
      <c r="E408" s="35" t="n"/>
      <c r="F408" s="35" t="n"/>
      <c r="G408" s="35" t="n"/>
      <c r="H408" s="37" t="n"/>
      <c r="I408" s="39">
        <f>IF(B408="","",G408*H408)</f>
        <v/>
      </c>
      <c r="J408" s="35" t="n"/>
      <c r="K408" s="35" t="n"/>
      <c r="L408" s="35" t="n"/>
      <c r="M408" s="9">
        <f>IF(B408="","",IF(COUNTIF(Jobs!$A$5:$A$44,B408)=0,"Unknown Job ID",IF(C408="","Missing cost code",IF(COUNTIF(Settings!$E$5:$E$28,C408)=0,"Unknown cost code",IF(A408="","Missing date",IF(OR(G408="",H408=""),"Missing qty or cost",""))))))</f>
        <v/>
      </c>
      <c r="N408" s="35" t="n"/>
    </row>
    <row r="409">
      <c r="A409" s="40" t="n"/>
      <c r="B409" s="35" t="n"/>
      <c r="C409" s="35" t="n"/>
      <c r="D409" s="9">
        <f>IF(C409="","",IFERROR(VLOOKUP(C409,Settings!$E$5:$G$28,3,FALSE),"Other"))</f>
        <v/>
      </c>
      <c r="E409" s="35" t="n"/>
      <c r="F409" s="35" t="n"/>
      <c r="G409" s="35" t="n"/>
      <c r="H409" s="37" t="n"/>
      <c r="I409" s="39">
        <f>IF(B409="","",G409*H409)</f>
        <v/>
      </c>
      <c r="J409" s="35" t="n"/>
      <c r="K409" s="35" t="n"/>
      <c r="L409" s="35" t="n"/>
      <c r="M409" s="9">
        <f>IF(B409="","",IF(COUNTIF(Jobs!$A$5:$A$44,B409)=0,"Unknown Job ID",IF(C409="","Missing cost code",IF(COUNTIF(Settings!$E$5:$E$28,C409)=0,"Unknown cost code",IF(A409="","Missing date",IF(OR(G409="",H409=""),"Missing qty or cost",""))))))</f>
        <v/>
      </c>
      <c r="N409" s="35" t="n"/>
    </row>
    <row r="410">
      <c r="A410" s="40" t="n"/>
      <c r="B410" s="35" t="n"/>
      <c r="C410" s="35" t="n"/>
      <c r="D410" s="9">
        <f>IF(C410="","",IFERROR(VLOOKUP(C410,Settings!$E$5:$G$28,3,FALSE),"Other"))</f>
        <v/>
      </c>
      <c r="E410" s="35" t="n"/>
      <c r="F410" s="35" t="n"/>
      <c r="G410" s="35" t="n"/>
      <c r="H410" s="37" t="n"/>
      <c r="I410" s="39">
        <f>IF(B410="","",G410*H410)</f>
        <v/>
      </c>
      <c r="J410" s="35" t="n"/>
      <c r="K410" s="35" t="n"/>
      <c r="L410" s="35" t="n"/>
      <c r="M410" s="9">
        <f>IF(B410="","",IF(COUNTIF(Jobs!$A$5:$A$44,B410)=0,"Unknown Job ID",IF(C410="","Missing cost code",IF(COUNTIF(Settings!$E$5:$E$28,C410)=0,"Unknown cost code",IF(A410="","Missing date",IF(OR(G410="",H410=""),"Missing qty or cost",""))))))</f>
        <v/>
      </c>
      <c r="N410" s="35" t="n"/>
    </row>
    <row r="411">
      <c r="A411" s="40" t="n"/>
      <c r="B411" s="35" t="n"/>
      <c r="C411" s="35" t="n"/>
      <c r="D411" s="9">
        <f>IF(C411="","",IFERROR(VLOOKUP(C411,Settings!$E$5:$G$28,3,FALSE),"Other"))</f>
        <v/>
      </c>
      <c r="E411" s="35" t="n"/>
      <c r="F411" s="35" t="n"/>
      <c r="G411" s="35" t="n"/>
      <c r="H411" s="37" t="n"/>
      <c r="I411" s="39">
        <f>IF(B411="","",G411*H411)</f>
        <v/>
      </c>
      <c r="J411" s="35" t="n"/>
      <c r="K411" s="35" t="n"/>
      <c r="L411" s="35" t="n"/>
      <c r="M411" s="9">
        <f>IF(B411="","",IF(COUNTIF(Jobs!$A$5:$A$44,B411)=0,"Unknown Job ID",IF(C411="","Missing cost code",IF(COUNTIF(Settings!$E$5:$E$28,C411)=0,"Unknown cost code",IF(A411="","Missing date",IF(OR(G411="",H411=""),"Missing qty or cost",""))))))</f>
        <v/>
      </c>
      <c r="N411" s="35" t="n"/>
    </row>
    <row r="412">
      <c r="A412" s="40" t="n"/>
      <c r="B412" s="35" t="n"/>
      <c r="C412" s="35" t="n"/>
      <c r="D412" s="9">
        <f>IF(C412="","",IFERROR(VLOOKUP(C412,Settings!$E$5:$G$28,3,FALSE),"Other"))</f>
        <v/>
      </c>
      <c r="E412" s="35" t="n"/>
      <c r="F412" s="35" t="n"/>
      <c r="G412" s="35" t="n"/>
      <c r="H412" s="37" t="n"/>
      <c r="I412" s="39">
        <f>IF(B412="","",G412*H412)</f>
        <v/>
      </c>
      <c r="J412" s="35" t="n"/>
      <c r="K412" s="35" t="n"/>
      <c r="L412" s="35" t="n"/>
      <c r="M412" s="9">
        <f>IF(B412="","",IF(COUNTIF(Jobs!$A$5:$A$44,B412)=0,"Unknown Job ID",IF(C412="","Missing cost code",IF(COUNTIF(Settings!$E$5:$E$28,C412)=0,"Unknown cost code",IF(A412="","Missing date",IF(OR(G412="",H412=""),"Missing qty or cost",""))))))</f>
        <v/>
      </c>
      <c r="N412" s="35" t="n"/>
    </row>
    <row r="413">
      <c r="A413" s="40" t="n"/>
      <c r="B413" s="35" t="n"/>
      <c r="C413" s="35" t="n"/>
      <c r="D413" s="9">
        <f>IF(C413="","",IFERROR(VLOOKUP(C413,Settings!$E$5:$G$28,3,FALSE),"Other"))</f>
        <v/>
      </c>
      <c r="E413" s="35" t="n"/>
      <c r="F413" s="35" t="n"/>
      <c r="G413" s="35" t="n"/>
      <c r="H413" s="37" t="n"/>
      <c r="I413" s="39">
        <f>IF(B413="","",G413*H413)</f>
        <v/>
      </c>
      <c r="J413" s="35" t="n"/>
      <c r="K413" s="35" t="n"/>
      <c r="L413" s="35" t="n"/>
      <c r="M413" s="9">
        <f>IF(B413="","",IF(COUNTIF(Jobs!$A$5:$A$44,B413)=0,"Unknown Job ID",IF(C413="","Missing cost code",IF(COUNTIF(Settings!$E$5:$E$28,C413)=0,"Unknown cost code",IF(A413="","Missing date",IF(OR(G413="",H413=""),"Missing qty or cost",""))))))</f>
        <v/>
      </c>
      <c r="N413" s="35" t="n"/>
    </row>
    <row r="414">
      <c r="A414" s="40" t="n"/>
      <c r="B414" s="35" t="n"/>
      <c r="C414" s="35" t="n"/>
      <c r="D414" s="9">
        <f>IF(C414="","",IFERROR(VLOOKUP(C414,Settings!$E$5:$G$28,3,FALSE),"Other"))</f>
        <v/>
      </c>
      <c r="E414" s="35" t="n"/>
      <c r="F414" s="35" t="n"/>
      <c r="G414" s="35" t="n"/>
      <c r="H414" s="37" t="n"/>
      <c r="I414" s="39">
        <f>IF(B414="","",G414*H414)</f>
        <v/>
      </c>
      <c r="J414" s="35" t="n"/>
      <c r="K414" s="35" t="n"/>
      <c r="L414" s="35" t="n"/>
      <c r="M414" s="9">
        <f>IF(B414="","",IF(COUNTIF(Jobs!$A$5:$A$44,B414)=0,"Unknown Job ID",IF(C414="","Missing cost code",IF(COUNTIF(Settings!$E$5:$E$28,C414)=0,"Unknown cost code",IF(A414="","Missing date",IF(OR(G414="",H414=""),"Missing qty or cost",""))))))</f>
        <v/>
      </c>
      <c r="N414" s="35" t="n"/>
    </row>
    <row r="415">
      <c r="A415" s="40" t="n"/>
      <c r="B415" s="35" t="n"/>
      <c r="C415" s="35" t="n"/>
      <c r="D415" s="9">
        <f>IF(C415="","",IFERROR(VLOOKUP(C415,Settings!$E$5:$G$28,3,FALSE),"Other"))</f>
        <v/>
      </c>
      <c r="E415" s="35" t="n"/>
      <c r="F415" s="35" t="n"/>
      <c r="G415" s="35" t="n"/>
      <c r="H415" s="37" t="n"/>
      <c r="I415" s="39">
        <f>IF(B415="","",G415*H415)</f>
        <v/>
      </c>
      <c r="J415" s="35" t="n"/>
      <c r="K415" s="35" t="n"/>
      <c r="L415" s="35" t="n"/>
      <c r="M415" s="9">
        <f>IF(B415="","",IF(COUNTIF(Jobs!$A$5:$A$44,B415)=0,"Unknown Job ID",IF(C415="","Missing cost code",IF(COUNTIF(Settings!$E$5:$E$28,C415)=0,"Unknown cost code",IF(A415="","Missing date",IF(OR(G415="",H415=""),"Missing qty or cost",""))))))</f>
        <v/>
      </c>
      <c r="N415" s="35" t="n"/>
    </row>
    <row r="416">
      <c r="A416" s="40" t="n"/>
      <c r="B416" s="35" t="n"/>
      <c r="C416" s="35" t="n"/>
      <c r="D416" s="9">
        <f>IF(C416="","",IFERROR(VLOOKUP(C416,Settings!$E$5:$G$28,3,FALSE),"Other"))</f>
        <v/>
      </c>
      <c r="E416" s="35" t="n"/>
      <c r="F416" s="35" t="n"/>
      <c r="G416" s="35" t="n"/>
      <c r="H416" s="37" t="n"/>
      <c r="I416" s="39">
        <f>IF(B416="","",G416*H416)</f>
        <v/>
      </c>
      <c r="J416" s="35" t="n"/>
      <c r="K416" s="35" t="n"/>
      <c r="L416" s="35" t="n"/>
      <c r="M416" s="9">
        <f>IF(B416="","",IF(COUNTIF(Jobs!$A$5:$A$44,B416)=0,"Unknown Job ID",IF(C416="","Missing cost code",IF(COUNTIF(Settings!$E$5:$E$28,C416)=0,"Unknown cost code",IF(A416="","Missing date",IF(OR(G416="",H416=""),"Missing qty or cost",""))))))</f>
        <v/>
      </c>
      <c r="N416" s="35" t="n"/>
    </row>
    <row r="417">
      <c r="A417" s="40" t="n"/>
      <c r="B417" s="35" t="n"/>
      <c r="C417" s="35" t="n"/>
      <c r="D417" s="9">
        <f>IF(C417="","",IFERROR(VLOOKUP(C417,Settings!$E$5:$G$28,3,FALSE),"Other"))</f>
        <v/>
      </c>
      <c r="E417" s="35" t="n"/>
      <c r="F417" s="35" t="n"/>
      <c r="G417" s="35" t="n"/>
      <c r="H417" s="37" t="n"/>
      <c r="I417" s="39">
        <f>IF(B417="","",G417*H417)</f>
        <v/>
      </c>
      <c r="J417" s="35" t="n"/>
      <c r="K417" s="35" t="n"/>
      <c r="L417" s="35" t="n"/>
      <c r="M417" s="9">
        <f>IF(B417="","",IF(COUNTIF(Jobs!$A$5:$A$44,B417)=0,"Unknown Job ID",IF(C417="","Missing cost code",IF(COUNTIF(Settings!$E$5:$E$28,C417)=0,"Unknown cost code",IF(A417="","Missing date",IF(OR(G417="",H417=""),"Missing qty or cost",""))))))</f>
        <v/>
      </c>
      <c r="N417" s="35" t="n"/>
    </row>
    <row r="418">
      <c r="A418" s="40" t="n"/>
      <c r="B418" s="35" t="n"/>
      <c r="C418" s="35" t="n"/>
      <c r="D418" s="9">
        <f>IF(C418="","",IFERROR(VLOOKUP(C418,Settings!$E$5:$G$28,3,FALSE),"Other"))</f>
        <v/>
      </c>
      <c r="E418" s="35" t="n"/>
      <c r="F418" s="35" t="n"/>
      <c r="G418" s="35" t="n"/>
      <c r="H418" s="37" t="n"/>
      <c r="I418" s="39">
        <f>IF(B418="","",G418*H418)</f>
        <v/>
      </c>
      <c r="J418" s="35" t="n"/>
      <c r="K418" s="35" t="n"/>
      <c r="L418" s="35" t="n"/>
      <c r="M418" s="9">
        <f>IF(B418="","",IF(COUNTIF(Jobs!$A$5:$A$44,B418)=0,"Unknown Job ID",IF(C418="","Missing cost code",IF(COUNTIF(Settings!$E$5:$E$28,C418)=0,"Unknown cost code",IF(A418="","Missing date",IF(OR(G418="",H418=""),"Missing qty or cost",""))))))</f>
        <v/>
      </c>
      <c r="N418" s="35" t="n"/>
    </row>
    <row r="419">
      <c r="A419" s="40" t="n"/>
      <c r="B419" s="35" t="n"/>
      <c r="C419" s="35" t="n"/>
      <c r="D419" s="9">
        <f>IF(C419="","",IFERROR(VLOOKUP(C419,Settings!$E$5:$G$28,3,FALSE),"Other"))</f>
        <v/>
      </c>
      <c r="E419" s="35" t="n"/>
      <c r="F419" s="35" t="n"/>
      <c r="G419" s="35" t="n"/>
      <c r="H419" s="37" t="n"/>
      <c r="I419" s="39">
        <f>IF(B419="","",G419*H419)</f>
        <v/>
      </c>
      <c r="J419" s="35" t="n"/>
      <c r="K419" s="35" t="n"/>
      <c r="L419" s="35" t="n"/>
      <c r="M419" s="9">
        <f>IF(B419="","",IF(COUNTIF(Jobs!$A$5:$A$44,B419)=0,"Unknown Job ID",IF(C419="","Missing cost code",IF(COUNTIF(Settings!$E$5:$E$28,C419)=0,"Unknown cost code",IF(A419="","Missing date",IF(OR(G419="",H419=""),"Missing qty or cost",""))))))</f>
        <v/>
      </c>
      <c r="N419" s="35" t="n"/>
    </row>
    <row r="420">
      <c r="A420" s="40" t="n"/>
      <c r="B420" s="35" t="n"/>
      <c r="C420" s="35" t="n"/>
      <c r="D420" s="9">
        <f>IF(C420="","",IFERROR(VLOOKUP(C420,Settings!$E$5:$G$28,3,FALSE),"Other"))</f>
        <v/>
      </c>
      <c r="E420" s="35" t="n"/>
      <c r="F420" s="35" t="n"/>
      <c r="G420" s="35" t="n"/>
      <c r="H420" s="37" t="n"/>
      <c r="I420" s="39">
        <f>IF(B420="","",G420*H420)</f>
        <v/>
      </c>
      <c r="J420" s="35" t="n"/>
      <c r="K420" s="35" t="n"/>
      <c r="L420" s="35" t="n"/>
      <c r="M420" s="9">
        <f>IF(B420="","",IF(COUNTIF(Jobs!$A$5:$A$44,B420)=0,"Unknown Job ID",IF(C420="","Missing cost code",IF(COUNTIF(Settings!$E$5:$E$28,C420)=0,"Unknown cost code",IF(A420="","Missing date",IF(OR(G420="",H420=""),"Missing qty or cost",""))))))</f>
        <v/>
      </c>
      <c r="N420" s="35" t="n"/>
    </row>
    <row r="421">
      <c r="A421" s="40" t="n"/>
      <c r="B421" s="35" t="n"/>
      <c r="C421" s="35" t="n"/>
      <c r="D421" s="9">
        <f>IF(C421="","",IFERROR(VLOOKUP(C421,Settings!$E$5:$G$28,3,FALSE),"Other"))</f>
        <v/>
      </c>
      <c r="E421" s="35" t="n"/>
      <c r="F421" s="35" t="n"/>
      <c r="G421" s="35" t="n"/>
      <c r="H421" s="37" t="n"/>
      <c r="I421" s="39">
        <f>IF(B421="","",G421*H421)</f>
        <v/>
      </c>
      <c r="J421" s="35" t="n"/>
      <c r="K421" s="35" t="n"/>
      <c r="L421" s="35" t="n"/>
      <c r="M421" s="9">
        <f>IF(B421="","",IF(COUNTIF(Jobs!$A$5:$A$44,B421)=0,"Unknown Job ID",IF(C421="","Missing cost code",IF(COUNTIF(Settings!$E$5:$E$28,C421)=0,"Unknown cost code",IF(A421="","Missing date",IF(OR(G421="",H421=""),"Missing qty or cost",""))))))</f>
        <v/>
      </c>
      <c r="N421" s="35" t="n"/>
    </row>
    <row r="422">
      <c r="A422" s="40" t="n"/>
      <c r="B422" s="35" t="n"/>
      <c r="C422" s="35" t="n"/>
      <c r="D422" s="9">
        <f>IF(C422="","",IFERROR(VLOOKUP(C422,Settings!$E$5:$G$28,3,FALSE),"Other"))</f>
        <v/>
      </c>
      <c r="E422" s="35" t="n"/>
      <c r="F422" s="35" t="n"/>
      <c r="G422" s="35" t="n"/>
      <c r="H422" s="37" t="n"/>
      <c r="I422" s="39">
        <f>IF(B422="","",G422*H422)</f>
        <v/>
      </c>
      <c r="J422" s="35" t="n"/>
      <c r="K422" s="35" t="n"/>
      <c r="L422" s="35" t="n"/>
      <c r="M422" s="9">
        <f>IF(B422="","",IF(COUNTIF(Jobs!$A$5:$A$44,B422)=0,"Unknown Job ID",IF(C422="","Missing cost code",IF(COUNTIF(Settings!$E$5:$E$28,C422)=0,"Unknown cost code",IF(A422="","Missing date",IF(OR(G422="",H422=""),"Missing qty or cost",""))))))</f>
        <v/>
      </c>
      <c r="N422" s="35" t="n"/>
    </row>
    <row r="423">
      <c r="A423" s="40" t="n"/>
      <c r="B423" s="35" t="n"/>
      <c r="C423" s="35" t="n"/>
      <c r="D423" s="9">
        <f>IF(C423="","",IFERROR(VLOOKUP(C423,Settings!$E$5:$G$28,3,FALSE),"Other"))</f>
        <v/>
      </c>
      <c r="E423" s="35" t="n"/>
      <c r="F423" s="35" t="n"/>
      <c r="G423" s="35" t="n"/>
      <c r="H423" s="37" t="n"/>
      <c r="I423" s="39">
        <f>IF(B423="","",G423*H423)</f>
        <v/>
      </c>
      <c r="J423" s="35" t="n"/>
      <c r="K423" s="35" t="n"/>
      <c r="L423" s="35" t="n"/>
      <c r="M423" s="9">
        <f>IF(B423="","",IF(COUNTIF(Jobs!$A$5:$A$44,B423)=0,"Unknown Job ID",IF(C423="","Missing cost code",IF(COUNTIF(Settings!$E$5:$E$28,C423)=0,"Unknown cost code",IF(A423="","Missing date",IF(OR(G423="",H423=""),"Missing qty or cost",""))))))</f>
        <v/>
      </c>
      <c r="N423" s="35" t="n"/>
    </row>
    <row r="424">
      <c r="A424" s="40" t="n"/>
      <c r="B424" s="35" t="n"/>
      <c r="C424" s="35" t="n"/>
      <c r="D424" s="9">
        <f>IF(C424="","",IFERROR(VLOOKUP(C424,Settings!$E$5:$G$28,3,FALSE),"Other"))</f>
        <v/>
      </c>
      <c r="E424" s="35" t="n"/>
      <c r="F424" s="35" t="n"/>
      <c r="G424" s="35" t="n"/>
      <c r="H424" s="37" t="n"/>
      <c r="I424" s="39">
        <f>IF(B424="","",G424*H424)</f>
        <v/>
      </c>
      <c r="J424" s="35" t="n"/>
      <c r="K424" s="35" t="n"/>
      <c r="L424" s="35" t="n"/>
      <c r="M424" s="9">
        <f>IF(B424="","",IF(COUNTIF(Jobs!$A$5:$A$44,B424)=0,"Unknown Job ID",IF(C424="","Missing cost code",IF(COUNTIF(Settings!$E$5:$E$28,C424)=0,"Unknown cost code",IF(A424="","Missing date",IF(OR(G424="",H424=""),"Missing qty or cost",""))))))</f>
        <v/>
      </c>
      <c r="N424" s="35" t="n"/>
    </row>
    <row r="425">
      <c r="A425" s="40" t="n"/>
      <c r="B425" s="35" t="n"/>
      <c r="C425" s="35" t="n"/>
      <c r="D425" s="9">
        <f>IF(C425="","",IFERROR(VLOOKUP(C425,Settings!$E$5:$G$28,3,FALSE),"Other"))</f>
        <v/>
      </c>
      <c r="E425" s="35" t="n"/>
      <c r="F425" s="35" t="n"/>
      <c r="G425" s="35" t="n"/>
      <c r="H425" s="37" t="n"/>
      <c r="I425" s="39">
        <f>IF(B425="","",G425*H425)</f>
        <v/>
      </c>
      <c r="J425" s="35" t="n"/>
      <c r="K425" s="35" t="n"/>
      <c r="L425" s="35" t="n"/>
      <c r="M425" s="9">
        <f>IF(B425="","",IF(COUNTIF(Jobs!$A$5:$A$44,B425)=0,"Unknown Job ID",IF(C425="","Missing cost code",IF(COUNTIF(Settings!$E$5:$E$28,C425)=0,"Unknown cost code",IF(A425="","Missing date",IF(OR(G425="",H425=""),"Missing qty or cost",""))))))</f>
        <v/>
      </c>
      <c r="N425" s="35" t="n"/>
    </row>
    <row r="426">
      <c r="A426" s="40" t="n"/>
      <c r="B426" s="35" t="n"/>
      <c r="C426" s="35" t="n"/>
      <c r="D426" s="9">
        <f>IF(C426="","",IFERROR(VLOOKUP(C426,Settings!$E$5:$G$28,3,FALSE),"Other"))</f>
        <v/>
      </c>
      <c r="E426" s="35" t="n"/>
      <c r="F426" s="35" t="n"/>
      <c r="G426" s="35" t="n"/>
      <c r="H426" s="37" t="n"/>
      <c r="I426" s="39">
        <f>IF(B426="","",G426*H426)</f>
        <v/>
      </c>
      <c r="J426" s="35" t="n"/>
      <c r="K426" s="35" t="n"/>
      <c r="L426" s="35" t="n"/>
      <c r="M426" s="9">
        <f>IF(B426="","",IF(COUNTIF(Jobs!$A$5:$A$44,B426)=0,"Unknown Job ID",IF(C426="","Missing cost code",IF(COUNTIF(Settings!$E$5:$E$28,C426)=0,"Unknown cost code",IF(A426="","Missing date",IF(OR(G426="",H426=""),"Missing qty or cost",""))))))</f>
        <v/>
      </c>
      <c r="N426" s="35" t="n"/>
    </row>
    <row r="427">
      <c r="A427" s="40" t="n"/>
      <c r="B427" s="35" t="n"/>
      <c r="C427" s="35" t="n"/>
      <c r="D427" s="9">
        <f>IF(C427="","",IFERROR(VLOOKUP(C427,Settings!$E$5:$G$28,3,FALSE),"Other"))</f>
        <v/>
      </c>
      <c r="E427" s="35" t="n"/>
      <c r="F427" s="35" t="n"/>
      <c r="G427" s="35" t="n"/>
      <c r="H427" s="37" t="n"/>
      <c r="I427" s="39">
        <f>IF(B427="","",G427*H427)</f>
        <v/>
      </c>
      <c r="J427" s="35" t="n"/>
      <c r="K427" s="35" t="n"/>
      <c r="L427" s="35" t="n"/>
      <c r="M427" s="9">
        <f>IF(B427="","",IF(COUNTIF(Jobs!$A$5:$A$44,B427)=0,"Unknown Job ID",IF(C427="","Missing cost code",IF(COUNTIF(Settings!$E$5:$E$28,C427)=0,"Unknown cost code",IF(A427="","Missing date",IF(OR(G427="",H427=""),"Missing qty or cost",""))))))</f>
        <v/>
      </c>
      <c r="N427" s="35" t="n"/>
    </row>
    <row r="428">
      <c r="A428" s="40" t="n"/>
      <c r="B428" s="35" t="n"/>
      <c r="C428" s="35" t="n"/>
      <c r="D428" s="9">
        <f>IF(C428="","",IFERROR(VLOOKUP(C428,Settings!$E$5:$G$28,3,FALSE),"Other"))</f>
        <v/>
      </c>
      <c r="E428" s="35" t="n"/>
      <c r="F428" s="35" t="n"/>
      <c r="G428" s="35" t="n"/>
      <c r="H428" s="37" t="n"/>
      <c r="I428" s="39">
        <f>IF(B428="","",G428*H428)</f>
        <v/>
      </c>
      <c r="J428" s="35" t="n"/>
      <c r="K428" s="35" t="n"/>
      <c r="L428" s="35" t="n"/>
      <c r="M428" s="9">
        <f>IF(B428="","",IF(COUNTIF(Jobs!$A$5:$A$44,B428)=0,"Unknown Job ID",IF(C428="","Missing cost code",IF(COUNTIF(Settings!$E$5:$E$28,C428)=0,"Unknown cost code",IF(A428="","Missing date",IF(OR(G428="",H428=""),"Missing qty or cost",""))))))</f>
        <v/>
      </c>
      <c r="N428" s="35" t="n"/>
    </row>
    <row r="429">
      <c r="A429" s="40" t="n"/>
      <c r="B429" s="35" t="n"/>
      <c r="C429" s="35" t="n"/>
      <c r="D429" s="9">
        <f>IF(C429="","",IFERROR(VLOOKUP(C429,Settings!$E$5:$G$28,3,FALSE),"Other"))</f>
        <v/>
      </c>
      <c r="E429" s="35" t="n"/>
      <c r="F429" s="35" t="n"/>
      <c r="G429" s="35" t="n"/>
      <c r="H429" s="37" t="n"/>
      <c r="I429" s="39">
        <f>IF(B429="","",G429*H429)</f>
        <v/>
      </c>
      <c r="J429" s="35" t="n"/>
      <c r="K429" s="35" t="n"/>
      <c r="L429" s="35" t="n"/>
      <c r="M429" s="9">
        <f>IF(B429="","",IF(COUNTIF(Jobs!$A$5:$A$44,B429)=0,"Unknown Job ID",IF(C429="","Missing cost code",IF(COUNTIF(Settings!$E$5:$E$28,C429)=0,"Unknown cost code",IF(A429="","Missing date",IF(OR(G429="",H429=""),"Missing qty or cost",""))))))</f>
        <v/>
      </c>
      <c r="N429" s="35" t="n"/>
    </row>
    <row r="430">
      <c r="A430" s="40" t="n"/>
      <c r="B430" s="35" t="n"/>
      <c r="C430" s="35" t="n"/>
      <c r="D430" s="9">
        <f>IF(C430="","",IFERROR(VLOOKUP(C430,Settings!$E$5:$G$28,3,FALSE),"Other"))</f>
        <v/>
      </c>
      <c r="E430" s="35" t="n"/>
      <c r="F430" s="35" t="n"/>
      <c r="G430" s="35" t="n"/>
      <c r="H430" s="37" t="n"/>
      <c r="I430" s="39">
        <f>IF(B430="","",G430*H430)</f>
        <v/>
      </c>
      <c r="J430" s="35" t="n"/>
      <c r="K430" s="35" t="n"/>
      <c r="L430" s="35" t="n"/>
      <c r="M430" s="9">
        <f>IF(B430="","",IF(COUNTIF(Jobs!$A$5:$A$44,B430)=0,"Unknown Job ID",IF(C430="","Missing cost code",IF(COUNTIF(Settings!$E$5:$E$28,C430)=0,"Unknown cost code",IF(A430="","Missing date",IF(OR(G430="",H430=""),"Missing qty or cost",""))))))</f>
        <v/>
      </c>
      <c r="N430" s="35" t="n"/>
    </row>
    <row r="431">
      <c r="A431" s="40" t="n"/>
      <c r="B431" s="35" t="n"/>
      <c r="C431" s="35" t="n"/>
      <c r="D431" s="9">
        <f>IF(C431="","",IFERROR(VLOOKUP(C431,Settings!$E$5:$G$28,3,FALSE),"Other"))</f>
        <v/>
      </c>
      <c r="E431" s="35" t="n"/>
      <c r="F431" s="35" t="n"/>
      <c r="G431" s="35" t="n"/>
      <c r="H431" s="37" t="n"/>
      <c r="I431" s="39">
        <f>IF(B431="","",G431*H431)</f>
        <v/>
      </c>
      <c r="J431" s="35" t="n"/>
      <c r="K431" s="35" t="n"/>
      <c r="L431" s="35" t="n"/>
      <c r="M431" s="9">
        <f>IF(B431="","",IF(COUNTIF(Jobs!$A$5:$A$44,B431)=0,"Unknown Job ID",IF(C431="","Missing cost code",IF(COUNTIF(Settings!$E$5:$E$28,C431)=0,"Unknown cost code",IF(A431="","Missing date",IF(OR(G431="",H431=""),"Missing qty or cost",""))))))</f>
        <v/>
      </c>
      <c r="N431" s="35" t="n"/>
    </row>
    <row r="432">
      <c r="A432" s="40" t="n"/>
      <c r="B432" s="35" t="n"/>
      <c r="C432" s="35" t="n"/>
      <c r="D432" s="9">
        <f>IF(C432="","",IFERROR(VLOOKUP(C432,Settings!$E$5:$G$28,3,FALSE),"Other"))</f>
        <v/>
      </c>
      <c r="E432" s="35" t="n"/>
      <c r="F432" s="35" t="n"/>
      <c r="G432" s="35" t="n"/>
      <c r="H432" s="37" t="n"/>
      <c r="I432" s="39">
        <f>IF(B432="","",G432*H432)</f>
        <v/>
      </c>
      <c r="J432" s="35" t="n"/>
      <c r="K432" s="35" t="n"/>
      <c r="L432" s="35" t="n"/>
      <c r="M432" s="9">
        <f>IF(B432="","",IF(COUNTIF(Jobs!$A$5:$A$44,B432)=0,"Unknown Job ID",IF(C432="","Missing cost code",IF(COUNTIF(Settings!$E$5:$E$28,C432)=0,"Unknown cost code",IF(A432="","Missing date",IF(OR(G432="",H432=""),"Missing qty or cost",""))))))</f>
        <v/>
      </c>
      <c r="N432" s="35" t="n"/>
    </row>
    <row r="433">
      <c r="A433" s="40" t="n"/>
      <c r="B433" s="35" t="n"/>
      <c r="C433" s="35" t="n"/>
      <c r="D433" s="9">
        <f>IF(C433="","",IFERROR(VLOOKUP(C433,Settings!$E$5:$G$28,3,FALSE),"Other"))</f>
        <v/>
      </c>
      <c r="E433" s="35" t="n"/>
      <c r="F433" s="35" t="n"/>
      <c r="G433" s="35" t="n"/>
      <c r="H433" s="37" t="n"/>
      <c r="I433" s="39">
        <f>IF(B433="","",G433*H433)</f>
        <v/>
      </c>
      <c r="J433" s="35" t="n"/>
      <c r="K433" s="35" t="n"/>
      <c r="L433" s="35" t="n"/>
      <c r="M433" s="9">
        <f>IF(B433="","",IF(COUNTIF(Jobs!$A$5:$A$44,B433)=0,"Unknown Job ID",IF(C433="","Missing cost code",IF(COUNTIF(Settings!$E$5:$E$28,C433)=0,"Unknown cost code",IF(A433="","Missing date",IF(OR(G433="",H433=""),"Missing qty or cost",""))))))</f>
        <v/>
      </c>
      <c r="N433" s="35" t="n"/>
    </row>
    <row r="434">
      <c r="A434" s="40" t="n"/>
      <c r="B434" s="35" t="n"/>
      <c r="C434" s="35" t="n"/>
      <c r="D434" s="9">
        <f>IF(C434="","",IFERROR(VLOOKUP(C434,Settings!$E$5:$G$28,3,FALSE),"Other"))</f>
        <v/>
      </c>
      <c r="E434" s="35" t="n"/>
      <c r="F434" s="35" t="n"/>
      <c r="G434" s="35" t="n"/>
      <c r="H434" s="37" t="n"/>
      <c r="I434" s="39">
        <f>IF(B434="","",G434*H434)</f>
        <v/>
      </c>
      <c r="J434" s="35" t="n"/>
      <c r="K434" s="35" t="n"/>
      <c r="L434" s="35" t="n"/>
      <c r="M434" s="9">
        <f>IF(B434="","",IF(COUNTIF(Jobs!$A$5:$A$44,B434)=0,"Unknown Job ID",IF(C434="","Missing cost code",IF(COUNTIF(Settings!$E$5:$E$28,C434)=0,"Unknown cost code",IF(A434="","Missing date",IF(OR(G434="",H434=""),"Missing qty or cost",""))))))</f>
        <v/>
      </c>
      <c r="N434" s="35" t="n"/>
    </row>
    <row r="435">
      <c r="A435" s="40" t="n"/>
      <c r="B435" s="35" t="n"/>
      <c r="C435" s="35" t="n"/>
      <c r="D435" s="9">
        <f>IF(C435="","",IFERROR(VLOOKUP(C435,Settings!$E$5:$G$28,3,FALSE),"Other"))</f>
        <v/>
      </c>
      <c r="E435" s="35" t="n"/>
      <c r="F435" s="35" t="n"/>
      <c r="G435" s="35" t="n"/>
      <c r="H435" s="37" t="n"/>
      <c r="I435" s="39">
        <f>IF(B435="","",G435*H435)</f>
        <v/>
      </c>
      <c r="J435" s="35" t="n"/>
      <c r="K435" s="35" t="n"/>
      <c r="L435" s="35" t="n"/>
      <c r="M435" s="9">
        <f>IF(B435="","",IF(COUNTIF(Jobs!$A$5:$A$44,B435)=0,"Unknown Job ID",IF(C435="","Missing cost code",IF(COUNTIF(Settings!$E$5:$E$28,C435)=0,"Unknown cost code",IF(A435="","Missing date",IF(OR(G435="",H435=""),"Missing qty or cost",""))))))</f>
        <v/>
      </c>
      <c r="N435" s="35" t="n"/>
    </row>
    <row r="436">
      <c r="A436" s="40" t="n"/>
      <c r="B436" s="35" t="n"/>
      <c r="C436" s="35" t="n"/>
      <c r="D436" s="9">
        <f>IF(C436="","",IFERROR(VLOOKUP(C436,Settings!$E$5:$G$28,3,FALSE),"Other"))</f>
        <v/>
      </c>
      <c r="E436" s="35" t="n"/>
      <c r="F436" s="35" t="n"/>
      <c r="G436" s="35" t="n"/>
      <c r="H436" s="37" t="n"/>
      <c r="I436" s="39">
        <f>IF(B436="","",G436*H436)</f>
        <v/>
      </c>
      <c r="J436" s="35" t="n"/>
      <c r="K436" s="35" t="n"/>
      <c r="L436" s="35" t="n"/>
      <c r="M436" s="9">
        <f>IF(B436="","",IF(COUNTIF(Jobs!$A$5:$A$44,B436)=0,"Unknown Job ID",IF(C436="","Missing cost code",IF(COUNTIF(Settings!$E$5:$E$28,C436)=0,"Unknown cost code",IF(A436="","Missing date",IF(OR(G436="",H436=""),"Missing qty or cost",""))))))</f>
        <v/>
      </c>
      <c r="N436" s="35" t="n"/>
    </row>
    <row r="437">
      <c r="A437" s="40" t="n"/>
      <c r="B437" s="35" t="n"/>
      <c r="C437" s="35" t="n"/>
      <c r="D437" s="9">
        <f>IF(C437="","",IFERROR(VLOOKUP(C437,Settings!$E$5:$G$28,3,FALSE),"Other"))</f>
        <v/>
      </c>
      <c r="E437" s="35" t="n"/>
      <c r="F437" s="35" t="n"/>
      <c r="G437" s="35" t="n"/>
      <c r="H437" s="37" t="n"/>
      <c r="I437" s="39">
        <f>IF(B437="","",G437*H437)</f>
        <v/>
      </c>
      <c r="J437" s="35" t="n"/>
      <c r="K437" s="35" t="n"/>
      <c r="L437" s="35" t="n"/>
      <c r="M437" s="9">
        <f>IF(B437="","",IF(COUNTIF(Jobs!$A$5:$A$44,B437)=0,"Unknown Job ID",IF(C437="","Missing cost code",IF(COUNTIF(Settings!$E$5:$E$28,C437)=0,"Unknown cost code",IF(A437="","Missing date",IF(OR(G437="",H437=""),"Missing qty or cost",""))))))</f>
        <v/>
      </c>
      <c r="N437" s="35" t="n"/>
    </row>
    <row r="438">
      <c r="A438" s="40" t="n"/>
      <c r="B438" s="35" t="n"/>
      <c r="C438" s="35" t="n"/>
      <c r="D438" s="9">
        <f>IF(C438="","",IFERROR(VLOOKUP(C438,Settings!$E$5:$G$28,3,FALSE),"Other"))</f>
        <v/>
      </c>
      <c r="E438" s="35" t="n"/>
      <c r="F438" s="35" t="n"/>
      <c r="G438" s="35" t="n"/>
      <c r="H438" s="37" t="n"/>
      <c r="I438" s="39">
        <f>IF(B438="","",G438*H438)</f>
        <v/>
      </c>
      <c r="J438" s="35" t="n"/>
      <c r="K438" s="35" t="n"/>
      <c r="L438" s="35" t="n"/>
      <c r="M438" s="9">
        <f>IF(B438="","",IF(COUNTIF(Jobs!$A$5:$A$44,B438)=0,"Unknown Job ID",IF(C438="","Missing cost code",IF(COUNTIF(Settings!$E$5:$E$28,C438)=0,"Unknown cost code",IF(A438="","Missing date",IF(OR(G438="",H438=""),"Missing qty or cost",""))))))</f>
        <v/>
      </c>
      <c r="N438" s="35" t="n"/>
    </row>
    <row r="439">
      <c r="A439" s="40" t="n"/>
      <c r="B439" s="35" t="n"/>
      <c r="C439" s="35" t="n"/>
      <c r="D439" s="9">
        <f>IF(C439="","",IFERROR(VLOOKUP(C439,Settings!$E$5:$G$28,3,FALSE),"Other"))</f>
        <v/>
      </c>
      <c r="E439" s="35" t="n"/>
      <c r="F439" s="35" t="n"/>
      <c r="G439" s="35" t="n"/>
      <c r="H439" s="37" t="n"/>
      <c r="I439" s="39">
        <f>IF(B439="","",G439*H439)</f>
        <v/>
      </c>
      <c r="J439" s="35" t="n"/>
      <c r="K439" s="35" t="n"/>
      <c r="L439" s="35" t="n"/>
      <c r="M439" s="9">
        <f>IF(B439="","",IF(COUNTIF(Jobs!$A$5:$A$44,B439)=0,"Unknown Job ID",IF(C439="","Missing cost code",IF(COUNTIF(Settings!$E$5:$E$28,C439)=0,"Unknown cost code",IF(A439="","Missing date",IF(OR(G439="",H439=""),"Missing qty or cost",""))))))</f>
        <v/>
      </c>
      <c r="N439" s="35" t="n"/>
    </row>
    <row r="440">
      <c r="A440" s="40" t="n"/>
      <c r="B440" s="35" t="n"/>
      <c r="C440" s="35" t="n"/>
      <c r="D440" s="9">
        <f>IF(C440="","",IFERROR(VLOOKUP(C440,Settings!$E$5:$G$28,3,FALSE),"Other"))</f>
        <v/>
      </c>
      <c r="E440" s="35" t="n"/>
      <c r="F440" s="35" t="n"/>
      <c r="G440" s="35" t="n"/>
      <c r="H440" s="37" t="n"/>
      <c r="I440" s="39">
        <f>IF(B440="","",G440*H440)</f>
        <v/>
      </c>
      <c r="J440" s="35" t="n"/>
      <c r="K440" s="35" t="n"/>
      <c r="L440" s="35" t="n"/>
      <c r="M440" s="9">
        <f>IF(B440="","",IF(COUNTIF(Jobs!$A$5:$A$44,B440)=0,"Unknown Job ID",IF(C440="","Missing cost code",IF(COUNTIF(Settings!$E$5:$E$28,C440)=0,"Unknown cost code",IF(A440="","Missing date",IF(OR(G440="",H440=""),"Missing qty or cost",""))))))</f>
        <v/>
      </c>
      <c r="N440" s="35" t="n"/>
    </row>
    <row r="441">
      <c r="A441" s="40" t="n"/>
      <c r="B441" s="35" t="n"/>
      <c r="C441" s="35" t="n"/>
      <c r="D441" s="9">
        <f>IF(C441="","",IFERROR(VLOOKUP(C441,Settings!$E$5:$G$28,3,FALSE),"Other"))</f>
        <v/>
      </c>
      <c r="E441" s="35" t="n"/>
      <c r="F441" s="35" t="n"/>
      <c r="G441" s="35" t="n"/>
      <c r="H441" s="37" t="n"/>
      <c r="I441" s="39">
        <f>IF(B441="","",G441*H441)</f>
        <v/>
      </c>
      <c r="J441" s="35" t="n"/>
      <c r="K441" s="35" t="n"/>
      <c r="L441" s="35" t="n"/>
      <c r="M441" s="9">
        <f>IF(B441="","",IF(COUNTIF(Jobs!$A$5:$A$44,B441)=0,"Unknown Job ID",IF(C441="","Missing cost code",IF(COUNTIF(Settings!$E$5:$E$28,C441)=0,"Unknown cost code",IF(A441="","Missing date",IF(OR(G441="",H441=""),"Missing qty or cost",""))))))</f>
        <v/>
      </c>
      <c r="N441" s="35" t="n"/>
    </row>
    <row r="442">
      <c r="A442" s="40" t="n"/>
      <c r="B442" s="35" t="n"/>
      <c r="C442" s="35" t="n"/>
      <c r="D442" s="9">
        <f>IF(C442="","",IFERROR(VLOOKUP(C442,Settings!$E$5:$G$28,3,FALSE),"Other"))</f>
        <v/>
      </c>
      <c r="E442" s="35" t="n"/>
      <c r="F442" s="35" t="n"/>
      <c r="G442" s="35" t="n"/>
      <c r="H442" s="37" t="n"/>
      <c r="I442" s="39">
        <f>IF(B442="","",G442*H442)</f>
        <v/>
      </c>
      <c r="J442" s="35" t="n"/>
      <c r="K442" s="35" t="n"/>
      <c r="L442" s="35" t="n"/>
      <c r="M442" s="9">
        <f>IF(B442="","",IF(COUNTIF(Jobs!$A$5:$A$44,B442)=0,"Unknown Job ID",IF(C442="","Missing cost code",IF(COUNTIF(Settings!$E$5:$E$28,C442)=0,"Unknown cost code",IF(A442="","Missing date",IF(OR(G442="",H442=""),"Missing qty or cost",""))))))</f>
        <v/>
      </c>
      <c r="N442" s="35" t="n"/>
    </row>
    <row r="443">
      <c r="A443" s="40" t="n"/>
      <c r="B443" s="35" t="n"/>
      <c r="C443" s="35" t="n"/>
      <c r="D443" s="9">
        <f>IF(C443="","",IFERROR(VLOOKUP(C443,Settings!$E$5:$G$28,3,FALSE),"Other"))</f>
        <v/>
      </c>
      <c r="E443" s="35" t="n"/>
      <c r="F443" s="35" t="n"/>
      <c r="G443" s="35" t="n"/>
      <c r="H443" s="37" t="n"/>
      <c r="I443" s="39">
        <f>IF(B443="","",G443*H443)</f>
        <v/>
      </c>
      <c r="J443" s="35" t="n"/>
      <c r="K443" s="35" t="n"/>
      <c r="L443" s="35" t="n"/>
      <c r="M443" s="9">
        <f>IF(B443="","",IF(COUNTIF(Jobs!$A$5:$A$44,B443)=0,"Unknown Job ID",IF(C443="","Missing cost code",IF(COUNTIF(Settings!$E$5:$E$28,C443)=0,"Unknown cost code",IF(A443="","Missing date",IF(OR(G443="",H443=""),"Missing qty or cost",""))))))</f>
        <v/>
      </c>
      <c r="N443" s="35" t="n"/>
    </row>
    <row r="444">
      <c r="A444" s="40" t="n"/>
      <c r="B444" s="35" t="n"/>
      <c r="C444" s="35" t="n"/>
      <c r="D444" s="9">
        <f>IF(C444="","",IFERROR(VLOOKUP(C444,Settings!$E$5:$G$28,3,FALSE),"Other"))</f>
        <v/>
      </c>
      <c r="E444" s="35" t="n"/>
      <c r="F444" s="35" t="n"/>
      <c r="G444" s="35" t="n"/>
      <c r="H444" s="37" t="n"/>
      <c r="I444" s="39">
        <f>IF(B444="","",G444*H444)</f>
        <v/>
      </c>
      <c r="J444" s="35" t="n"/>
      <c r="K444" s="35" t="n"/>
      <c r="L444" s="35" t="n"/>
      <c r="M444" s="9">
        <f>IF(B444="","",IF(COUNTIF(Jobs!$A$5:$A$44,B444)=0,"Unknown Job ID",IF(C444="","Missing cost code",IF(COUNTIF(Settings!$E$5:$E$28,C444)=0,"Unknown cost code",IF(A444="","Missing date",IF(OR(G444="",H444=""),"Missing qty or cost",""))))))</f>
        <v/>
      </c>
      <c r="N444" s="35" t="n"/>
    </row>
    <row r="445">
      <c r="A445" s="40" t="n"/>
      <c r="B445" s="35" t="n"/>
      <c r="C445" s="35" t="n"/>
      <c r="D445" s="9">
        <f>IF(C445="","",IFERROR(VLOOKUP(C445,Settings!$E$5:$G$28,3,FALSE),"Other"))</f>
        <v/>
      </c>
      <c r="E445" s="35" t="n"/>
      <c r="F445" s="35" t="n"/>
      <c r="G445" s="35" t="n"/>
      <c r="H445" s="37" t="n"/>
      <c r="I445" s="39">
        <f>IF(B445="","",G445*H445)</f>
        <v/>
      </c>
      <c r="J445" s="35" t="n"/>
      <c r="K445" s="35" t="n"/>
      <c r="L445" s="35" t="n"/>
      <c r="M445" s="9">
        <f>IF(B445="","",IF(COUNTIF(Jobs!$A$5:$A$44,B445)=0,"Unknown Job ID",IF(C445="","Missing cost code",IF(COUNTIF(Settings!$E$5:$E$28,C445)=0,"Unknown cost code",IF(A445="","Missing date",IF(OR(G445="",H445=""),"Missing qty or cost",""))))))</f>
        <v/>
      </c>
      <c r="N445" s="35" t="n"/>
    </row>
    <row r="446">
      <c r="A446" s="40" t="n"/>
      <c r="B446" s="35" t="n"/>
      <c r="C446" s="35" t="n"/>
      <c r="D446" s="9">
        <f>IF(C446="","",IFERROR(VLOOKUP(C446,Settings!$E$5:$G$28,3,FALSE),"Other"))</f>
        <v/>
      </c>
      <c r="E446" s="35" t="n"/>
      <c r="F446" s="35" t="n"/>
      <c r="G446" s="35" t="n"/>
      <c r="H446" s="37" t="n"/>
      <c r="I446" s="39">
        <f>IF(B446="","",G446*H446)</f>
        <v/>
      </c>
      <c r="J446" s="35" t="n"/>
      <c r="K446" s="35" t="n"/>
      <c r="L446" s="35" t="n"/>
      <c r="M446" s="9">
        <f>IF(B446="","",IF(COUNTIF(Jobs!$A$5:$A$44,B446)=0,"Unknown Job ID",IF(C446="","Missing cost code",IF(COUNTIF(Settings!$E$5:$E$28,C446)=0,"Unknown cost code",IF(A446="","Missing date",IF(OR(G446="",H446=""),"Missing qty or cost",""))))))</f>
        <v/>
      </c>
      <c r="N446" s="35" t="n"/>
    </row>
    <row r="447">
      <c r="A447" s="40" t="n"/>
      <c r="B447" s="35" t="n"/>
      <c r="C447" s="35" t="n"/>
      <c r="D447" s="9">
        <f>IF(C447="","",IFERROR(VLOOKUP(C447,Settings!$E$5:$G$28,3,FALSE),"Other"))</f>
        <v/>
      </c>
      <c r="E447" s="35" t="n"/>
      <c r="F447" s="35" t="n"/>
      <c r="G447" s="35" t="n"/>
      <c r="H447" s="37" t="n"/>
      <c r="I447" s="39">
        <f>IF(B447="","",G447*H447)</f>
        <v/>
      </c>
      <c r="J447" s="35" t="n"/>
      <c r="K447" s="35" t="n"/>
      <c r="L447" s="35" t="n"/>
      <c r="M447" s="9">
        <f>IF(B447="","",IF(COUNTIF(Jobs!$A$5:$A$44,B447)=0,"Unknown Job ID",IF(C447="","Missing cost code",IF(COUNTIF(Settings!$E$5:$E$28,C447)=0,"Unknown cost code",IF(A447="","Missing date",IF(OR(G447="",H447=""),"Missing qty or cost",""))))))</f>
        <v/>
      </c>
      <c r="N447" s="35" t="n"/>
    </row>
    <row r="448">
      <c r="A448" s="40" t="n"/>
      <c r="B448" s="35" t="n"/>
      <c r="C448" s="35" t="n"/>
      <c r="D448" s="9">
        <f>IF(C448="","",IFERROR(VLOOKUP(C448,Settings!$E$5:$G$28,3,FALSE),"Other"))</f>
        <v/>
      </c>
      <c r="E448" s="35" t="n"/>
      <c r="F448" s="35" t="n"/>
      <c r="G448" s="35" t="n"/>
      <c r="H448" s="37" t="n"/>
      <c r="I448" s="39">
        <f>IF(B448="","",G448*H448)</f>
        <v/>
      </c>
      <c r="J448" s="35" t="n"/>
      <c r="K448" s="35" t="n"/>
      <c r="L448" s="35" t="n"/>
      <c r="M448" s="9">
        <f>IF(B448="","",IF(COUNTIF(Jobs!$A$5:$A$44,B448)=0,"Unknown Job ID",IF(C448="","Missing cost code",IF(COUNTIF(Settings!$E$5:$E$28,C448)=0,"Unknown cost code",IF(A448="","Missing date",IF(OR(G448="",H448=""),"Missing qty or cost",""))))))</f>
        <v/>
      </c>
      <c r="N448" s="35" t="n"/>
    </row>
    <row r="449">
      <c r="A449" s="40" t="n"/>
      <c r="B449" s="35" t="n"/>
      <c r="C449" s="35" t="n"/>
      <c r="D449" s="9">
        <f>IF(C449="","",IFERROR(VLOOKUP(C449,Settings!$E$5:$G$28,3,FALSE),"Other"))</f>
        <v/>
      </c>
      <c r="E449" s="35" t="n"/>
      <c r="F449" s="35" t="n"/>
      <c r="G449" s="35" t="n"/>
      <c r="H449" s="37" t="n"/>
      <c r="I449" s="39">
        <f>IF(B449="","",G449*H449)</f>
        <v/>
      </c>
      <c r="J449" s="35" t="n"/>
      <c r="K449" s="35" t="n"/>
      <c r="L449" s="35" t="n"/>
      <c r="M449" s="9">
        <f>IF(B449="","",IF(COUNTIF(Jobs!$A$5:$A$44,B449)=0,"Unknown Job ID",IF(C449="","Missing cost code",IF(COUNTIF(Settings!$E$5:$E$28,C449)=0,"Unknown cost code",IF(A449="","Missing date",IF(OR(G449="",H449=""),"Missing qty or cost",""))))))</f>
        <v/>
      </c>
      <c r="N449" s="35" t="n"/>
    </row>
    <row r="450">
      <c r="A450" s="40" t="n"/>
      <c r="B450" s="35" t="n"/>
      <c r="C450" s="35" t="n"/>
      <c r="D450" s="9">
        <f>IF(C450="","",IFERROR(VLOOKUP(C450,Settings!$E$5:$G$28,3,FALSE),"Other"))</f>
        <v/>
      </c>
      <c r="E450" s="35" t="n"/>
      <c r="F450" s="35" t="n"/>
      <c r="G450" s="35" t="n"/>
      <c r="H450" s="37" t="n"/>
      <c r="I450" s="39">
        <f>IF(B450="","",G450*H450)</f>
        <v/>
      </c>
      <c r="J450" s="35" t="n"/>
      <c r="K450" s="35" t="n"/>
      <c r="L450" s="35" t="n"/>
      <c r="M450" s="9">
        <f>IF(B450="","",IF(COUNTIF(Jobs!$A$5:$A$44,B450)=0,"Unknown Job ID",IF(C450="","Missing cost code",IF(COUNTIF(Settings!$E$5:$E$28,C450)=0,"Unknown cost code",IF(A450="","Missing date",IF(OR(G450="",H450=""),"Missing qty or cost",""))))))</f>
        <v/>
      </c>
      <c r="N450" s="35" t="n"/>
    </row>
    <row r="451">
      <c r="A451" s="40" t="n"/>
      <c r="B451" s="35" t="n"/>
      <c r="C451" s="35" t="n"/>
      <c r="D451" s="9">
        <f>IF(C451="","",IFERROR(VLOOKUP(C451,Settings!$E$5:$G$28,3,FALSE),"Other"))</f>
        <v/>
      </c>
      <c r="E451" s="35" t="n"/>
      <c r="F451" s="35" t="n"/>
      <c r="G451" s="35" t="n"/>
      <c r="H451" s="37" t="n"/>
      <c r="I451" s="39">
        <f>IF(B451="","",G451*H451)</f>
        <v/>
      </c>
      <c r="J451" s="35" t="n"/>
      <c r="K451" s="35" t="n"/>
      <c r="L451" s="35" t="n"/>
      <c r="M451" s="9">
        <f>IF(B451="","",IF(COUNTIF(Jobs!$A$5:$A$44,B451)=0,"Unknown Job ID",IF(C451="","Missing cost code",IF(COUNTIF(Settings!$E$5:$E$28,C451)=0,"Unknown cost code",IF(A451="","Missing date",IF(OR(G451="",H451=""),"Missing qty or cost",""))))))</f>
        <v/>
      </c>
      <c r="N451" s="35" t="n"/>
    </row>
    <row r="452">
      <c r="A452" s="40" t="n"/>
      <c r="B452" s="35" t="n"/>
      <c r="C452" s="35" t="n"/>
      <c r="D452" s="9">
        <f>IF(C452="","",IFERROR(VLOOKUP(C452,Settings!$E$5:$G$28,3,FALSE),"Other"))</f>
        <v/>
      </c>
      <c r="E452" s="35" t="n"/>
      <c r="F452" s="35" t="n"/>
      <c r="G452" s="35" t="n"/>
      <c r="H452" s="37" t="n"/>
      <c r="I452" s="39">
        <f>IF(B452="","",G452*H452)</f>
        <v/>
      </c>
      <c r="J452" s="35" t="n"/>
      <c r="K452" s="35" t="n"/>
      <c r="L452" s="35" t="n"/>
      <c r="M452" s="9">
        <f>IF(B452="","",IF(COUNTIF(Jobs!$A$5:$A$44,B452)=0,"Unknown Job ID",IF(C452="","Missing cost code",IF(COUNTIF(Settings!$E$5:$E$28,C452)=0,"Unknown cost code",IF(A452="","Missing date",IF(OR(G452="",H452=""),"Missing qty or cost",""))))))</f>
        <v/>
      </c>
      <c r="N452" s="35" t="n"/>
    </row>
    <row r="453">
      <c r="A453" s="40" t="n"/>
      <c r="B453" s="35" t="n"/>
      <c r="C453" s="35" t="n"/>
      <c r="D453" s="9">
        <f>IF(C453="","",IFERROR(VLOOKUP(C453,Settings!$E$5:$G$28,3,FALSE),"Other"))</f>
        <v/>
      </c>
      <c r="E453" s="35" t="n"/>
      <c r="F453" s="35" t="n"/>
      <c r="G453" s="35" t="n"/>
      <c r="H453" s="37" t="n"/>
      <c r="I453" s="39">
        <f>IF(B453="","",G453*H453)</f>
        <v/>
      </c>
      <c r="J453" s="35" t="n"/>
      <c r="K453" s="35" t="n"/>
      <c r="L453" s="35" t="n"/>
      <c r="M453" s="9">
        <f>IF(B453="","",IF(COUNTIF(Jobs!$A$5:$A$44,B453)=0,"Unknown Job ID",IF(C453="","Missing cost code",IF(COUNTIF(Settings!$E$5:$E$28,C453)=0,"Unknown cost code",IF(A453="","Missing date",IF(OR(G453="",H453=""),"Missing qty or cost",""))))))</f>
        <v/>
      </c>
      <c r="N453" s="35" t="n"/>
    </row>
    <row r="454">
      <c r="A454" s="40" t="n"/>
      <c r="B454" s="35" t="n"/>
      <c r="C454" s="35" t="n"/>
      <c r="D454" s="9">
        <f>IF(C454="","",IFERROR(VLOOKUP(C454,Settings!$E$5:$G$28,3,FALSE),"Other"))</f>
        <v/>
      </c>
      <c r="E454" s="35" t="n"/>
      <c r="F454" s="35" t="n"/>
      <c r="G454" s="35" t="n"/>
      <c r="H454" s="37" t="n"/>
      <c r="I454" s="39">
        <f>IF(B454="","",G454*H454)</f>
        <v/>
      </c>
      <c r="J454" s="35" t="n"/>
      <c r="K454" s="35" t="n"/>
      <c r="L454" s="35" t="n"/>
      <c r="M454" s="9">
        <f>IF(B454="","",IF(COUNTIF(Jobs!$A$5:$A$44,B454)=0,"Unknown Job ID",IF(C454="","Missing cost code",IF(COUNTIF(Settings!$E$5:$E$28,C454)=0,"Unknown cost code",IF(A454="","Missing date",IF(OR(G454="",H454=""),"Missing qty or cost",""))))))</f>
        <v/>
      </c>
      <c r="N454" s="35" t="n"/>
    </row>
    <row r="455">
      <c r="A455" s="40" t="n"/>
      <c r="B455" s="35" t="n"/>
      <c r="C455" s="35" t="n"/>
      <c r="D455" s="9">
        <f>IF(C455="","",IFERROR(VLOOKUP(C455,Settings!$E$5:$G$28,3,FALSE),"Other"))</f>
        <v/>
      </c>
      <c r="E455" s="35" t="n"/>
      <c r="F455" s="35" t="n"/>
      <c r="G455" s="35" t="n"/>
      <c r="H455" s="37" t="n"/>
      <c r="I455" s="39">
        <f>IF(B455="","",G455*H455)</f>
        <v/>
      </c>
      <c r="J455" s="35" t="n"/>
      <c r="K455" s="35" t="n"/>
      <c r="L455" s="35" t="n"/>
      <c r="M455" s="9">
        <f>IF(B455="","",IF(COUNTIF(Jobs!$A$5:$A$44,B455)=0,"Unknown Job ID",IF(C455="","Missing cost code",IF(COUNTIF(Settings!$E$5:$E$28,C455)=0,"Unknown cost code",IF(A455="","Missing date",IF(OR(G455="",H455=""),"Missing qty or cost",""))))))</f>
        <v/>
      </c>
      <c r="N455" s="35" t="n"/>
    </row>
    <row r="456">
      <c r="A456" s="40" t="n"/>
      <c r="B456" s="35" t="n"/>
      <c r="C456" s="35" t="n"/>
      <c r="D456" s="9">
        <f>IF(C456="","",IFERROR(VLOOKUP(C456,Settings!$E$5:$G$28,3,FALSE),"Other"))</f>
        <v/>
      </c>
      <c r="E456" s="35" t="n"/>
      <c r="F456" s="35" t="n"/>
      <c r="G456" s="35" t="n"/>
      <c r="H456" s="37" t="n"/>
      <c r="I456" s="39">
        <f>IF(B456="","",G456*H456)</f>
        <v/>
      </c>
      <c r="J456" s="35" t="n"/>
      <c r="K456" s="35" t="n"/>
      <c r="L456" s="35" t="n"/>
      <c r="M456" s="9">
        <f>IF(B456="","",IF(COUNTIF(Jobs!$A$5:$A$44,B456)=0,"Unknown Job ID",IF(C456="","Missing cost code",IF(COUNTIF(Settings!$E$5:$E$28,C456)=0,"Unknown cost code",IF(A456="","Missing date",IF(OR(G456="",H456=""),"Missing qty or cost",""))))))</f>
        <v/>
      </c>
      <c r="N456" s="35" t="n"/>
    </row>
    <row r="457">
      <c r="A457" s="40" t="n"/>
      <c r="B457" s="35" t="n"/>
      <c r="C457" s="35" t="n"/>
      <c r="D457" s="9">
        <f>IF(C457="","",IFERROR(VLOOKUP(C457,Settings!$E$5:$G$28,3,FALSE),"Other"))</f>
        <v/>
      </c>
      <c r="E457" s="35" t="n"/>
      <c r="F457" s="35" t="n"/>
      <c r="G457" s="35" t="n"/>
      <c r="H457" s="37" t="n"/>
      <c r="I457" s="39">
        <f>IF(B457="","",G457*H457)</f>
        <v/>
      </c>
      <c r="J457" s="35" t="n"/>
      <c r="K457" s="35" t="n"/>
      <c r="L457" s="35" t="n"/>
      <c r="M457" s="9">
        <f>IF(B457="","",IF(COUNTIF(Jobs!$A$5:$A$44,B457)=0,"Unknown Job ID",IF(C457="","Missing cost code",IF(COUNTIF(Settings!$E$5:$E$28,C457)=0,"Unknown cost code",IF(A457="","Missing date",IF(OR(G457="",H457=""),"Missing qty or cost",""))))))</f>
        <v/>
      </c>
      <c r="N457" s="35" t="n"/>
    </row>
    <row r="458">
      <c r="A458" s="40" t="n"/>
      <c r="B458" s="35" t="n"/>
      <c r="C458" s="35" t="n"/>
      <c r="D458" s="9">
        <f>IF(C458="","",IFERROR(VLOOKUP(C458,Settings!$E$5:$G$28,3,FALSE),"Other"))</f>
        <v/>
      </c>
      <c r="E458" s="35" t="n"/>
      <c r="F458" s="35" t="n"/>
      <c r="G458" s="35" t="n"/>
      <c r="H458" s="37" t="n"/>
      <c r="I458" s="39">
        <f>IF(B458="","",G458*H458)</f>
        <v/>
      </c>
      <c r="J458" s="35" t="n"/>
      <c r="K458" s="35" t="n"/>
      <c r="L458" s="35" t="n"/>
      <c r="M458" s="9">
        <f>IF(B458="","",IF(COUNTIF(Jobs!$A$5:$A$44,B458)=0,"Unknown Job ID",IF(C458="","Missing cost code",IF(COUNTIF(Settings!$E$5:$E$28,C458)=0,"Unknown cost code",IF(A458="","Missing date",IF(OR(G458="",H458=""),"Missing qty or cost",""))))))</f>
        <v/>
      </c>
      <c r="N458" s="35" t="n"/>
    </row>
    <row r="459">
      <c r="A459" s="40" t="n"/>
      <c r="B459" s="35" t="n"/>
      <c r="C459" s="35" t="n"/>
      <c r="D459" s="9">
        <f>IF(C459="","",IFERROR(VLOOKUP(C459,Settings!$E$5:$G$28,3,FALSE),"Other"))</f>
        <v/>
      </c>
      <c r="E459" s="35" t="n"/>
      <c r="F459" s="35" t="n"/>
      <c r="G459" s="35" t="n"/>
      <c r="H459" s="37" t="n"/>
      <c r="I459" s="39">
        <f>IF(B459="","",G459*H459)</f>
        <v/>
      </c>
      <c r="J459" s="35" t="n"/>
      <c r="K459" s="35" t="n"/>
      <c r="L459" s="35" t="n"/>
      <c r="M459" s="9">
        <f>IF(B459="","",IF(COUNTIF(Jobs!$A$5:$A$44,B459)=0,"Unknown Job ID",IF(C459="","Missing cost code",IF(COUNTIF(Settings!$E$5:$E$28,C459)=0,"Unknown cost code",IF(A459="","Missing date",IF(OR(G459="",H459=""),"Missing qty or cost",""))))))</f>
        <v/>
      </c>
      <c r="N459" s="35" t="n"/>
    </row>
    <row r="460">
      <c r="A460" s="40" t="n"/>
      <c r="B460" s="35" t="n"/>
      <c r="C460" s="35" t="n"/>
      <c r="D460" s="9">
        <f>IF(C460="","",IFERROR(VLOOKUP(C460,Settings!$E$5:$G$28,3,FALSE),"Other"))</f>
        <v/>
      </c>
      <c r="E460" s="35" t="n"/>
      <c r="F460" s="35" t="n"/>
      <c r="G460" s="35" t="n"/>
      <c r="H460" s="37" t="n"/>
      <c r="I460" s="39">
        <f>IF(B460="","",G460*H460)</f>
        <v/>
      </c>
      <c r="J460" s="35" t="n"/>
      <c r="K460" s="35" t="n"/>
      <c r="L460" s="35" t="n"/>
      <c r="M460" s="9">
        <f>IF(B460="","",IF(COUNTIF(Jobs!$A$5:$A$44,B460)=0,"Unknown Job ID",IF(C460="","Missing cost code",IF(COUNTIF(Settings!$E$5:$E$28,C460)=0,"Unknown cost code",IF(A460="","Missing date",IF(OR(G460="",H460=""),"Missing qty or cost",""))))))</f>
        <v/>
      </c>
      <c r="N460" s="35" t="n"/>
    </row>
    <row r="461">
      <c r="A461" s="40" t="n"/>
      <c r="B461" s="35" t="n"/>
      <c r="C461" s="35" t="n"/>
      <c r="D461" s="9">
        <f>IF(C461="","",IFERROR(VLOOKUP(C461,Settings!$E$5:$G$28,3,FALSE),"Other"))</f>
        <v/>
      </c>
      <c r="E461" s="35" t="n"/>
      <c r="F461" s="35" t="n"/>
      <c r="G461" s="35" t="n"/>
      <c r="H461" s="37" t="n"/>
      <c r="I461" s="39">
        <f>IF(B461="","",G461*H461)</f>
        <v/>
      </c>
      <c r="J461" s="35" t="n"/>
      <c r="K461" s="35" t="n"/>
      <c r="L461" s="35" t="n"/>
      <c r="M461" s="9">
        <f>IF(B461="","",IF(COUNTIF(Jobs!$A$5:$A$44,B461)=0,"Unknown Job ID",IF(C461="","Missing cost code",IF(COUNTIF(Settings!$E$5:$E$28,C461)=0,"Unknown cost code",IF(A461="","Missing date",IF(OR(G461="",H461=""),"Missing qty or cost",""))))))</f>
        <v/>
      </c>
      <c r="N461" s="35" t="n"/>
    </row>
    <row r="462">
      <c r="A462" s="40" t="n"/>
      <c r="B462" s="35" t="n"/>
      <c r="C462" s="35" t="n"/>
      <c r="D462" s="9">
        <f>IF(C462="","",IFERROR(VLOOKUP(C462,Settings!$E$5:$G$28,3,FALSE),"Other"))</f>
        <v/>
      </c>
      <c r="E462" s="35" t="n"/>
      <c r="F462" s="35" t="n"/>
      <c r="G462" s="35" t="n"/>
      <c r="H462" s="37" t="n"/>
      <c r="I462" s="39">
        <f>IF(B462="","",G462*H462)</f>
        <v/>
      </c>
      <c r="J462" s="35" t="n"/>
      <c r="K462" s="35" t="n"/>
      <c r="L462" s="35" t="n"/>
      <c r="M462" s="9">
        <f>IF(B462="","",IF(COUNTIF(Jobs!$A$5:$A$44,B462)=0,"Unknown Job ID",IF(C462="","Missing cost code",IF(COUNTIF(Settings!$E$5:$E$28,C462)=0,"Unknown cost code",IF(A462="","Missing date",IF(OR(G462="",H462=""),"Missing qty or cost",""))))))</f>
        <v/>
      </c>
      <c r="N462" s="35" t="n"/>
    </row>
    <row r="463">
      <c r="A463" s="40" t="n"/>
      <c r="B463" s="35" t="n"/>
      <c r="C463" s="35" t="n"/>
      <c r="D463" s="9">
        <f>IF(C463="","",IFERROR(VLOOKUP(C463,Settings!$E$5:$G$28,3,FALSE),"Other"))</f>
        <v/>
      </c>
      <c r="E463" s="35" t="n"/>
      <c r="F463" s="35" t="n"/>
      <c r="G463" s="35" t="n"/>
      <c r="H463" s="37" t="n"/>
      <c r="I463" s="39">
        <f>IF(B463="","",G463*H463)</f>
        <v/>
      </c>
      <c r="J463" s="35" t="n"/>
      <c r="K463" s="35" t="n"/>
      <c r="L463" s="35" t="n"/>
      <c r="M463" s="9">
        <f>IF(B463="","",IF(COUNTIF(Jobs!$A$5:$A$44,B463)=0,"Unknown Job ID",IF(C463="","Missing cost code",IF(COUNTIF(Settings!$E$5:$E$28,C463)=0,"Unknown cost code",IF(A463="","Missing date",IF(OR(G463="",H463=""),"Missing qty or cost",""))))))</f>
        <v/>
      </c>
      <c r="N463" s="35" t="n"/>
    </row>
    <row r="464">
      <c r="A464" s="40" t="n"/>
      <c r="B464" s="35" t="n"/>
      <c r="C464" s="35" t="n"/>
      <c r="D464" s="9">
        <f>IF(C464="","",IFERROR(VLOOKUP(C464,Settings!$E$5:$G$28,3,FALSE),"Other"))</f>
        <v/>
      </c>
      <c r="E464" s="35" t="n"/>
      <c r="F464" s="35" t="n"/>
      <c r="G464" s="35" t="n"/>
      <c r="H464" s="37" t="n"/>
      <c r="I464" s="39">
        <f>IF(B464="","",G464*H464)</f>
        <v/>
      </c>
      <c r="J464" s="35" t="n"/>
      <c r="K464" s="35" t="n"/>
      <c r="L464" s="35" t="n"/>
      <c r="M464" s="9">
        <f>IF(B464="","",IF(COUNTIF(Jobs!$A$5:$A$44,B464)=0,"Unknown Job ID",IF(C464="","Missing cost code",IF(COUNTIF(Settings!$E$5:$E$28,C464)=0,"Unknown cost code",IF(A464="","Missing date",IF(OR(G464="",H464=""),"Missing qty or cost",""))))))</f>
        <v/>
      </c>
      <c r="N464" s="35" t="n"/>
    </row>
    <row r="465">
      <c r="A465" s="40" t="n"/>
      <c r="B465" s="35" t="n"/>
      <c r="C465" s="35" t="n"/>
      <c r="D465" s="9">
        <f>IF(C465="","",IFERROR(VLOOKUP(C465,Settings!$E$5:$G$28,3,FALSE),"Other"))</f>
        <v/>
      </c>
      <c r="E465" s="35" t="n"/>
      <c r="F465" s="35" t="n"/>
      <c r="G465" s="35" t="n"/>
      <c r="H465" s="37" t="n"/>
      <c r="I465" s="39">
        <f>IF(B465="","",G465*H465)</f>
        <v/>
      </c>
      <c r="J465" s="35" t="n"/>
      <c r="K465" s="35" t="n"/>
      <c r="L465" s="35" t="n"/>
      <c r="M465" s="9">
        <f>IF(B465="","",IF(COUNTIF(Jobs!$A$5:$A$44,B465)=0,"Unknown Job ID",IF(C465="","Missing cost code",IF(COUNTIF(Settings!$E$5:$E$28,C465)=0,"Unknown cost code",IF(A465="","Missing date",IF(OR(G465="",H465=""),"Missing qty or cost",""))))))</f>
        <v/>
      </c>
      <c r="N465" s="35" t="n"/>
    </row>
    <row r="466">
      <c r="A466" s="40" t="n"/>
      <c r="B466" s="35" t="n"/>
      <c r="C466" s="35" t="n"/>
      <c r="D466" s="9">
        <f>IF(C466="","",IFERROR(VLOOKUP(C466,Settings!$E$5:$G$28,3,FALSE),"Other"))</f>
        <v/>
      </c>
      <c r="E466" s="35" t="n"/>
      <c r="F466" s="35" t="n"/>
      <c r="G466" s="35" t="n"/>
      <c r="H466" s="37" t="n"/>
      <c r="I466" s="39">
        <f>IF(B466="","",G466*H466)</f>
        <v/>
      </c>
      <c r="J466" s="35" t="n"/>
      <c r="K466" s="35" t="n"/>
      <c r="L466" s="35" t="n"/>
      <c r="M466" s="9">
        <f>IF(B466="","",IF(COUNTIF(Jobs!$A$5:$A$44,B466)=0,"Unknown Job ID",IF(C466="","Missing cost code",IF(COUNTIF(Settings!$E$5:$E$28,C466)=0,"Unknown cost code",IF(A466="","Missing date",IF(OR(G466="",H466=""),"Missing qty or cost",""))))))</f>
        <v/>
      </c>
      <c r="N466" s="35" t="n"/>
    </row>
    <row r="467">
      <c r="A467" s="40" t="n"/>
      <c r="B467" s="35" t="n"/>
      <c r="C467" s="35" t="n"/>
      <c r="D467" s="9">
        <f>IF(C467="","",IFERROR(VLOOKUP(C467,Settings!$E$5:$G$28,3,FALSE),"Other"))</f>
        <v/>
      </c>
      <c r="E467" s="35" t="n"/>
      <c r="F467" s="35" t="n"/>
      <c r="G467" s="35" t="n"/>
      <c r="H467" s="37" t="n"/>
      <c r="I467" s="39">
        <f>IF(B467="","",G467*H467)</f>
        <v/>
      </c>
      <c r="J467" s="35" t="n"/>
      <c r="K467" s="35" t="n"/>
      <c r="L467" s="35" t="n"/>
      <c r="M467" s="9">
        <f>IF(B467="","",IF(COUNTIF(Jobs!$A$5:$A$44,B467)=0,"Unknown Job ID",IF(C467="","Missing cost code",IF(COUNTIF(Settings!$E$5:$E$28,C467)=0,"Unknown cost code",IF(A467="","Missing date",IF(OR(G467="",H467=""),"Missing qty or cost",""))))))</f>
        <v/>
      </c>
      <c r="N467" s="35" t="n"/>
    </row>
    <row r="468">
      <c r="A468" s="40" t="n"/>
      <c r="B468" s="35" t="n"/>
      <c r="C468" s="35" t="n"/>
      <c r="D468" s="9">
        <f>IF(C468="","",IFERROR(VLOOKUP(C468,Settings!$E$5:$G$28,3,FALSE),"Other"))</f>
        <v/>
      </c>
      <c r="E468" s="35" t="n"/>
      <c r="F468" s="35" t="n"/>
      <c r="G468" s="35" t="n"/>
      <c r="H468" s="37" t="n"/>
      <c r="I468" s="39">
        <f>IF(B468="","",G468*H468)</f>
        <v/>
      </c>
      <c r="J468" s="35" t="n"/>
      <c r="K468" s="35" t="n"/>
      <c r="L468" s="35" t="n"/>
      <c r="M468" s="9">
        <f>IF(B468="","",IF(COUNTIF(Jobs!$A$5:$A$44,B468)=0,"Unknown Job ID",IF(C468="","Missing cost code",IF(COUNTIF(Settings!$E$5:$E$28,C468)=0,"Unknown cost code",IF(A468="","Missing date",IF(OR(G468="",H468=""),"Missing qty or cost",""))))))</f>
        <v/>
      </c>
      <c r="N468" s="35" t="n"/>
    </row>
    <row r="469">
      <c r="A469" s="40" t="n"/>
      <c r="B469" s="35" t="n"/>
      <c r="C469" s="35" t="n"/>
      <c r="D469" s="9">
        <f>IF(C469="","",IFERROR(VLOOKUP(C469,Settings!$E$5:$G$28,3,FALSE),"Other"))</f>
        <v/>
      </c>
      <c r="E469" s="35" t="n"/>
      <c r="F469" s="35" t="n"/>
      <c r="G469" s="35" t="n"/>
      <c r="H469" s="37" t="n"/>
      <c r="I469" s="39">
        <f>IF(B469="","",G469*H469)</f>
        <v/>
      </c>
      <c r="J469" s="35" t="n"/>
      <c r="K469" s="35" t="n"/>
      <c r="L469" s="35" t="n"/>
      <c r="M469" s="9">
        <f>IF(B469="","",IF(COUNTIF(Jobs!$A$5:$A$44,B469)=0,"Unknown Job ID",IF(C469="","Missing cost code",IF(COUNTIF(Settings!$E$5:$E$28,C469)=0,"Unknown cost code",IF(A469="","Missing date",IF(OR(G469="",H469=""),"Missing qty or cost",""))))))</f>
        <v/>
      </c>
      <c r="N469" s="35" t="n"/>
    </row>
    <row r="470">
      <c r="A470" s="40" t="n"/>
      <c r="B470" s="35" t="n"/>
      <c r="C470" s="35" t="n"/>
      <c r="D470" s="9">
        <f>IF(C470="","",IFERROR(VLOOKUP(C470,Settings!$E$5:$G$28,3,FALSE),"Other"))</f>
        <v/>
      </c>
      <c r="E470" s="35" t="n"/>
      <c r="F470" s="35" t="n"/>
      <c r="G470" s="35" t="n"/>
      <c r="H470" s="37" t="n"/>
      <c r="I470" s="39">
        <f>IF(B470="","",G470*H470)</f>
        <v/>
      </c>
      <c r="J470" s="35" t="n"/>
      <c r="K470" s="35" t="n"/>
      <c r="L470" s="35" t="n"/>
      <c r="M470" s="9">
        <f>IF(B470="","",IF(COUNTIF(Jobs!$A$5:$A$44,B470)=0,"Unknown Job ID",IF(C470="","Missing cost code",IF(COUNTIF(Settings!$E$5:$E$28,C470)=0,"Unknown cost code",IF(A470="","Missing date",IF(OR(G470="",H470=""),"Missing qty or cost",""))))))</f>
        <v/>
      </c>
      <c r="N470" s="35" t="n"/>
    </row>
    <row r="471">
      <c r="A471" s="40" t="n"/>
      <c r="B471" s="35" t="n"/>
      <c r="C471" s="35" t="n"/>
      <c r="D471" s="9">
        <f>IF(C471="","",IFERROR(VLOOKUP(C471,Settings!$E$5:$G$28,3,FALSE),"Other"))</f>
        <v/>
      </c>
      <c r="E471" s="35" t="n"/>
      <c r="F471" s="35" t="n"/>
      <c r="G471" s="35" t="n"/>
      <c r="H471" s="37" t="n"/>
      <c r="I471" s="39">
        <f>IF(B471="","",G471*H471)</f>
        <v/>
      </c>
      <c r="J471" s="35" t="n"/>
      <c r="K471" s="35" t="n"/>
      <c r="L471" s="35" t="n"/>
      <c r="M471" s="9">
        <f>IF(B471="","",IF(COUNTIF(Jobs!$A$5:$A$44,B471)=0,"Unknown Job ID",IF(C471="","Missing cost code",IF(COUNTIF(Settings!$E$5:$E$28,C471)=0,"Unknown cost code",IF(A471="","Missing date",IF(OR(G471="",H471=""),"Missing qty or cost",""))))))</f>
        <v/>
      </c>
      <c r="N471" s="35" t="n"/>
    </row>
    <row r="472">
      <c r="A472" s="40" t="n"/>
      <c r="B472" s="35" t="n"/>
      <c r="C472" s="35" t="n"/>
      <c r="D472" s="9">
        <f>IF(C472="","",IFERROR(VLOOKUP(C472,Settings!$E$5:$G$28,3,FALSE),"Other"))</f>
        <v/>
      </c>
      <c r="E472" s="35" t="n"/>
      <c r="F472" s="35" t="n"/>
      <c r="G472" s="35" t="n"/>
      <c r="H472" s="37" t="n"/>
      <c r="I472" s="39">
        <f>IF(B472="","",G472*H472)</f>
        <v/>
      </c>
      <c r="J472" s="35" t="n"/>
      <c r="K472" s="35" t="n"/>
      <c r="L472" s="35" t="n"/>
      <c r="M472" s="9">
        <f>IF(B472="","",IF(COUNTIF(Jobs!$A$5:$A$44,B472)=0,"Unknown Job ID",IF(C472="","Missing cost code",IF(COUNTIF(Settings!$E$5:$E$28,C472)=0,"Unknown cost code",IF(A472="","Missing date",IF(OR(G472="",H472=""),"Missing qty or cost",""))))))</f>
        <v/>
      </c>
      <c r="N472" s="35" t="n"/>
    </row>
    <row r="473">
      <c r="A473" s="40" t="n"/>
      <c r="B473" s="35" t="n"/>
      <c r="C473" s="35" t="n"/>
      <c r="D473" s="9">
        <f>IF(C473="","",IFERROR(VLOOKUP(C473,Settings!$E$5:$G$28,3,FALSE),"Other"))</f>
        <v/>
      </c>
      <c r="E473" s="35" t="n"/>
      <c r="F473" s="35" t="n"/>
      <c r="G473" s="35" t="n"/>
      <c r="H473" s="37" t="n"/>
      <c r="I473" s="39">
        <f>IF(B473="","",G473*H473)</f>
        <v/>
      </c>
      <c r="J473" s="35" t="n"/>
      <c r="K473" s="35" t="n"/>
      <c r="L473" s="35" t="n"/>
      <c r="M473" s="9">
        <f>IF(B473="","",IF(COUNTIF(Jobs!$A$5:$A$44,B473)=0,"Unknown Job ID",IF(C473="","Missing cost code",IF(COUNTIF(Settings!$E$5:$E$28,C473)=0,"Unknown cost code",IF(A473="","Missing date",IF(OR(G473="",H473=""),"Missing qty or cost",""))))))</f>
        <v/>
      </c>
      <c r="N473" s="35" t="n"/>
    </row>
    <row r="474">
      <c r="A474" s="40" t="n"/>
      <c r="B474" s="35" t="n"/>
      <c r="C474" s="35" t="n"/>
      <c r="D474" s="9">
        <f>IF(C474="","",IFERROR(VLOOKUP(C474,Settings!$E$5:$G$28,3,FALSE),"Other"))</f>
        <v/>
      </c>
      <c r="E474" s="35" t="n"/>
      <c r="F474" s="35" t="n"/>
      <c r="G474" s="35" t="n"/>
      <c r="H474" s="37" t="n"/>
      <c r="I474" s="39">
        <f>IF(B474="","",G474*H474)</f>
        <v/>
      </c>
      <c r="J474" s="35" t="n"/>
      <c r="K474" s="35" t="n"/>
      <c r="L474" s="35" t="n"/>
      <c r="M474" s="9">
        <f>IF(B474="","",IF(COUNTIF(Jobs!$A$5:$A$44,B474)=0,"Unknown Job ID",IF(C474="","Missing cost code",IF(COUNTIF(Settings!$E$5:$E$28,C474)=0,"Unknown cost code",IF(A474="","Missing date",IF(OR(G474="",H474=""),"Missing qty or cost",""))))))</f>
        <v/>
      </c>
      <c r="N474" s="35" t="n"/>
    </row>
    <row r="475">
      <c r="A475" s="40" t="n"/>
      <c r="B475" s="35" t="n"/>
      <c r="C475" s="35" t="n"/>
      <c r="D475" s="9">
        <f>IF(C475="","",IFERROR(VLOOKUP(C475,Settings!$E$5:$G$28,3,FALSE),"Other"))</f>
        <v/>
      </c>
      <c r="E475" s="35" t="n"/>
      <c r="F475" s="35" t="n"/>
      <c r="G475" s="35" t="n"/>
      <c r="H475" s="37" t="n"/>
      <c r="I475" s="39">
        <f>IF(B475="","",G475*H475)</f>
        <v/>
      </c>
      <c r="J475" s="35" t="n"/>
      <c r="K475" s="35" t="n"/>
      <c r="L475" s="35" t="n"/>
      <c r="M475" s="9">
        <f>IF(B475="","",IF(COUNTIF(Jobs!$A$5:$A$44,B475)=0,"Unknown Job ID",IF(C475="","Missing cost code",IF(COUNTIF(Settings!$E$5:$E$28,C475)=0,"Unknown cost code",IF(A475="","Missing date",IF(OR(G475="",H475=""),"Missing qty or cost",""))))))</f>
        <v/>
      </c>
      <c r="N475" s="35" t="n"/>
    </row>
    <row r="476">
      <c r="A476" s="40" t="n"/>
      <c r="B476" s="35" t="n"/>
      <c r="C476" s="35" t="n"/>
      <c r="D476" s="9">
        <f>IF(C476="","",IFERROR(VLOOKUP(C476,Settings!$E$5:$G$28,3,FALSE),"Other"))</f>
        <v/>
      </c>
      <c r="E476" s="35" t="n"/>
      <c r="F476" s="35" t="n"/>
      <c r="G476" s="35" t="n"/>
      <c r="H476" s="37" t="n"/>
      <c r="I476" s="39">
        <f>IF(B476="","",G476*H476)</f>
        <v/>
      </c>
      <c r="J476" s="35" t="n"/>
      <c r="K476" s="35" t="n"/>
      <c r="L476" s="35" t="n"/>
      <c r="M476" s="9">
        <f>IF(B476="","",IF(COUNTIF(Jobs!$A$5:$A$44,B476)=0,"Unknown Job ID",IF(C476="","Missing cost code",IF(COUNTIF(Settings!$E$5:$E$28,C476)=0,"Unknown cost code",IF(A476="","Missing date",IF(OR(G476="",H476=""),"Missing qty or cost",""))))))</f>
        <v/>
      </c>
      <c r="N476" s="35" t="n"/>
    </row>
    <row r="477">
      <c r="A477" s="40" t="n"/>
      <c r="B477" s="35" t="n"/>
      <c r="C477" s="35" t="n"/>
      <c r="D477" s="9">
        <f>IF(C477="","",IFERROR(VLOOKUP(C477,Settings!$E$5:$G$28,3,FALSE),"Other"))</f>
        <v/>
      </c>
      <c r="E477" s="35" t="n"/>
      <c r="F477" s="35" t="n"/>
      <c r="G477" s="35" t="n"/>
      <c r="H477" s="37" t="n"/>
      <c r="I477" s="39">
        <f>IF(B477="","",G477*H477)</f>
        <v/>
      </c>
      <c r="J477" s="35" t="n"/>
      <c r="K477" s="35" t="n"/>
      <c r="L477" s="35" t="n"/>
      <c r="M477" s="9">
        <f>IF(B477="","",IF(COUNTIF(Jobs!$A$5:$A$44,B477)=0,"Unknown Job ID",IF(C477="","Missing cost code",IF(COUNTIF(Settings!$E$5:$E$28,C477)=0,"Unknown cost code",IF(A477="","Missing date",IF(OR(G477="",H477=""),"Missing qty or cost",""))))))</f>
        <v/>
      </c>
      <c r="N477" s="35" t="n"/>
    </row>
    <row r="478">
      <c r="A478" s="40" t="n"/>
      <c r="B478" s="35" t="n"/>
      <c r="C478" s="35" t="n"/>
      <c r="D478" s="9">
        <f>IF(C478="","",IFERROR(VLOOKUP(C478,Settings!$E$5:$G$28,3,FALSE),"Other"))</f>
        <v/>
      </c>
      <c r="E478" s="35" t="n"/>
      <c r="F478" s="35" t="n"/>
      <c r="G478" s="35" t="n"/>
      <c r="H478" s="37" t="n"/>
      <c r="I478" s="39">
        <f>IF(B478="","",G478*H478)</f>
        <v/>
      </c>
      <c r="J478" s="35" t="n"/>
      <c r="K478" s="35" t="n"/>
      <c r="L478" s="35" t="n"/>
      <c r="M478" s="9">
        <f>IF(B478="","",IF(COUNTIF(Jobs!$A$5:$A$44,B478)=0,"Unknown Job ID",IF(C478="","Missing cost code",IF(COUNTIF(Settings!$E$5:$E$28,C478)=0,"Unknown cost code",IF(A478="","Missing date",IF(OR(G478="",H478=""),"Missing qty or cost",""))))))</f>
        <v/>
      </c>
      <c r="N478" s="35" t="n"/>
    </row>
    <row r="479">
      <c r="A479" s="40" t="n"/>
      <c r="B479" s="35" t="n"/>
      <c r="C479" s="35" t="n"/>
      <c r="D479" s="9">
        <f>IF(C479="","",IFERROR(VLOOKUP(C479,Settings!$E$5:$G$28,3,FALSE),"Other"))</f>
        <v/>
      </c>
      <c r="E479" s="35" t="n"/>
      <c r="F479" s="35" t="n"/>
      <c r="G479" s="35" t="n"/>
      <c r="H479" s="37" t="n"/>
      <c r="I479" s="39">
        <f>IF(B479="","",G479*H479)</f>
        <v/>
      </c>
      <c r="J479" s="35" t="n"/>
      <c r="K479" s="35" t="n"/>
      <c r="L479" s="35" t="n"/>
      <c r="M479" s="9">
        <f>IF(B479="","",IF(COUNTIF(Jobs!$A$5:$A$44,B479)=0,"Unknown Job ID",IF(C479="","Missing cost code",IF(COUNTIF(Settings!$E$5:$E$28,C479)=0,"Unknown cost code",IF(A479="","Missing date",IF(OR(G479="",H479=""),"Missing qty or cost",""))))))</f>
        <v/>
      </c>
      <c r="N479" s="35" t="n"/>
    </row>
    <row r="480">
      <c r="A480" s="40" t="n"/>
      <c r="B480" s="35" t="n"/>
      <c r="C480" s="35" t="n"/>
      <c r="D480" s="9">
        <f>IF(C480="","",IFERROR(VLOOKUP(C480,Settings!$E$5:$G$28,3,FALSE),"Other"))</f>
        <v/>
      </c>
      <c r="E480" s="35" t="n"/>
      <c r="F480" s="35" t="n"/>
      <c r="G480" s="35" t="n"/>
      <c r="H480" s="37" t="n"/>
      <c r="I480" s="39">
        <f>IF(B480="","",G480*H480)</f>
        <v/>
      </c>
      <c r="J480" s="35" t="n"/>
      <c r="K480" s="35" t="n"/>
      <c r="L480" s="35" t="n"/>
      <c r="M480" s="9">
        <f>IF(B480="","",IF(COUNTIF(Jobs!$A$5:$A$44,B480)=0,"Unknown Job ID",IF(C480="","Missing cost code",IF(COUNTIF(Settings!$E$5:$E$28,C480)=0,"Unknown cost code",IF(A480="","Missing date",IF(OR(G480="",H480=""),"Missing qty or cost",""))))))</f>
        <v/>
      </c>
      <c r="N480" s="35" t="n"/>
    </row>
    <row r="481">
      <c r="A481" s="40" t="n"/>
      <c r="B481" s="35" t="n"/>
      <c r="C481" s="35" t="n"/>
      <c r="D481" s="9">
        <f>IF(C481="","",IFERROR(VLOOKUP(C481,Settings!$E$5:$G$28,3,FALSE),"Other"))</f>
        <v/>
      </c>
      <c r="E481" s="35" t="n"/>
      <c r="F481" s="35" t="n"/>
      <c r="G481" s="35" t="n"/>
      <c r="H481" s="37" t="n"/>
      <c r="I481" s="39">
        <f>IF(B481="","",G481*H481)</f>
        <v/>
      </c>
      <c r="J481" s="35" t="n"/>
      <c r="K481" s="35" t="n"/>
      <c r="L481" s="35" t="n"/>
      <c r="M481" s="9">
        <f>IF(B481="","",IF(COUNTIF(Jobs!$A$5:$A$44,B481)=0,"Unknown Job ID",IF(C481="","Missing cost code",IF(COUNTIF(Settings!$E$5:$E$28,C481)=0,"Unknown cost code",IF(A481="","Missing date",IF(OR(G481="",H481=""),"Missing qty or cost",""))))))</f>
        <v/>
      </c>
      <c r="N481" s="35" t="n"/>
    </row>
    <row r="482">
      <c r="A482" s="40" t="n"/>
      <c r="B482" s="35" t="n"/>
      <c r="C482" s="35" t="n"/>
      <c r="D482" s="9">
        <f>IF(C482="","",IFERROR(VLOOKUP(C482,Settings!$E$5:$G$28,3,FALSE),"Other"))</f>
        <v/>
      </c>
      <c r="E482" s="35" t="n"/>
      <c r="F482" s="35" t="n"/>
      <c r="G482" s="35" t="n"/>
      <c r="H482" s="37" t="n"/>
      <c r="I482" s="39">
        <f>IF(B482="","",G482*H482)</f>
        <v/>
      </c>
      <c r="J482" s="35" t="n"/>
      <c r="K482" s="35" t="n"/>
      <c r="L482" s="35" t="n"/>
      <c r="M482" s="9">
        <f>IF(B482="","",IF(COUNTIF(Jobs!$A$5:$A$44,B482)=0,"Unknown Job ID",IF(C482="","Missing cost code",IF(COUNTIF(Settings!$E$5:$E$28,C482)=0,"Unknown cost code",IF(A482="","Missing date",IF(OR(G482="",H482=""),"Missing qty or cost",""))))))</f>
        <v/>
      </c>
      <c r="N482" s="35" t="n"/>
    </row>
    <row r="483">
      <c r="A483" s="40" t="n"/>
      <c r="B483" s="35" t="n"/>
      <c r="C483" s="35" t="n"/>
      <c r="D483" s="9">
        <f>IF(C483="","",IFERROR(VLOOKUP(C483,Settings!$E$5:$G$28,3,FALSE),"Other"))</f>
        <v/>
      </c>
      <c r="E483" s="35" t="n"/>
      <c r="F483" s="35" t="n"/>
      <c r="G483" s="35" t="n"/>
      <c r="H483" s="37" t="n"/>
      <c r="I483" s="39">
        <f>IF(B483="","",G483*H483)</f>
        <v/>
      </c>
      <c r="J483" s="35" t="n"/>
      <c r="K483" s="35" t="n"/>
      <c r="L483" s="35" t="n"/>
      <c r="M483" s="9">
        <f>IF(B483="","",IF(COUNTIF(Jobs!$A$5:$A$44,B483)=0,"Unknown Job ID",IF(C483="","Missing cost code",IF(COUNTIF(Settings!$E$5:$E$28,C483)=0,"Unknown cost code",IF(A483="","Missing date",IF(OR(G483="",H483=""),"Missing qty or cost",""))))))</f>
        <v/>
      </c>
      <c r="N483" s="35" t="n"/>
    </row>
    <row r="484">
      <c r="A484" s="40" t="n"/>
      <c r="B484" s="35" t="n"/>
      <c r="C484" s="35" t="n"/>
      <c r="D484" s="9">
        <f>IF(C484="","",IFERROR(VLOOKUP(C484,Settings!$E$5:$G$28,3,FALSE),"Other"))</f>
        <v/>
      </c>
      <c r="E484" s="35" t="n"/>
      <c r="F484" s="35" t="n"/>
      <c r="G484" s="35" t="n"/>
      <c r="H484" s="37" t="n"/>
      <c r="I484" s="39">
        <f>IF(B484="","",G484*H484)</f>
        <v/>
      </c>
      <c r="J484" s="35" t="n"/>
      <c r="K484" s="35" t="n"/>
      <c r="L484" s="35" t="n"/>
      <c r="M484" s="9">
        <f>IF(B484="","",IF(COUNTIF(Jobs!$A$5:$A$44,B484)=0,"Unknown Job ID",IF(C484="","Missing cost code",IF(COUNTIF(Settings!$E$5:$E$28,C484)=0,"Unknown cost code",IF(A484="","Missing date",IF(OR(G484="",H484=""),"Missing qty or cost",""))))))</f>
        <v/>
      </c>
      <c r="N484" s="35" t="n"/>
    </row>
    <row r="485">
      <c r="A485" s="40" t="n"/>
      <c r="B485" s="35" t="n"/>
      <c r="C485" s="35" t="n"/>
      <c r="D485" s="9">
        <f>IF(C485="","",IFERROR(VLOOKUP(C485,Settings!$E$5:$G$28,3,FALSE),"Other"))</f>
        <v/>
      </c>
      <c r="E485" s="35" t="n"/>
      <c r="F485" s="35" t="n"/>
      <c r="G485" s="35" t="n"/>
      <c r="H485" s="37" t="n"/>
      <c r="I485" s="39">
        <f>IF(B485="","",G485*H485)</f>
        <v/>
      </c>
      <c r="J485" s="35" t="n"/>
      <c r="K485" s="35" t="n"/>
      <c r="L485" s="35" t="n"/>
      <c r="M485" s="9">
        <f>IF(B485="","",IF(COUNTIF(Jobs!$A$5:$A$44,B485)=0,"Unknown Job ID",IF(C485="","Missing cost code",IF(COUNTIF(Settings!$E$5:$E$28,C485)=0,"Unknown cost code",IF(A485="","Missing date",IF(OR(G485="",H485=""),"Missing qty or cost",""))))))</f>
        <v/>
      </c>
      <c r="N485" s="35" t="n"/>
    </row>
    <row r="486">
      <c r="A486" s="40" t="n"/>
      <c r="B486" s="35" t="n"/>
      <c r="C486" s="35" t="n"/>
      <c r="D486" s="9">
        <f>IF(C486="","",IFERROR(VLOOKUP(C486,Settings!$E$5:$G$28,3,FALSE),"Other"))</f>
        <v/>
      </c>
      <c r="E486" s="35" t="n"/>
      <c r="F486" s="35" t="n"/>
      <c r="G486" s="35" t="n"/>
      <c r="H486" s="37" t="n"/>
      <c r="I486" s="39">
        <f>IF(B486="","",G486*H486)</f>
        <v/>
      </c>
      <c r="J486" s="35" t="n"/>
      <c r="K486" s="35" t="n"/>
      <c r="L486" s="35" t="n"/>
      <c r="M486" s="9">
        <f>IF(B486="","",IF(COUNTIF(Jobs!$A$5:$A$44,B486)=0,"Unknown Job ID",IF(C486="","Missing cost code",IF(COUNTIF(Settings!$E$5:$E$28,C486)=0,"Unknown cost code",IF(A486="","Missing date",IF(OR(G486="",H486=""),"Missing qty or cost",""))))))</f>
        <v/>
      </c>
      <c r="N486" s="35" t="n"/>
    </row>
    <row r="487">
      <c r="A487" s="40" t="n"/>
      <c r="B487" s="35" t="n"/>
      <c r="C487" s="35" t="n"/>
      <c r="D487" s="9">
        <f>IF(C487="","",IFERROR(VLOOKUP(C487,Settings!$E$5:$G$28,3,FALSE),"Other"))</f>
        <v/>
      </c>
      <c r="E487" s="35" t="n"/>
      <c r="F487" s="35" t="n"/>
      <c r="G487" s="35" t="n"/>
      <c r="H487" s="37" t="n"/>
      <c r="I487" s="39">
        <f>IF(B487="","",G487*H487)</f>
        <v/>
      </c>
      <c r="J487" s="35" t="n"/>
      <c r="K487" s="35" t="n"/>
      <c r="L487" s="35" t="n"/>
      <c r="M487" s="9">
        <f>IF(B487="","",IF(COUNTIF(Jobs!$A$5:$A$44,B487)=0,"Unknown Job ID",IF(C487="","Missing cost code",IF(COUNTIF(Settings!$E$5:$E$28,C487)=0,"Unknown cost code",IF(A487="","Missing date",IF(OR(G487="",H487=""),"Missing qty or cost",""))))))</f>
        <v/>
      </c>
      <c r="N487" s="35" t="n"/>
    </row>
    <row r="488">
      <c r="A488" s="40" t="n"/>
      <c r="B488" s="35" t="n"/>
      <c r="C488" s="35" t="n"/>
      <c r="D488" s="9">
        <f>IF(C488="","",IFERROR(VLOOKUP(C488,Settings!$E$5:$G$28,3,FALSE),"Other"))</f>
        <v/>
      </c>
      <c r="E488" s="35" t="n"/>
      <c r="F488" s="35" t="n"/>
      <c r="G488" s="35" t="n"/>
      <c r="H488" s="37" t="n"/>
      <c r="I488" s="39">
        <f>IF(B488="","",G488*H488)</f>
        <v/>
      </c>
      <c r="J488" s="35" t="n"/>
      <c r="K488" s="35" t="n"/>
      <c r="L488" s="35" t="n"/>
      <c r="M488" s="9">
        <f>IF(B488="","",IF(COUNTIF(Jobs!$A$5:$A$44,B488)=0,"Unknown Job ID",IF(C488="","Missing cost code",IF(COUNTIF(Settings!$E$5:$E$28,C488)=0,"Unknown cost code",IF(A488="","Missing date",IF(OR(G488="",H488=""),"Missing qty or cost",""))))))</f>
        <v/>
      </c>
      <c r="N488" s="35" t="n"/>
    </row>
    <row r="489">
      <c r="A489" s="40" t="n"/>
      <c r="B489" s="35" t="n"/>
      <c r="C489" s="35" t="n"/>
      <c r="D489" s="9">
        <f>IF(C489="","",IFERROR(VLOOKUP(C489,Settings!$E$5:$G$28,3,FALSE),"Other"))</f>
        <v/>
      </c>
      <c r="E489" s="35" t="n"/>
      <c r="F489" s="35" t="n"/>
      <c r="G489" s="35" t="n"/>
      <c r="H489" s="37" t="n"/>
      <c r="I489" s="39">
        <f>IF(B489="","",G489*H489)</f>
        <v/>
      </c>
      <c r="J489" s="35" t="n"/>
      <c r="K489" s="35" t="n"/>
      <c r="L489" s="35" t="n"/>
      <c r="M489" s="9">
        <f>IF(B489="","",IF(COUNTIF(Jobs!$A$5:$A$44,B489)=0,"Unknown Job ID",IF(C489="","Missing cost code",IF(COUNTIF(Settings!$E$5:$E$28,C489)=0,"Unknown cost code",IF(A489="","Missing date",IF(OR(G489="",H489=""),"Missing qty or cost",""))))))</f>
        <v/>
      </c>
      <c r="N489" s="35" t="n"/>
    </row>
    <row r="490">
      <c r="A490" s="40" t="n"/>
      <c r="B490" s="35" t="n"/>
      <c r="C490" s="35" t="n"/>
      <c r="D490" s="9">
        <f>IF(C490="","",IFERROR(VLOOKUP(C490,Settings!$E$5:$G$28,3,FALSE),"Other"))</f>
        <v/>
      </c>
      <c r="E490" s="35" t="n"/>
      <c r="F490" s="35" t="n"/>
      <c r="G490" s="35" t="n"/>
      <c r="H490" s="37" t="n"/>
      <c r="I490" s="39">
        <f>IF(B490="","",G490*H490)</f>
        <v/>
      </c>
      <c r="J490" s="35" t="n"/>
      <c r="K490" s="35" t="n"/>
      <c r="L490" s="35" t="n"/>
      <c r="M490" s="9">
        <f>IF(B490="","",IF(COUNTIF(Jobs!$A$5:$A$44,B490)=0,"Unknown Job ID",IF(C490="","Missing cost code",IF(COUNTIF(Settings!$E$5:$E$28,C490)=0,"Unknown cost code",IF(A490="","Missing date",IF(OR(G490="",H490=""),"Missing qty or cost",""))))))</f>
        <v/>
      </c>
      <c r="N490" s="35" t="n"/>
    </row>
    <row r="491">
      <c r="A491" s="40" t="n"/>
      <c r="B491" s="35" t="n"/>
      <c r="C491" s="35" t="n"/>
      <c r="D491" s="9">
        <f>IF(C491="","",IFERROR(VLOOKUP(C491,Settings!$E$5:$G$28,3,FALSE),"Other"))</f>
        <v/>
      </c>
      <c r="E491" s="35" t="n"/>
      <c r="F491" s="35" t="n"/>
      <c r="G491" s="35" t="n"/>
      <c r="H491" s="37" t="n"/>
      <c r="I491" s="39">
        <f>IF(B491="","",G491*H491)</f>
        <v/>
      </c>
      <c r="J491" s="35" t="n"/>
      <c r="K491" s="35" t="n"/>
      <c r="L491" s="35" t="n"/>
      <c r="M491" s="9">
        <f>IF(B491="","",IF(COUNTIF(Jobs!$A$5:$A$44,B491)=0,"Unknown Job ID",IF(C491="","Missing cost code",IF(COUNTIF(Settings!$E$5:$E$28,C491)=0,"Unknown cost code",IF(A491="","Missing date",IF(OR(G491="",H491=""),"Missing qty or cost",""))))))</f>
        <v/>
      </c>
      <c r="N491" s="35" t="n"/>
    </row>
    <row r="492">
      <c r="A492" s="40" t="n"/>
      <c r="B492" s="35" t="n"/>
      <c r="C492" s="35" t="n"/>
      <c r="D492" s="9">
        <f>IF(C492="","",IFERROR(VLOOKUP(C492,Settings!$E$5:$G$28,3,FALSE),"Other"))</f>
        <v/>
      </c>
      <c r="E492" s="35" t="n"/>
      <c r="F492" s="35" t="n"/>
      <c r="G492" s="35" t="n"/>
      <c r="H492" s="37" t="n"/>
      <c r="I492" s="39">
        <f>IF(B492="","",G492*H492)</f>
        <v/>
      </c>
      <c r="J492" s="35" t="n"/>
      <c r="K492" s="35" t="n"/>
      <c r="L492" s="35" t="n"/>
      <c r="M492" s="9">
        <f>IF(B492="","",IF(COUNTIF(Jobs!$A$5:$A$44,B492)=0,"Unknown Job ID",IF(C492="","Missing cost code",IF(COUNTIF(Settings!$E$5:$E$28,C492)=0,"Unknown cost code",IF(A492="","Missing date",IF(OR(G492="",H492=""),"Missing qty or cost",""))))))</f>
        <v/>
      </c>
      <c r="N492" s="35" t="n"/>
    </row>
    <row r="493">
      <c r="A493" s="40" t="n"/>
      <c r="B493" s="35" t="n"/>
      <c r="C493" s="35" t="n"/>
      <c r="D493" s="9">
        <f>IF(C493="","",IFERROR(VLOOKUP(C493,Settings!$E$5:$G$28,3,FALSE),"Other"))</f>
        <v/>
      </c>
      <c r="E493" s="35" t="n"/>
      <c r="F493" s="35" t="n"/>
      <c r="G493" s="35" t="n"/>
      <c r="H493" s="37" t="n"/>
      <c r="I493" s="39">
        <f>IF(B493="","",G493*H493)</f>
        <v/>
      </c>
      <c r="J493" s="35" t="n"/>
      <c r="K493" s="35" t="n"/>
      <c r="L493" s="35" t="n"/>
      <c r="M493" s="9">
        <f>IF(B493="","",IF(COUNTIF(Jobs!$A$5:$A$44,B493)=0,"Unknown Job ID",IF(C493="","Missing cost code",IF(COUNTIF(Settings!$E$5:$E$28,C493)=0,"Unknown cost code",IF(A493="","Missing date",IF(OR(G493="",H493=""),"Missing qty or cost",""))))))</f>
        <v/>
      </c>
      <c r="N493" s="35" t="n"/>
    </row>
    <row r="494">
      <c r="A494" s="40" t="n"/>
      <c r="B494" s="35" t="n"/>
      <c r="C494" s="35" t="n"/>
      <c r="D494" s="9">
        <f>IF(C494="","",IFERROR(VLOOKUP(C494,Settings!$E$5:$G$28,3,FALSE),"Other"))</f>
        <v/>
      </c>
      <c r="E494" s="35" t="n"/>
      <c r="F494" s="35" t="n"/>
      <c r="G494" s="35" t="n"/>
      <c r="H494" s="37" t="n"/>
      <c r="I494" s="39">
        <f>IF(B494="","",G494*H494)</f>
        <v/>
      </c>
      <c r="J494" s="35" t="n"/>
      <c r="K494" s="35" t="n"/>
      <c r="L494" s="35" t="n"/>
      <c r="M494" s="9">
        <f>IF(B494="","",IF(COUNTIF(Jobs!$A$5:$A$44,B494)=0,"Unknown Job ID",IF(C494="","Missing cost code",IF(COUNTIF(Settings!$E$5:$E$28,C494)=0,"Unknown cost code",IF(A494="","Missing date",IF(OR(G494="",H494=""),"Missing qty or cost",""))))))</f>
        <v/>
      </c>
      <c r="N494" s="35" t="n"/>
    </row>
    <row r="495">
      <c r="A495" s="40" t="n"/>
      <c r="B495" s="35" t="n"/>
      <c r="C495" s="35" t="n"/>
      <c r="D495" s="9">
        <f>IF(C495="","",IFERROR(VLOOKUP(C495,Settings!$E$5:$G$28,3,FALSE),"Other"))</f>
        <v/>
      </c>
      <c r="E495" s="35" t="n"/>
      <c r="F495" s="35" t="n"/>
      <c r="G495" s="35" t="n"/>
      <c r="H495" s="37" t="n"/>
      <c r="I495" s="39">
        <f>IF(B495="","",G495*H495)</f>
        <v/>
      </c>
      <c r="J495" s="35" t="n"/>
      <c r="K495" s="35" t="n"/>
      <c r="L495" s="35" t="n"/>
      <c r="M495" s="9">
        <f>IF(B495="","",IF(COUNTIF(Jobs!$A$5:$A$44,B495)=0,"Unknown Job ID",IF(C495="","Missing cost code",IF(COUNTIF(Settings!$E$5:$E$28,C495)=0,"Unknown cost code",IF(A495="","Missing date",IF(OR(G495="",H495=""),"Missing qty or cost",""))))))</f>
        <v/>
      </c>
      <c r="N495" s="35" t="n"/>
    </row>
    <row r="496">
      <c r="A496" s="40" t="n"/>
      <c r="B496" s="35" t="n"/>
      <c r="C496" s="35" t="n"/>
      <c r="D496" s="9">
        <f>IF(C496="","",IFERROR(VLOOKUP(C496,Settings!$E$5:$G$28,3,FALSE),"Other"))</f>
        <v/>
      </c>
      <c r="E496" s="35" t="n"/>
      <c r="F496" s="35" t="n"/>
      <c r="G496" s="35" t="n"/>
      <c r="H496" s="37" t="n"/>
      <c r="I496" s="39">
        <f>IF(B496="","",G496*H496)</f>
        <v/>
      </c>
      <c r="J496" s="35" t="n"/>
      <c r="K496" s="35" t="n"/>
      <c r="L496" s="35" t="n"/>
      <c r="M496" s="9">
        <f>IF(B496="","",IF(COUNTIF(Jobs!$A$5:$A$44,B496)=0,"Unknown Job ID",IF(C496="","Missing cost code",IF(COUNTIF(Settings!$E$5:$E$28,C496)=0,"Unknown cost code",IF(A496="","Missing date",IF(OR(G496="",H496=""),"Missing qty or cost",""))))))</f>
        <v/>
      </c>
      <c r="N496" s="35" t="n"/>
    </row>
    <row r="497">
      <c r="A497" s="40" t="n"/>
      <c r="B497" s="35" t="n"/>
      <c r="C497" s="35" t="n"/>
      <c r="D497" s="9">
        <f>IF(C497="","",IFERROR(VLOOKUP(C497,Settings!$E$5:$G$28,3,FALSE),"Other"))</f>
        <v/>
      </c>
      <c r="E497" s="35" t="n"/>
      <c r="F497" s="35" t="n"/>
      <c r="G497" s="35" t="n"/>
      <c r="H497" s="37" t="n"/>
      <c r="I497" s="39">
        <f>IF(B497="","",G497*H497)</f>
        <v/>
      </c>
      <c r="J497" s="35" t="n"/>
      <c r="K497" s="35" t="n"/>
      <c r="L497" s="35" t="n"/>
      <c r="M497" s="9">
        <f>IF(B497="","",IF(COUNTIF(Jobs!$A$5:$A$44,B497)=0,"Unknown Job ID",IF(C497="","Missing cost code",IF(COUNTIF(Settings!$E$5:$E$28,C497)=0,"Unknown cost code",IF(A497="","Missing date",IF(OR(G497="",H497=""),"Missing qty or cost",""))))))</f>
        <v/>
      </c>
      <c r="N497" s="35" t="n"/>
    </row>
    <row r="498">
      <c r="A498" s="40" t="n"/>
      <c r="B498" s="35" t="n"/>
      <c r="C498" s="35" t="n"/>
      <c r="D498" s="9">
        <f>IF(C498="","",IFERROR(VLOOKUP(C498,Settings!$E$5:$G$28,3,FALSE),"Other"))</f>
        <v/>
      </c>
      <c r="E498" s="35" t="n"/>
      <c r="F498" s="35" t="n"/>
      <c r="G498" s="35" t="n"/>
      <c r="H498" s="37" t="n"/>
      <c r="I498" s="39">
        <f>IF(B498="","",G498*H498)</f>
        <v/>
      </c>
      <c r="J498" s="35" t="n"/>
      <c r="K498" s="35" t="n"/>
      <c r="L498" s="35" t="n"/>
      <c r="M498" s="9">
        <f>IF(B498="","",IF(COUNTIF(Jobs!$A$5:$A$44,B498)=0,"Unknown Job ID",IF(C498="","Missing cost code",IF(COUNTIF(Settings!$E$5:$E$28,C498)=0,"Unknown cost code",IF(A498="","Missing date",IF(OR(G498="",H498=""),"Missing qty or cost",""))))))</f>
        <v/>
      </c>
      <c r="N498" s="35" t="n"/>
    </row>
    <row r="499">
      <c r="A499" s="40" t="n"/>
      <c r="B499" s="35" t="n"/>
      <c r="C499" s="35" t="n"/>
      <c r="D499" s="9">
        <f>IF(C499="","",IFERROR(VLOOKUP(C499,Settings!$E$5:$G$28,3,FALSE),"Other"))</f>
        <v/>
      </c>
      <c r="E499" s="35" t="n"/>
      <c r="F499" s="35" t="n"/>
      <c r="G499" s="35" t="n"/>
      <c r="H499" s="37" t="n"/>
      <c r="I499" s="39">
        <f>IF(B499="","",G499*H499)</f>
        <v/>
      </c>
      <c r="J499" s="35" t="n"/>
      <c r="K499" s="35" t="n"/>
      <c r="L499" s="35" t="n"/>
      <c r="M499" s="9">
        <f>IF(B499="","",IF(COUNTIF(Jobs!$A$5:$A$44,B499)=0,"Unknown Job ID",IF(C499="","Missing cost code",IF(COUNTIF(Settings!$E$5:$E$28,C499)=0,"Unknown cost code",IF(A499="","Missing date",IF(OR(G499="",H499=""),"Missing qty or cost",""))))))</f>
        <v/>
      </c>
      <c r="N499" s="35" t="n"/>
    </row>
    <row r="500">
      <c r="A500" s="40" t="n"/>
      <c r="B500" s="35" t="n"/>
      <c r="C500" s="35" t="n"/>
      <c r="D500" s="9">
        <f>IF(C500="","",IFERROR(VLOOKUP(C500,Settings!$E$5:$G$28,3,FALSE),"Other"))</f>
        <v/>
      </c>
      <c r="E500" s="35" t="n"/>
      <c r="F500" s="35" t="n"/>
      <c r="G500" s="35" t="n"/>
      <c r="H500" s="37" t="n"/>
      <c r="I500" s="39">
        <f>IF(B500="","",G500*H500)</f>
        <v/>
      </c>
      <c r="J500" s="35" t="n"/>
      <c r="K500" s="35" t="n"/>
      <c r="L500" s="35" t="n"/>
      <c r="M500" s="9">
        <f>IF(B500="","",IF(COUNTIF(Jobs!$A$5:$A$44,B500)=0,"Unknown Job ID",IF(C500="","Missing cost code",IF(COUNTIF(Settings!$E$5:$E$28,C500)=0,"Unknown cost code",IF(A500="","Missing date",IF(OR(G500="",H500=""),"Missing qty or cost",""))))))</f>
        <v/>
      </c>
      <c r="N500" s="35" t="n"/>
    </row>
    <row r="501">
      <c r="A501" s="40" t="n"/>
      <c r="B501" s="35" t="n"/>
      <c r="C501" s="35" t="n"/>
      <c r="D501" s="9">
        <f>IF(C501="","",IFERROR(VLOOKUP(C501,Settings!$E$5:$G$28,3,FALSE),"Other"))</f>
        <v/>
      </c>
      <c r="E501" s="35" t="n"/>
      <c r="F501" s="35" t="n"/>
      <c r="G501" s="35" t="n"/>
      <c r="H501" s="37" t="n"/>
      <c r="I501" s="39">
        <f>IF(B501="","",G501*H501)</f>
        <v/>
      </c>
      <c r="J501" s="35" t="n"/>
      <c r="K501" s="35" t="n"/>
      <c r="L501" s="35" t="n"/>
      <c r="M501" s="9">
        <f>IF(B501="","",IF(COUNTIF(Jobs!$A$5:$A$44,B501)=0,"Unknown Job ID",IF(C501="","Missing cost code",IF(COUNTIF(Settings!$E$5:$E$28,C501)=0,"Unknown cost code",IF(A501="","Missing date",IF(OR(G501="",H501=""),"Missing qty or cost",""))))))</f>
        <v/>
      </c>
      <c r="N501" s="35" t="n"/>
    </row>
    <row r="502">
      <c r="A502" s="40" t="n"/>
      <c r="B502" s="35" t="n"/>
      <c r="C502" s="35" t="n"/>
      <c r="D502" s="9">
        <f>IF(C502="","",IFERROR(VLOOKUP(C502,Settings!$E$5:$G$28,3,FALSE),"Other"))</f>
        <v/>
      </c>
      <c r="E502" s="35" t="n"/>
      <c r="F502" s="35" t="n"/>
      <c r="G502" s="35" t="n"/>
      <c r="H502" s="37" t="n"/>
      <c r="I502" s="39">
        <f>IF(B502="","",G502*H502)</f>
        <v/>
      </c>
      <c r="J502" s="35" t="n"/>
      <c r="K502" s="35" t="n"/>
      <c r="L502" s="35" t="n"/>
      <c r="M502" s="9">
        <f>IF(B502="","",IF(COUNTIF(Jobs!$A$5:$A$44,B502)=0,"Unknown Job ID",IF(C502="","Missing cost code",IF(COUNTIF(Settings!$E$5:$E$28,C502)=0,"Unknown cost code",IF(A502="","Missing date",IF(OR(G502="",H502=""),"Missing qty or cost",""))))))</f>
        <v/>
      </c>
      <c r="N502" s="35" t="n"/>
    </row>
    <row r="503">
      <c r="A503" s="40" t="n"/>
      <c r="B503" s="35" t="n"/>
      <c r="C503" s="35" t="n"/>
      <c r="D503" s="9">
        <f>IF(C503="","",IFERROR(VLOOKUP(C503,Settings!$E$5:$G$28,3,FALSE),"Other"))</f>
        <v/>
      </c>
      <c r="E503" s="35" t="n"/>
      <c r="F503" s="35" t="n"/>
      <c r="G503" s="35" t="n"/>
      <c r="H503" s="37" t="n"/>
      <c r="I503" s="39">
        <f>IF(B503="","",G503*H503)</f>
        <v/>
      </c>
      <c r="J503" s="35" t="n"/>
      <c r="K503" s="35" t="n"/>
      <c r="L503" s="35" t="n"/>
      <c r="M503" s="9">
        <f>IF(B503="","",IF(COUNTIF(Jobs!$A$5:$A$44,B503)=0,"Unknown Job ID",IF(C503="","Missing cost code",IF(COUNTIF(Settings!$E$5:$E$28,C503)=0,"Unknown cost code",IF(A503="","Missing date",IF(OR(G503="",H503=""),"Missing qty or cost",""))))))</f>
        <v/>
      </c>
      <c r="N503" s="35" t="n"/>
    </row>
    <row r="504">
      <c r="A504" s="40" t="n"/>
      <c r="B504" s="35" t="n"/>
      <c r="C504" s="35" t="n"/>
      <c r="D504" s="9">
        <f>IF(C504="","",IFERROR(VLOOKUP(C504,Settings!$E$5:$G$28,3,FALSE),"Other"))</f>
        <v/>
      </c>
      <c r="E504" s="35" t="n"/>
      <c r="F504" s="35" t="n"/>
      <c r="G504" s="35" t="n"/>
      <c r="H504" s="37" t="n"/>
      <c r="I504" s="39">
        <f>IF(B504="","",G504*H504)</f>
        <v/>
      </c>
      <c r="J504" s="35" t="n"/>
      <c r="K504" s="35" t="n"/>
      <c r="L504" s="35" t="n"/>
      <c r="M504" s="9">
        <f>IF(B504="","",IF(COUNTIF(Jobs!$A$5:$A$44,B504)=0,"Unknown Job ID",IF(C504="","Missing cost code",IF(COUNTIF(Settings!$E$5:$E$28,C504)=0,"Unknown cost code",IF(A504="","Missing date",IF(OR(G504="",H504=""),"Missing qty or cost",""))))))</f>
        <v/>
      </c>
      <c r="N504" s="35" t="n"/>
    </row>
    <row r="505">
      <c r="A505" s="40" t="n"/>
      <c r="B505" s="35" t="n"/>
      <c r="C505" s="35" t="n"/>
      <c r="D505" s="9">
        <f>IF(C505="","",IFERROR(VLOOKUP(C505,Settings!$E$5:$G$28,3,FALSE),"Other"))</f>
        <v/>
      </c>
      <c r="E505" s="35" t="n"/>
      <c r="F505" s="35" t="n"/>
      <c r="G505" s="35" t="n"/>
      <c r="H505" s="37" t="n"/>
      <c r="I505" s="39">
        <f>IF(B505="","",G505*H505)</f>
        <v/>
      </c>
      <c r="J505" s="35" t="n"/>
      <c r="K505" s="35" t="n"/>
      <c r="L505" s="35" t="n"/>
      <c r="M505" s="9">
        <f>IF(B505="","",IF(COUNTIF(Jobs!$A$5:$A$44,B505)=0,"Unknown Job ID",IF(C505="","Missing cost code",IF(COUNTIF(Settings!$E$5:$E$28,C505)=0,"Unknown cost code",IF(A505="","Missing date",IF(OR(G505="",H505=""),"Missing qty or cost",""))))))</f>
        <v/>
      </c>
      <c r="N505" s="35" t="n"/>
    </row>
    <row r="506">
      <c r="A506" s="40" t="n"/>
      <c r="B506" s="35" t="n"/>
      <c r="C506" s="35" t="n"/>
      <c r="D506" s="9">
        <f>IF(C506="","",IFERROR(VLOOKUP(C506,Settings!$E$5:$G$28,3,FALSE),"Other"))</f>
        <v/>
      </c>
      <c r="E506" s="35" t="n"/>
      <c r="F506" s="35" t="n"/>
      <c r="G506" s="35" t="n"/>
      <c r="H506" s="37" t="n"/>
      <c r="I506" s="39">
        <f>IF(B506="","",G506*H506)</f>
        <v/>
      </c>
      <c r="J506" s="35" t="n"/>
      <c r="K506" s="35" t="n"/>
      <c r="L506" s="35" t="n"/>
      <c r="M506" s="9">
        <f>IF(B506="","",IF(COUNTIF(Jobs!$A$5:$A$44,B506)=0,"Unknown Job ID",IF(C506="","Missing cost code",IF(COUNTIF(Settings!$E$5:$E$28,C506)=0,"Unknown cost code",IF(A506="","Missing date",IF(OR(G506="",H506=""),"Missing qty or cost",""))))))</f>
        <v/>
      </c>
      <c r="N506" s="35" t="n"/>
    </row>
    <row r="507">
      <c r="A507" s="40" t="n"/>
      <c r="B507" s="35" t="n"/>
      <c r="C507" s="35" t="n"/>
      <c r="D507" s="9">
        <f>IF(C507="","",IFERROR(VLOOKUP(C507,Settings!$E$5:$G$28,3,FALSE),"Other"))</f>
        <v/>
      </c>
      <c r="E507" s="35" t="n"/>
      <c r="F507" s="35" t="n"/>
      <c r="G507" s="35" t="n"/>
      <c r="H507" s="37" t="n"/>
      <c r="I507" s="39">
        <f>IF(B507="","",G507*H507)</f>
        <v/>
      </c>
      <c r="J507" s="35" t="n"/>
      <c r="K507" s="35" t="n"/>
      <c r="L507" s="35" t="n"/>
      <c r="M507" s="9">
        <f>IF(B507="","",IF(COUNTIF(Jobs!$A$5:$A$44,B507)=0,"Unknown Job ID",IF(C507="","Missing cost code",IF(COUNTIF(Settings!$E$5:$E$28,C507)=0,"Unknown cost code",IF(A507="","Missing date",IF(OR(G507="",H507=""),"Missing qty or cost",""))))))</f>
        <v/>
      </c>
      <c r="N507" s="35" t="n"/>
    </row>
    <row r="508">
      <c r="A508" s="40" t="n"/>
      <c r="B508" s="35" t="n"/>
      <c r="C508" s="35" t="n"/>
      <c r="D508" s="9">
        <f>IF(C508="","",IFERROR(VLOOKUP(C508,Settings!$E$5:$G$28,3,FALSE),"Other"))</f>
        <v/>
      </c>
      <c r="E508" s="35" t="n"/>
      <c r="F508" s="35" t="n"/>
      <c r="G508" s="35" t="n"/>
      <c r="H508" s="37" t="n"/>
      <c r="I508" s="39">
        <f>IF(B508="","",G508*H508)</f>
        <v/>
      </c>
      <c r="J508" s="35" t="n"/>
      <c r="K508" s="35" t="n"/>
      <c r="L508" s="35" t="n"/>
      <c r="M508" s="9">
        <f>IF(B508="","",IF(COUNTIF(Jobs!$A$5:$A$44,B508)=0,"Unknown Job ID",IF(C508="","Missing cost code",IF(COUNTIF(Settings!$E$5:$E$28,C508)=0,"Unknown cost code",IF(A508="","Missing date",IF(OR(G508="",H508=""),"Missing qty or cost",""))))))</f>
        <v/>
      </c>
      <c r="N508" s="35" t="n"/>
    </row>
    <row r="509">
      <c r="A509" s="40" t="n"/>
      <c r="B509" s="35" t="n"/>
      <c r="C509" s="35" t="n"/>
      <c r="D509" s="9">
        <f>IF(C509="","",IFERROR(VLOOKUP(C509,Settings!$E$5:$G$28,3,FALSE),"Other"))</f>
        <v/>
      </c>
      <c r="E509" s="35" t="n"/>
      <c r="F509" s="35" t="n"/>
      <c r="G509" s="35" t="n"/>
      <c r="H509" s="37" t="n"/>
      <c r="I509" s="39">
        <f>IF(B509="","",G509*H509)</f>
        <v/>
      </c>
      <c r="J509" s="35" t="n"/>
      <c r="K509" s="35" t="n"/>
      <c r="L509" s="35" t="n"/>
      <c r="M509" s="9">
        <f>IF(B509="","",IF(COUNTIF(Jobs!$A$5:$A$44,B509)=0,"Unknown Job ID",IF(C509="","Missing cost code",IF(COUNTIF(Settings!$E$5:$E$28,C509)=0,"Unknown cost code",IF(A509="","Missing date",IF(OR(G509="",H509=""),"Missing qty or cost",""))))))</f>
        <v/>
      </c>
      <c r="N509" s="35" t="n"/>
    </row>
    <row r="510">
      <c r="A510" s="40" t="n"/>
      <c r="B510" s="35" t="n"/>
      <c r="C510" s="35" t="n"/>
      <c r="D510" s="9">
        <f>IF(C510="","",IFERROR(VLOOKUP(C510,Settings!$E$5:$G$28,3,FALSE),"Other"))</f>
        <v/>
      </c>
      <c r="E510" s="35" t="n"/>
      <c r="F510" s="35" t="n"/>
      <c r="G510" s="35" t="n"/>
      <c r="H510" s="37" t="n"/>
      <c r="I510" s="39">
        <f>IF(B510="","",G510*H510)</f>
        <v/>
      </c>
      <c r="J510" s="35" t="n"/>
      <c r="K510" s="35" t="n"/>
      <c r="L510" s="35" t="n"/>
      <c r="M510" s="9">
        <f>IF(B510="","",IF(COUNTIF(Jobs!$A$5:$A$44,B510)=0,"Unknown Job ID",IF(C510="","Missing cost code",IF(COUNTIF(Settings!$E$5:$E$28,C510)=0,"Unknown cost code",IF(A510="","Missing date",IF(OR(G510="",H510=""),"Missing qty or cost",""))))))</f>
        <v/>
      </c>
      <c r="N510" s="35" t="n"/>
    </row>
    <row r="511">
      <c r="A511" s="40" t="n"/>
      <c r="B511" s="35" t="n"/>
      <c r="C511" s="35" t="n"/>
      <c r="D511" s="9">
        <f>IF(C511="","",IFERROR(VLOOKUP(C511,Settings!$E$5:$G$28,3,FALSE),"Other"))</f>
        <v/>
      </c>
      <c r="E511" s="35" t="n"/>
      <c r="F511" s="35" t="n"/>
      <c r="G511" s="35" t="n"/>
      <c r="H511" s="37" t="n"/>
      <c r="I511" s="39">
        <f>IF(B511="","",G511*H511)</f>
        <v/>
      </c>
      <c r="J511" s="35" t="n"/>
      <c r="K511" s="35" t="n"/>
      <c r="L511" s="35" t="n"/>
      <c r="M511" s="9">
        <f>IF(B511="","",IF(COUNTIF(Jobs!$A$5:$A$44,B511)=0,"Unknown Job ID",IF(C511="","Missing cost code",IF(COUNTIF(Settings!$E$5:$E$28,C511)=0,"Unknown cost code",IF(A511="","Missing date",IF(OR(G511="",H511=""),"Missing qty or cost",""))))))</f>
        <v/>
      </c>
      <c r="N511" s="35" t="n"/>
    </row>
    <row r="512">
      <c r="A512" s="40" t="n"/>
      <c r="B512" s="35" t="n"/>
      <c r="C512" s="35" t="n"/>
      <c r="D512" s="9">
        <f>IF(C512="","",IFERROR(VLOOKUP(C512,Settings!$E$5:$G$28,3,FALSE),"Other"))</f>
        <v/>
      </c>
      <c r="E512" s="35" t="n"/>
      <c r="F512" s="35" t="n"/>
      <c r="G512" s="35" t="n"/>
      <c r="H512" s="37" t="n"/>
      <c r="I512" s="39">
        <f>IF(B512="","",G512*H512)</f>
        <v/>
      </c>
      <c r="J512" s="35" t="n"/>
      <c r="K512" s="35" t="n"/>
      <c r="L512" s="35" t="n"/>
      <c r="M512" s="9">
        <f>IF(B512="","",IF(COUNTIF(Jobs!$A$5:$A$44,B512)=0,"Unknown Job ID",IF(C512="","Missing cost code",IF(COUNTIF(Settings!$E$5:$E$28,C512)=0,"Unknown cost code",IF(A512="","Missing date",IF(OR(G512="",H512=""),"Missing qty or cost",""))))))</f>
        <v/>
      </c>
      <c r="N512" s="35" t="n"/>
    </row>
    <row r="513">
      <c r="A513" s="40" t="n"/>
      <c r="B513" s="35" t="n"/>
      <c r="C513" s="35" t="n"/>
      <c r="D513" s="9">
        <f>IF(C513="","",IFERROR(VLOOKUP(C513,Settings!$E$5:$G$28,3,FALSE),"Other"))</f>
        <v/>
      </c>
      <c r="E513" s="35" t="n"/>
      <c r="F513" s="35" t="n"/>
      <c r="G513" s="35" t="n"/>
      <c r="H513" s="37" t="n"/>
      <c r="I513" s="39">
        <f>IF(B513="","",G513*H513)</f>
        <v/>
      </c>
      <c r="J513" s="35" t="n"/>
      <c r="K513" s="35" t="n"/>
      <c r="L513" s="35" t="n"/>
      <c r="M513" s="9">
        <f>IF(B513="","",IF(COUNTIF(Jobs!$A$5:$A$44,B513)=0,"Unknown Job ID",IF(C513="","Missing cost code",IF(COUNTIF(Settings!$E$5:$E$28,C513)=0,"Unknown cost code",IF(A513="","Missing date",IF(OR(G513="",H513=""),"Missing qty or cost",""))))))</f>
        <v/>
      </c>
      <c r="N513" s="35" t="n"/>
    </row>
    <row r="514">
      <c r="A514" s="40" t="n"/>
      <c r="B514" s="35" t="n"/>
      <c r="C514" s="35" t="n"/>
      <c r="D514" s="9">
        <f>IF(C514="","",IFERROR(VLOOKUP(C514,Settings!$E$5:$G$28,3,FALSE),"Other"))</f>
        <v/>
      </c>
      <c r="E514" s="35" t="n"/>
      <c r="F514" s="35" t="n"/>
      <c r="G514" s="35" t="n"/>
      <c r="H514" s="37" t="n"/>
      <c r="I514" s="39">
        <f>IF(B514="","",G514*H514)</f>
        <v/>
      </c>
      <c r="J514" s="35" t="n"/>
      <c r="K514" s="35" t="n"/>
      <c r="L514" s="35" t="n"/>
      <c r="M514" s="9">
        <f>IF(B514="","",IF(COUNTIF(Jobs!$A$5:$A$44,B514)=0,"Unknown Job ID",IF(C514="","Missing cost code",IF(COUNTIF(Settings!$E$5:$E$28,C514)=0,"Unknown cost code",IF(A514="","Missing date",IF(OR(G514="",H514=""),"Missing qty or cost",""))))))</f>
        <v/>
      </c>
      <c r="N514" s="35" t="n"/>
    </row>
    <row r="515">
      <c r="A515" s="40" t="n"/>
      <c r="B515" s="35" t="n"/>
      <c r="C515" s="35" t="n"/>
      <c r="D515" s="9">
        <f>IF(C515="","",IFERROR(VLOOKUP(C515,Settings!$E$5:$G$28,3,FALSE),"Other"))</f>
        <v/>
      </c>
      <c r="E515" s="35" t="n"/>
      <c r="F515" s="35" t="n"/>
      <c r="G515" s="35" t="n"/>
      <c r="H515" s="37" t="n"/>
      <c r="I515" s="39">
        <f>IF(B515="","",G515*H515)</f>
        <v/>
      </c>
      <c r="J515" s="35" t="n"/>
      <c r="K515" s="35" t="n"/>
      <c r="L515" s="35" t="n"/>
      <c r="M515" s="9">
        <f>IF(B515="","",IF(COUNTIF(Jobs!$A$5:$A$44,B515)=0,"Unknown Job ID",IF(C515="","Missing cost code",IF(COUNTIF(Settings!$E$5:$E$28,C515)=0,"Unknown cost code",IF(A515="","Missing date",IF(OR(G515="",H515=""),"Missing qty or cost",""))))))</f>
        <v/>
      </c>
      <c r="N515" s="35" t="n"/>
    </row>
    <row r="516">
      <c r="A516" s="40" t="n"/>
      <c r="B516" s="35" t="n"/>
      <c r="C516" s="35" t="n"/>
      <c r="D516" s="9">
        <f>IF(C516="","",IFERROR(VLOOKUP(C516,Settings!$E$5:$G$28,3,FALSE),"Other"))</f>
        <v/>
      </c>
      <c r="E516" s="35" t="n"/>
      <c r="F516" s="35" t="n"/>
      <c r="G516" s="35" t="n"/>
      <c r="H516" s="37" t="n"/>
      <c r="I516" s="39">
        <f>IF(B516="","",G516*H516)</f>
        <v/>
      </c>
      <c r="J516" s="35" t="n"/>
      <c r="K516" s="35" t="n"/>
      <c r="L516" s="35" t="n"/>
      <c r="M516" s="9">
        <f>IF(B516="","",IF(COUNTIF(Jobs!$A$5:$A$44,B516)=0,"Unknown Job ID",IF(C516="","Missing cost code",IF(COUNTIF(Settings!$E$5:$E$28,C516)=0,"Unknown cost code",IF(A516="","Missing date",IF(OR(G516="",H516=""),"Missing qty or cost",""))))))</f>
        <v/>
      </c>
      <c r="N516" s="35" t="n"/>
    </row>
    <row r="517">
      <c r="A517" s="40" t="n"/>
      <c r="B517" s="35" t="n"/>
      <c r="C517" s="35" t="n"/>
      <c r="D517" s="9">
        <f>IF(C517="","",IFERROR(VLOOKUP(C517,Settings!$E$5:$G$28,3,FALSE),"Other"))</f>
        <v/>
      </c>
      <c r="E517" s="35" t="n"/>
      <c r="F517" s="35" t="n"/>
      <c r="G517" s="35" t="n"/>
      <c r="H517" s="37" t="n"/>
      <c r="I517" s="39">
        <f>IF(B517="","",G517*H517)</f>
        <v/>
      </c>
      <c r="J517" s="35" t="n"/>
      <c r="K517" s="35" t="n"/>
      <c r="L517" s="35" t="n"/>
      <c r="M517" s="9">
        <f>IF(B517="","",IF(COUNTIF(Jobs!$A$5:$A$44,B517)=0,"Unknown Job ID",IF(C517="","Missing cost code",IF(COUNTIF(Settings!$E$5:$E$28,C517)=0,"Unknown cost code",IF(A517="","Missing date",IF(OR(G517="",H517=""),"Missing qty or cost",""))))))</f>
        <v/>
      </c>
      <c r="N517" s="35" t="n"/>
    </row>
    <row r="518">
      <c r="A518" s="40" t="n"/>
      <c r="B518" s="35" t="n"/>
      <c r="C518" s="35" t="n"/>
      <c r="D518" s="9">
        <f>IF(C518="","",IFERROR(VLOOKUP(C518,Settings!$E$5:$G$28,3,FALSE),"Other"))</f>
        <v/>
      </c>
      <c r="E518" s="35" t="n"/>
      <c r="F518" s="35" t="n"/>
      <c r="G518" s="35" t="n"/>
      <c r="H518" s="37" t="n"/>
      <c r="I518" s="39">
        <f>IF(B518="","",G518*H518)</f>
        <v/>
      </c>
      <c r="J518" s="35" t="n"/>
      <c r="K518" s="35" t="n"/>
      <c r="L518" s="35" t="n"/>
      <c r="M518" s="9">
        <f>IF(B518="","",IF(COUNTIF(Jobs!$A$5:$A$44,B518)=0,"Unknown Job ID",IF(C518="","Missing cost code",IF(COUNTIF(Settings!$E$5:$E$28,C518)=0,"Unknown cost code",IF(A518="","Missing date",IF(OR(G518="",H518=""),"Missing qty or cost",""))))))</f>
        <v/>
      </c>
      <c r="N518" s="35" t="n"/>
    </row>
    <row r="519">
      <c r="A519" s="40" t="n"/>
      <c r="B519" s="35" t="n"/>
      <c r="C519" s="35" t="n"/>
      <c r="D519" s="9">
        <f>IF(C519="","",IFERROR(VLOOKUP(C519,Settings!$E$5:$G$28,3,FALSE),"Other"))</f>
        <v/>
      </c>
      <c r="E519" s="35" t="n"/>
      <c r="F519" s="35" t="n"/>
      <c r="G519" s="35" t="n"/>
      <c r="H519" s="37" t="n"/>
      <c r="I519" s="39">
        <f>IF(B519="","",G519*H519)</f>
        <v/>
      </c>
      <c r="J519" s="35" t="n"/>
      <c r="K519" s="35" t="n"/>
      <c r="L519" s="35" t="n"/>
      <c r="M519" s="9">
        <f>IF(B519="","",IF(COUNTIF(Jobs!$A$5:$A$44,B519)=0,"Unknown Job ID",IF(C519="","Missing cost code",IF(COUNTIF(Settings!$E$5:$E$28,C519)=0,"Unknown cost code",IF(A519="","Missing date",IF(OR(G519="",H519=""),"Missing qty or cost",""))))))</f>
        <v/>
      </c>
      <c r="N519" s="35" t="n"/>
    </row>
    <row r="520">
      <c r="A520" s="40" t="n"/>
      <c r="B520" s="35" t="n"/>
      <c r="C520" s="35" t="n"/>
      <c r="D520" s="9">
        <f>IF(C520="","",IFERROR(VLOOKUP(C520,Settings!$E$5:$G$28,3,FALSE),"Other"))</f>
        <v/>
      </c>
      <c r="E520" s="35" t="n"/>
      <c r="F520" s="35" t="n"/>
      <c r="G520" s="35" t="n"/>
      <c r="H520" s="37" t="n"/>
      <c r="I520" s="39">
        <f>IF(B520="","",G520*H520)</f>
        <v/>
      </c>
      <c r="J520" s="35" t="n"/>
      <c r="K520" s="35" t="n"/>
      <c r="L520" s="35" t="n"/>
      <c r="M520" s="9">
        <f>IF(B520="","",IF(COUNTIF(Jobs!$A$5:$A$44,B520)=0,"Unknown Job ID",IF(C520="","Missing cost code",IF(COUNTIF(Settings!$E$5:$E$28,C520)=0,"Unknown cost code",IF(A520="","Missing date",IF(OR(G520="",H520=""),"Missing qty or cost",""))))))</f>
        <v/>
      </c>
      <c r="N520" s="35" t="n"/>
    </row>
    <row r="521">
      <c r="A521" s="40" t="n"/>
      <c r="B521" s="35" t="n"/>
      <c r="C521" s="35" t="n"/>
      <c r="D521" s="9">
        <f>IF(C521="","",IFERROR(VLOOKUP(C521,Settings!$E$5:$G$28,3,FALSE),"Other"))</f>
        <v/>
      </c>
      <c r="E521" s="35" t="n"/>
      <c r="F521" s="35" t="n"/>
      <c r="G521" s="35" t="n"/>
      <c r="H521" s="37" t="n"/>
      <c r="I521" s="39">
        <f>IF(B521="","",G521*H521)</f>
        <v/>
      </c>
      <c r="J521" s="35" t="n"/>
      <c r="K521" s="35" t="n"/>
      <c r="L521" s="35" t="n"/>
      <c r="M521" s="9">
        <f>IF(B521="","",IF(COUNTIF(Jobs!$A$5:$A$44,B521)=0,"Unknown Job ID",IF(C521="","Missing cost code",IF(COUNTIF(Settings!$E$5:$E$28,C521)=0,"Unknown cost code",IF(A521="","Missing date",IF(OR(G521="",H521=""),"Missing qty or cost",""))))))</f>
        <v/>
      </c>
      <c r="N521" s="35" t="n"/>
    </row>
    <row r="522">
      <c r="A522" s="40" t="n"/>
      <c r="B522" s="35" t="n"/>
      <c r="C522" s="35" t="n"/>
      <c r="D522" s="9">
        <f>IF(C522="","",IFERROR(VLOOKUP(C522,Settings!$E$5:$G$28,3,FALSE),"Other"))</f>
        <v/>
      </c>
      <c r="E522" s="35" t="n"/>
      <c r="F522" s="35" t="n"/>
      <c r="G522" s="35" t="n"/>
      <c r="H522" s="37" t="n"/>
      <c r="I522" s="39">
        <f>IF(B522="","",G522*H522)</f>
        <v/>
      </c>
      <c r="J522" s="35" t="n"/>
      <c r="K522" s="35" t="n"/>
      <c r="L522" s="35" t="n"/>
      <c r="M522" s="9">
        <f>IF(B522="","",IF(COUNTIF(Jobs!$A$5:$A$44,B522)=0,"Unknown Job ID",IF(C522="","Missing cost code",IF(COUNTIF(Settings!$E$5:$E$28,C522)=0,"Unknown cost code",IF(A522="","Missing date",IF(OR(G522="",H522=""),"Missing qty or cost",""))))))</f>
        <v/>
      </c>
      <c r="N522" s="35" t="n"/>
    </row>
    <row r="523">
      <c r="A523" s="40" t="n"/>
      <c r="B523" s="35" t="n"/>
      <c r="C523" s="35" t="n"/>
      <c r="D523" s="9">
        <f>IF(C523="","",IFERROR(VLOOKUP(C523,Settings!$E$5:$G$28,3,FALSE),"Other"))</f>
        <v/>
      </c>
      <c r="E523" s="35" t="n"/>
      <c r="F523" s="35" t="n"/>
      <c r="G523" s="35" t="n"/>
      <c r="H523" s="37" t="n"/>
      <c r="I523" s="39">
        <f>IF(B523="","",G523*H523)</f>
        <v/>
      </c>
      <c r="J523" s="35" t="n"/>
      <c r="K523" s="35" t="n"/>
      <c r="L523" s="35" t="n"/>
      <c r="M523" s="9">
        <f>IF(B523="","",IF(COUNTIF(Jobs!$A$5:$A$44,B523)=0,"Unknown Job ID",IF(C523="","Missing cost code",IF(COUNTIF(Settings!$E$5:$E$28,C523)=0,"Unknown cost code",IF(A523="","Missing date",IF(OR(G523="",H523=""),"Missing qty or cost",""))))))</f>
        <v/>
      </c>
      <c r="N523" s="35" t="n"/>
    </row>
    <row r="524">
      <c r="A524" s="40" t="n"/>
      <c r="B524" s="35" t="n"/>
      <c r="C524" s="35" t="n"/>
      <c r="D524" s="9">
        <f>IF(C524="","",IFERROR(VLOOKUP(C524,Settings!$E$5:$G$28,3,FALSE),"Other"))</f>
        <v/>
      </c>
      <c r="E524" s="35" t="n"/>
      <c r="F524" s="35" t="n"/>
      <c r="G524" s="35" t="n"/>
      <c r="H524" s="37" t="n"/>
      <c r="I524" s="39">
        <f>IF(B524="","",G524*H524)</f>
        <v/>
      </c>
      <c r="J524" s="35" t="n"/>
      <c r="K524" s="35" t="n"/>
      <c r="L524" s="35" t="n"/>
      <c r="M524" s="9">
        <f>IF(B524="","",IF(COUNTIF(Jobs!$A$5:$A$44,B524)=0,"Unknown Job ID",IF(C524="","Missing cost code",IF(COUNTIF(Settings!$E$5:$E$28,C524)=0,"Unknown cost code",IF(A524="","Missing date",IF(OR(G524="",H524=""),"Missing qty or cost",""))))))</f>
        <v/>
      </c>
      <c r="N524" s="35" t="n"/>
    </row>
    <row r="525">
      <c r="A525" s="40" t="n"/>
      <c r="B525" s="35" t="n"/>
      <c r="C525" s="35" t="n"/>
      <c r="D525" s="9">
        <f>IF(C525="","",IFERROR(VLOOKUP(C525,Settings!$E$5:$G$28,3,FALSE),"Other"))</f>
        <v/>
      </c>
      <c r="E525" s="35" t="n"/>
      <c r="F525" s="35" t="n"/>
      <c r="G525" s="35" t="n"/>
      <c r="H525" s="37" t="n"/>
      <c r="I525" s="39">
        <f>IF(B525="","",G525*H525)</f>
        <v/>
      </c>
      <c r="J525" s="35" t="n"/>
      <c r="K525" s="35" t="n"/>
      <c r="L525" s="35" t="n"/>
      <c r="M525" s="9">
        <f>IF(B525="","",IF(COUNTIF(Jobs!$A$5:$A$44,B525)=0,"Unknown Job ID",IF(C525="","Missing cost code",IF(COUNTIF(Settings!$E$5:$E$28,C525)=0,"Unknown cost code",IF(A525="","Missing date",IF(OR(G525="",H525=""),"Missing qty or cost",""))))))</f>
        <v/>
      </c>
      <c r="N525" s="35" t="n"/>
    </row>
    <row r="526">
      <c r="A526" s="40" t="n"/>
      <c r="B526" s="35" t="n"/>
      <c r="C526" s="35" t="n"/>
      <c r="D526" s="9">
        <f>IF(C526="","",IFERROR(VLOOKUP(C526,Settings!$E$5:$G$28,3,FALSE),"Other"))</f>
        <v/>
      </c>
      <c r="E526" s="35" t="n"/>
      <c r="F526" s="35" t="n"/>
      <c r="G526" s="35" t="n"/>
      <c r="H526" s="37" t="n"/>
      <c r="I526" s="39">
        <f>IF(B526="","",G526*H526)</f>
        <v/>
      </c>
      <c r="J526" s="35" t="n"/>
      <c r="K526" s="35" t="n"/>
      <c r="L526" s="35" t="n"/>
      <c r="M526" s="9">
        <f>IF(B526="","",IF(COUNTIF(Jobs!$A$5:$A$44,B526)=0,"Unknown Job ID",IF(C526="","Missing cost code",IF(COUNTIF(Settings!$E$5:$E$28,C526)=0,"Unknown cost code",IF(A526="","Missing date",IF(OR(G526="",H526=""),"Missing qty or cost",""))))))</f>
        <v/>
      </c>
      <c r="N526" s="35" t="n"/>
    </row>
    <row r="527">
      <c r="A527" s="40" t="n"/>
      <c r="B527" s="35" t="n"/>
      <c r="C527" s="35" t="n"/>
      <c r="D527" s="9">
        <f>IF(C527="","",IFERROR(VLOOKUP(C527,Settings!$E$5:$G$28,3,FALSE),"Other"))</f>
        <v/>
      </c>
      <c r="E527" s="35" t="n"/>
      <c r="F527" s="35" t="n"/>
      <c r="G527" s="35" t="n"/>
      <c r="H527" s="37" t="n"/>
      <c r="I527" s="39">
        <f>IF(B527="","",G527*H527)</f>
        <v/>
      </c>
      <c r="J527" s="35" t="n"/>
      <c r="K527" s="35" t="n"/>
      <c r="L527" s="35" t="n"/>
      <c r="M527" s="9">
        <f>IF(B527="","",IF(COUNTIF(Jobs!$A$5:$A$44,B527)=0,"Unknown Job ID",IF(C527="","Missing cost code",IF(COUNTIF(Settings!$E$5:$E$28,C527)=0,"Unknown cost code",IF(A527="","Missing date",IF(OR(G527="",H527=""),"Missing qty or cost",""))))))</f>
        <v/>
      </c>
      <c r="N527" s="35" t="n"/>
    </row>
    <row r="528">
      <c r="A528" s="40" t="n"/>
      <c r="B528" s="35" t="n"/>
      <c r="C528" s="35" t="n"/>
      <c r="D528" s="9">
        <f>IF(C528="","",IFERROR(VLOOKUP(C528,Settings!$E$5:$G$28,3,FALSE),"Other"))</f>
        <v/>
      </c>
      <c r="E528" s="35" t="n"/>
      <c r="F528" s="35" t="n"/>
      <c r="G528" s="35" t="n"/>
      <c r="H528" s="37" t="n"/>
      <c r="I528" s="39">
        <f>IF(B528="","",G528*H528)</f>
        <v/>
      </c>
      <c r="J528" s="35" t="n"/>
      <c r="K528" s="35" t="n"/>
      <c r="L528" s="35" t="n"/>
      <c r="M528" s="9">
        <f>IF(B528="","",IF(COUNTIF(Jobs!$A$5:$A$44,B528)=0,"Unknown Job ID",IF(C528="","Missing cost code",IF(COUNTIF(Settings!$E$5:$E$28,C528)=0,"Unknown cost code",IF(A528="","Missing date",IF(OR(G528="",H528=""),"Missing qty or cost",""))))))</f>
        <v/>
      </c>
      <c r="N528" s="35" t="n"/>
    </row>
    <row r="529">
      <c r="A529" s="40" t="n"/>
      <c r="B529" s="35" t="n"/>
      <c r="C529" s="35" t="n"/>
      <c r="D529" s="9">
        <f>IF(C529="","",IFERROR(VLOOKUP(C529,Settings!$E$5:$G$28,3,FALSE),"Other"))</f>
        <v/>
      </c>
      <c r="E529" s="35" t="n"/>
      <c r="F529" s="35" t="n"/>
      <c r="G529" s="35" t="n"/>
      <c r="H529" s="37" t="n"/>
      <c r="I529" s="39">
        <f>IF(B529="","",G529*H529)</f>
        <v/>
      </c>
      <c r="J529" s="35" t="n"/>
      <c r="K529" s="35" t="n"/>
      <c r="L529" s="35" t="n"/>
      <c r="M529" s="9">
        <f>IF(B529="","",IF(COUNTIF(Jobs!$A$5:$A$44,B529)=0,"Unknown Job ID",IF(C529="","Missing cost code",IF(COUNTIF(Settings!$E$5:$E$28,C529)=0,"Unknown cost code",IF(A529="","Missing date",IF(OR(G529="",H529=""),"Missing qty or cost",""))))))</f>
        <v/>
      </c>
      <c r="N529" s="35" t="n"/>
    </row>
    <row r="530">
      <c r="A530" s="40" t="n"/>
      <c r="B530" s="35" t="n"/>
      <c r="C530" s="35" t="n"/>
      <c r="D530" s="9">
        <f>IF(C530="","",IFERROR(VLOOKUP(C530,Settings!$E$5:$G$28,3,FALSE),"Other"))</f>
        <v/>
      </c>
      <c r="E530" s="35" t="n"/>
      <c r="F530" s="35" t="n"/>
      <c r="G530" s="35" t="n"/>
      <c r="H530" s="37" t="n"/>
      <c r="I530" s="39">
        <f>IF(B530="","",G530*H530)</f>
        <v/>
      </c>
      <c r="J530" s="35" t="n"/>
      <c r="K530" s="35" t="n"/>
      <c r="L530" s="35" t="n"/>
      <c r="M530" s="9">
        <f>IF(B530="","",IF(COUNTIF(Jobs!$A$5:$A$44,B530)=0,"Unknown Job ID",IF(C530="","Missing cost code",IF(COUNTIF(Settings!$E$5:$E$28,C530)=0,"Unknown cost code",IF(A530="","Missing date",IF(OR(G530="",H530=""),"Missing qty or cost",""))))))</f>
        <v/>
      </c>
      <c r="N530" s="35" t="n"/>
    </row>
    <row r="531">
      <c r="A531" s="40" t="n"/>
      <c r="B531" s="35" t="n"/>
      <c r="C531" s="35" t="n"/>
      <c r="D531" s="9">
        <f>IF(C531="","",IFERROR(VLOOKUP(C531,Settings!$E$5:$G$28,3,FALSE),"Other"))</f>
        <v/>
      </c>
      <c r="E531" s="35" t="n"/>
      <c r="F531" s="35" t="n"/>
      <c r="G531" s="35" t="n"/>
      <c r="H531" s="37" t="n"/>
      <c r="I531" s="39">
        <f>IF(B531="","",G531*H531)</f>
        <v/>
      </c>
      <c r="J531" s="35" t="n"/>
      <c r="K531" s="35" t="n"/>
      <c r="L531" s="35" t="n"/>
      <c r="M531" s="9">
        <f>IF(B531="","",IF(COUNTIF(Jobs!$A$5:$A$44,B531)=0,"Unknown Job ID",IF(C531="","Missing cost code",IF(COUNTIF(Settings!$E$5:$E$28,C531)=0,"Unknown cost code",IF(A531="","Missing date",IF(OR(G531="",H531=""),"Missing qty or cost",""))))))</f>
        <v/>
      </c>
      <c r="N531" s="35" t="n"/>
    </row>
    <row r="532">
      <c r="A532" s="40" t="n"/>
      <c r="B532" s="35" t="n"/>
      <c r="C532" s="35" t="n"/>
      <c r="D532" s="9">
        <f>IF(C532="","",IFERROR(VLOOKUP(C532,Settings!$E$5:$G$28,3,FALSE),"Other"))</f>
        <v/>
      </c>
      <c r="E532" s="35" t="n"/>
      <c r="F532" s="35" t="n"/>
      <c r="G532" s="35" t="n"/>
      <c r="H532" s="37" t="n"/>
      <c r="I532" s="39">
        <f>IF(B532="","",G532*H532)</f>
        <v/>
      </c>
      <c r="J532" s="35" t="n"/>
      <c r="K532" s="35" t="n"/>
      <c r="L532" s="35" t="n"/>
      <c r="M532" s="9">
        <f>IF(B532="","",IF(COUNTIF(Jobs!$A$5:$A$44,B532)=0,"Unknown Job ID",IF(C532="","Missing cost code",IF(COUNTIF(Settings!$E$5:$E$28,C532)=0,"Unknown cost code",IF(A532="","Missing date",IF(OR(G532="",H532=""),"Missing qty or cost",""))))))</f>
        <v/>
      </c>
      <c r="N532" s="35" t="n"/>
    </row>
    <row r="533">
      <c r="A533" s="40" t="n"/>
      <c r="B533" s="35" t="n"/>
      <c r="C533" s="35" t="n"/>
      <c r="D533" s="9">
        <f>IF(C533="","",IFERROR(VLOOKUP(C533,Settings!$E$5:$G$28,3,FALSE),"Other"))</f>
        <v/>
      </c>
      <c r="E533" s="35" t="n"/>
      <c r="F533" s="35" t="n"/>
      <c r="G533" s="35" t="n"/>
      <c r="H533" s="37" t="n"/>
      <c r="I533" s="39">
        <f>IF(B533="","",G533*H533)</f>
        <v/>
      </c>
      <c r="J533" s="35" t="n"/>
      <c r="K533" s="35" t="n"/>
      <c r="L533" s="35" t="n"/>
      <c r="M533" s="9">
        <f>IF(B533="","",IF(COUNTIF(Jobs!$A$5:$A$44,B533)=0,"Unknown Job ID",IF(C533="","Missing cost code",IF(COUNTIF(Settings!$E$5:$E$28,C533)=0,"Unknown cost code",IF(A533="","Missing date",IF(OR(G533="",H533=""),"Missing qty or cost",""))))))</f>
        <v/>
      </c>
      <c r="N533" s="35" t="n"/>
    </row>
    <row r="534">
      <c r="A534" s="40" t="n"/>
      <c r="B534" s="35" t="n"/>
      <c r="C534" s="35" t="n"/>
      <c r="D534" s="9">
        <f>IF(C534="","",IFERROR(VLOOKUP(C534,Settings!$E$5:$G$28,3,FALSE),"Other"))</f>
        <v/>
      </c>
      <c r="E534" s="35" t="n"/>
      <c r="F534" s="35" t="n"/>
      <c r="G534" s="35" t="n"/>
      <c r="H534" s="37" t="n"/>
      <c r="I534" s="39">
        <f>IF(B534="","",G534*H534)</f>
        <v/>
      </c>
      <c r="J534" s="35" t="n"/>
      <c r="K534" s="35" t="n"/>
      <c r="L534" s="35" t="n"/>
      <c r="M534" s="9">
        <f>IF(B534="","",IF(COUNTIF(Jobs!$A$5:$A$44,B534)=0,"Unknown Job ID",IF(C534="","Missing cost code",IF(COUNTIF(Settings!$E$5:$E$28,C534)=0,"Unknown cost code",IF(A534="","Missing date",IF(OR(G534="",H534=""),"Missing qty or cost",""))))))</f>
        <v/>
      </c>
      <c r="N534" s="35" t="n"/>
    </row>
    <row r="535">
      <c r="A535" s="40" t="n"/>
      <c r="B535" s="35" t="n"/>
      <c r="C535" s="35" t="n"/>
      <c r="D535" s="9">
        <f>IF(C535="","",IFERROR(VLOOKUP(C535,Settings!$E$5:$G$28,3,FALSE),"Other"))</f>
        <v/>
      </c>
      <c r="E535" s="35" t="n"/>
      <c r="F535" s="35" t="n"/>
      <c r="G535" s="35" t="n"/>
      <c r="H535" s="37" t="n"/>
      <c r="I535" s="39">
        <f>IF(B535="","",G535*H535)</f>
        <v/>
      </c>
      <c r="J535" s="35" t="n"/>
      <c r="K535" s="35" t="n"/>
      <c r="L535" s="35" t="n"/>
      <c r="M535" s="9">
        <f>IF(B535="","",IF(COUNTIF(Jobs!$A$5:$A$44,B535)=0,"Unknown Job ID",IF(C535="","Missing cost code",IF(COUNTIF(Settings!$E$5:$E$28,C535)=0,"Unknown cost code",IF(A535="","Missing date",IF(OR(G535="",H535=""),"Missing qty or cost",""))))))</f>
        <v/>
      </c>
      <c r="N535" s="35" t="n"/>
    </row>
    <row r="536">
      <c r="A536" s="40" t="n"/>
      <c r="B536" s="35" t="n"/>
      <c r="C536" s="35" t="n"/>
      <c r="D536" s="9">
        <f>IF(C536="","",IFERROR(VLOOKUP(C536,Settings!$E$5:$G$28,3,FALSE),"Other"))</f>
        <v/>
      </c>
      <c r="E536" s="35" t="n"/>
      <c r="F536" s="35" t="n"/>
      <c r="G536" s="35" t="n"/>
      <c r="H536" s="37" t="n"/>
      <c r="I536" s="39">
        <f>IF(B536="","",G536*H536)</f>
        <v/>
      </c>
      <c r="J536" s="35" t="n"/>
      <c r="K536" s="35" t="n"/>
      <c r="L536" s="35" t="n"/>
      <c r="M536" s="9">
        <f>IF(B536="","",IF(COUNTIF(Jobs!$A$5:$A$44,B536)=0,"Unknown Job ID",IF(C536="","Missing cost code",IF(COUNTIF(Settings!$E$5:$E$28,C536)=0,"Unknown cost code",IF(A536="","Missing date",IF(OR(G536="",H536=""),"Missing qty or cost",""))))))</f>
        <v/>
      </c>
      <c r="N536" s="35" t="n"/>
    </row>
    <row r="537">
      <c r="A537" s="40" t="n"/>
      <c r="B537" s="35" t="n"/>
      <c r="C537" s="35" t="n"/>
      <c r="D537" s="9">
        <f>IF(C537="","",IFERROR(VLOOKUP(C537,Settings!$E$5:$G$28,3,FALSE),"Other"))</f>
        <v/>
      </c>
      <c r="E537" s="35" t="n"/>
      <c r="F537" s="35" t="n"/>
      <c r="G537" s="35" t="n"/>
      <c r="H537" s="37" t="n"/>
      <c r="I537" s="39">
        <f>IF(B537="","",G537*H537)</f>
        <v/>
      </c>
      <c r="J537" s="35" t="n"/>
      <c r="K537" s="35" t="n"/>
      <c r="L537" s="35" t="n"/>
      <c r="M537" s="9">
        <f>IF(B537="","",IF(COUNTIF(Jobs!$A$5:$A$44,B537)=0,"Unknown Job ID",IF(C537="","Missing cost code",IF(COUNTIF(Settings!$E$5:$E$28,C537)=0,"Unknown cost code",IF(A537="","Missing date",IF(OR(G537="",H537=""),"Missing qty or cost",""))))))</f>
        <v/>
      </c>
      <c r="N537" s="35" t="n"/>
    </row>
    <row r="538">
      <c r="A538" s="40" t="n"/>
      <c r="B538" s="35" t="n"/>
      <c r="C538" s="35" t="n"/>
      <c r="D538" s="9">
        <f>IF(C538="","",IFERROR(VLOOKUP(C538,Settings!$E$5:$G$28,3,FALSE),"Other"))</f>
        <v/>
      </c>
      <c r="E538" s="35" t="n"/>
      <c r="F538" s="35" t="n"/>
      <c r="G538" s="35" t="n"/>
      <c r="H538" s="37" t="n"/>
      <c r="I538" s="39">
        <f>IF(B538="","",G538*H538)</f>
        <v/>
      </c>
      <c r="J538" s="35" t="n"/>
      <c r="K538" s="35" t="n"/>
      <c r="L538" s="35" t="n"/>
      <c r="M538" s="9">
        <f>IF(B538="","",IF(COUNTIF(Jobs!$A$5:$A$44,B538)=0,"Unknown Job ID",IF(C538="","Missing cost code",IF(COUNTIF(Settings!$E$5:$E$28,C538)=0,"Unknown cost code",IF(A538="","Missing date",IF(OR(G538="",H538=""),"Missing qty or cost",""))))))</f>
        <v/>
      </c>
      <c r="N538" s="35" t="n"/>
    </row>
    <row r="539">
      <c r="A539" s="40" t="n"/>
      <c r="B539" s="35" t="n"/>
      <c r="C539" s="35" t="n"/>
      <c r="D539" s="9">
        <f>IF(C539="","",IFERROR(VLOOKUP(C539,Settings!$E$5:$G$28,3,FALSE),"Other"))</f>
        <v/>
      </c>
      <c r="E539" s="35" t="n"/>
      <c r="F539" s="35" t="n"/>
      <c r="G539" s="35" t="n"/>
      <c r="H539" s="37" t="n"/>
      <c r="I539" s="39">
        <f>IF(B539="","",G539*H539)</f>
        <v/>
      </c>
      <c r="J539" s="35" t="n"/>
      <c r="K539" s="35" t="n"/>
      <c r="L539" s="35" t="n"/>
      <c r="M539" s="9">
        <f>IF(B539="","",IF(COUNTIF(Jobs!$A$5:$A$44,B539)=0,"Unknown Job ID",IF(C539="","Missing cost code",IF(COUNTIF(Settings!$E$5:$E$28,C539)=0,"Unknown cost code",IF(A539="","Missing date",IF(OR(G539="",H539=""),"Missing qty or cost",""))))))</f>
        <v/>
      </c>
      <c r="N539" s="35" t="n"/>
    </row>
    <row r="540">
      <c r="A540" s="40" t="n"/>
      <c r="B540" s="35" t="n"/>
      <c r="C540" s="35" t="n"/>
      <c r="D540" s="9">
        <f>IF(C540="","",IFERROR(VLOOKUP(C540,Settings!$E$5:$G$28,3,FALSE),"Other"))</f>
        <v/>
      </c>
      <c r="E540" s="35" t="n"/>
      <c r="F540" s="35" t="n"/>
      <c r="G540" s="35" t="n"/>
      <c r="H540" s="37" t="n"/>
      <c r="I540" s="39">
        <f>IF(B540="","",G540*H540)</f>
        <v/>
      </c>
      <c r="J540" s="35" t="n"/>
      <c r="K540" s="35" t="n"/>
      <c r="L540" s="35" t="n"/>
      <c r="M540" s="9">
        <f>IF(B540="","",IF(COUNTIF(Jobs!$A$5:$A$44,B540)=0,"Unknown Job ID",IF(C540="","Missing cost code",IF(COUNTIF(Settings!$E$5:$E$28,C540)=0,"Unknown cost code",IF(A540="","Missing date",IF(OR(G540="",H540=""),"Missing qty or cost",""))))))</f>
        <v/>
      </c>
      <c r="N540" s="35" t="n"/>
    </row>
    <row r="541">
      <c r="A541" s="40" t="n"/>
      <c r="B541" s="35" t="n"/>
      <c r="C541" s="35" t="n"/>
      <c r="D541" s="9">
        <f>IF(C541="","",IFERROR(VLOOKUP(C541,Settings!$E$5:$G$28,3,FALSE),"Other"))</f>
        <v/>
      </c>
      <c r="E541" s="35" t="n"/>
      <c r="F541" s="35" t="n"/>
      <c r="G541" s="35" t="n"/>
      <c r="H541" s="37" t="n"/>
      <c r="I541" s="39">
        <f>IF(B541="","",G541*H541)</f>
        <v/>
      </c>
      <c r="J541" s="35" t="n"/>
      <c r="K541" s="35" t="n"/>
      <c r="L541" s="35" t="n"/>
      <c r="M541" s="9">
        <f>IF(B541="","",IF(COUNTIF(Jobs!$A$5:$A$44,B541)=0,"Unknown Job ID",IF(C541="","Missing cost code",IF(COUNTIF(Settings!$E$5:$E$28,C541)=0,"Unknown cost code",IF(A541="","Missing date",IF(OR(G541="",H541=""),"Missing qty or cost",""))))))</f>
        <v/>
      </c>
      <c r="N541" s="35" t="n"/>
    </row>
    <row r="542">
      <c r="A542" s="40" t="n"/>
      <c r="B542" s="35" t="n"/>
      <c r="C542" s="35" t="n"/>
      <c r="D542" s="9">
        <f>IF(C542="","",IFERROR(VLOOKUP(C542,Settings!$E$5:$G$28,3,FALSE),"Other"))</f>
        <v/>
      </c>
      <c r="E542" s="35" t="n"/>
      <c r="F542" s="35" t="n"/>
      <c r="G542" s="35" t="n"/>
      <c r="H542" s="37" t="n"/>
      <c r="I542" s="39">
        <f>IF(B542="","",G542*H542)</f>
        <v/>
      </c>
      <c r="J542" s="35" t="n"/>
      <c r="K542" s="35" t="n"/>
      <c r="L542" s="35" t="n"/>
      <c r="M542" s="9">
        <f>IF(B542="","",IF(COUNTIF(Jobs!$A$5:$A$44,B542)=0,"Unknown Job ID",IF(C542="","Missing cost code",IF(COUNTIF(Settings!$E$5:$E$28,C542)=0,"Unknown cost code",IF(A542="","Missing date",IF(OR(G542="",H542=""),"Missing qty or cost",""))))))</f>
        <v/>
      </c>
      <c r="N542" s="35" t="n"/>
    </row>
    <row r="543">
      <c r="A543" s="40" t="n"/>
      <c r="B543" s="35" t="n"/>
      <c r="C543" s="35" t="n"/>
      <c r="D543" s="9">
        <f>IF(C543="","",IFERROR(VLOOKUP(C543,Settings!$E$5:$G$28,3,FALSE),"Other"))</f>
        <v/>
      </c>
      <c r="E543" s="35" t="n"/>
      <c r="F543" s="35" t="n"/>
      <c r="G543" s="35" t="n"/>
      <c r="H543" s="37" t="n"/>
      <c r="I543" s="39">
        <f>IF(B543="","",G543*H543)</f>
        <v/>
      </c>
      <c r="J543" s="35" t="n"/>
      <c r="K543" s="35" t="n"/>
      <c r="L543" s="35" t="n"/>
      <c r="M543" s="9">
        <f>IF(B543="","",IF(COUNTIF(Jobs!$A$5:$A$44,B543)=0,"Unknown Job ID",IF(C543="","Missing cost code",IF(COUNTIF(Settings!$E$5:$E$28,C543)=0,"Unknown cost code",IF(A543="","Missing date",IF(OR(G543="",H543=""),"Missing qty or cost",""))))))</f>
        <v/>
      </c>
      <c r="N543" s="35" t="n"/>
    </row>
    <row r="544">
      <c r="A544" s="40" t="n"/>
      <c r="B544" s="35" t="n"/>
      <c r="C544" s="35" t="n"/>
      <c r="D544" s="9">
        <f>IF(C544="","",IFERROR(VLOOKUP(C544,Settings!$E$5:$G$28,3,FALSE),"Other"))</f>
        <v/>
      </c>
      <c r="E544" s="35" t="n"/>
      <c r="F544" s="35" t="n"/>
      <c r="G544" s="35" t="n"/>
      <c r="H544" s="37" t="n"/>
      <c r="I544" s="39">
        <f>IF(B544="","",G544*H544)</f>
        <v/>
      </c>
      <c r="J544" s="35" t="n"/>
      <c r="K544" s="35" t="n"/>
      <c r="L544" s="35" t="n"/>
      <c r="M544" s="9">
        <f>IF(B544="","",IF(COUNTIF(Jobs!$A$5:$A$44,B544)=0,"Unknown Job ID",IF(C544="","Missing cost code",IF(COUNTIF(Settings!$E$5:$E$28,C544)=0,"Unknown cost code",IF(A544="","Missing date",IF(OR(G544="",H544=""),"Missing qty or cost",""))))))</f>
        <v/>
      </c>
      <c r="N544" s="35" t="n"/>
    </row>
    <row r="545">
      <c r="A545" s="40" t="n"/>
      <c r="B545" s="35" t="n"/>
      <c r="C545" s="35" t="n"/>
      <c r="D545" s="9">
        <f>IF(C545="","",IFERROR(VLOOKUP(C545,Settings!$E$5:$G$28,3,FALSE),"Other"))</f>
        <v/>
      </c>
      <c r="E545" s="35" t="n"/>
      <c r="F545" s="35" t="n"/>
      <c r="G545" s="35" t="n"/>
      <c r="H545" s="37" t="n"/>
      <c r="I545" s="39">
        <f>IF(B545="","",G545*H545)</f>
        <v/>
      </c>
      <c r="J545" s="35" t="n"/>
      <c r="K545" s="35" t="n"/>
      <c r="L545" s="35" t="n"/>
      <c r="M545" s="9">
        <f>IF(B545="","",IF(COUNTIF(Jobs!$A$5:$A$44,B545)=0,"Unknown Job ID",IF(C545="","Missing cost code",IF(COUNTIF(Settings!$E$5:$E$28,C545)=0,"Unknown cost code",IF(A545="","Missing date",IF(OR(G545="",H545=""),"Missing qty or cost",""))))))</f>
        <v/>
      </c>
      <c r="N545" s="35" t="n"/>
    </row>
    <row r="546">
      <c r="A546" s="40" t="n"/>
      <c r="B546" s="35" t="n"/>
      <c r="C546" s="35" t="n"/>
      <c r="D546" s="9">
        <f>IF(C546="","",IFERROR(VLOOKUP(C546,Settings!$E$5:$G$28,3,FALSE),"Other"))</f>
        <v/>
      </c>
      <c r="E546" s="35" t="n"/>
      <c r="F546" s="35" t="n"/>
      <c r="G546" s="35" t="n"/>
      <c r="H546" s="37" t="n"/>
      <c r="I546" s="39">
        <f>IF(B546="","",G546*H546)</f>
        <v/>
      </c>
      <c r="J546" s="35" t="n"/>
      <c r="K546" s="35" t="n"/>
      <c r="L546" s="35" t="n"/>
      <c r="M546" s="9">
        <f>IF(B546="","",IF(COUNTIF(Jobs!$A$5:$A$44,B546)=0,"Unknown Job ID",IF(C546="","Missing cost code",IF(COUNTIF(Settings!$E$5:$E$28,C546)=0,"Unknown cost code",IF(A546="","Missing date",IF(OR(G546="",H546=""),"Missing qty or cost",""))))))</f>
        <v/>
      </c>
      <c r="N546" s="35" t="n"/>
    </row>
    <row r="547">
      <c r="A547" s="40" t="n"/>
      <c r="B547" s="35" t="n"/>
      <c r="C547" s="35" t="n"/>
      <c r="D547" s="9">
        <f>IF(C547="","",IFERROR(VLOOKUP(C547,Settings!$E$5:$G$28,3,FALSE),"Other"))</f>
        <v/>
      </c>
      <c r="E547" s="35" t="n"/>
      <c r="F547" s="35" t="n"/>
      <c r="G547" s="35" t="n"/>
      <c r="H547" s="37" t="n"/>
      <c r="I547" s="39">
        <f>IF(B547="","",G547*H547)</f>
        <v/>
      </c>
      <c r="J547" s="35" t="n"/>
      <c r="K547" s="35" t="n"/>
      <c r="L547" s="35" t="n"/>
      <c r="M547" s="9">
        <f>IF(B547="","",IF(COUNTIF(Jobs!$A$5:$A$44,B547)=0,"Unknown Job ID",IF(C547="","Missing cost code",IF(COUNTIF(Settings!$E$5:$E$28,C547)=0,"Unknown cost code",IF(A547="","Missing date",IF(OR(G547="",H547=""),"Missing qty or cost",""))))))</f>
        <v/>
      </c>
      <c r="N547" s="35" t="n"/>
    </row>
    <row r="548">
      <c r="A548" s="40" t="n"/>
      <c r="B548" s="35" t="n"/>
      <c r="C548" s="35" t="n"/>
      <c r="D548" s="9">
        <f>IF(C548="","",IFERROR(VLOOKUP(C548,Settings!$E$5:$G$28,3,FALSE),"Other"))</f>
        <v/>
      </c>
      <c r="E548" s="35" t="n"/>
      <c r="F548" s="35" t="n"/>
      <c r="G548" s="35" t="n"/>
      <c r="H548" s="37" t="n"/>
      <c r="I548" s="39">
        <f>IF(B548="","",G548*H548)</f>
        <v/>
      </c>
      <c r="J548" s="35" t="n"/>
      <c r="K548" s="35" t="n"/>
      <c r="L548" s="35" t="n"/>
      <c r="M548" s="9">
        <f>IF(B548="","",IF(COUNTIF(Jobs!$A$5:$A$44,B548)=0,"Unknown Job ID",IF(C548="","Missing cost code",IF(COUNTIF(Settings!$E$5:$E$28,C548)=0,"Unknown cost code",IF(A548="","Missing date",IF(OR(G548="",H548=""),"Missing qty or cost",""))))))</f>
        <v/>
      </c>
      <c r="N548" s="35" t="n"/>
    </row>
    <row r="549">
      <c r="A549" s="40" t="n"/>
      <c r="B549" s="35" t="n"/>
      <c r="C549" s="35" t="n"/>
      <c r="D549" s="9">
        <f>IF(C549="","",IFERROR(VLOOKUP(C549,Settings!$E$5:$G$28,3,FALSE),"Other"))</f>
        <v/>
      </c>
      <c r="E549" s="35" t="n"/>
      <c r="F549" s="35" t="n"/>
      <c r="G549" s="35" t="n"/>
      <c r="H549" s="37" t="n"/>
      <c r="I549" s="39">
        <f>IF(B549="","",G549*H549)</f>
        <v/>
      </c>
      <c r="J549" s="35" t="n"/>
      <c r="K549" s="35" t="n"/>
      <c r="L549" s="35" t="n"/>
      <c r="M549" s="9">
        <f>IF(B549="","",IF(COUNTIF(Jobs!$A$5:$A$44,B549)=0,"Unknown Job ID",IF(C549="","Missing cost code",IF(COUNTIF(Settings!$E$5:$E$28,C549)=0,"Unknown cost code",IF(A549="","Missing date",IF(OR(G549="",H549=""),"Missing qty or cost",""))))))</f>
        <v/>
      </c>
      <c r="N549" s="35" t="n"/>
    </row>
    <row r="550">
      <c r="A550" s="40" t="n"/>
      <c r="B550" s="35" t="n"/>
      <c r="C550" s="35" t="n"/>
      <c r="D550" s="9">
        <f>IF(C550="","",IFERROR(VLOOKUP(C550,Settings!$E$5:$G$28,3,FALSE),"Other"))</f>
        <v/>
      </c>
      <c r="E550" s="35" t="n"/>
      <c r="F550" s="35" t="n"/>
      <c r="G550" s="35" t="n"/>
      <c r="H550" s="37" t="n"/>
      <c r="I550" s="39">
        <f>IF(B550="","",G550*H550)</f>
        <v/>
      </c>
      <c r="J550" s="35" t="n"/>
      <c r="K550" s="35" t="n"/>
      <c r="L550" s="35" t="n"/>
      <c r="M550" s="9">
        <f>IF(B550="","",IF(COUNTIF(Jobs!$A$5:$A$44,B550)=0,"Unknown Job ID",IF(C550="","Missing cost code",IF(COUNTIF(Settings!$E$5:$E$28,C550)=0,"Unknown cost code",IF(A550="","Missing date",IF(OR(G550="",H550=""),"Missing qty or cost",""))))))</f>
        <v/>
      </c>
      <c r="N550" s="35" t="n"/>
    </row>
    <row r="551">
      <c r="A551" s="40" t="n"/>
      <c r="B551" s="35" t="n"/>
      <c r="C551" s="35" t="n"/>
      <c r="D551" s="9">
        <f>IF(C551="","",IFERROR(VLOOKUP(C551,Settings!$E$5:$G$28,3,FALSE),"Other"))</f>
        <v/>
      </c>
      <c r="E551" s="35" t="n"/>
      <c r="F551" s="35" t="n"/>
      <c r="G551" s="35" t="n"/>
      <c r="H551" s="37" t="n"/>
      <c r="I551" s="39">
        <f>IF(B551="","",G551*H551)</f>
        <v/>
      </c>
      <c r="J551" s="35" t="n"/>
      <c r="K551" s="35" t="n"/>
      <c r="L551" s="35" t="n"/>
      <c r="M551" s="9">
        <f>IF(B551="","",IF(COUNTIF(Jobs!$A$5:$A$44,B551)=0,"Unknown Job ID",IF(C551="","Missing cost code",IF(COUNTIF(Settings!$E$5:$E$28,C551)=0,"Unknown cost code",IF(A551="","Missing date",IF(OR(G551="",H551=""),"Missing qty or cost",""))))))</f>
        <v/>
      </c>
      <c r="N551" s="35" t="n"/>
    </row>
    <row r="552">
      <c r="A552" s="40" t="n"/>
      <c r="B552" s="35" t="n"/>
      <c r="C552" s="35" t="n"/>
      <c r="D552" s="9">
        <f>IF(C552="","",IFERROR(VLOOKUP(C552,Settings!$E$5:$G$28,3,FALSE),"Other"))</f>
        <v/>
      </c>
      <c r="E552" s="35" t="n"/>
      <c r="F552" s="35" t="n"/>
      <c r="G552" s="35" t="n"/>
      <c r="H552" s="37" t="n"/>
      <c r="I552" s="39">
        <f>IF(B552="","",G552*H552)</f>
        <v/>
      </c>
      <c r="J552" s="35" t="n"/>
      <c r="K552" s="35" t="n"/>
      <c r="L552" s="35" t="n"/>
      <c r="M552" s="9">
        <f>IF(B552="","",IF(COUNTIF(Jobs!$A$5:$A$44,B552)=0,"Unknown Job ID",IF(C552="","Missing cost code",IF(COUNTIF(Settings!$E$5:$E$28,C552)=0,"Unknown cost code",IF(A552="","Missing date",IF(OR(G552="",H552=""),"Missing qty or cost",""))))))</f>
        <v/>
      </c>
      <c r="N552" s="35" t="n"/>
    </row>
    <row r="553">
      <c r="A553" s="40" t="n"/>
      <c r="B553" s="35" t="n"/>
      <c r="C553" s="35" t="n"/>
      <c r="D553" s="9">
        <f>IF(C553="","",IFERROR(VLOOKUP(C553,Settings!$E$5:$G$28,3,FALSE),"Other"))</f>
        <v/>
      </c>
      <c r="E553" s="35" t="n"/>
      <c r="F553" s="35" t="n"/>
      <c r="G553" s="35" t="n"/>
      <c r="H553" s="37" t="n"/>
      <c r="I553" s="39">
        <f>IF(B553="","",G553*H553)</f>
        <v/>
      </c>
      <c r="J553" s="35" t="n"/>
      <c r="K553" s="35" t="n"/>
      <c r="L553" s="35" t="n"/>
      <c r="M553" s="9">
        <f>IF(B553="","",IF(COUNTIF(Jobs!$A$5:$A$44,B553)=0,"Unknown Job ID",IF(C553="","Missing cost code",IF(COUNTIF(Settings!$E$5:$E$28,C553)=0,"Unknown cost code",IF(A553="","Missing date",IF(OR(G553="",H553=""),"Missing qty or cost",""))))))</f>
        <v/>
      </c>
      <c r="N553" s="35" t="n"/>
    </row>
    <row r="554">
      <c r="A554" s="40" t="n"/>
      <c r="B554" s="35" t="n"/>
      <c r="C554" s="35" t="n"/>
      <c r="D554" s="9">
        <f>IF(C554="","",IFERROR(VLOOKUP(C554,Settings!$E$5:$G$28,3,FALSE),"Other"))</f>
        <v/>
      </c>
      <c r="E554" s="35" t="n"/>
      <c r="F554" s="35" t="n"/>
      <c r="G554" s="35" t="n"/>
      <c r="H554" s="37" t="n"/>
      <c r="I554" s="39">
        <f>IF(B554="","",G554*H554)</f>
        <v/>
      </c>
      <c r="J554" s="35" t="n"/>
      <c r="K554" s="35" t="n"/>
      <c r="L554" s="35" t="n"/>
      <c r="M554" s="9">
        <f>IF(B554="","",IF(COUNTIF(Jobs!$A$5:$A$44,B554)=0,"Unknown Job ID",IF(C554="","Missing cost code",IF(COUNTIF(Settings!$E$5:$E$28,C554)=0,"Unknown cost code",IF(A554="","Missing date",IF(OR(G554="",H554=""),"Missing qty or cost",""))))))</f>
        <v/>
      </c>
      <c r="N554" s="35" t="n"/>
    </row>
    <row r="555">
      <c r="A555" s="40" t="n"/>
      <c r="B555" s="35" t="n"/>
      <c r="C555" s="35" t="n"/>
      <c r="D555" s="9">
        <f>IF(C555="","",IFERROR(VLOOKUP(C555,Settings!$E$5:$G$28,3,FALSE),"Other"))</f>
        <v/>
      </c>
      <c r="E555" s="35" t="n"/>
      <c r="F555" s="35" t="n"/>
      <c r="G555" s="35" t="n"/>
      <c r="H555" s="37" t="n"/>
      <c r="I555" s="39">
        <f>IF(B555="","",G555*H555)</f>
        <v/>
      </c>
      <c r="J555" s="35" t="n"/>
      <c r="K555" s="35" t="n"/>
      <c r="L555" s="35" t="n"/>
      <c r="M555" s="9">
        <f>IF(B555="","",IF(COUNTIF(Jobs!$A$5:$A$44,B555)=0,"Unknown Job ID",IF(C555="","Missing cost code",IF(COUNTIF(Settings!$E$5:$E$28,C555)=0,"Unknown cost code",IF(A555="","Missing date",IF(OR(G555="",H555=""),"Missing qty or cost",""))))))</f>
        <v/>
      </c>
      <c r="N555" s="35" t="n"/>
    </row>
    <row r="556">
      <c r="A556" s="40" t="n"/>
      <c r="B556" s="35" t="n"/>
      <c r="C556" s="35" t="n"/>
      <c r="D556" s="9">
        <f>IF(C556="","",IFERROR(VLOOKUP(C556,Settings!$E$5:$G$28,3,FALSE),"Other"))</f>
        <v/>
      </c>
      <c r="E556" s="35" t="n"/>
      <c r="F556" s="35" t="n"/>
      <c r="G556" s="35" t="n"/>
      <c r="H556" s="37" t="n"/>
      <c r="I556" s="39">
        <f>IF(B556="","",G556*H556)</f>
        <v/>
      </c>
      <c r="J556" s="35" t="n"/>
      <c r="K556" s="35" t="n"/>
      <c r="L556" s="35" t="n"/>
      <c r="M556" s="9">
        <f>IF(B556="","",IF(COUNTIF(Jobs!$A$5:$A$44,B556)=0,"Unknown Job ID",IF(C556="","Missing cost code",IF(COUNTIF(Settings!$E$5:$E$28,C556)=0,"Unknown cost code",IF(A556="","Missing date",IF(OR(G556="",H556=""),"Missing qty or cost",""))))))</f>
        <v/>
      </c>
      <c r="N556" s="35" t="n"/>
    </row>
    <row r="557">
      <c r="A557" s="40" t="n"/>
      <c r="B557" s="35" t="n"/>
      <c r="C557" s="35" t="n"/>
      <c r="D557" s="9">
        <f>IF(C557="","",IFERROR(VLOOKUP(C557,Settings!$E$5:$G$28,3,FALSE),"Other"))</f>
        <v/>
      </c>
      <c r="E557" s="35" t="n"/>
      <c r="F557" s="35" t="n"/>
      <c r="G557" s="35" t="n"/>
      <c r="H557" s="37" t="n"/>
      <c r="I557" s="39">
        <f>IF(B557="","",G557*H557)</f>
        <v/>
      </c>
      <c r="J557" s="35" t="n"/>
      <c r="K557" s="35" t="n"/>
      <c r="L557" s="35" t="n"/>
      <c r="M557" s="9">
        <f>IF(B557="","",IF(COUNTIF(Jobs!$A$5:$A$44,B557)=0,"Unknown Job ID",IF(C557="","Missing cost code",IF(COUNTIF(Settings!$E$5:$E$28,C557)=0,"Unknown cost code",IF(A557="","Missing date",IF(OR(G557="",H557=""),"Missing qty or cost",""))))))</f>
        <v/>
      </c>
      <c r="N557" s="35" t="n"/>
    </row>
    <row r="558">
      <c r="A558" s="40" t="n"/>
      <c r="B558" s="35" t="n"/>
      <c r="C558" s="35" t="n"/>
      <c r="D558" s="9">
        <f>IF(C558="","",IFERROR(VLOOKUP(C558,Settings!$E$5:$G$28,3,FALSE),"Other"))</f>
        <v/>
      </c>
      <c r="E558" s="35" t="n"/>
      <c r="F558" s="35" t="n"/>
      <c r="G558" s="35" t="n"/>
      <c r="H558" s="37" t="n"/>
      <c r="I558" s="39">
        <f>IF(B558="","",G558*H558)</f>
        <v/>
      </c>
      <c r="J558" s="35" t="n"/>
      <c r="K558" s="35" t="n"/>
      <c r="L558" s="35" t="n"/>
      <c r="M558" s="9">
        <f>IF(B558="","",IF(COUNTIF(Jobs!$A$5:$A$44,B558)=0,"Unknown Job ID",IF(C558="","Missing cost code",IF(COUNTIF(Settings!$E$5:$E$28,C558)=0,"Unknown cost code",IF(A558="","Missing date",IF(OR(G558="",H558=""),"Missing qty or cost",""))))))</f>
        <v/>
      </c>
      <c r="N558" s="35" t="n"/>
    </row>
    <row r="559">
      <c r="A559" s="40" t="n"/>
      <c r="B559" s="35" t="n"/>
      <c r="C559" s="35" t="n"/>
      <c r="D559" s="9">
        <f>IF(C559="","",IFERROR(VLOOKUP(C559,Settings!$E$5:$G$28,3,FALSE),"Other"))</f>
        <v/>
      </c>
      <c r="E559" s="35" t="n"/>
      <c r="F559" s="35" t="n"/>
      <c r="G559" s="35" t="n"/>
      <c r="H559" s="37" t="n"/>
      <c r="I559" s="39">
        <f>IF(B559="","",G559*H559)</f>
        <v/>
      </c>
      <c r="J559" s="35" t="n"/>
      <c r="K559" s="35" t="n"/>
      <c r="L559" s="35" t="n"/>
      <c r="M559" s="9">
        <f>IF(B559="","",IF(COUNTIF(Jobs!$A$5:$A$44,B559)=0,"Unknown Job ID",IF(C559="","Missing cost code",IF(COUNTIF(Settings!$E$5:$E$28,C559)=0,"Unknown cost code",IF(A559="","Missing date",IF(OR(G559="",H559=""),"Missing qty or cost",""))))))</f>
        <v/>
      </c>
      <c r="N559" s="35" t="n"/>
    </row>
    <row r="560">
      <c r="A560" s="40" t="n"/>
      <c r="B560" s="35" t="n"/>
      <c r="C560" s="35" t="n"/>
      <c r="D560" s="9">
        <f>IF(C560="","",IFERROR(VLOOKUP(C560,Settings!$E$5:$G$28,3,FALSE),"Other"))</f>
        <v/>
      </c>
      <c r="E560" s="35" t="n"/>
      <c r="F560" s="35" t="n"/>
      <c r="G560" s="35" t="n"/>
      <c r="H560" s="37" t="n"/>
      <c r="I560" s="39">
        <f>IF(B560="","",G560*H560)</f>
        <v/>
      </c>
      <c r="J560" s="35" t="n"/>
      <c r="K560" s="35" t="n"/>
      <c r="L560" s="35" t="n"/>
      <c r="M560" s="9">
        <f>IF(B560="","",IF(COUNTIF(Jobs!$A$5:$A$44,B560)=0,"Unknown Job ID",IF(C560="","Missing cost code",IF(COUNTIF(Settings!$E$5:$E$28,C560)=0,"Unknown cost code",IF(A560="","Missing date",IF(OR(G560="",H560=""),"Missing qty or cost",""))))))</f>
        <v/>
      </c>
      <c r="N560" s="35" t="n"/>
    </row>
    <row r="561">
      <c r="A561" s="40" t="n"/>
      <c r="B561" s="35" t="n"/>
      <c r="C561" s="35" t="n"/>
      <c r="D561" s="9">
        <f>IF(C561="","",IFERROR(VLOOKUP(C561,Settings!$E$5:$G$28,3,FALSE),"Other"))</f>
        <v/>
      </c>
      <c r="E561" s="35" t="n"/>
      <c r="F561" s="35" t="n"/>
      <c r="G561" s="35" t="n"/>
      <c r="H561" s="37" t="n"/>
      <c r="I561" s="39">
        <f>IF(B561="","",G561*H561)</f>
        <v/>
      </c>
      <c r="J561" s="35" t="n"/>
      <c r="K561" s="35" t="n"/>
      <c r="L561" s="35" t="n"/>
      <c r="M561" s="9">
        <f>IF(B561="","",IF(COUNTIF(Jobs!$A$5:$A$44,B561)=0,"Unknown Job ID",IF(C561="","Missing cost code",IF(COUNTIF(Settings!$E$5:$E$28,C561)=0,"Unknown cost code",IF(A561="","Missing date",IF(OR(G561="",H561=""),"Missing qty or cost",""))))))</f>
        <v/>
      </c>
      <c r="N561" s="35" t="n"/>
    </row>
    <row r="562">
      <c r="A562" s="40" t="n"/>
      <c r="B562" s="35" t="n"/>
      <c r="C562" s="35" t="n"/>
      <c r="D562" s="9">
        <f>IF(C562="","",IFERROR(VLOOKUP(C562,Settings!$E$5:$G$28,3,FALSE),"Other"))</f>
        <v/>
      </c>
      <c r="E562" s="35" t="n"/>
      <c r="F562" s="35" t="n"/>
      <c r="G562" s="35" t="n"/>
      <c r="H562" s="37" t="n"/>
      <c r="I562" s="39">
        <f>IF(B562="","",G562*H562)</f>
        <v/>
      </c>
      <c r="J562" s="35" t="n"/>
      <c r="K562" s="35" t="n"/>
      <c r="L562" s="35" t="n"/>
      <c r="M562" s="9">
        <f>IF(B562="","",IF(COUNTIF(Jobs!$A$5:$A$44,B562)=0,"Unknown Job ID",IF(C562="","Missing cost code",IF(COUNTIF(Settings!$E$5:$E$28,C562)=0,"Unknown cost code",IF(A562="","Missing date",IF(OR(G562="",H562=""),"Missing qty or cost",""))))))</f>
        <v/>
      </c>
      <c r="N562" s="35" t="n"/>
    </row>
    <row r="563">
      <c r="A563" s="40" t="n"/>
      <c r="B563" s="35" t="n"/>
      <c r="C563" s="35" t="n"/>
      <c r="D563" s="9">
        <f>IF(C563="","",IFERROR(VLOOKUP(C563,Settings!$E$5:$G$28,3,FALSE),"Other"))</f>
        <v/>
      </c>
      <c r="E563" s="35" t="n"/>
      <c r="F563" s="35" t="n"/>
      <c r="G563" s="35" t="n"/>
      <c r="H563" s="37" t="n"/>
      <c r="I563" s="39">
        <f>IF(B563="","",G563*H563)</f>
        <v/>
      </c>
      <c r="J563" s="35" t="n"/>
      <c r="K563" s="35" t="n"/>
      <c r="L563" s="35" t="n"/>
      <c r="M563" s="9">
        <f>IF(B563="","",IF(COUNTIF(Jobs!$A$5:$A$44,B563)=0,"Unknown Job ID",IF(C563="","Missing cost code",IF(COUNTIF(Settings!$E$5:$E$28,C563)=0,"Unknown cost code",IF(A563="","Missing date",IF(OR(G563="",H563=""),"Missing qty or cost",""))))))</f>
        <v/>
      </c>
      <c r="N563" s="35" t="n"/>
    </row>
    <row r="564">
      <c r="A564" s="40" t="n"/>
      <c r="B564" s="35" t="n"/>
      <c r="C564" s="35" t="n"/>
      <c r="D564" s="9">
        <f>IF(C564="","",IFERROR(VLOOKUP(C564,Settings!$E$5:$G$28,3,FALSE),"Other"))</f>
        <v/>
      </c>
      <c r="E564" s="35" t="n"/>
      <c r="F564" s="35" t="n"/>
      <c r="G564" s="35" t="n"/>
      <c r="H564" s="37" t="n"/>
      <c r="I564" s="39">
        <f>IF(B564="","",G564*H564)</f>
        <v/>
      </c>
      <c r="J564" s="35" t="n"/>
      <c r="K564" s="35" t="n"/>
      <c r="L564" s="35" t="n"/>
      <c r="M564" s="9">
        <f>IF(B564="","",IF(COUNTIF(Jobs!$A$5:$A$44,B564)=0,"Unknown Job ID",IF(C564="","Missing cost code",IF(COUNTIF(Settings!$E$5:$E$28,C564)=0,"Unknown cost code",IF(A564="","Missing date",IF(OR(G564="",H564=""),"Missing qty or cost",""))))))</f>
        <v/>
      </c>
      <c r="N564" s="35" t="n"/>
    </row>
    <row r="565">
      <c r="A565" s="40" t="n"/>
      <c r="B565" s="35" t="n"/>
      <c r="C565" s="35" t="n"/>
      <c r="D565" s="9">
        <f>IF(C565="","",IFERROR(VLOOKUP(C565,Settings!$E$5:$G$28,3,FALSE),"Other"))</f>
        <v/>
      </c>
      <c r="E565" s="35" t="n"/>
      <c r="F565" s="35" t="n"/>
      <c r="G565" s="35" t="n"/>
      <c r="H565" s="37" t="n"/>
      <c r="I565" s="39">
        <f>IF(B565="","",G565*H565)</f>
        <v/>
      </c>
      <c r="J565" s="35" t="n"/>
      <c r="K565" s="35" t="n"/>
      <c r="L565" s="35" t="n"/>
      <c r="M565" s="9">
        <f>IF(B565="","",IF(COUNTIF(Jobs!$A$5:$A$44,B565)=0,"Unknown Job ID",IF(C565="","Missing cost code",IF(COUNTIF(Settings!$E$5:$E$28,C565)=0,"Unknown cost code",IF(A565="","Missing date",IF(OR(G565="",H565=""),"Missing qty or cost",""))))))</f>
        <v/>
      </c>
      <c r="N565" s="35" t="n"/>
    </row>
    <row r="566">
      <c r="A566" s="40" t="n"/>
      <c r="B566" s="35" t="n"/>
      <c r="C566" s="35" t="n"/>
      <c r="D566" s="9">
        <f>IF(C566="","",IFERROR(VLOOKUP(C566,Settings!$E$5:$G$28,3,FALSE),"Other"))</f>
        <v/>
      </c>
      <c r="E566" s="35" t="n"/>
      <c r="F566" s="35" t="n"/>
      <c r="G566" s="35" t="n"/>
      <c r="H566" s="37" t="n"/>
      <c r="I566" s="39">
        <f>IF(B566="","",G566*H566)</f>
        <v/>
      </c>
      <c r="J566" s="35" t="n"/>
      <c r="K566" s="35" t="n"/>
      <c r="L566" s="35" t="n"/>
      <c r="M566" s="9">
        <f>IF(B566="","",IF(COUNTIF(Jobs!$A$5:$A$44,B566)=0,"Unknown Job ID",IF(C566="","Missing cost code",IF(COUNTIF(Settings!$E$5:$E$28,C566)=0,"Unknown cost code",IF(A566="","Missing date",IF(OR(G566="",H566=""),"Missing qty or cost",""))))))</f>
        <v/>
      </c>
      <c r="N566" s="35" t="n"/>
    </row>
    <row r="567">
      <c r="A567" s="40" t="n"/>
      <c r="B567" s="35" t="n"/>
      <c r="C567" s="35" t="n"/>
      <c r="D567" s="9">
        <f>IF(C567="","",IFERROR(VLOOKUP(C567,Settings!$E$5:$G$28,3,FALSE),"Other"))</f>
        <v/>
      </c>
      <c r="E567" s="35" t="n"/>
      <c r="F567" s="35" t="n"/>
      <c r="G567" s="35" t="n"/>
      <c r="H567" s="37" t="n"/>
      <c r="I567" s="39">
        <f>IF(B567="","",G567*H567)</f>
        <v/>
      </c>
      <c r="J567" s="35" t="n"/>
      <c r="K567" s="35" t="n"/>
      <c r="L567" s="35" t="n"/>
      <c r="M567" s="9">
        <f>IF(B567="","",IF(COUNTIF(Jobs!$A$5:$A$44,B567)=0,"Unknown Job ID",IF(C567="","Missing cost code",IF(COUNTIF(Settings!$E$5:$E$28,C567)=0,"Unknown cost code",IF(A567="","Missing date",IF(OR(G567="",H567=""),"Missing qty or cost",""))))))</f>
        <v/>
      </c>
      <c r="N567" s="35" t="n"/>
    </row>
    <row r="568">
      <c r="A568" s="40" t="n"/>
      <c r="B568" s="35" t="n"/>
      <c r="C568" s="35" t="n"/>
      <c r="D568" s="9">
        <f>IF(C568="","",IFERROR(VLOOKUP(C568,Settings!$E$5:$G$28,3,FALSE),"Other"))</f>
        <v/>
      </c>
      <c r="E568" s="35" t="n"/>
      <c r="F568" s="35" t="n"/>
      <c r="G568" s="35" t="n"/>
      <c r="H568" s="37" t="n"/>
      <c r="I568" s="39">
        <f>IF(B568="","",G568*H568)</f>
        <v/>
      </c>
      <c r="J568" s="35" t="n"/>
      <c r="K568" s="35" t="n"/>
      <c r="L568" s="35" t="n"/>
      <c r="M568" s="9">
        <f>IF(B568="","",IF(COUNTIF(Jobs!$A$5:$A$44,B568)=0,"Unknown Job ID",IF(C568="","Missing cost code",IF(COUNTIF(Settings!$E$5:$E$28,C568)=0,"Unknown cost code",IF(A568="","Missing date",IF(OR(G568="",H568=""),"Missing qty or cost",""))))))</f>
        <v/>
      </c>
      <c r="N568" s="35" t="n"/>
    </row>
    <row r="569">
      <c r="A569" s="40" t="n"/>
      <c r="B569" s="35" t="n"/>
      <c r="C569" s="35" t="n"/>
      <c r="D569" s="9">
        <f>IF(C569="","",IFERROR(VLOOKUP(C569,Settings!$E$5:$G$28,3,FALSE),"Other"))</f>
        <v/>
      </c>
      <c r="E569" s="35" t="n"/>
      <c r="F569" s="35" t="n"/>
      <c r="G569" s="35" t="n"/>
      <c r="H569" s="37" t="n"/>
      <c r="I569" s="39">
        <f>IF(B569="","",G569*H569)</f>
        <v/>
      </c>
      <c r="J569" s="35" t="n"/>
      <c r="K569" s="35" t="n"/>
      <c r="L569" s="35" t="n"/>
      <c r="M569" s="9">
        <f>IF(B569="","",IF(COUNTIF(Jobs!$A$5:$A$44,B569)=0,"Unknown Job ID",IF(C569="","Missing cost code",IF(COUNTIF(Settings!$E$5:$E$28,C569)=0,"Unknown cost code",IF(A569="","Missing date",IF(OR(G569="",H569=""),"Missing qty or cost",""))))))</f>
        <v/>
      </c>
      <c r="N569" s="35" t="n"/>
    </row>
    <row r="570">
      <c r="A570" s="40" t="n"/>
      <c r="B570" s="35" t="n"/>
      <c r="C570" s="35" t="n"/>
      <c r="D570" s="9">
        <f>IF(C570="","",IFERROR(VLOOKUP(C570,Settings!$E$5:$G$28,3,FALSE),"Other"))</f>
        <v/>
      </c>
      <c r="E570" s="35" t="n"/>
      <c r="F570" s="35" t="n"/>
      <c r="G570" s="35" t="n"/>
      <c r="H570" s="37" t="n"/>
      <c r="I570" s="39">
        <f>IF(B570="","",G570*H570)</f>
        <v/>
      </c>
      <c r="J570" s="35" t="n"/>
      <c r="K570" s="35" t="n"/>
      <c r="L570" s="35" t="n"/>
      <c r="M570" s="9">
        <f>IF(B570="","",IF(COUNTIF(Jobs!$A$5:$A$44,B570)=0,"Unknown Job ID",IF(C570="","Missing cost code",IF(COUNTIF(Settings!$E$5:$E$28,C570)=0,"Unknown cost code",IF(A570="","Missing date",IF(OR(G570="",H570=""),"Missing qty or cost",""))))))</f>
        <v/>
      </c>
      <c r="N570" s="35" t="n"/>
    </row>
    <row r="571">
      <c r="A571" s="40" t="n"/>
      <c r="B571" s="35" t="n"/>
      <c r="C571" s="35" t="n"/>
      <c r="D571" s="9">
        <f>IF(C571="","",IFERROR(VLOOKUP(C571,Settings!$E$5:$G$28,3,FALSE),"Other"))</f>
        <v/>
      </c>
      <c r="E571" s="35" t="n"/>
      <c r="F571" s="35" t="n"/>
      <c r="G571" s="35" t="n"/>
      <c r="H571" s="37" t="n"/>
      <c r="I571" s="39">
        <f>IF(B571="","",G571*H571)</f>
        <v/>
      </c>
      <c r="J571" s="35" t="n"/>
      <c r="K571" s="35" t="n"/>
      <c r="L571" s="35" t="n"/>
      <c r="M571" s="9">
        <f>IF(B571="","",IF(COUNTIF(Jobs!$A$5:$A$44,B571)=0,"Unknown Job ID",IF(C571="","Missing cost code",IF(COUNTIF(Settings!$E$5:$E$28,C571)=0,"Unknown cost code",IF(A571="","Missing date",IF(OR(G571="",H571=""),"Missing qty or cost",""))))))</f>
        <v/>
      </c>
      <c r="N571" s="35" t="n"/>
    </row>
    <row r="572">
      <c r="A572" s="40" t="n"/>
      <c r="B572" s="35" t="n"/>
      <c r="C572" s="35" t="n"/>
      <c r="D572" s="9">
        <f>IF(C572="","",IFERROR(VLOOKUP(C572,Settings!$E$5:$G$28,3,FALSE),"Other"))</f>
        <v/>
      </c>
      <c r="E572" s="35" t="n"/>
      <c r="F572" s="35" t="n"/>
      <c r="G572" s="35" t="n"/>
      <c r="H572" s="37" t="n"/>
      <c r="I572" s="39">
        <f>IF(B572="","",G572*H572)</f>
        <v/>
      </c>
      <c r="J572" s="35" t="n"/>
      <c r="K572" s="35" t="n"/>
      <c r="L572" s="35" t="n"/>
      <c r="M572" s="9">
        <f>IF(B572="","",IF(COUNTIF(Jobs!$A$5:$A$44,B572)=0,"Unknown Job ID",IF(C572="","Missing cost code",IF(COUNTIF(Settings!$E$5:$E$28,C572)=0,"Unknown cost code",IF(A572="","Missing date",IF(OR(G572="",H572=""),"Missing qty or cost",""))))))</f>
        <v/>
      </c>
      <c r="N572" s="35" t="n"/>
    </row>
    <row r="573">
      <c r="A573" s="40" t="n"/>
      <c r="B573" s="35" t="n"/>
      <c r="C573" s="35" t="n"/>
      <c r="D573" s="9">
        <f>IF(C573="","",IFERROR(VLOOKUP(C573,Settings!$E$5:$G$28,3,FALSE),"Other"))</f>
        <v/>
      </c>
      <c r="E573" s="35" t="n"/>
      <c r="F573" s="35" t="n"/>
      <c r="G573" s="35" t="n"/>
      <c r="H573" s="37" t="n"/>
      <c r="I573" s="39">
        <f>IF(B573="","",G573*H573)</f>
        <v/>
      </c>
      <c r="J573" s="35" t="n"/>
      <c r="K573" s="35" t="n"/>
      <c r="L573" s="35" t="n"/>
      <c r="M573" s="9">
        <f>IF(B573="","",IF(COUNTIF(Jobs!$A$5:$A$44,B573)=0,"Unknown Job ID",IF(C573="","Missing cost code",IF(COUNTIF(Settings!$E$5:$E$28,C573)=0,"Unknown cost code",IF(A573="","Missing date",IF(OR(G573="",H573=""),"Missing qty or cost",""))))))</f>
        <v/>
      </c>
      <c r="N573" s="35" t="n"/>
    </row>
    <row r="574">
      <c r="A574" s="40" t="n"/>
      <c r="B574" s="35" t="n"/>
      <c r="C574" s="35" t="n"/>
      <c r="D574" s="9">
        <f>IF(C574="","",IFERROR(VLOOKUP(C574,Settings!$E$5:$G$28,3,FALSE),"Other"))</f>
        <v/>
      </c>
      <c r="E574" s="35" t="n"/>
      <c r="F574" s="35" t="n"/>
      <c r="G574" s="35" t="n"/>
      <c r="H574" s="37" t="n"/>
      <c r="I574" s="39">
        <f>IF(B574="","",G574*H574)</f>
        <v/>
      </c>
      <c r="J574" s="35" t="n"/>
      <c r="K574" s="35" t="n"/>
      <c r="L574" s="35" t="n"/>
      <c r="M574" s="9">
        <f>IF(B574="","",IF(COUNTIF(Jobs!$A$5:$A$44,B574)=0,"Unknown Job ID",IF(C574="","Missing cost code",IF(COUNTIF(Settings!$E$5:$E$28,C574)=0,"Unknown cost code",IF(A574="","Missing date",IF(OR(G574="",H574=""),"Missing qty or cost",""))))))</f>
        <v/>
      </c>
      <c r="N574" s="35" t="n"/>
    </row>
    <row r="575">
      <c r="A575" s="40" t="n"/>
      <c r="B575" s="35" t="n"/>
      <c r="C575" s="35" t="n"/>
      <c r="D575" s="9">
        <f>IF(C575="","",IFERROR(VLOOKUP(C575,Settings!$E$5:$G$28,3,FALSE),"Other"))</f>
        <v/>
      </c>
      <c r="E575" s="35" t="n"/>
      <c r="F575" s="35" t="n"/>
      <c r="G575" s="35" t="n"/>
      <c r="H575" s="37" t="n"/>
      <c r="I575" s="39">
        <f>IF(B575="","",G575*H575)</f>
        <v/>
      </c>
      <c r="J575" s="35" t="n"/>
      <c r="K575" s="35" t="n"/>
      <c r="L575" s="35" t="n"/>
      <c r="M575" s="9">
        <f>IF(B575="","",IF(COUNTIF(Jobs!$A$5:$A$44,B575)=0,"Unknown Job ID",IF(C575="","Missing cost code",IF(COUNTIF(Settings!$E$5:$E$28,C575)=0,"Unknown cost code",IF(A575="","Missing date",IF(OR(G575="",H575=""),"Missing qty or cost",""))))))</f>
        <v/>
      </c>
      <c r="N575" s="35" t="n"/>
    </row>
    <row r="576">
      <c r="A576" s="40" t="n"/>
      <c r="B576" s="35" t="n"/>
      <c r="C576" s="35" t="n"/>
      <c r="D576" s="9">
        <f>IF(C576="","",IFERROR(VLOOKUP(C576,Settings!$E$5:$G$28,3,FALSE),"Other"))</f>
        <v/>
      </c>
      <c r="E576" s="35" t="n"/>
      <c r="F576" s="35" t="n"/>
      <c r="G576" s="35" t="n"/>
      <c r="H576" s="37" t="n"/>
      <c r="I576" s="39">
        <f>IF(B576="","",G576*H576)</f>
        <v/>
      </c>
      <c r="J576" s="35" t="n"/>
      <c r="K576" s="35" t="n"/>
      <c r="L576" s="35" t="n"/>
      <c r="M576" s="9">
        <f>IF(B576="","",IF(COUNTIF(Jobs!$A$5:$A$44,B576)=0,"Unknown Job ID",IF(C576="","Missing cost code",IF(COUNTIF(Settings!$E$5:$E$28,C576)=0,"Unknown cost code",IF(A576="","Missing date",IF(OR(G576="",H576=""),"Missing qty or cost",""))))))</f>
        <v/>
      </c>
      <c r="N576" s="35" t="n"/>
    </row>
    <row r="577">
      <c r="A577" s="40" t="n"/>
      <c r="B577" s="35" t="n"/>
      <c r="C577" s="35" t="n"/>
      <c r="D577" s="9">
        <f>IF(C577="","",IFERROR(VLOOKUP(C577,Settings!$E$5:$G$28,3,FALSE),"Other"))</f>
        <v/>
      </c>
      <c r="E577" s="35" t="n"/>
      <c r="F577" s="35" t="n"/>
      <c r="G577" s="35" t="n"/>
      <c r="H577" s="37" t="n"/>
      <c r="I577" s="39">
        <f>IF(B577="","",G577*H577)</f>
        <v/>
      </c>
      <c r="J577" s="35" t="n"/>
      <c r="K577" s="35" t="n"/>
      <c r="L577" s="35" t="n"/>
      <c r="M577" s="9">
        <f>IF(B577="","",IF(COUNTIF(Jobs!$A$5:$A$44,B577)=0,"Unknown Job ID",IF(C577="","Missing cost code",IF(COUNTIF(Settings!$E$5:$E$28,C577)=0,"Unknown cost code",IF(A577="","Missing date",IF(OR(G577="",H577=""),"Missing qty or cost",""))))))</f>
        <v/>
      </c>
      <c r="N577" s="35" t="n"/>
    </row>
    <row r="578">
      <c r="A578" s="40" t="n"/>
      <c r="B578" s="35" t="n"/>
      <c r="C578" s="35" t="n"/>
      <c r="D578" s="9">
        <f>IF(C578="","",IFERROR(VLOOKUP(C578,Settings!$E$5:$G$28,3,FALSE),"Other"))</f>
        <v/>
      </c>
      <c r="E578" s="35" t="n"/>
      <c r="F578" s="35" t="n"/>
      <c r="G578" s="35" t="n"/>
      <c r="H578" s="37" t="n"/>
      <c r="I578" s="39">
        <f>IF(B578="","",G578*H578)</f>
        <v/>
      </c>
      <c r="J578" s="35" t="n"/>
      <c r="K578" s="35" t="n"/>
      <c r="L578" s="35" t="n"/>
      <c r="M578" s="9">
        <f>IF(B578="","",IF(COUNTIF(Jobs!$A$5:$A$44,B578)=0,"Unknown Job ID",IF(C578="","Missing cost code",IF(COUNTIF(Settings!$E$5:$E$28,C578)=0,"Unknown cost code",IF(A578="","Missing date",IF(OR(G578="",H578=""),"Missing qty or cost",""))))))</f>
        <v/>
      </c>
      <c r="N578" s="35" t="n"/>
    </row>
    <row r="579">
      <c r="A579" s="40" t="n"/>
      <c r="B579" s="35" t="n"/>
      <c r="C579" s="35" t="n"/>
      <c r="D579" s="9">
        <f>IF(C579="","",IFERROR(VLOOKUP(C579,Settings!$E$5:$G$28,3,FALSE),"Other"))</f>
        <v/>
      </c>
      <c r="E579" s="35" t="n"/>
      <c r="F579" s="35" t="n"/>
      <c r="G579" s="35" t="n"/>
      <c r="H579" s="37" t="n"/>
      <c r="I579" s="39">
        <f>IF(B579="","",G579*H579)</f>
        <v/>
      </c>
      <c r="J579" s="35" t="n"/>
      <c r="K579" s="35" t="n"/>
      <c r="L579" s="35" t="n"/>
      <c r="M579" s="9">
        <f>IF(B579="","",IF(COUNTIF(Jobs!$A$5:$A$44,B579)=0,"Unknown Job ID",IF(C579="","Missing cost code",IF(COUNTIF(Settings!$E$5:$E$28,C579)=0,"Unknown cost code",IF(A579="","Missing date",IF(OR(G579="",H579=""),"Missing qty or cost",""))))))</f>
        <v/>
      </c>
      <c r="N579" s="35" t="n"/>
    </row>
    <row r="580">
      <c r="A580" s="40" t="n"/>
      <c r="B580" s="35" t="n"/>
      <c r="C580" s="35" t="n"/>
      <c r="D580" s="9">
        <f>IF(C580="","",IFERROR(VLOOKUP(C580,Settings!$E$5:$G$28,3,FALSE),"Other"))</f>
        <v/>
      </c>
      <c r="E580" s="35" t="n"/>
      <c r="F580" s="35" t="n"/>
      <c r="G580" s="35" t="n"/>
      <c r="H580" s="37" t="n"/>
      <c r="I580" s="39">
        <f>IF(B580="","",G580*H580)</f>
        <v/>
      </c>
      <c r="J580" s="35" t="n"/>
      <c r="K580" s="35" t="n"/>
      <c r="L580" s="35" t="n"/>
      <c r="M580" s="9">
        <f>IF(B580="","",IF(COUNTIF(Jobs!$A$5:$A$44,B580)=0,"Unknown Job ID",IF(C580="","Missing cost code",IF(COUNTIF(Settings!$E$5:$E$28,C580)=0,"Unknown cost code",IF(A580="","Missing date",IF(OR(G580="",H580=""),"Missing qty or cost",""))))))</f>
        <v/>
      </c>
      <c r="N580" s="35" t="n"/>
    </row>
    <row r="581">
      <c r="A581" s="40" t="n"/>
      <c r="B581" s="35" t="n"/>
      <c r="C581" s="35" t="n"/>
      <c r="D581" s="9">
        <f>IF(C581="","",IFERROR(VLOOKUP(C581,Settings!$E$5:$G$28,3,FALSE),"Other"))</f>
        <v/>
      </c>
      <c r="E581" s="35" t="n"/>
      <c r="F581" s="35" t="n"/>
      <c r="G581" s="35" t="n"/>
      <c r="H581" s="37" t="n"/>
      <c r="I581" s="39">
        <f>IF(B581="","",G581*H581)</f>
        <v/>
      </c>
      <c r="J581" s="35" t="n"/>
      <c r="K581" s="35" t="n"/>
      <c r="L581" s="35" t="n"/>
      <c r="M581" s="9">
        <f>IF(B581="","",IF(COUNTIF(Jobs!$A$5:$A$44,B581)=0,"Unknown Job ID",IF(C581="","Missing cost code",IF(COUNTIF(Settings!$E$5:$E$28,C581)=0,"Unknown cost code",IF(A581="","Missing date",IF(OR(G581="",H581=""),"Missing qty or cost",""))))))</f>
        <v/>
      </c>
      <c r="N581" s="35" t="n"/>
    </row>
    <row r="582">
      <c r="A582" s="40" t="n"/>
      <c r="B582" s="35" t="n"/>
      <c r="C582" s="35" t="n"/>
      <c r="D582" s="9">
        <f>IF(C582="","",IFERROR(VLOOKUP(C582,Settings!$E$5:$G$28,3,FALSE),"Other"))</f>
        <v/>
      </c>
      <c r="E582" s="35" t="n"/>
      <c r="F582" s="35" t="n"/>
      <c r="G582" s="35" t="n"/>
      <c r="H582" s="37" t="n"/>
      <c r="I582" s="39">
        <f>IF(B582="","",G582*H582)</f>
        <v/>
      </c>
      <c r="J582" s="35" t="n"/>
      <c r="K582" s="35" t="n"/>
      <c r="L582" s="35" t="n"/>
      <c r="M582" s="9">
        <f>IF(B582="","",IF(COUNTIF(Jobs!$A$5:$A$44,B582)=0,"Unknown Job ID",IF(C582="","Missing cost code",IF(COUNTIF(Settings!$E$5:$E$28,C582)=0,"Unknown cost code",IF(A582="","Missing date",IF(OR(G582="",H582=""),"Missing qty or cost",""))))))</f>
        <v/>
      </c>
      <c r="N582" s="35" t="n"/>
    </row>
    <row r="583">
      <c r="A583" s="40" t="n"/>
      <c r="B583" s="35" t="n"/>
      <c r="C583" s="35" t="n"/>
      <c r="D583" s="9">
        <f>IF(C583="","",IFERROR(VLOOKUP(C583,Settings!$E$5:$G$28,3,FALSE),"Other"))</f>
        <v/>
      </c>
      <c r="E583" s="35" t="n"/>
      <c r="F583" s="35" t="n"/>
      <c r="G583" s="35" t="n"/>
      <c r="H583" s="37" t="n"/>
      <c r="I583" s="39">
        <f>IF(B583="","",G583*H583)</f>
        <v/>
      </c>
      <c r="J583" s="35" t="n"/>
      <c r="K583" s="35" t="n"/>
      <c r="L583" s="35" t="n"/>
      <c r="M583" s="9">
        <f>IF(B583="","",IF(COUNTIF(Jobs!$A$5:$A$44,B583)=0,"Unknown Job ID",IF(C583="","Missing cost code",IF(COUNTIF(Settings!$E$5:$E$28,C583)=0,"Unknown cost code",IF(A583="","Missing date",IF(OR(G583="",H583=""),"Missing qty or cost",""))))))</f>
        <v/>
      </c>
      <c r="N583" s="35" t="n"/>
    </row>
    <row r="584">
      <c r="A584" s="40" t="n"/>
      <c r="B584" s="35" t="n"/>
      <c r="C584" s="35" t="n"/>
      <c r="D584" s="9">
        <f>IF(C584="","",IFERROR(VLOOKUP(C584,Settings!$E$5:$G$28,3,FALSE),"Other"))</f>
        <v/>
      </c>
      <c r="E584" s="35" t="n"/>
      <c r="F584" s="35" t="n"/>
      <c r="G584" s="35" t="n"/>
      <c r="H584" s="37" t="n"/>
      <c r="I584" s="39">
        <f>IF(B584="","",G584*H584)</f>
        <v/>
      </c>
      <c r="J584" s="35" t="n"/>
      <c r="K584" s="35" t="n"/>
      <c r="L584" s="35" t="n"/>
      <c r="M584" s="9">
        <f>IF(B584="","",IF(COUNTIF(Jobs!$A$5:$A$44,B584)=0,"Unknown Job ID",IF(C584="","Missing cost code",IF(COUNTIF(Settings!$E$5:$E$28,C584)=0,"Unknown cost code",IF(A584="","Missing date",IF(OR(G584="",H584=""),"Missing qty or cost",""))))))</f>
        <v/>
      </c>
      <c r="N584" s="35" t="n"/>
    </row>
    <row r="585">
      <c r="A585" s="40" t="n"/>
      <c r="B585" s="35" t="n"/>
      <c r="C585" s="35" t="n"/>
      <c r="D585" s="9">
        <f>IF(C585="","",IFERROR(VLOOKUP(C585,Settings!$E$5:$G$28,3,FALSE),"Other"))</f>
        <v/>
      </c>
      <c r="E585" s="35" t="n"/>
      <c r="F585" s="35" t="n"/>
      <c r="G585" s="35" t="n"/>
      <c r="H585" s="37" t="n"/>
      <c r="I585" s="39">
        <f>IF(B585="","",G585*H585)</f>
        <v/>
      </c>
      <c r="J585" s="35" t="n"/>
      <c r="K585" s="35" t="n"/>
      <c r="L585" s="35" t="n"/>
      <c r="M585" s="9">
        <f>IF(B585="","",IF(COUNTIF(Jobs!$A$5:$A$44,B585)=0,"Unknown Job ID",IF(C585="","Missing cost code",IF(COUNTIF(Settings!$E$5:$E$28,C585)=0,"Unknown cost code",IF(A585="","Missing date",IF(OR(G585="",H585=""),"Missing qty or cost",""))))))</f>
        <v/>
      </c>
      <c r="N585" s="35" t="n"/>
    </row>
    <row r="586">
      <c r="A586" s="40" t="n"/>
      <c r="B586" s="35" t="n"/>
      <c r="C586" s="35" t="n"/>
      <c r="D586" s="9">
        <f>IF(C586="","",IFERROR(VLOOKUP(C586,Settings!$E$5:$G$28,3,FALSE),"Other"))</f>
        <v/>
      </c>
      <c r="E586" s="35" t="n"/>
      <c r="F586" s="35" t="n"/>
      <c r="G586" s="35" t="n"/>
      <c r="H586" s="37" t="n"/>
      <c r="I586" s="39">
        <f>IF(B586="","",G586*H586)</f>
        <v/>
      </c>
      <c r="J586" s="35" t="n"/>
      <c r="K586" s="35" t="n"/>
      <c r="L586" s="35" t="n"/>
      <c r="M586" s="9">
        <f>IF(B586="","",IF(COUNTIF(Jobs!$A$5:$A$44,B586)=0,"Unknown Job ID",IF(C586="","Missing cost code",IF(COUNTIF(Settings!$E$5:$E$28,C586)=0,"Unknown cost code",IF(A586="","Missing date",IF(OR(G586="",H586=""),"Missing qty or cost",""))))))</f>
        <v/>
      </c>
      <c r="N586" s="35" t="n"/>
    </row>
    <row r="587">
      <c r="A587" s="40" t="n"/>
      <c r="B587" s="35" t="n"/>
      <c r="C587" s="35" t="n"/>
      <c r="D587" s="9">
        <f>IF(C587="","",IFERROR(VLOOKUP(C587,Settings!$E$5:$G$28,3,FALSE),"Other"))</f>
        <v/>
      </c>
      <c r="E587" s="35" t="n"/>
      <c r="F587" s="35" t="n"/>
      <c r="G587" s="35" t="n"/>
      <c r="H587" s="37" t="n"/>
      <c r="I587" s="39">
        <f>IF(B587="","",G587*H587)</f>
        <v/>
      </c>
      <c r="J587" s="35" t="n"/>
      <c r="K587" s="35" t="n"/>
      <c r="L587" s="35" t="n"/>
      <c r="M587" s="9">
        <f>IF(B587="","",IF(COUNTIF(Jobs!$A$5:$A$44,B587)=0,"Unknown Job ID",IF(C587="","Missing cost code",IF(COUNTIF(Settings!$E$5:$E$28,C587)=0,"Unknown cost code",IF(A587="","Missing date",IF(OR(G587="",H587=""),"Missing qty or cost",""))))))</f>
        <v/>
      </c>
      <c r="N587" s="35" t="n"/>
    </row>
    <row r="588">
      <c r="A588" s="40" t="n"/>
      <c r="B588" s="35" t="n"/>
      <c r="C588" s="35" t="n"/>
      <c r="D588" s="9">
        <f>IF(C588="","",IFERROR(VLOOKUP(C588,Settings!$E$5:$G$28,3,FALSE),"Other"))</f>
        <v/>
      </c>
      <c r="E588" s="35" t="n"/>
      <c r="F588" s="35" t="n"/>
      <c r="G588" s="35" t="n"/>
      <c r="H588" s="37" t="n"/>
      <c r="I588" s="39">
        <f>IF(B588="","",G588*H588)</f>
        <v/>
      </c>
      <c r="J588" s="35" t="n"/>
      <c r="K588" s="35" t="n"/>
      <c r="L588" s="35" t="n"/>
      <c r="M588" s="9">
        <f>IF(B588="","",IF(COUNTIF(Jobs!$A$5:$A$44,B588)=0,"Unknown Job ID",IF(C588="","Missing cost code",IF(COUNTIF(Settings!$E$5:$E$28,C588)=0,"Unknown cost code",IF(A588="","Missing date",IF(OR(G588="",H588=""),"Missing qty or cost",""))))))</f>
        <v/>
      </c>
      <c r="N588" s="35" t="n"/>
    </row>
    <row r="589">
      <c r="A589" s="40" t="n"/>
      <c r="B589" s="35" t="n"/>
      <c r="C589" s="35" t="n"/>
      <c r="D589" s="9">
        <f>IF(C589="","",IFERROR(VLOOKUP(C589,Settings!$E$5:$G$28,3,FALSE),"Other"))</f>
        <v/>
      </c>
      <c r="E589" s="35" t="n"/>
      <c r="F589" s="35" t="n"/>
      <c r="G589" s="35" t="n"/>
      <c r="H589" s="37" t="n"/>
      <c r="I589" s="39">
        <f>IF(B589="","",G589*H589)</f>
        <v/>
      </c>
      <c r="J589" s="35" t="n"/>
      <c r="K589" s="35" t="n"/>
      <c r="L589" s="35" t="n"/>
      <c r="M589" s="9">
        <f>IF(B589="","",IF(COUNTIF(Jobs!$A$5:$A$44,B589)=0,"Unknown Job ID",IF(C589="","Missing cost code",IF(COUNTIF(Settings!$E$5:$E$28,C589)=0,"Unknown cost code",IF(A589="","Missing date",IF(OR(G589="",H589=""),"Missing qty or cost",""))))))</f>
        <v/>
      </c>
      <c r="N589" s="35" t="n"/>
    </row>
    <row r="590">
      <c r="A590" s="40" t="n"/>
      <c r="B590" s="35" t="n"/>
      <c r="C590" s="35" t="n"/>
      <c r="D590" s="9">
        <f>IF(C590="","",IFERROR(VLOOKUP(C590,Settings!$E$5:$G$28,3,FALSE),"Other"))</f>
        <v/>
      </c>
      <c r="E590" s="35" t="n"/>
      <c r="F590" s="35" t="n"/>
      <c r="G590" s="35" t="n"/>
      <c r="H590" s="37" t="n"/>
      <c r="I590" s="39">
        <f>IF(B590="","",G590*H590)</f>
        <v/>
      </c>
      <c r="J590" s="35" t="n"/>
      <c r="K590" s="35" t="n"/>
      <c r="L590" s="35" t="n"/>
      <c r="M590" s="9">
        <f>IF(B590="","",IF(COUNTIF(Jobs!$A$5:$A$44,B590)=0,"Unknown Job ID",IF(C590="","Missing cost code",IF(COUNTIF(Settings!$E$5:$E$28,C590)=0,"Unknown cost code",IF(A590="","Missing date",IF(OR(G590="",H590=""),"Missing qty or cost",""))))))</f>
        <v/>
      </c>
      <c r="N590" s="35" t="n"/>
    </row>
    <row r="591">
      <c r="A591" s="40" t="n"/>
      <c r="B591" s="35" t="n"/>
      <c r="C591" s="35" t="n"/>
      <c r="D591" s="9">
        <f>IF(C591="","",IFERROR(VLOOKUP(C591,Settings!$E$5:$G$28,3,FALSE),"Other"))</f>
        <v/>
      </c>
      <c r="E591" s="35" t="n"/>
      <c r="F591" s="35" t="n"/>
      <c r="G591" s="35" t="n"/>
      <c r="H591" s="37" t="n"/>
      <c r="I591" s="39">
        <f>IF(B591="","",G591*H591)</f>
        <v/>
      </c>
      <c r="J591" s="35" t="n"/>
      <c r="K591" s="35" t="n"/>
      <c r="L591" s="35" t="n"/>
      <c r="M591" s="9">
        <f>IF(B591="","",IF(COUNTIF(Jobs!$A$5:$A$44,B591)=0,"Unknown Job ID",IF(C591="","Missing cost code",IF(COUNTIF(Settings!$E$5:$E$28,C591)=0,"Unknown cost code",IF(A591="","Missing date",IF(OR(G591="",H591=""),"Missing qty or cost",""))))))</f>
        <v/>
      </c>
      <c r="N591" s="35" t="n"/>
    </row>
    <row r="592">
      <c r="A592" s="40" t="n"/>
      <c r="B592" s="35" t="n"/>
      <c r="C592" s="35" t="n"/>
      <c r="D592" s="9">
        <f>IF(C592="","",IFERROR(VLOOKUP(C592,Settings!$E$5:$G$28,3,FALSE),"Other"))</f>
        <v/>
      </c>
      <c r="E592" s="35" t="n"/>
      <c r="F592" s="35" t="n"/>
      <c r="G592" s="35" t="n"/>
      <c r="H592" s="37" t="n"/>
      <c r="I592" s="39">
        <f>IF(B592="","",G592*H592)</f>
        <v/>
      </c>
      <c r="J592" s="35" t="n"/>
      <c r="K592" s="35" t="n"/>
      <c r="L592" s="35" t="n"/>
      <c r="M592" s="9">
        <f>IF(B592="","",IF(COUNTIF(Jobs!$A$5:$A$44,B592)=0,"Unknown Job ID",IF(C592="","Missing cost code",IF(COUNTIF(Settings!$E$5:$E$28,C592)=0,"Unknown cost code",IF(A592="","Missing date",IF(OR(G592="",H592=""),"Missing qty or cost",""))))))</f>
        <v/>
      </c>
      <c r="N592" s="35" t="n"/>
    </row>
    <row r="593">
      <c r="A593" s="40" t="n"/>
      <c r="B593" s="35" t="n"/>
      <c r="C593" s="35" t="n"/>
      <c r="D593" s="9">
        <f>IF(C593="","",IFERROR(VLOOKUP(C593,Settings!$E$5:$G$28,3,FALSE),"Other"))</f>
        <v/>
      </c>
      <c r="E593" s="35" t="n"/>
      <c r="F593" s="35" t="n"/>
      <c r="G593" s="35" t="n"/>
      <c r="H593" s="37" t="n"/>
      <c r="I593" s="39">
        <f>IF(B593="","",G593*H593)</f>
        <v/>
      </c>
      <c r="J593" s="35" t="n"/>
      <c r="K593" s="35" t="n"/>
      <c r="L593" s="35" t="n"/>
      <c r="M593" s="9">
        <f>IF(B593="","",IF(COUNTIF(Jobs!$A$5:$A$44,B593)=0,"Unknown Job ID",IF(C593="","Missing cost code",IF(COUNTIF(Settings!$E$5:$E$28,C593)=0,"Unknown cost code",IF(A593="","Missing date",IF(OR(G593="",H593=""),"Missing qty or cost",""))))))</f>
        <v/>
      </c>
      <c r="N593" s="35" t="n"/>
    </row>
    <row r="594">
      <c r="A594" s="40" t="n"/>
      <c r="B594" s="35" t="n"/>
      <c r="C594" s="35" t="n"/>
      <c r="D594" s="9">
        <f>IF(C594="","",IFERROR(VLOOKUP(C594,Settings!$E$5:$G$28,3,FALSE),"Other"))</f>
        <v/>
      </c>
      <c r="E594" s="35" t="n"/>
      <c r="F594" s="35" t="n"/>
      <c r="G594" s="35" t="n"/>
      <c r="H594" s="37" t="n"/>
      <c r="I594" s="39">
        <f>IF(B594="","",G594*H594)</f>
        <v/>
      </c>
      <c r="J594" s="35" t="n"/>
      <c r="K594" s="35" t="n"/>
      <c r="L594" s="35" t="n"/>
      <c r="M594" s="9">
        <f>IF(B594="","",IF(COUNTIF(Jobs!$A$5:$A$44,B594)=0,"Unknown Job ID",IF(C594="","Missing cost code",IF(COUNTIF(Settings!$E$5:$E$28,C594)=0,"Unknown cost code",IF(A594="","Missing date",IF(OR(G594="",H594=""),"Missing qty or cost",""))))))</f>
        <v/>
      </c>
      <c r="N594" s="35" t="n"/>
    </row>
    <row r="595">
      <c r="A595" s="40" t="n"/>
      <c r="B595" s="35" t="n"/>
      <c r="C595" s="35" t="n"/>
      <c r="D595" s="9">
        <f>IF(C595="","",IFERROR(VLOOKUP(C595,Settings!$E$5:$G$28,3,FALSE),"Other"))</f>
        <v/>
      </c>
      <c r="E595" s="35" t="n"/>
      <c r="F595" s="35" t="n"/>
      <c r="G595" s="35" t="n"/>
      <c r="H595" s="37" t="n"/>
      <c r="I595" s="39">
        <f>IF(B595="","",G595*H595)</f>
        <v/>
      </c>
      <c r="J595" s="35" t="n"/>
      <c r="K595" s="35" t="n"/>
      <c r="L595" s="35" t="n"/>
      <c r="M595" s="9">
        <f>IF(B595="","",IF(COUNTIF(Jobs!$A$5:$A$44,B595)=0,"Unknown Job ID",IF(C595="","Missing cost code",IF(COUNTIF(Settings!$E$5:$E$28,C595)=0,"Unknown cost code",IF(A595="","Missing date",IF(OR(G595="",H595=""),"Missing qty or cost",""))))))</f>
        <v/>
      </c>
      <c r="N595" s="35" t="n"/>
    </row>
    <row r="596">
      <c r="A596" s="40" t="n"/>
      <c r="B596" s="35" t="n"/>
      <c r="C596" s="35" t="n"/>
      <c r="D596" s="9">
        <f>IF(C596="","",IFERROR(VLOOKUP(C596,Settings!$E$5:$G$28,3,FALSE),"Other"))</f>
        <v/>
      </c>
      <c r="E596" s="35" t="n"/>
      <c r="F596" s="35" t="n"/>
      <c r="G596" s="35" t="n"/>
      <c r="H596" s="37" t="n"/>
      <c r="I596" s="39">
        <f>IF(B596="","",G596*H596)</f>
        <v/>
      </c>
      <c r="J596" s="35" t="n"/>
      <c r="K596" s="35" t="n"/>
      <c r="L596" s="35" t="n"/>
      <c r="M596" s="9">
        <f>IF(B596="","",IF(COUNTIF(Jobs!$A$5:$A$44,B596)=0,"Unknown Job ID",IF(C596="","Missing cost code",IF(COUNTIF(Settings!$E$5:$E$28,C596)=0,"Unknown cost code",IF(A596="","Missing date",IF(OR(G596="",H596=""),"Missing qty or cost",""))))))</f>
        <v/>
      </c>
      <c r="N596" s="35" t="n"/>
    </row>
    <row r="597">
      <c r="A597" s="40" t="n"/>
      <c r="B597" s="35" t="n"/>
      <c r="C597" s="35" t="n"/>
      <c r="D597" s="9">
        <f>IF(C597="","",IFERROR(VLOOKUP(C597,Settings!$E$5:$G$28,3,FALSE),"Other"))</f>
        <v/>
      </c>
      <c r="E597" s="35" t="n"/>
      <c r="F597" s="35" t="n"/>
      <c r="G597" s="35" t="n"/>
      <c r="H597" s="37" t="n"/>
      <c r="I597" s="39">
        <f>IF(B597="","",G597*H597)</f>
        <v/>
      </c>
      <c r="J597" s="35" t="n"/>
      <c r="K597" s="35" t="n"/>
      <c r="L597" s="35" t="n"/>
      <c r="M597" s="9">
        <f>IF(B597="","",IF(COUNTIF(Jobs!$A$5:$A$44,B597)=0,"Unknown Job ID",IF(C597="","Missing cost code",IF(COUNTIF(Settings!$E$5:$E$28,C597)=0,"Unknown cost code",IF(A597="","Missing date",IF(OR(G597="",H597=""),"Missing qty or cost",""))))))</f>
        <v/>
      </c>
      <c r="N597" s="35" t="n"/>
    </row>
    <row r="598">
      <c r="A598" s="40" t="n"/>
      <c r="B598" s="35" t="n"/>
      <c r="C598" s="35" t="n"/>
      <c r="D598" s="9">
        <f>IF(C598="","",IFERROR(VLOOKUP(C598,Settings!$E$5:$G$28,3,FALSE),"Other"))</f>
        <v/>
      </c>
      <c r="E598" s="35" t="n"/>
      <c r="F598" s="35" t="n"/>
      <c r="G598" s="35" t="n"/>
      <c r="H598" s="37" t="n"/>
      <c r="I598" s="39">
        <f>IF(B598="","",G598*H598)</f>
        <v/>
      </c>
      <c r="J598" s="35" t="n"/>
      <c r="K598" s="35" t="n"/>
      <c r="L598" s="35" t="n"/>
      <c r="M598" s="9">
        <f>IF(B598="","",IF(COUNTIF(Jobs!$A$5:$A$44,B598)=0,"Unknown Job ID",IF(C598="","Missing cost code",IF(COUNTIF(Settings!$E$5:$E$28,C598)=0,"Unknown cost code",IF(A598="","Missing date",IF(OR(G598="",H598=""),"Missing qty or cost",""))))))</f>
        <v/>
      </c>
      <c r="N598" s="35" t="n"/>
    </row>
    <row r="599">
      <c r="A599" s="40" t="n"/>
      <c r="B599" s="35" t="n"/>
      <c r="C599" s="35" t="n"/>
      <c r="D599" s="9">
        <f>IF(C599="","",IFERROR(VLOOKUP(C599,Settings!$E$5:$G$28,3,FALSE),"Other"))</f>
        <v/>
      </c>
      <c r="E599" s="35" t="n"/>
      <c r="F599" s="35" t="n"/>
      <c r="G599" s="35" t="n"/>
      <c r="H599" s="37" t="n"/>
      <c r="I599" s="39">
        <f>IF(B599="","",G599*H599)</f>
        <v/>
      </c>
      <c r="J599" s="35" t="n"/>
      <c r="K599" s="35" t="n"/>
      <c r="L599" s="35" t="n"/>
      <c r="M599" s="9">
        <f>IF(B599="","",IF(COUNTIF(Jobs!$A$5:$A$44,B599)=0,"Unknown Job ID",IF(C599="","Missing cost code",IF(COUNTIF(Settings!$E$5:$E$28,C599)=0,"Unknown cost code",IF(A599="","Missing date",IF(OR(G599="",H599=""),"Missing qty or cost",""))))))</f>
        <v/>
      </c>
      <c r="N599" s="35" t="n"/>
    </row>
    <row r="600">
      <c r="A600" s="40" t="n"/>
      <c r="B600" s="35" t="n"/>
      <c r="C600" s="35" t="n"/>
      <c r="D600" s="9">
        <f>IF(C600="","",IFERROR(VLOOKUP(C600,Settings!$E$5:$G$28,3,FALSE),"Other"))</f>
        <v/>
      </c>
      <c r="E600" s="35" t="n"/>
      <c r="F600" s="35" t="n"/>
      <c r="G600" s="35" t="n"/>
      <c r="H600" s="37" t="n"/>
      <c r="I600" s="39">
        <f>IF(B600="","",G600*H600)</f>
        <v/>
      </c>
      <c r="J600" s="35" t="n"/>
      <c r="K600" s="35" t="n"/>
      <c r="L600" s="35" t="n"/>
      <c r="M600" s="9">
        <f>IF(B600="","",IF(COUNTIF(Jobs!$A$5:$A$44,B600)=0,"Unknown Job ID",IF(C600="","Missing cost code",IF(COUNTIF(Settings!$E$5:$E$28,C600)=0,"Unknown cost code",IF(A600="","Missing date",IF(OR(G600="",H600=""),"Missing qty or cost",""))))))</f>
        <v/>
      </c>
      <c r="N600" s="35" t="n"/>
    </row>
    <row r="601">
      <c r="A601" s="40" t="n"/>
      <c r="B601" s="35" t="n"/>
      <c r="C601" s="35" t="n"/>
      <c r="D601" s="9">
        <f>IF(C601="","",IFERROR(VLOOKUP(C601,Settings!$E$5:$G$28,3,FALSE),"Other"))</f>
        <v/>
      </c>
      <c r="E601" s="35" t="n"/>
      <c r="F601" s="35" t="n"/>
      <c r="G601" s="35" t="n"/>
      <c r="H601" s="37" t="n"/>
      <c r="I601" s="39">
        <f>IF(B601="","",G601*H601)</f>
        <v/>
      </c>
      <c r="J601" s="35" t="n"/>
      <c r="K601" s="35" t="n"/>
      <c r="L601" s="35" t="n"/>
      <c r="M601" s="9">
        <f>IF(B601="","",IF(COUNTIF(Jobs!$A$5:$A$44,B601)=0,"Unknown Job ID",IF(C601="","Missing cost code",IF(COUNTIF(Settings!$E$5:$E$28,C601)=0,"Unknown cost code",IF(A601="","Missing date",IF(OR(G601="",H601=""),"Missing qty or cost",""))))))</f>
        <v/>
      </c>
      <c r="N601" s="35" t="n"/>
    </row>
    <row r="602">
      <c r="A602" s="40" t="n"/>
      <c r="B602" s="35" t="n"/>
      <c r="C602" s="35" t="n"/>
      <c r="D602" s="9">
        <f>IF(C602="","",IFERROR(VLOOKUP(C602,Settings!$E$5:$G$28,3,FALSE),"Other"))</f>
        <v/>
      </c>
      <c r="E602" s="35" t="n"/>
      <c r="F602" s="35" t="n"/>
      <c r="G602" s="35" t="n"/>
      <c r="H602" s="37" t="n"/>
      <c r="I602" s="39">
        <f>IF(B602="","",G602*H602)</f>
        <v/>
      </c>
      <c r="J602" s="35" t="n"/>
      <c r="K602" s="35" t="n"/>
      <c r="L602" s="35" t="n"/>
      <c r="M602" s="9">
        <f>IF(B602="","",IF(COUNTIF(Jobs!$A$5:$A$44,B602)=0,"Unknown Job ID",IF(C602="","Missing cost code",IF(COUNTIF(Settings!$E$5:$E$28,C602)=0,"Unknown cost code",IF(A602="","Missing date",IF(OR(G602="",H602=""),"Missing qty or cost",""))))))</f>
        <v/>
      </c>
      <c r="N602" s="35" t="n"/>
    </row>
    <row r="603">
      <c r="A603" s="40" t="n"/>
      <c r="B603" s="35" t="n"/>
      <c r="C603" s="35" t="n"/>
      <c r="D603" s="9">
        <f>IF(C603="","",IFERROR(VLOOKUP(C603,Settings!$E$5:$G$28,3,FALSE),"Other"))</f>
        <v/>
      </c>
      <c r="E603" s="35" t="n"/>
      <c r="F603" s="35" t="n"/>
      <c r="G603" s="35" t="n"/>
      <c r="H603" s="37" t="n"/>
      <c r="I603" s="39">
        <f>IF(B603="","",G603*H603)</f>
        <v/>
      </c>
      <c r="J603" s="35" t="n"/>
      <c r="K603" s="35" t="n"/>
      <c r="L603" s="35" t="n"/>
      <c r="M603" s="9">
        <f>IF(B603="","",IF(COUNTIF(Jobs!$A$5:$A$44,B603)=0,"Unknown Job ID",IF(C603="","Missing cost code",IF(COUNTIF(Settings!$E$5:$E$28,C603)=0,"Unknown cost code",IF(A603="","Missing date",IF(OR(G603="",H603=""),"Missing qty or cost",""))))))</f>
        <v/>
      </c>
      <c r="N603" s="35" t="n"/>
    </row>
    <row r="604">
      <c r="A604" s="40" t="n"/>
      <c r="B604" s="35" t="n"/>
      <c r="C604" s="35" t="n"/>
      <c r="D604" s="9">
        <f>IF(C604="","",IFERROR(VLOOKUP(C604,Settings!$E$5:$G$28,3,FALSE),"Other"))</f>
        <v/>
      </c>
      <c r="E604" s="35" t="n"/>
      <c r="F604" s="35" t="n"/>
      <c r="G604" s="35" t="n"/>
      <c r="H604" s="37" t="n"/>
      <c r="I604" s="39">
        <f>IF(B604="","",G604*H604)</f>
        <v/>
      </c>
      <c r="J604" s="35" t="n"/>
      <c r="K604" s="35" t="n"/>
      <c r="L604" s="35" t="n"/>
      <c r="M604" s="9">
        <f>IF(B604="","",IF(COUNTIF(Jobs!$A$5:$A$44,B604)=0,"Unknown Job ID",IF(C604="","Missing cost code",IF(COUNTIF(Settings!$E$5:$E$28,C604)=0,"Unknown cost code",IF(A604="","Missing date",IF(OR(G604="",H604=""),"Missing qty or cost",""))))))</f>
        <v/>
      </c>
      <c r="N604" s="35" t="n"/>
    </row>
    <row r="605">
      <c r="A605" s="40" t="n"/>
      <c r="B605" s="35" t="n"/>
      <c r="C605" s="35" t="n"/>
      <c r="D605" s="9">
        <f>IF(C605="","",IFERROR(VLOOKUP(C605,Settings!$E$5:$G$28,3,FALSE),"Other"))</f>
        <v/>
      </c>
      <c r="E605" s="35" t="n"/>
      <c r="F605" s="35" t="n"/>
      <c r="G605" s="35" t="n"/>
      <c r="H605" s="37" t="n"/>
      <c r="I605" s="39">
        <f>IF(B605="","",G605*H605)</f>
        <v/>
      </c>
      <c r="J605" s="35" t="n"/>
      <c r="K605" s="35" t="n"/>
      <c r="L605" s="35" t="n"/>
      <c r="M605" s="9">
        <f>IF(B605="","",IF(COUNTIF(Jobs!$A$5:$A$44,B605)=0,"Unknown Job ID",IF(C605="","Missing cost code",IF(COUNTIF(Settings!$E$5:$E$28,C605)=0,"Unknown cost code",IF(A605="","Missing date",IF(OR(G605="",H605=""),"Missing qty or cost",""))))))</f>
        <v/>
      </c>
      <c r="N605" s="35" t="n"/>
    </row>
    <row r="606">
      <c r="A606" s="40" t="n"/>
      <c r="B606" s="35" t="n"/>
      <c r="C606" s="35" t="n"/>
      <c r="D606" s="9">
        <f>IF(C606="","",IFERROR(VLOOKUP(C606,Settings!$E$5:$G$28,3,FALSE),"Other"))</f>
        <v/>
      </c>
      <c r="E606" s="35" t="n"/>
      <c r="F606" s="35" t="n"/>
      <c r="G606" s="35" t="n"/>
      <c r="H606" s="37" t="n"/>
      <c r="I606" s="39">
        <f>IF(B606="","",G606*H606)</f>
        <v/>
      </c>
      <c r="J606" s="35" t="n"/>
      <c r="K606" s="35" t="n"/>
      <c r="L606" s="35" t="n"/>
      <c r="M606" s="9">
        <f>IF(B606="","",IF(COUNTIF(Jobs!$A$5:$A$44,B606)=0,"Unknown Job ID",IF(C606="","Missing cost code",IF(COUNTIF(Settings!$E$5:$E$28,C606)=0,"Unknown cost code",IF(A606="","Missing date",IF(OR(G606="",H606=""),"Missing qty or cost",""))))))</f>
        <v/>
      </c>
      <c r="N606" s="35" t="n"/>
    </row>
    <row r="607">
      <c r="A607" s="40" t="n"/>
      <c r="B607" s="35" t="n"/>
      <c r="C607" s="35" t="n"/>
      <c r="D607" s="9">
        <f>IF(C607="","",IFERROR(VLOOKUP(C607,Settings!$E$5:$G$28,3,FALSE),"Other"))</f>
        <v/>
      </c>
      <c r="E607" s="35" t="n"/>
      <c r="F607" s="35" t="n"/>
      <c r="G607" s="35" t="n"/>
      <c r="H607" s="37" t="n"/>
      <c r="I607" s="39">
        <f>IF(B607="","",G607*H607)</f>
        <v/>
      </c>
      <c r="J607" s="35" t="n"/>
      <c r="K607" s="35" t="n"/>
      <c r="L607" s="35" t="n"/>
      <c r="M607" s="9">
        <f>IF(B607="","",IF(COUNTIF(Jobs!$A$5:$A$44,B607)=0,"Unknown Job ID",IF(C607="","Missing cost code",IF(COUNTIF(Settings!$E$5:$E$28,C607)=0,"Unknown cost code",IF(A607="","Missing date",IF(OR(G607="",H607=""),"Missing qty or cost",""))))))</f>
        <v/>
      </c>
      <c r="N607" s="35" t="n"/>
    </row>
    <row r="608">
      <c r="A608" s="40" t="n"/>
      <c r="B608" s="35" t="n"/>
      <c r="C608" s="35" t="n"/>
      <c r="D608" s="9">
        <f>IF(C608="","",IFERROR(VLOOKUP(C608,Settings!$E$5:$G$28,3,FALSE),"Other"))</f>
        <v/>
      </c>
      <c r="E608" s="35" t="n"/>
      <c r="F608" s="35" t="n"/>
      <c r="G608" s="35" t="n"/>
      <c r="H608" s="37" t="n"/>
      <c r="I608" s="39">
        <f>IF(B608="","",G608*H608)</f>
        <v/>
      </c>
      <c r="J608" s="35" t="n"/>
      <c r="K608" s="35" t="n"/>
      <c r="L608" s="35" t="n"/>
      <c r="M608" s="9">
        <f>IF(B608="","",IF(COUNTIF(Jobs!$A$5:$A$44,B608)=0,"Unknown Job ID",IF(C608="","Missing cost code",IF(COUNTIF(Settings!$E$5:$E$28,C608)=0,"Unknown cost code",IF(A608="","Missing date",IF(OR(G608="",H608=""),"Missing qty or cost",""))))))</f>
        <v/>
      </c>
      <c r="N608" s="35" t="n"/>
    </row>
    <row r="609">
      <c r="A609" s="40" t="n"/>
      <c r="B609" s="35" t="n"/>
      <c r="C609" s="35" t="n"/>
      <c r="D609" s="9">
        <f>IF(C609="","",IFERROR(VLOOKUP(C609,Settings!$E$5:$G$28,3,FALSE),"Other"))</f>
        <v/>
      </c>
      <c r="E609" s="35" t="n"/>
      <c r="F609" s="35" t="n"/>
      <c r="G609" s="35" t="n"/>
      <c r="H609" s="37" t="n"/>
      <c r="I609" s="39">
        <f>IF(B609="","",G609*H609)</f>
        <v/>
      </c>
      <c r="J609" s="35" t="n"/>
      <c r="K609" s="35" t="n"/>
      <c r="L609" s="35" t="n"/>
      <c r="M609" s="9">
        <f>IF(B609="","",IF(COUNTIF(Jobs!$A$5:$A$44,B609)=0,"Unknown Job ID",IF(C609="","Missing cost code",IF(COUNTIF(Settings!$E$5:$E$28,C609)=0,"Unknown cost code",IF(A609="","Missing date",IF(OR(G609="",H609=""),"Missing qty or cost",""))))))</f>
        <v/>
      </c>
      <c r="N609" s="35" t="n"/>
    </row>
    <row r="610">
      <c r="A610" s="40" t="n"/>
      <c r="B610" s="35" t="n"/>
      <c r="C610" s="35" t="n"/>
      <c r="D610" s="9">
        <f>IF(C610="","",IFERROR(VLOOKUP(C610,Settings!$E$5:$G$28,3,FALSE),"Other"))</f>
        <v/>
      </c>
      <c r="E610" s="35" t="n"/>
      <c r="F610" s="35" t="n"/>
      <c r="G610" s="35" t="n"/>
      <c r="H610" s="37" t="n"/>
      <c r="I610" s="39">
        <f>IF(B610="","",G610*H610)</f>
        <v/>
      </c>
      <c r="J610" s="35" t="n"/>
      <c r="K610" s="35" t="n"/>
      <c r="L610" s="35" t="n"/>
      <c r="M610" s="9">
        <f>IF(B610="","",IF(COUNTIF(Jobs!$A$5:$A$44,B610)=0,"Unknown Job ID",IF(C610="","Missing cost code",IF(COUNTIF(Settings!$E$5:$E$28,C610)=0,"Unknown cost code",IF(A610="","Missing date",IF(OR(G610="",H610=""),"Missing qty or cost",""))))))</f>
        <v/>
      </c>
      <c r="N610" s="35" t="n"/>
    </row>
    <row r="611">
      <c r="A611" s="40" t="n"/>
      <c r="B611" s="35" t="n"/>
      <c r="C611" s="35" t="n"/>
      <c r="D611" s="9">
        <f>IF(C611="","",IFERROR(VLOOKUP(C611,Settings!$E$5:$G$28,3,FALSE),"Other"))</f>
        <v/>
      </c>
      <c r="E611" s="35" t="n"/>
      <c r="F611" s="35" t="n"/>
      <c r="G611" s="35" t="n"/>
      <c r="H611" s="37" t="n"/>
      <c r="I611" s="39">
        <f>IF(B611="","",G611*H611)</f>
        <v/>
      </c>
      <c r="J611" s="35" t="n"/>
      <c r="K611" s="35" t="n"/>
      <c r="L611" s="35" t="n"/>
      <c r="M611" s="9">
        <f>IF(B611="","",IF(COUNTIF(Jobs!$A$5:$A$44,B611)=0,"Unknown Job ID",IF(C611="","Missing cost code",IF(COUNTIF(Settings!$E$5:$E$28,C611)=0,"Unknown cost code",IF(A611="","Missing date",IF(OR(G611="",H611=""),"Missing qty or cost",""))))))</f>
        <v/>
      </c>
      <c r="N611" s="35" t="n"/>
    </row>
    <row r="612">
      <c r="A612" s="40" t="n"/>
      <c r="B612" s="35" t="n"/>
      <c r="C612" s="35" t="n"/>
      <c r="D612" s="9">
        <f>IF(C612="","",IFERROR(VLOOKUP(C612,Settings!$E$5:$G$28,3,FALSE),"Other"))</f>
        <v/>
      </c>
      <c r="E612" s="35" t="n"/>
      <c r="F612" s="35" t="n"/>
      <c r="G612" s="35" t="n"/>
      <c r="H612" s="37" t="n"/>
      <c r="I612" s="39">
        <f>IF(B612="","",G612*H612)</f>
        <v/>
      </c>
      <c r="J612" s="35" t="n"/>
      <c r="K612" s="35" t="n"/>
      <c r="L612" s="35" t="n"/>
      <c r="M612" s="9">
        <f>IF(B612="","",IF(COUNTIF(Jobs!$A$5:$A$44,B612)=0,"Unknown Job ID",IF(C612="","Missing cost code",IF(COUNTIF(Settings!$E$5:$E$28,C612)=0,"Unknown cost code",IF(A612="","Missing date",IF(OR(G612="",H612=""),"Missing qty or cost",""))))))</f>
        <v/>
      </c>
      <c r="N612" s="35" t="n"/>
    </row>
    <row r="613">
      <c r="A613" s="40" t="n"/>
      <c r="B613" s="35" t="n"/>
      <c r="C613" s="35" t="n"/>
      <c r="D613" s="9">
        <f>IF(C613="","",IFERROR(VLOOKUP(C613,Settings!$E$5:$G$28,3,FALSE),"Other"))</f>
        <v/>
      </c>
      <c r="E613" s="35" t="n"/>
      <c r="F613" s="35" t="n"/>
      <c r="G613" s="35" t="n"/>
      <c r="H613" s="37" t="n"/>
      <c r="I613" s="39">
        <f>IF(B613="","",G613*H613)</f>
        <v/>
      </c>
      <c r="J613" s="35" t="n"/>
      <c r="K613" s="35" t="n"/>
      <c r="L613" s="35" t="n"/>
      <c r="M613" s="9">
        <f>IF(B613="","",IF(COUNTIF(Jobs!$A$5:$A$44,B613)=0,"Unknown Job ID",IF(C613="","Missing cost code",IF(COUNTIF(Settings!$E$5:$E$28,C613)=0,"Unknown cost code",IF(A613="","Missing date",IF(OR(G613="",H613=""),"Missing qty or cost",""))))))</f>
        <v/>
      </c>
      <c r="N613" s="35" t="n"/>
    </row>
    <row r="614">
      <c r="A614" s="40" t="n"/>
      <c r="B614" s="35" t="n"/>
      <c r="C614" s="35" t="n"/>
      <c r="D614" s="9">
        <f>IF(C614="","",IFERROR(VLOOKUP(C614,Settings!$E$5:$G$28,3,FALSE),"Other"))</f>
        <v/>
      </c>
      <c r="E614" s="35" t="n"/>
      <c r="F614" s="35" t="n"/>
      <c r="G614" s="35" t="n"/>
      <c r="H614" s="37" t="n"/>
      <c r="I614" s="39">
        <f>IF(B614="","",G614*H614)</f>
        <v/>
      </c>
      <c r="J614" s="35" t="n"/>
      <c r="K614" s="35" t="n"/>
      <c r="L614" s="35" t="n"/>
      <c r="M614" s="9">
        <f>IF(B614="","",IF(COUNTIF(Jobs!$A$5:$A$44,B614)=0,"Unknown Job ID",IF(C614="","Missing cost code",IF(COUNTIF(Settings!$E$5:$E$28,C614)=0,"Unknown cost code",IF(A614="","Missing date",IF(OR(G614="",H614=""),"Missing qty or cost",""))))))</f>
        <v/>
      </c>
      <c r="N614" s="35" t="n"/>
    </row>
    <row r="615">
      <c r="A615" s="40" t="n"/>
      <c r="B615" s="35" t="n"/>
      <c r="C615" s="35" t="n"/>
      <c r="D615" s="9">
        <f>IF(C615="","",IFERROR(VLOOKUP(C615,Settings!$E$5:$G$28,3,FALSE),"Other"))</f>
        <v/>
      </c>
      <c r="E615" s="35" t="n"/>
      <c r="F615" s="35" t="n"/>
      <c r="G615" s="35" t="n"/>
      <c r="H615" s="37" t="n"/>
      <c r="I615" s="39">
        <f>IF(B615="","",G615*H615)</f>
        <v/>
      </c>
      <c r="J615" s="35" t="n"/>
      <c r="K615" s="35" t="n"/>
      <c r="L615" s="35" t="n"/>
      <c r="M615" s="9">
        <f>IF(B615="","",IF(COUNTIF(Jobs!$A$5:$A$44,B615)=0,"Unknown Job ID",IF(C615="","Missing cost code",IF(COUNTIF(Settings!$E$5:$E$28,C615)=0,"Unknown cost code",IF(A615="","Missing date",IF(OR(G615="",H615=""),"Missing qty or cost",""))))))</f>
        <v/>
      </c>
      <c r="N615" s="35" t="n"/>
    </row>
    <row r="616">
      <c r="A616" s="40" t="n"/>
      <c r="B616" s="35" t="n"/>
      <c r="C616" s="35" t="n"/>
      <c r="D616" s="9">
        <f>IF(C616="","",IFERROR(VLOOKUP(C616,Settings!$E$5:$G$28,3,FALSE),"Other"))</f>
        <v/>
      </c>
      <c r="E616" s="35" t="n"/>
      <c r="F616" s="35" t="n"/>
      <c r="G616" s="35" t="n"/>
      <c r="H616" s="37" t="n"/>
      <c r="I616" s="39">
        <f>IF(B616="","",G616*H616)</f>
        <v/>
      </c>
      <c r="J616" s="35" t="n"/>
      <c r="K616" s="35" t="n"/>
      <c r="L616" s="35" t="n"/>
      <c r="M616" s="9">
        <f>IF(B616="","",IF(COUNTIF(Jobs!$A$5:$A$44,B616)=0,"Unknown Job ID",IF(C616="","Missing cost code",IF(COUNTIF(Settings!$E$5:$E$28,C616)=0,"Unknown cost code",IF(A616="","Missing date",IF(OR(G616="",H616=""),"Missing qty or cost",""))))))</f>
        <v/>
      </c>
      <c r="N616" s="35" t="n"/>
    </row>
    <row r="617">
      <c r="A617" s="40" t="n"/>
      <c r="B617" s="35" t="n"/>
      <c r="C617" s="35" t="n"/>
      <c r="D617" s="9">
        <f>IF(C617="","",IFERROR(VLOOKUP(C617,Settings!$E$5:$G$28,3,FALSE),"Other"))</f>
        <v/>
      </c>
      <c r="E617" s="35" t="n"/>
      <c r="F617" s="35" t="n"/>
      <c r="G617" s="35" t="n"/>
      <c r="H617" s="37" t="n"/>
      <c r="I617" s="39">
        <f>IF(B617="","",G617*H617)</f>
        <v/>
      </c>
      <c r="J617" s="35" t="n"/>
      <c r="K617" s="35" t="n"/>
      <c r="L617" s="35" t="n"/>
      <c r="M617" s="9">
        <f>IF(B617="","",IF(COUNTIF(Jobs!$A$5:$A$44,B617)=0,"Unknown Job ID",IF(C617="","Missing cost code",IF(COUNTIF(Settings!$E$5:$E$28,C617)=0,"Unknown cost code",IF(A617="","Missing date",IF(OR(G617="",H617=""),"Missing qty or cost",""))))))</f>
        <v/>
      </c>
      <c r="N617" s="35" t="n"/>
    </row>
    <row r="618">
      <c r="A618" s="40" t="n"/>
      <c r="B618" s="35" t="n"/>
      <c r="C618" s="35" t="n"/>
      <c r="D618" s="9">
        <f>IF(C618="","",IFERROR(VLOOKUP(C618,Settings!$E$5:$G$28,3,FALSE),"Other"))</f>
        <v/>
      </c>
      <c r="E618" s="35" t="n"/>
      <c r="F618" s="35" t="n"/>
      <c r="G618" s="35" t="n"/>
      <c r="H618" s="37" t="n"/>
      <c r="I618" s="39">
        <f>IF(B618="","",G618*H618)</f>
        <v/>
      </c>
      <c r="J618" s="35" t="n"/>
      <c r="K618" s="35" t="n"/>
      <c r="L618" s="35" t="n"/>
      <c r="M618" s="9">
        <f>IF(B618="","",IF(COUNTIF(Jobs!$A$5:$A$44,B618)=0,"Unknown Job ID",IF(C618="","Missing cost code",IF(COUNTIF(Settings!$E$5:$E$28,C618)=0,"Unknown cost code",IF(A618="","Missing date",IF(OR(G618="",H618=""),"Missing qty or cost",""))))))</f>
        <v/>
      </c>
      <c r="N618" s="35" t="n"/>
    </row>
    <row r="619">
      <c r="A619" s="40" t="n"/>
      <c r="B619" s="35" t="n"/>
      <c r="C619" s="35" t="n"/>
      <c r="D619" s="9">
        <f>IF(C619="","",IFERROR(VLOOKUP(C619,Settings!$E$5:$G$28,3,FALSE),"Other"))</f>
        <v/>
      </c>
      <c r="E619" s="35" t="n"/>
      <c r="F619" s="35" t="n"/>
      <c r="G619" s="35" t="n"/>
      <c r="H619" s="37" t="n"/>
      <c r="I619" s="39">
        <f>IF(B619="","",G619*H619)</f>
        <v/>
      </c>
      <c r="J619" s="35" t="n"/>
      <c r="K619" s="35" t="n"/>
      <c r="L619" s="35" t="n"/>
      <c r="M619" s="9">
        <f>IF(B619="","",IF(COUNTIF(Jobs!$A$5:$A$44,B619)=0,"Unknown Job ID",IF(C619="","Missing cost code",IF(COUNTIF(Settings!$E$5:$E$28,C619)=0,"Unknown cost code",IF(A619="","Missing date",IF(OR(G619="",H619=""),"Missing qty or cost",""))))))</f>
        <v/>
      </c>
      <c r="N619" s="35" t="n"/>
    </row>
    <row r="620">
      <c r="A620" s="40" t="n"/>
      <c r="B620" s="35" t="n"/>
      <c r="C620" s="35" t="n"/>
      <c r="D620" s="9">
        <f>IF(C620="","",IFERROR(VLOOKUP(C620,Settings!$E$5:$G$28,3,FALSE),"Other"))</f>
        <v/>
      </c>
      <c r="E620" s="35" t="n"/>
      <c r="F620" s="35" t="n"/>
      <c r="G620" s="35" t="n"/>
      <c r="H620" s="37" t="n"/>
      <c r="I620" s="39">
        <f>IF(B620="","",G620*H620)</f>
        <v/>
      </c>
      <c r="J620" s="35" t="n"/>
      <c r="K620" s="35" t="n"/>
      <c r="L620" s="35" t="n"/>
      <c r="M620" s="9">
        <f>IF(B620="","",IF(COUNTIF(Jobs!$A$5:$A$44,B620)=0,"Unknown Job ID",IF(C620="","Missing cost code",IF(COUNTIF(Settings!$E$5:$E$28,C620)=0,"Unknown cost code",IF(A620="","Missing date",IF(OR(G620="",H620=""),"Missing qty or cost",""))))))</f>
        <v/>
      </c>
      <c r="N620" s="35" t="n"/>
    </row>
    <row r="621">
      <c r="A621" s="40" t="n"/>
      <c r="B621" s="35" t="n"/>
      <c r="C621" s="35" t="n"/>
      <c r="D621" s="9">
        <f>IF(C621="","",IFERROR(VLOOKUP(C621,Settings!$E$5:$G$28,3,FALSE),"Other"))</f>
        <v/>
      </c>
      <c r="E621" s="35" t="n"/>
      <c r="F621" s="35" t="n"/>
      <c r="G621" s="35" t="n"/>
      <c r="H621" s="37" t="n"/>
      <c r="I621" s="39">
        <f>IF(B621="","",G621*H621)</f>
        <v/>
      </c>
      <c r="J621" s="35" t="n"/>
      <c r="K621" s="35" t="n"/>
      <c r="L621" s="35" t="n"/>
      <c r="M621" s="9">
        <f>IF(B621="","",IF(COUNTIF(Jobs!$A$5:$A$44,B621)=0,"Unknown Job ID",IF(C621="","Missing cost code",IF(COUNTIF(Settings!$E$5:$E$28,C621)=0,"Unknown cost code",IF(A621="","Missing date",IF(OR(G621="",H621=""),"Missing qty or cost",""))))))</f>
        <v/>
      </c>
      <c r="N621" s="35" t="n"/>
    </row>
    <row r="622">
      <c r="A622" s="40" t="n"/>
      <c r="B622" s="35" t="n"/>
      <c r="C622" s="35" t="n"/>
      <c r="D622" s="9">
        <f>IF(C622="","",IFERROR(VLOOKUP(C622,Settings!$E$5:$G$28,3,FALSE),"Other"))</f>
        <v/>
      </c>
      <c r="E622" s="35" t="n"/>
      <c r="F622" s="35" t="n"/>
      <c r="G622" s="35" t="n"/>
      <c r="H622" s="37" t="n"/>
      <c r="I622" s="39">
        <f>IF(B622="","",G622*H622)</f>
        <v/>
      </c>
      <c r="J622" s="35" t="n"/>
      <c r="K622" s="35" t="n"/>
      <c r="L622" s="35" t="n"/>
      <c r="M622" s="9">
        <f>IF(B622="","",IF(COUNTIF(Jobs!$A$5:$A$44,B622)=0,"Unknown Job ID",IF(C622="","Missing cost code",IF(COUNTIF(Settings!$E$5:$E$28,C622)=0,"Unknown cost code",IF(A622="","Missing date",IF(OR(G622="",H622=""),"Missing qty or cost",""))))))</f>
        <v/>
      </c>
      <c r="N622" s="35" t="n"/>
    </row>
    <row r="623">
      <c r="A623" s="40" t="n"/>
      <c r="B623" s="35" t="n"/>
      <c r="C623" s="35" t="n"/>
      <c r="D623" s="9">
        <f>IF(C623="","",IFERROR(VLOOKUP(C623,Settings!$E$5:$G$28,3,FALSE),"Other"))</f>
        <v/>
      </c>
      <c r="E623" s="35" t="n"/>
      <c r="F623" s="35" t="n"/>
      <c r="G623" s="35" t="n"/>
      <c r="H623" s="37" t="n"/>
      <c r="I623" s="39">
        <f>IF(B623="","",G623*H623)</f>
        <v/>
      </c>
      <c r="J623" s="35" t="n"/>
      <c r="K623" s="35" t="n"/>
      <c r="L623" s="35" t="n"/>
      <c r="M623" s="9">
        <f>IF(B623="","",IF(COUNTIF(Jobs!$A$5:$A$44,B623)=0,"Unknown Job ID",IF(C623="","Missing cost code",IF(COUNTIF(Settings!$E$5:$E$28,C623)=0,"Unknown cost code",IF(A623="","Missing date",IF(OR(G623="",H623=""),"Missing qty or cost",""))))))</f>
        <v/>
      </c>
      <c r="N623" s="35" t="n"/>
    </row>
    <row r="624">
      <c r="A624" s="40" t="n"/>
      <c r="B624" s="35" t="n"/>
      <c r="C624" s="35" t="n"/>
      <c r="D624" s="9">
        <f>IF(C624="","",IFERROR(VLOOKUP(C624,Settings!$E$5:$G$28,3,FALSE),"Other"))</f>
        <v/>
      </c>
      <c r="E624" s="35" t="n"/>
      <c r="F624" s="35" t="n"/>
      <c r="G624" s="35" t="n"/>
      <c r="H624" s="37" t="n"/>
      <c r="I624" s="39">
        <f>IF(B624="","",G624*H624)</f>
        <v/>
      </c>
      <c r="J624" s="35" t="n"/>
      <c r="K624" s="35" t="n"/>
      <c r="L624" s="35" t="n"/>
      <c r="M624" s="9">
        <f>IF(B624="","",IF(COUNTIF(Jobs!$A$5:$A$44,B624)=0,"Unknown Job ID",IF(C624="","Missing cost code",IF(COUNTIF(Settings!$E$5:$E$28,C624)=0,"Unknown cost code",IF(A624="","Missing date",IF(OR(G624="",H624=""),"Missing qty or cost",""))))))</f>
        <v/>
      </c>
      <c r="N624" s="35" t="n"/>
    </row>
    <row r="625">
      <c r="A625" s="40" t="n"/>
      <c r="B625" s="35" t="n"/>
      <c r="C625" s="35" t="n"/>
      <c r="D625" s="9">
        <f>IF(C625="","",IFERROR(VLOOKUP(C625,Settings!$E$5:$G$28,3,FALSE),"Other"))</f>
        <v/>
      </c>
      <c r="E625" s="35" t="n"/>
      <c r="F625" s="35" t="n"/>
      <c r="G625" s="35" t="n"/>
      <c r="H625" s="37" t="n"/>
      <c r="I625" s="39">
        <f>IF(B625="","",G625*H625)</f>
        <v/>
      </c>
      <c r="J625" s="35" t="n"/>
      <c r="K625" s="35" t="n"/>
      <c r="L625" s="35" t="n"/>
      <c r="M625" s="9">
        <f>IF(B625="","",IF(COUNTIF(Jobs!$A$5:$A$44,B625)=0,"Unknown Job ID",IF(C625="","Missing cost code",IF(COUNTIF(Settings!$E$5:$E$28,C625)=0,"Unknown cost code",IF(A625="","Missing date",IF(OR(G625="",H625=""),"Missing qty or cost",""))))))</f>
        <v/>
      </c>
      <c r="N625" s="35" t="n"/>
    </row>
    <row r="626">
      <c r="A626" s="40" t="n"/>
      <c r="B626" s="35" t="n"/>
      <c r="C626" s="35" t="n"/>
      <c r="D626" s="9">
        <f>IF(C626="","",IFERROR(VLOOKUP(C626,Settings!$E$5:$G$28,3,FALSE),"Other"))</f>
        <v/>
      </c>
      <c r="E626" s="35" t="n"/>
      <c r="F626" s="35" t="n"/>
      <c r="G626" s="35" t="n"/>
      <c r="H626" s="37" t="n"/>
      <c r="I626" s="39">
        <f>IF(B626="","",G626*H626)</f>
        <v/>
      </c>
      <c r="J626" s="35" t="n"/>
      <c r="K626" s="35" t="n"/>
      <c r="L626" s="35" t="n"/>
      <c r="M626" s="9">
        <f>IF(B626="","",IF(COUNTIF(Jobs!$A$5:$A$44,B626)=0,"Unknown Job ID",IF(C626="","Missing cost code",IF(COUNTIF(Settings!$E$5:$E$28,C626)=0,"Unknown cost code",IF(A626="","Missing date",IF(OR(G626="",H626=""),"Missing qty or cost",""))))))</f>
        <v/>
      </c>
      <c r="N626" s="35" t="n"/>
    </row>
    <row r="627">
      <c r="A627" s="40" t="n"/>
      <c r="B627" s="35" t="n"/>
      <c r="C627" s="35" t="n"/>
      <c r="D627" s="9">
        <f>IF(C627="","",IFERROR(VLOOKUP(C627,Settings!$E$5:$G$28,3,FALSE),"Other"))</f>
        <v/>
      </c>
      <c r="E627" s="35" t="n"/>
      <c r="F627" s="35" t="n"/>
      <c r="G627" s="35" t="n"/>
      <c r="H627" s="37" t="n"/>
      <c r="I627" s="39">
        <f>IF(B627="","",G627*H627)</f>
        <v/>
      </c>
      <c r="J627" s="35" t="n"/>
      <c r="K627" s="35" t="n"/>
      <c r="L627" s="35" t="n"/>
      <c r="M627" s="9">
        <f>IF(B627="","",IF(COUNTIF(Jobs!$A$5:$A$44,B627)=0,"Unknown Job ID",IF(C627="","Missing cost code",IF(COUNTIF(Settings!$E$5:$E$28,C627)=0,"Unknown cost code",IF(A627="","Missing date",IF(OR(G627="",H627=""),"Missing qty or cost",""))))))</f>
        <v/>
      </c>
      <c r="N627" s="35" t="n"/>
    </row>
    <row r="628">
      <c r="A628" s="40" t="n"/>
      <c r="B628" s="35" t="n"/>
      <c r="C628" s="35" t="n"/>
      <c r="D628" s="9">
        <f>IF(C628="","",IFERROR(VLOOKUP(C628,Settings!$E$5:$G$28,3,FALSE),"Other"))</f>
        <v/>
      </c>
      <c r="E628" s="35" t="n"/>
      <c r="F628" s="35" t="n"/>
      <c r="G628" s="35" t="n"/>
      <c r="H628" s="37" t="n"/>
      <c r="I628" s="39">
        <f>IF(B628="","",G628*H628)</f>
        <v/>
      </c>
      <c r="J628" s="35" t="n"/>
      <c r="K628" s="35" t="n"/>
      <c r="L628" s="35" t="n"/>
      <c r="M628" s="9">
        <f>IF(B628="","",IF(COUNTIF(Jobs!$A$5:$A$44,B628)=0,"Unknown Job ID",IF(C628="","Missing cost code",IF(COUNTIF(Settings!$E$5:$E$28,C628)=0,"Unknown cost code",IF(A628="","Missing date",IF(OR(G628="",H628=""),"Missing qty or cost",""))))))</f>
        <v/>
      </c>
      <c r="N628" s="35" t="n"/>
    </row>
    <row r="629">
      <c r="A629" s="40" t="n"/>
      <c r="B629" s="35" t="n"/>
      <c r="C629" s="35" t="n"/>
      <c r="D629" s="9">
        <f>IF(C629="","",IFERROR(VLOOKUP(C629,Settings!$E$5:$G$28,3,FALSE),"Other"))</f>
        <v/>
      </c>
      <c r="E629" s="35" t="n"/>
      <c r="F629" s="35" t="n"/>
      <c r="G629" s="35" t="n"/>
      <c r="H629" s="37" t="n"/>
      <c r="I629" s="39">
        <f>IF(B629="","",G629*H629)</f>
        <v/>
      </c>
      <c r="J629" s="35" t="n"/>
      <c r="K629" s="35" t="n"/>
      <c r="L629" s="35" t="n"/>
      <c r="M629" s="9">
        <f>IF(B629="","",IF(COUNTIF(Jobs!$A$5:$A$44,B629)=0,"Unknown Job ID",IF(C629="","Missing cost code",IF(COUNTIF(Settings!$E$5:$E$28,C629)=0,"Unknown cost code",IF(A629="","Missing date",IF(OR(G629="",H629=""),"Missing qty or cost",""))))))</f>
        <v/>
      </c>
      <c r="N629" s="35" t="n"/>
    </row>
    <row r="630">
      <c r="A630" s="40" t="n"/>
      <c r="B630" s="35" t="n"/>
      <c r="C630" s="35" t="n"/>
      <c r="D630" s="9">
        <f>IF(C630="","",IFERROR(VLOOKUP(C630,Settings!$E$5:$G$28,3,FALSE),"Other"))</f>
        <v/>
      </c>
      <c r="E630" s="35" t="n"/>
      <c r="F630" s="35" t="n"/>
      <c r="G630" s="35" t="n"/>
      <c r="H630" s="37" t="n"/>
      <c r="I630" s="39">
        <f>IF(B630="","",G630*H630)</f>
        <v/>
      </c>
      <c r="J630" s="35" t="n"/>
      <c r="K630" s="35" t="n"/>
      <c r="L630" s="35" t="n"/>
      <c r="M630" s="9">
        <f>IF(B630="","",IF(COUNTIF(Jobs!$A$5:$A$44,B630)=0,"Unknown Job ID",IF(C630="","Missing cost code",IF(COUNTIF(Settings!$E$5:$E$28,C630)=0,"Unknown cost code",IF(A630="","Missing date",IF(OR(G630="",H630=""),"Missing qty or cost",""))))))</f>
        <v/>
      </c>
      <c r="N630" s="35" t="n"/>
    </row>
    <row r="631">
      <c r="A631" s="40" t="n"/>
      <c r="B631" s="35" t="n"/>
      <c r="C631" s="35" t="n"/>
      <c r="D631" s="9">
        <f>IF(C631="","",IFERROR(VLOOKUP(C631,Settings!$E$5:$G$28,3,FALSE),"Other"))</f>
        <v/>
      </c>
      <c r="E631" s="35" t="n"/>
      <c r="F631" s="35" t="n"/>
      <c r="G631" s="35" t="n"/>
      <c r="H631" s="37" t="n"/>
      <c r="I631" s="39">
        <f>IF(B631="","",G631*H631)</f>
        <v/>
      </c>
      <c r="J631" s="35" t="n"/>
      <c r="K631" s="35" t="n"/>
      <c r="L631" s="35" t="n"/>
      <c r="M631" s="9">
        <f>IF(B631="","",IF(COUNTIF(Jobs!$A$5:$A$44,B631)=0,"Unknown Job ID",IF(C631="","Missing cost code",IF(COUNTIF(Settings!$E$5:$E$28,C631)=0,"Unknown cost code",IF(A631="","Missing date",IF(OR(G631="",H631=""),"Missing qty or cost",""))))))</f>
        <v/>
      </c>
      <c r="N631" s="35" t="n"/>
    </row>
    <row r="632">
      <c r="A632" s="40" t="n"/>
      <c r="B632" s="35" t="n"/>
      <c r="C632" s="35" t="n"/>
      <c r="D632" s="9">
        <f>IF(C632="","",IFERROR(VLOOKUP(C632,Settings!$E$5:$G$28,3,FALSE),"Other"))</f>
        <v/>
      </c>
      <c r="E632" s="35" t="n"/>
      <c r="F632" s="35" t="n"/>
      <c r="G632" s="35" t="n"/>
      <c r="H632" s="37" t="n"/>
      <c r="I632" s="39">
        <f>IF(B632="","",G632*H632)</f>
        <v/>
      </c>
      <c r="J632" s="35" t="n"/>
      <c r="K632" s="35" t="n"/>
      <c r="L632" s="35" t="n"/>
      <c r="M632" s="9">
        <f>IF(B632="","",IF(COUNTIF(Jobs!$A$5:$A$44,B632)=0,"Unknown Job ID",IF(C632="","Missing cost code",IF(COUNTIF(Settings!$E$5:$E$28,C632)=0,"Unknown cost code",IF(A632="","Missing date",IF(OR(G632="",H632=""),"Missing qty or cost",""))))))</f>
        <v/>
      </c>
      <c r="N632" s="35" t="n"/>
    </row>
    <row r="633">
      <c r="A633" s="40" t="n"/>
      <c r="B633" s="35" t="n"/>
      <c r="C633" s="35" t="n"/>
      <c r="D633" s="9">
        <f>IF(C633="","",IFERROR(VLOOKUP(C633,Settings!$E$5:$G$28,3,FALSE),"Other"))</f>
        <v/>
      </c>
      <c r="E633" s="35" t="n"/>
      <c r="F633" s="35" t="n"/>
      <c r="G633" s="35" t="n"/>
      <c r="H633" s="37" t="n"/>
      <c r="I633" s="39">
        <f>IF(B633="","",G633*H633)</f>
        <v/>
      </c>
      <c r="J633" s="35" t="n"/>
      <c r="K633" s="35" t="n"/>
      <c r="L633" s="35" t="n"/>
      <c r="M633" s="9">
        <f>IF(B633="","",IF(COUNTIF(Jobs!$A$5:$A$44,B633)=0,"Unknown Job ID",IF(C633="","Missing cost code",IF(COUNTIF(Settings!$E$5:$E$28,C633)=0,"Unknown cost code",IF(A633="","Missing date",IF(OR(G633="",H633=""),"Missing qty or cost",""))))))</f>
        <v/>
      </c>
      <c r="N633" s="35" t="n"/>
    </row>
    <row r="634">
      <c r="A634" s="40" t="n"/>
      <c r="B634" s="35" t="n"/>
      <c r="C634" s="35" t="n"/>
      <c r="D634" s="9">
        <f>IF(C634="","",IFERROR(VLOOKUP(C634,Settings!$E$5:$G$28,3,FALSE),"Other"))</f>
        <v/>
      </c>
      <c r="E634" s="35" t="n"/>
      <c r="F634" s="35" t="n"/>
      <c r="G634" s="35" t="n"/>
      <c r="H634" s="37" t="n"/>
      <c r="I634" s="39">
        <f>IF(B634="","",G634*H634)</f>
        <v/>
      </c>
      <c r="J634" s="35" t="n"/>
      <c r="K634" s="35" t="n"/>
      <c r="L634" s="35" t="n"/>
      <c r="M634" s="9">
        <f>IF(B634="","",IF(COUNTIF(Jobs!$A$5:$A$44,B634)=0,"Unknown Job ID",IF(C634="","Missing cost code",IF(COUNTIF(Settings!$E$5:$E$28,C634)=0,"Unknown cost code",IF(A634="","Missing date",IF(OR(G634="",H634=""),"Missing qty or cost",""))))))</f>
        <v/>
      </c>
      <c r="N634" s="35" t="n"/>
    </row>
    <row r="635">
      <c r="A635" s="40" t="n"/>
      <c r="B635" s="35" t="n"/>
      <c r="C635" s="35" t="n"/>
      <c r="D635" s="9">
        <f>IF(C635="","",IFERROR(VLOOKUP(C635,Settings!$E$5:$G$28,3,FALSE),"Other"))</f>
        <v/>
      </c>
      <c r="E635" s="35" t="n"/>
      <c r="F635" s="35" t="n"/>
      <c r="G635" s="35" t="n"/>
      <c r="H635" s="37" t="n"/>
      <c r="I635" s="39">
        <f>IF(B635="","",G635*H635)</f>
        <v/>
      </c>
      <c r="J635" s="35" t="n"/>
      <c r="K635" s="35" t="n"/>
      <c r="L635" s="35" t="n"/>
      <c r="M635" s="9">
        <f>IF(B635="","",IF(COUNTIF(Jobs!$A$5:$A$44,B635)=0,"Unknown Job ID",IF(C635="","Missing cost code",IF(COUNTIF(Settings!$E$5:$E$28,C635)=0,"Unknown cost code",IF(A635="","Missing date",IF(OR(G635="",H635=""),"Missing qty or cost",""))))))</f>
        <v/>
      </c>
      <c r="N635" s="35" t="n"/>
    </row>
    <row r="636">
      <c r="A636" s="40" t="n"/>
      <c r="B636" s="35" t="n"/>
      <c r="C636" s="35" t="n"/>
      <c r="D636" s="9">
        <f>IF(C636="","",IFERROR(VLOOKUP(C636,Settings!$E$5:$G$28,3,FALSE),"Other"))</f>
        <v/>
      </c>
      <c r="E636" s="35" t="n"/>
      <c r="F636" s="35" t="n"/>
      <c r="G636" s="35" t="n"/>
      <c r="H636" s="37" t="n"/>
      <c r="I636" s="39">
        <f>IF(B636="","",G636*H636)</f>
        <v/>
      </c>
      <c r="J636" s="35" t="n"/>
      <c r="K636" s="35" t="n"/>
      <c r="L636" s="35" t="n"/>
      <c r="M636" s="9">
        <f>IF(B636="","",IF(COUNTIF(Jobs!$A$5:$A$44,B636)=0,"Unknown Job ID",IF(C636="","Missing cost code",IF(COUNTIF(Settings!$E$5:$E$28,C636)=0,"Unknown cost code",IF(A636="","Missing date",IF(OR(G636="",H636=""),"Missing qty or cost",""))))))</f>
        <v/>
      </c>
      <c r="N636" s="35" t="n"/>
    </row>
    <row r="637">
      <c r="A637" s="40" t="n"/>
      <c r="B637" s="35" t="n"/>
      <c r="C637" s="35" t="n"/>
      <c r="D637" s="9">
        <f>IF(C637="","",IFERROR(VLOOKUP(C637,Settings!$E$5:$G$28,3,FALSE),"Other"))</f>
        <v/>
      </c>
      <c r="E637" s="35" t="n"/>
      <c r="F637" s="35" t="n"/>
      <c r="G637" s="35" t="n"/>
      <c r="H637" s="37" t="n"/>
      <c r="I637" s="39">
        <f>IF(B637="","",G637*H637)</f>
        <v/>
      </c>
      <c r="J637" s="35" t="n"/>
      <c r="K637" s="35" t="n"/>
      <c r="L637" s="35" t="n"/>
      <c r="M637" s="9">
        <f>IF(B637="","",IF(COUNTIF(Jobs!$A$5:$A$44,B637)=0,"Unknown Job ID",IF(C637="","Missing cost code",IF(COUNTIF(Settings!$E$5:$E$28,C637)=0,"Unknown cost code",IF(A637="","Missing date",IF(OR(G637="",H637=""),"Missing qty or cost",""))))))</f>
        <v/>
      </c>
      <c r="N637" s="35" t="n"/>
    </row>
    <row r="638">
      <c r="A638" s="40" t="n"/>
      <c r="B638" s="35" t="n"/>
      <c r="C638" s="35" t="n"/>
      <c r="D638" s="9">
        <f>IF(C638="","",IFERROR(VLOOKUP(C638,Settings!$E$5:$G$28,3,FALSE),"Other"))</f>
        <v/>
      </c>
      <c r="E638" s="35" t="n"/>
      <c r="F638" s="35" t="n"/>
      <c r="G638" s="35" t="n"/>
      <c r="H638" s="37" t="n"/>
      <c r="I638" s="39">
        <f>IF(B638="","",G638*H638)</f>
        <v/>
      </c>
      <c r="J638" s="35" t="n"/>
      <c r="K638" s="35" t="n"/>
      <c r="L638" s="35" t="n"/>
      <c r="M638" s="9">
        <f>IF(B638="","",IF(COUNTIF(Jobs!$A$5:$A$44,B638)=0,"Unknown Job ID",IF(C638="","Missing cost code",IF(COUNTIF(Settings!$E$5:$E$28,C638)=0,"Unknown cost code",IF(A638="","Missing date",IF(OR(G638="",H638=""),"Missing qty or cost",""))))))</f>
        <v/>
      </c>
      <c r="N638" s="35" t="n"/>
    </row>
    <row r="639">
      <c r="A639" s="40" t="n"/>
      <c r="B639" s="35" t="n"/>
      <c r="C639" s="35" t="n"/>
      <c r="D639" s="9">
        <f>IF(C639="","",IFERROR(VLOOKUP(C639,Settings!$E$5:$G$28,3,FALSE),"Other"))</f>
        <v/>
      </c>
      <c r="E639" s="35" t="n"/>
      <c r="F639" s="35" t="n"/>
      <c r="G639" s="35" t="n"/>
      <c r="H639" s="37" t="n"/>
      <c r="I639" s="39">
        <f>IF(B639="","",G639*H639)</f>
        <v/>
      </c>
      <c r="J639" s="35" t="n"/>
      <c r="K639" s="35" t="n"/>
      <c r="L639" s="35" t="n"/>
      <c r="M639" s="9">
        <f>IF(B639="","",IF(COUNTIF(Jobs!$A$5:$A$44,B639)=0,"Unknown Job ID",IF(C639="","Missing cost code",IF(COUNTIF(Settings!$E$5:$E$28,C639)=0,"Unknown cost code",IF(A639="","Missing date",IF(OR(G639="",H639=""),"Missing qty or cost",""))))))</f>
        <v/>
      </c>
      <c r="N639" s="35" t="n"/>
    </row>
    <row r="640">
      <c r="A640" s="40" t="n"/>
      <c r="B640" s="35" t="n"/>
      <c r="C640" s="35" t="n"/>
      <c r="D640" s="9">
        <f>IF(C640="","",IFERROR(VLOOKUP(C640,Settings!$E$5:$G$28,3,FALSE),"Other"))</f>
        <v/>
      </c>
      <c r="E640" s="35" t="n"/>
      <c r="F640" s="35" t="n"/>
      <c r="G640" s="35" t="n"/>
      <c r="H640" s="37" t="n"/>
      <c r="I640" s="39">
        <f>IF(B640="","",G640*H640)</f>
        <v/>
      </c>
      <c r="J640" s="35" t="n"/>
      <c r="K640" s="35" t="n"/>
      <c r="L640" s="35" t="n"/>
      <c r="M640" s="9">
        <f>IF(B640="","",IF(COUNTIF(Jobs!$A$5:$A$44,B640)=0,"Unknown Job ID",IF(C640="","Missing cost code",IF(COUNTIF(Settings!$E$5:$E$28,C640)=0,"Unknown cost code",IF(A640="","Missing date",IF(OR(G640="",H640=""),"Missing qty or cost",""))))))</f>
        <v/>
      </c>
      <c r="N640" s="35" t="n"/>
    </row>
    <row r="641">
      <c r="A641" s="40" t="n"/>
      <c r="B641" s="35" t="n"/>
      <c r="C641" s="35" t="n"/>
      <c r="D641" s="9">
        <f>IF(C641="","",IFERROR(VLOOKUP(C641,Settings!$E$5:$G$28,3,FALSE),"Other"))</f>
        <v/>
      </c>
      <c r="E641" s="35" t="n"/>
      <c r="F641" s="35" t="n"/>
      <c r="G641" s="35" t="n"/>
      <c r="H641" s="37" t="n"/>
      <c r="I641" s="39">
        <f>IF(B641="","",G641*H641)</f>
        <v/>
      </c>
      <c r="J641" s="35" t="n"/>
      <c r="K641" s="35" t="n"/>
      <c r="L641" s="35" t="n"/>
      <c r="M641" s="9">
        <f>IF(B641="","",IF(COUNTIF(Jobs!$A$5:$A$44,B641)=0,"Unknown Job ID",IF(C641="","Missing cost code",IF(COUNTIF(Settings!$E$5:$E$28,C641)=0,"Unknown cost code",IF(A641="","Missing date",IF(OR(G641="",H641=""),"Missing qty or cost",""))))))</f>
        <v/>
      </c>
      <c r="N641" s="35" t="n"/>
    </row>
    <row r="642">
      <c r="A642" s="40" t="n"/>
      <c r="B642" s="35" t="n"/>
      <c r="C642" s="35" t="n"/>
      <c r="D642" s="9">
        <f>IF(C642="","",IFERROR(VLOOKUP(C642,Settings!$E$5:$G$28,3,FALSE),"Other"))</f>
        <v/>
      </c>
      <c r="E642" s="35" t="n"/>
      <c r="F642" s="35" t="n"/>
      <c r="G642" s="35" t="n"/>
      <c r="H642" s="37" t="n"/>
      <c r="I642" s="39">
        <f>IF(B642="","",G642*H642)</f>
        <v/>
      </c>
      <c r="J642" s="35" t="n"/>
      <c r="K642" s="35" t="n"/>
      <c r="L642" s="35" t="n"/>
      <c r="M642" s="9">
        <f>IF(B642="","",IF(COUNTIF(Jobs!$A$5:$A$44,B642)=0,"Unknown Job ID",IF(C642="","Missing cost code",IF(COUNTIF(Settings!$E$5:$E$28,C642)=0,"Unknown cost code",IF(A642="","Missing date",IF(OR(G642="",H642=""),"Missing qty or cost",""))))))</f>
        <v/>
      </c>
      <c r="N642" s="35" t="n"/>
    </row>
    <row r="643">
      <c r="A643" s="40" t="n"/>
      <c r="B643" s="35" t="n"/>
      <c r="C643" s="35" t="n"/>
      <c r="D643" s="9">
        <f>IF(C643="","",IFERROR(VLOOKUP(C643,Settings!$E$5:$G$28,3,FALSE),"Other"))</f>
        <v/>
      </c>
      <c r="E643" s="35" t="n"/>
      <c r="F643" s="35" t="n"/>
      <c r="G643" s="35" t="n"/>
      <c r="H643" s="37" t="n"/>
      <c r="I643" s="39">
        <f>IF(B643="","",G643*H643)</f>
        <v/>
      </c>
      <c r="J643" s="35" t="n"/>
      <c r="K643" s="35" t="n"/>
      <c r="L643" s="35" t="n"/>
      <c r="M643" s="9">
        <f>IF(B643="","",IF(COUNTIF(Jobs!$A$5:$A$44,B643)=0,"Unknown Job ID",IF(C643="","Missing cost code",IF(COUNTIF(Settings!$E$5:$E$28,C643)=0,"Unknown cost code",IF(A643="","Missing date",IF(OR(G643="",H643=""),"Missing qty or cost",""))))))</f>
        <v/>
      </c>
      <c r="N643" s="35" t="n"/>
    </row>
    <row r="644">
      <c r="A644" s="40" t="n"/>
      <c r="B644" s="35" t="n"/>
      <c r="C644" s="35" t="n"/>
      <c r="D644" s="9">
        <f>IF(C644="","",IFERROR(VLOOKUP(C644,Settings!$E$5:$G$28,3,FALSE),"Other"))</f>
        <v/>
      </c>
      <c r="E644" s="35" t="n"/>
      <c r="F644" s="35" t="n"/>
      <c r="G644" s="35" t="n"/>
      <c r="H644" s="37" t="n"/>
      <c r="I644" s="39">
        <f>IF(B644="","",G644*H644)</f>
        <v/>
      </c>
      <c r="J644" s="35" t="n"/>
      <c r="K644" s="35" t="n"/>
      <c r="L644" s="35" t="n"/>
      <c r="M644" s="9">
        <f>IF(B644="","",IF(COUNTIF(Jobs!$A$5:$A$44,B644)=0,"Unknown Job ID",IF(C644="","Missing cost code",IF(COUNTIF(Settings!$E$5:$E$28,C644)=0,"Unknown cost code",IF(A644="","Missing date",IF(OR(G644="",H644=""),"Missing qty or cost",""))))))</f>
        <v/>
      </c>
      <c r="N644" s="35" t="n"/>
    </row>
    <row r="645">
      <c r="A645" s="40" t="n"/>
      <c r="B645" s="35" t="n"/>
      <c r="C645" s="35" t="n"/>
      <c r="D645" s="9">
        <f>IF(C645="","",IFERROR(VLOOKUP(C645,Settings!$E$5:$G$28,3,FALSE),"Other"))</f>
        <v/>
      </c>
      <c r="E645" s="35" t="n"/>
      <c r="F645" s="35" t="n"/>
      <c r="G645" s="35" t="n"/>
      <c r="H645" s="37" t="n"/>
      <c r="I645" s="39">
        <f>IF(B645="","",G645*H645)</f>
        <v/>
      </c>
      <c r="J645" s="35" t="n"/>
      <c r="K645" s="35" t="n"/>
      <c r="L645" s="35" t="n"/>
      <c r="M645" s="9">
        <f>IF(B645="","",IF(COUNTIF(Jobs!$A$5:$A$44,B645)=0,"Unknown Job ID",IF(C645="","Missing cost code",IF(COUNTIF(Settings!$E$5:$E$28,C645)=0,"Unknown cost code",IF(A645="","Missing date",IF(OR(G645="",H645=""),"Missing qty or cost",""))))))</f>
        <v/>
      </c>
      <c r="N645" s="35" t="n"/>
    </row>
    <row r="646">
      <c r="A646" s="40" t="n"/>
      <c r="B646" s="35" t="n"/>
      <c r="C646" s="35" t="n"/>
      <c r="D646" s="9">
        <f>IF(C646="","",IFERROR(VLOOKUP(C646,Settings!$E$5:$G$28,3,FALSE),"Other"))</f>
        <v/>
      </c>
      <c r="E646" s="35" t="n"/>
      <c r="F646" s="35" t="n"/>
      <c r="G646" s="35" t="n"/>
      <c r="H646" s="37" t="n"/>
      <c r="I646" s="39">
        <f>IF(B646="","",G646*H646)</f>
        <v/>
      </c>
      <c r="J646" s="35" t="n"/>
      <c r="K646" s="35" t="n"/>
      <c r="L646" s="35" t="n"/>
      <c r="M646" s="9">
        <f>IF(B646="","",IF(COUNTIF(Jobs!$A$5:$A$44,B646)=0,"Unknown Job ID",IF(C646="","Missing cost code",IF(COUNTIF(Settings!$E$5:$E$28,C646)=0,"Unknown cost code",IF(A646="","Missing date",IF(OR(G646="",H646=""),"Missing qty or cost",""))))))</f>
        <v/>
      </c>
      <c r="N646" s="35" t="n"/>
    </row>
    <row r="647">
      <c r="A647" s="40" t="n"/>
      <c r="B647" s="35" t="n"/>
      <c r="C647" s="35" t="n"/>
      <c r="D647" s="9">
        <f>IF(C647="","",IFERROR(VLOOKUP(C647,Settings!$E$5:$G$28,3,FALSE),"Other"))</f>
        <v/>
      </c>
      <c r="E647" s="35" t="n"/>
      <c r="F647" s="35" t="n"/>
      <c r="G647" s="35" t="n"/>
      <c r="H647" s="37" t="n"/>
      <c r="I647" s="39">
        <f>IF(B647="","",G647*H647)</f>
        <v/>
      </c>
      <c r="J647" s="35" t="n"/>
      <c r="K647" s="35" t="n"/>
      <c r="L647" s="35" t="n"/>
      <c r="M647" s="9">
        <f>IF(B647="","",IF(COUNTIF(Jobs!$A$5:$A$44,B647)=0,"Unknown Job ID",IF(C647="","Missing cost code",IF(COUNTIF(Settings!$E$5:$E$28,C647)=0,"Unknown cost code",IF(A647="","Missing date",IF(OR(G647="",H647=""),"Missing qty or cost",""))))))</f>
        <v/>
      </c>
      <c r="N647" s="35" t="n"/>
    </row>
    <row r="648">
      <c r="A648" s="40" t="n"/>
      <c r="B648" s="35" t="n"/>
      <c r="C648" s="35" t="n"/>
      <c r="D648" s="9">
        <f>IF(C648="","",IFERROR(VLOOKUP(C648,Settings!$E$5:$G$28,3,FALSE),"Other"))</f>
        <v/>
      </c>
      <c r="E648" s="35" t="n"/>
      <c r="F648" s="35" t="n"/>
      <c r="G648" s="35" t="n"/>
      <c r="H648" s="37" t="n"/>
      <c r="I648" s="39">
        <f>IF(B648="","",G648*H648)</f>
        <v/>
      </c>
      <c r="J648" s="35" t="n"/>
      <c r="K648" s="35" t="n"/>
      <c r="L648" s="35" t="n"/>
      <c r="M648" s="9">
        <f>IF(B648="","",IF(COUNTIF(Jobs!$A$5:$A$44,B648)=0,"Unknown Job ID",IF(C648="","Missing cost code",IF(COUNTIF(Settings!$E$5:$E$28,C648)=0,"Unknown cost code",IF(A648="","Missing date",IF(OR(G648="",H648=""),"Missing qty or cost",""))))))</f>
        <v/>
      </c>
      <c r="N648" s="35" t="n"/>
    </row>
    <row r="649">
      <c r="A649" s="40" t="n"/>
      <c r="B649" s="35" t="n"/>
      <c r="C649" s="35" t="n"/>
      <c r="D649" s="9">
        <f>IF(C649="","",IFERROR(VLOOKUP(C649,Settings!$E$5:$G$28,3,FALSE),"Other"))</f>
        <v/>
      </c>
      <c r="E649" s="35" t="n"/>
      <c r="F649" s="35" t="n"/>
      <c r="G649" s="35" t="n"/>
      <c r="H649" s="37" t="n"/>
      <c r="I649" s="39">
        <f>IF(B649="","",G649*H649)</f>
        <v/>
      </c>
      <c r="J649" s="35" t="n"/>
      <c r="K649" s="35" t="n"/>
      <c r="L649" s="35" t="n"/>
      <c r="M649" s="9">
        <f>IF(B649="","",IF(COUNTIF(Jobs!$A$5:$A$44,B649)=0,"Unknown Job ID",IF(C649="","Missing cost code",IF(COUNTIF(Settings!$E$5:$E$28,C649)=0,"Unknown cost code",IF(A649="","Missing date",IF(OR(G649="",H649=""),"Missing qty or cost",""))))))</f>
        <v/>
      </c>
      <c r="N649" s="35" t="n"/>
    </row>
    <row r="650">
      <c r="A650" s="40" t="n"/>
      <c r="B650" s="35" t="n"/>
      <c r="C650" s="35" t="n"/>
      <c r="D650" s="9">
        <f>IF(C650="","",IFERROR(VLOOKUP(C650,Settings!$E$5:$G$28,3,FALSE),"Other"))</f>
        <v/>
      </c>
      <c r="E650" s="35" t="n"/>
      <c r="F650" s="35" t="n"/>
      <c r="G650" s="35" t="n"/>
      <c r="H650" s="37" t="n"/>
      <c r="I650" s="39">
        <f>IF(B650="","",G650*H650)</f>
        <v/>
      </c>
      <c r="J650" s="35" t="n"/>
      <c r="K650" s="35" t="n"/>
      <c r="L650" s="35" t="n"/>
      <c r="M650" s="9">
        <f>IF(B650="","",IF(COUNTIF(Jobs!$A$5:$A$44,B650)=0,"Unknown Job ID",IF(C650="","Missing cost code",IF(COUNTIF(Settings!$E$5:$E$28,C650)=0,"Unknown cost code",IF(A650="","Missing date",IF(OR(G650="",H650=""),"Missing qty or cost",""))))))</f>
        <v/>
      </c>
      <c r="N650" s="35" t="n"/>
    </row>
    <row r="651">
      <c r="A651" s="40" t="n"/>
      <c r="B651" s="35" t="n"/>
      <c r="C651" s="35" t="n"/>
      <c r="D651" s="9">
        <f>IF(C651="","",IFERROR(VLOOKUP(C651,Settings!$E$5:$G$28,3,FALSE),"Other"))</f>
        <v/>
      </c>
      <c r="E651" s="35" t="n"/>
      <c r="F651" s="35" t="n"/>
      <c r="G651" s="35" t="n"/>
      <c r="H651" s="37" t="n"/>
      <c r="I651" s="39">
        <f>IF(B651="","",G651*H651)</f>
        <v/>
      </c>
      <c r="J651" s="35" t="n"/>
      <c r="K651" s="35" t="n"/>
      <c r="L651" s="35" t="n"/>
      <c r="M651" s="9">
        <f>IF(B651="","",IF(COUNTIF(Jobs!$A$5:$A$44,B651)=0,"Unknown Job ID",IF(C651="","Missing cost code",IF(COUNTIF(Settings!$E$5:$E$28,C651)=0,"Unknown cost code",IF(A651="","Missing date",IF(OR(G651="",H651=""),"Missing qty or cost",""))))))</f>
        <v/>
      </c>
      <c r="N651" s="35" t="n"/>
    </row>
    <row r="652">
      <c r="A652" s="40" t="n"/>
      <c r="B652" s="35" t="n"/>
      <c r="C652" s="35" t="n"/>
      <c r="D652" s="9">
        <f>IF(C652="","",IFERROR(VLOOKUP(C652,Settings!$E$5:$G$28,3,FALSE),"Other"))</f>
        <v/>
      </c>
      <c r="E652" s="35" t="n"/>
      <c r="F652" s="35" t="n"/>
      <c r="G652" s="35" t="n"/>
      <c r="H652" s="37" t="n"/>
      <c r="I652" s="39">
        <f>IF(B652="","",G652*H652)</f>
        <v/>
      </c>
      <c r="J652" s="35" t="n"/>
      <c r="K652" s="35" t="n"/>
      <c r="L652" s="35" t="n"/>
      <c r="M652" s="9">
        <f>IF(B652="","",IF(COUNTIF(Jobs!$A$5:$A$44,B652)=0,"Unknown Job ID",IF(C652="","Missing cost code",IF(COUNTIF(Settings!$E$5:$E$28,C652)=0,"Unknown cost code",IF(A652="","Missing date",IF(OR(G652="",H652=""),"Missing qty or cost",""))))))</f>
        <v/>
      </c>
      <c r="N652" s="35" t="n"/>
    </row>
    <row r="653">
      <c r="A653" s="40" t="n"/>
      <c r="B653" s="35" t="n"/>
      <c r="C653" s="35" t="n"/>
      <c r="D653" s="9">
        <f>IF(C653="","",IFERROR(VLOOKUP(C653,Settings!$E$5:$G$28,3,FALSE),"Other"))</f>
        <v/>
      </c>
      <c r="E653" s="35" t="n"/>
      <c r="F653" s="35" t="n"/>
      <c r="G653" s="35" t="n"/>
      <c r="H653" s="37" t="n"/>
      <c r="I653" s="39">
        <f>IF(B653="","",G653*H653)</f>
        <v/>
      </c>
      <c r="J653" s="35" t="n"/>
      <c r="K653" s="35" t="n"/>
      <c r="L653" s="35" t="n"/>
      <c r="M653" s="9">
        <f>IF(B653="","",IF(COUNTIF(Jobs!$A$5:$A$44,B653)=0,"Unknown Job ID",IF(C653="","Missing cost code",IF(COUNTIF(Settings!$E$5:$E$28,C653)=0,"Unknown cost code",IF(A653="","Missing date",IF(OR(G653="",H653=""),"Missing qty or cost",""))))))</f>
        <v/>
      </c>
      <c r="N653" s="35" t="n"/>
    </row>
    <row r="654">
      <c r="A654" s="40" t="n"/>
      <c r="B654" s="35" t="n"/>
      <c r="C654" s="35" t="n"/>
      <c r="D654" s="9">
        <f>IF(C654="","",IFERROR(VLOOKUP(C654,Settings!$E$5:$G$28,3,FALSE),"Other"))</f>
        <v/>
      </c>
      <c r="E654" s="35" t="n"/>
      <c r="F654" s="35" t="n"/>
      <c r="G654" s="35" t="n"/>
      <c r="H654" s="37" t="n"/>
      <c r="I654" s="39">
        <f>IF(B654="","",G654*H654)</f>
        <v/>
      </c>
      <c r="J654" s="35" t="n"/>
      <c r="K654" s="35" t="n"/>
      <c r="L654" s="35" t="n"/>
      <c r="M654" s="9">
        <f>IF(B654="","",IF(COUNTIF(Jobs!$A$5:$A$44,B654)=0,"Unknown Job ID",IF(C654="","Missing cost code",IF(COUNTIF(Settings!$E$5:$E$28,C654)=0,"Unknown cost code",IF(A654="","Missing date",IF(OR(G654="",H654=""),"Missing qty or cost",""))))))</f>
        <v/>
      </c>
      <c r="N654" s="35" t="n"/>
    </row>
    <row r="655">
      <c r="A655" s="40" t="n"/>
      <c r="B655" s="35" t="n"/>
      <c r="C655" s="35" t="n"/>
      <c r="D655" s="9">
        <f>IF(C655="","",IFERROR(VLOOKUP(C655,Settings!$E$5:$G$28,3,FALSE),"Other"))</f>
        <v/>
      </c>
      <c r="E655" s="35" t="n"/>
      <c r="F655" s="35" t="n"/>
      <c r="G655" s="35" t="n"/>
      <c r="H655" s="37" t="n"/>
      <c r="I655" s="39">
        <f>IF(B655="","",G655*H655)</f>
        <v/>
      </c>
      <c r="J655" s="35" t="n"/>
      <c r="K655" s="35" t="n"/>
      <c r="L655" s="35" t="n"/>
      <c r="M655" s="9">
        <f>IF(B655="","",IF(COUNTIF(Jobs!$A$5:$A$44,B655)=0,"Unknown Job ID",IF(C655="","Missing cost code",IF(COUNTIF(Settings!$E$5:$E$28,C655)=0,"Unknown cost code",IF(A655="","Missing date",IF(OR(G655="",H655=""),"Missing qty or cost",""))))))</f>
        <v/>
      </c>
      <c r="N655" s="35" t="n"/>
    </row>
    <row r="656">
      <c r="A656" s="40" t="n"/>
      <c r="B656" s="35" t="n"/>
      <c r="C656" s="35" t="n"/>
      <c r="D656" s="9">
        <f>IF(C656="","",IFERROR(VLOOKUP(C656,Settings!$E$5:$G$28,3,FALSE),"Other"))</f>
        <v/>
      </c>
      <c r="E656" s="35" t="n"/>
      <c r="F656" s="35" t="n"/>
      <c r="G656" s="35" t="n"/>
      <c r="H656" s="37" t="n"/>
      <c r="I656" s="39">
        <f>IF(B656="","",G656*H656)</f>
        <v/>
      </c>
      <c r="J656" s="35" t="n"/>
      <c r="K656" s="35" t="n"/>
      <c r="L656" s="35" t="n"/>
      <c r="M656" s="9">
        <f>IF(B656="","",IF(COUNTIF(Jobs!$A$5:$A$44,B656)=0,"Unknown Job ID",IF(C656="","Missing cost code",IF(COUNTIF(Settings!$E$5:$E$28,C656)=0,"Unknown cost code",IF(A656="","Missing date",IF(OR(G656="",H656=""),"Missing qty or cost",""))))))</f>
        <v/>
      </c>
      <c r="N656" s="35" t="n"/>
    </row>
    <row r="657">
      <c r="A657" s="40" t="n"/>
      <c r="B657" s="35" t="n"/>
      <c r="C657" s="35" t="n"/>
      <c r="D657" s="9">
        <f>IF(C657="","",IFERROR(VLOOKUP(C657,Settings!$E$5:$G$28,3,FALSE),"Other"))</f>
        <v/>
      </c>
      <c r="E657" s="35" t="n"/>
      <c r="F657" s="35" t="n"/>
      <c r="G657" s="35" t="n"/>
      <c r="H657" s="37" t="n"/>
      <c r="I657" s="39">
        <f>IF(B657="","",G657*H657)</f>
        <v/>
      </c>
      <c r="J657" s="35" t="n"/>
      <c r="K657" s="35" t="n"/>
      <c r="L657" s="35" t="n"/>
      <c r="M657" s="9">
        <f>IF(B657="","",IF(COUNTIF(Jobs!$A$5:$A$44,B657)=0,"Unknown Job ID",IF(C657="","Missing cost code",IF(COUNTIF(Settings!$E$5:$E$28,C657)=0,"Unknown cost code",IF(A657="","Missing date",IF(OR(G657="",H657=""),"Missing qty or cost",""))))))</f>
        <v/>
      </c>
      <c r="N657" s="35" t="n"/>
    </row>
    <row r="658">
      <c r="A658" s="40" t="n"/>
      <c r="B658" s="35" t="n"/>
      <c r="C658" s="35" t="n"/>
      <c r="D658" s="9">
        <f>IF(C658="","",IFERROR(VLOOKUP(C658,Settings!$E$5:$G$28,3,FALSE),"Other"))</f>
        <v/>
      </c>
      <c r="E658" s="35" t="n"/>
      <c r="F658" s="35" t="n"/>
      <c r="G658" s="35" t="n"/>
      <c r="H658" s="37" t="n"/>
      <c r="I658" s="39">
        <f>IF(B658="","",G658*H658)</f>
        <v/>
      </c>
      <c r="J658" s="35" t="n"/>
      <c r="K658" s="35" t="n"/>
      <c r="L658" s="35" t="n"/>
      <c r="M658" s="9">
        <f>IF(B658="","",IF(COUNTIF(Jobs!$A$5:$A$44,B658)=0,"Unknown Job ID",IF(C658="","Missing cost code",IF(COUNTIF(Settings!$E$5:$E$28,C658)=0,"Unknown cost code",IF(A658="","Missing date",IF(OR(G658="",H658=""),"Missing qty or cost",""))))))</f>
        <v/>
      </c>
      <c r="N658" s="35" t="n"/>
    </row>
    <row r="659">
      <c r="A659" s="40" t="n"/>
      <c r="B659" s="35" t="n"/>
      <c r="C659" s="35" t="n"/>
      <c r="D659" s="9">
        <f>IF(C659="","",IFERROR(VLOOKUP(C659,Settings!$E$5:$G$28,3,FALSE),"Other"))</f>
        <v/>
      </c>
      <c r="E659" s="35" t="n"/>
      <c r="F659" s="35" t="n"/>
      <c r="G659" s="35" t="n"/>
      <c r="H659" s="37" t="n"/>
      <c r="I659" s="39">
        <f>IF(B659="","",G659*H659)</f>
        <v/>
      </c>
      <c r="J659" s="35" t="n"/>
      <c r="K659" s="35" t="n"/>
      <c r="L659" s="35" t="n"/>
      <c r="M659" s="9">
        <f>IF(B659="","",IF(COUNTIF(Jobs!$A$5:$A$44,B659)=0,"Unknown Job ID",IF(C659="","Missing cost code",IF(COUNTIF(Settings!$E$5:$E$28,C659)=0,"Unknown cost code",IF(A659="","Missing date",IF(OR(G659="",H659=""),"Missing qty or cost",""))))))</f>
        <v/>
      </c>
      <c r="N659" s="35" t="n"/>
    </row>
    <row r="660">
      <c r="A660" s="40" t="n"/>
      <c r="B660" s="35" t="n"/>
      <c r="C660" s="35" t="n"/>
      <c r="D660" s="9">
        <f>IF(C660="","",IFERROR(VLOOKUP(C660,Settings!$E$5:$G$28,3,FALSE),"Other"))</f>
        <v/>
      </c>
      <c r="E660" s="35" t="n"/>
      <c r="F660" s="35" t="n"/>
      <c r="G660" s="35" t="n"/>
      <c r="H660" s="37" t="n"/>
      <c r="I660" s="39">
        <f>IF(B660="","",G660*H660)</f>
        <v/>
      </c>
      <c r="J660" s="35" t="n"/>
      <c r="K660" s="35" t="n"/>
      <c r="L660" s="35" t="n"/>
      <c r="M660" s="9">
        <f>IF(B660="","",IF(COUNTIF(Jobs!$A$5:$A$44,B660)=0,"Unknown Job ID",IF(C660="","Missing cost code",IF(COUNTIF(Settings!$E$5:$E$28,C660)=0,"Unknown cost code",IF(A660="","Missing date",IF(OR(G660="",H660=""),"Missing qty or cost",""))))))</f>
        <v/>
      </c>
      <c r="N660" s="35" t="n"/>
    </row>
    <row r="661">
      <c r="A661" s="40" t="n"/>
      <c r="B661" s="35" t="n"/>
      <c r="C661" s="35" t="n"/>
      <c r="D661" s="9">
        <f>IF(C661="","",IFERROR(VLOOKUP(C661,Settings!$E$5:$G$28,3,FALSE),"Other"))</f>
        <v/>
      </c>
      <c r="E661" s="35" t="n"/>
      <c r="F661" s="35" t="n"/>
      <c r="G661" s="35" t="n"/>
      <c r="H661" s="37" t="n"/>
      <c r="I661" s="39">
        <f>IF(B661="","",G661*H661)</f>
        <v/>
      </c>
      <c r="J661" s="35" t="n"/>
      <c r="K661" s="35" t="n"/>
      <c r="L661" s="35" t="n"/>
      <c r="M661" s="9">
        <f>IF(B661="","",IF(COUNTIF(Jobs!$A$5:$A$44,B661)=0,"Unknown Job ID",IF(C661="","Missing cost code",IF(COUNTIF(Settings!$E$5:$E$28,C661)=0,"Unknown cost code",IF(A661="","Missing date",IF(OR(G661="",H661=""),"Missing qty or cost",""))))))</f>
        <v/>
      </c>
      <c r="N661" s="35" t="n"/>
    </row>
    <row r="662">
      <c r="A662" s="40" t="n"/>
      <c r="B662" s="35" t="n"/>
      <c r="C662" s="35" t="n"/>
      <c r="D662" s="9">
        <f>IF(C662="","",IFERROR(VLOOKUP(C662,Settings!$E$5:$G$28,3,FALSE),"Other"))</f>
        <v/>
      </c>
      <c r="E662" s="35" t="n"/>
      <c r="F662" s="35" t="n"/>
      <c r="G662" s="35" t="n"/>
      <c r="H662" s="37" t="n"/>
      <c r="I662" s="39">
        <f>IF(B662="","",G662*H662)</f>
        <v/>
      </c>
      <c r="J662" s="35" t="n"/>
      <c r="K662" s="35" t="n"/>
      <c r="L662" s="35" t="n"/>
      <c r="M662" s="9">
        <f>IF(B662="","",IF(COUNTIF(Jobs!$A$5:$A$44,B662)=0,"Unknown Job ID",IF(C662="","Missing cost code",IF(COUNTIF(Settings!$E$5:$E$28,C662)=0,"Unknown cost code",IF(A662="","Missing date",IF(OR(G662="",H662=""),"Missing qty or cost",""))))))</f>
        <v/>
      </c>
      <c r="N662" s="35" t="n"/>
    </row>
    <row r="663">
      <c r="A663" s="40" t="n"/>
      <c r="B663" s="35" t="n"/>
      <c r="C663" s="35" t="n"/>
      <c r="D663" s="9">
        <f>IF(C663="","",IFERROR(VLOOKUP(C663,Settings!$E$5:$G$28,3,FALSE),"Other"))</f>
        <v/>
      </c>
      <c r="E663" s="35" t="n"/>
      <c r="F663" s="35" t="n"/>
      <c r="G663" s="35" t="n"/>
      <c r="H663" s="37" t="n"/>
      <c r="I663" s="39">
        <f>IF(B663="","",G663*H663)</f>
        <v/>
      </c>
      <c r="J663" s="35" t="n"/>
      <c r="K663" s="35" t="n"/>
      <c r="L663" s="35" t="n"/>
      <c r="M663" s="9">
        <f>IF(B663="","",IF(COUNTIF(Jobs!$A$5:$A$44,B663)=0,"Unknown Job ID",IF(C663="","Missing cost code",IF(COUNTIF(Settings!$E$5:$E$28,C663)=0,"Unknown cost code",IF(A663="","Missing date",IF(OR(G663="",H663=""),"Missing qty or cost",""))))))</f>
        <v/>
      </c>
      <c r="N663" s="35" t="n"/>
    </row>
    <row r="664">
      <c r="A664" s="40" t="n"/>
      <c r="B664" s="35" t="n"/>
      <c r="C664" s="35" t="n"/>
      <c r="D664" s="9">
        <f>IF(C664="","",IFERROR(VLOOKUP(C664,Settings!$E$5:$G$28,3,FALSE),"Other"))</f>
        <v/>
      </c>
      <c r="E664" s="35" t="n"/>
      <c r="F664" s="35" t="n"/>
      <c r="G664" s="35" t="n"/>
      <c r="H664" s="37" t="n"/>
      <c r="I664" s="39">
        <f>IF(B664="","",G664*H664)</f>
        <v/>
      </c>
      <c r="J664" s="35" t="n"/>
      <c r="K664" s="35" t="n"/>
      <c r="L664" s="35" t="n"/>
      <c r="M664" s="9">
        <f>IF(B664="","",IF(COUNTIF(Jobs!$A$5:$A$44,B664)=0,"Unknown Job ID",IF(C664="","Missing cost code",IF(COUNTIF(Settings!$E$5:$E$28,C664)=0,"Unknown cost code",IF(A664="","Missing date",IF(OR(G664="",H664=""),"Missing qty or cost",""))))))</f>
        <v/>
      </c>
      <c r="N664" s="35" t="n"/>
    </row>
    <row r="665">
      <c r="A665" s="40" t="n"/>
      <c r="B665" s="35" t="n"/>
      <c r="C665" s="35" t="n"/>
      <c r="D665" s="9">
        <f>IF(C665="","",IFERROR(VLOOKUP(C665,Settings!$E$5:$G$28,3,FALSE),"Other"))</f>
        <v/>
      </c>
      <c r="E665" s="35" t="n"/>
      <c r="F665" s="35" t="n"/>
      <c r="G665" s="35" t="n"/>
      <c r="H665" s="37" t="n"/>
      <c r="I665" s="39">
        <f>IF(B665="","",G665*H665)</f>
        <v/>
      </c>
      <c r="J665" s="35" t="n"/>
      <c r="K665" s="35" t="n"/>
      <c r="L665" s="35" t="n"/>
      <c r="M665" s="9">
        <f>IF(B665="","",IF(COUNTIF(Jobs!$A$5:$A$44,B665)=0,"Unknown Job ID",IF(C665="","Missing cost code",IF(COUNTIF(Settings!$E$5:$E$28,C665)=0,"Unknown cost code",IF(A665="","Missing date",IF(OR(G665="",H665=""),"Missing qty or cost",""))))))</f>
        <v/>
      </c>
      <c r="N665" s="35" t="n"/>
    </row>
    <row r="666">
      <c r="A666" s="40" t="n"/>
      <c r="B666" s="35" t="n"/>
      <c r="C666" s="35" t="n"/>
      <c r="D666" s="9">
        <f>IF(C666="","",IFERROR(VLOOKUP(C666,Settings!$E$5:$G$28,3,FALSE),"Other"))</f>
        <v/>
      </c>
      <c r="E666" s="35" t="n"/>
      <c r="F666" s="35" t="n"/>
      <c r="G666" s="35" t="n"/>
      <c r="H666" s="37" t="n"/>
      <c r="I666" s="39">
        <f>IF(B666="","",G666*H666)</f>
        <v/>
      </c>
      <c r="J666" s="35" t="n"/>
      <c r="K666" s="35" t="n"/>
      <c r="L666" s="35" t="n"/>
      <c r="M666" s="9">
        <f>IF(B666="","",IF(COUNTIF(Jobs!$A$5:$A$44,B666)=0,"Unknown Job ID",IF(C666="","Missing cost code",IF(COUNTIF(Settings!$E$5:$E$28,C666)=0,"Unknown cost code",IF(A666="","Missing date",IF(OR(G666="",H666=""),"Missing qty or cost",""))))))</f>
        <v/>
      </c>
      <c r="N666" s="35" t="n"/>
    </row>
    <row r="667">
      <c r="A667" s="40" t="n"/>
      <c r="B667" s="35" t="n"/>
      <c r="C667" s="35" t="n"/>
      <c r="D667" s="9">
        <f>IF(C667="","",IFERROR(VLOOKUP(C667,Settings!$E$5:$G$28,3,FALSE),"Other"))</f>
        <v/>
      </c>
      <c r="E667" s="35" t="n"/>
      <c r="F667" s="35" t="n"/>
      <c r="G667" s="35" t="n"/>
      <c r="H667" s="37" t="n"/>
      <c r="I667" s="39">
        <f>IF(B667="","",G667*H667)</f>
        <v/>
      </c>
      <c r="J667" s="35" t="n"/>
      <c r="K667" s="35" t="n"/>
      <c r="L667" s="35" t="n"/>
      <c r="M667" s="9">
        <f>IF(B667="","",IF(COUNTIF(Jobs!$A$5:$A$44,B667)=0,"Unknown Job ID",IF(C667="","Missing cost code",IF(COUNTIF(Settings!$E$5:$E$28,C667)=0,"Unknown cost code",IF(A667="","Missing date",IF(OR(G667="",H667=""),"Missing qty or cost",""))))))</f>
        <v/>
      </c>
      <c r="N667" s="35" t="n"/>
    </row>
    <row r="668">
      <c r="A668" s="40" t="n"/>
      <c r="B668" s="35" t="n"/>
      <c r="C668" s="35" t="n"/>
      <c r="D668" s="9">
        <f>IF(C668="","",IFERROR(VLOOKUP(C668,Settings!$E$5:$G$28,3,FALSE),"Other"))</f>
        <v/>
      </c>
      <c r="E668" s="35" t="n"/>
      <c r="F668" s="35" t="n"/>
      <c r="G668" s="35" t="n"/>
      <c r="H668" s="37" t="n"/>
      <c r="I668" s="39">
        <f>IF(B668="","",G668*H668)</f>
        <v/>
      </c>
      <c r="J668" s="35" t="n"/>
      <c r="K668" s="35" t="n"/>
      <c r="L668" s="35" t="n"/>
      <c r="M668" s="9">
        <f>IF(B668="","",IF(COUNTIF(Jobs!$A$5:$A$44,B668)=0,"Unknown Job ID",IF(C668="","Missing cost code",IF(COUNTIF(Settings!$E$5:$E$28,C668)=0,"Unknown cost code",IF(A668="","Missing date",IF(OR(G668="",H668=""),"Missing qty or cost",""))))))</f>
        <v/>
      </c>
      <c r="N668" s="35" t="n"/>
    </row>
    <row r="669">
      <c r="A669" s="40" t="n"/>
      <c r="B669" s="35" t="n"/>
      <c r="C669" s="35" t="n"/>
      <c r="D669" s="9">
        <f>IF(C669="","",IFERROR(VLOOKUP(C669,Settings!$E$5:$G$28,3,FALSE),"Other"))</f>
        <v/>
      </c>
      <c r="E669" s="35" t="n"/>
      <c r="F669" s="35" t="n"/>
      <c r="G669" s="35" t="n"/>
      <c r="H669" s="37" t="n"/>
      <c r="I669" s="39">
        <f>IF(B669="","",G669*H669)</f>
        <v/>
      </c>
      <c r="J669" s="35" t="n"/>
      <c r="K669" s="35" t="n"/>
      <c r="L669" s="35" t="n"/>
      <c r="M669" s="9">
        <f>IF(B669="","",IF(COUNTIF(Jobs!$A$5:$A$44,B669)=0,"Unknown Job ID",IF(C669="","Missing cost code",IF(COUNTIF(Settings!$E$5:$E$28,C669)=0,"Unknown cost code",IF(A669="","Missing date",IF(OR(G669="",H669=""),"Missing qty or cost",""))))))</f>
        <v/>
      </c>
      <c r="N669" s="35" t="n"/>
    </row>
    <row r="670">
      <c r="A670" s="40" t="n"/>
      <c r="B670" s="35" t="n"/>
      <c r="C670" s="35" t="n"/>
      <c r="D670" s="9">
        <f>IF(C670="","",IFERROR(VLOOKUP(C670,Settings!$E$5:$G$28,3,FALSE),"Other"))</f>
        <v/>
      </c>
      <c r="E670" s="35" t="n"/>
      <c r="F670" s="35" t="n"/>
      <c r="G670" s="35" t="n"/>
      <c r="H670" s="37" t="n"/>
      <c r="I670" s="39">
        <f>IF(B670="","",G670*H670)</f>
        <v/>
      </c>
      <c r="J670" s="35" t="n"/>
      <c r="K670" s="35" t="n"/>
      <c r="L670" s="35" t="n"/>
      <c r="M670" s="9">
        <f>IF(B670="","",IF(COUNTIF(Jobs!$A$5:$A$44,B670)=0,"Unknown Job ID",IF(C670="","Missing cost code",IF(COUNTIF(Settings!$E$5:$E$28,C670)=0,"Unknown cost code",IF(A670="","Missing date",IF(OR(G670="",H670=""),"Missing qty or cost",""))))))</f>
        <v/>
      </c>
      <c r="N670" s="35" t="n"/>
    </row>
    <row r="671">
      <c r="A671" s="40" t="n"/>
      <c r="B671" s="35" t="n"/>
      <c r="C671" s="35" t="n"/>
      <c r="D671" s="9">
        <f>IF(C671="","",IFERROR(VLOOKUP(C671,Settings!$E$5:$G$28,3,FALSE),"Other"))</f>
        <v/>
      </c>
      <c r="E671" s="35" t="n"/>
      <c r="F671" s="35" t="n"/>
      <c r="G671" s="35" t="n"/>
      <c r="H671" s="37" t="n"/>
      <c r="I671" s="39">
        <f>IF(B671="","",G671*H671)</f>
        <v/>
      </c>
      <c r="J671" s="35" t="n"/>
      <c r="K671" s="35" t="n"/>
      <c r="L671" s="35" t="n"/>
      <c r="M671" s="9">
        <f>IF(B671="","",IF(COUNTIF(Jobs!$A$5:$A$44,B671)=0,"Unknown Job ID",IF(C671="","Missing cost code",IF(COUNTIF(Settings!$E$5:$E$28,C671)=0,"Unknown cost code",IF(A671="","Missing date",IF(OR(G671="",H671=""),"Missing qty or cost",""))))))</f>
        <v/>
      </c>
      <c r="N671" s="35" t="n"/>
    </row>
    <row r="672">
      <c r="A672" s="40" t="n"/>
      <c r="B672" s="35" t="n"/>
      <c r="C672" s="35" t="n"/>
      <c r="D672" s="9">
        <f>IF(C672="","",IFERROR(VLOOKUP(C672,Settings!$E$5:$G$28,3,FALSE),"Other"))</f>
        <v/>
      </c>
      <c r="E672" s="35" t="n"/>
      <c r="F672" s="35" t="n"/>
      <c r="G672" s="35" t="n"/>
      <c r="H672" s="37" t="n"/>
      <c r="I672" s="39">
        <f>IF(B672="","",G672*H672)</f>
        <v/>
      </c>
      <c r="J672" s="35" t="n"/>
      <c r="K672" s="35" t="n"/>
      <c r="L672" s="35" t="n"/>
      <c r="M672" s="9">
        <f>IF(B672="","",IF(COUNTIF(Jobs!$A$5:$A$44,B672)=0,"Unknown Job ID",IF(C672="","Missing cost code",IF(COUNTIF(Settings!$E$5:$E$28,C672)=0,"Unknown cost code",IF(A672="","Missing date",IF(OR(G672="",H672=""),"Missing qty or cost",""))))))</f>
        <v/>
      </c>
      <c r="N672" s="35" t="n"/>
    </row>
    <row r="673">
      <c r="A673" s="40" t="n"/>
      <c r="B673" s="35" t="n"/>
      <c r="C673" s="35" t="n"/>
      <c r="D673" s="9">
        <f>IF(C673="","",IFERROR(VLOOKUP(C673,Settings!$E$5:$G$28,3,FALSE),"Other"))</f>
        <v/>
      </c>
      <c r="E673" s="35" t="n"/>
      <c r="F673" s="35" t="n"/>
      <c r="G673" s="35" t="n"/>
      <c r="H673" s="37" t="n"/>
      <c r="I673" s="39">
        <f>IF(B673="","",G673*H673)</f>
        <v/>
      </c>
      <c r="J673" s="35" t="n"/>
      <c r="K673" s="35" t="n"/>
      <c r="L673" s="35" t="n"/>
      <c r="M673" s="9">
        <f>IF(B673="","",IF(COUNTIF(Jobs!$A$5:$A$44,B673)=0,"Unknown Job ID",IF(C673="","Missing cost code",IF(COUNTIF(Settings!$E$5:$E$28,C673)=0,"Unknown cost code",IF(A673="","Missing date",IF(OR(G673="",H673=""),"Missing qty or cost",""))))))</f>
        <v/>
      </c>
      <c r="N673" s="35" t="n"/>
    </row>
    <row r="674">
      <c r="A674" s="40" t="n"/>
      <c r="B674" s="35" t="n"/>
      <c r="C674" s="35" t="n"/>
      <c r="D674" s="9">
        <f>IF(C674="","",IFERROR(VLOOKUP(C674,Settings!$E$5:$G$28,3,FALSE),"Other"))</f>
        <v/>
      </c>
      <c r="E674" s="35" t="n"/>
      <c r="F674" s="35" t="n"/>
      <c r="G674" s="35" t="n"/>
      <c r="H674" s="37" t="n"/>
      <c r="I674" s="39">
        <f>IF(B674="","",G674*H674)</f>
        <v/>
      </c>
      <c r="J674" s="35" t="n"/>
      <c r="K674" s="35" t="n"/>
      <c r="L674" s="35" t="n"/>
      <c r="M674" s="9">
        <f>IF(B674="","",IF(COUNTIF(Jobs!$A$5:$A$44,B674)=0,"Unknown Job ID",IF(C674="","Missing cost code",IF(COUNTIF(Settings!$E$5:$E$28,C674)=0,"Unknown cost code",IF(A674="","Missing date",IF(OR(G674="",H674=""),"Missing qty or cost",""))))))</f>
        <v/>
      </c>
      <c r="N674" s="35" t="n"/>
    </row>
    <row r="675">
      <c r="A675" s="40" t="n"/>
      <c r="B675" s="35" t="n"/>
      <c r="C675" s="35" t="n"/>
      <c r="D675" s="9">
        <f>IF(C675="","",IFERROR(VLOOKUP(C675,Settings!$E$5:$G$28,3,FALSE),"Other"))</f>
        <v/>
      </c>
      <c r="E675" s="35" t="n"/>
      <c r="F675" s="35" t="n"/>
      <c r="G675" s="35" t="n"/>
      <c r="H675" s="37" t="n"/>
      <c r="I675" s="39">
        <f>IF(B675="","",G675*H675)</f>
        <v/>
      </c>
      <c r="J675" s="35" t="n"/>
      <c r="K675" s="35" t="n"/>
      <c r="L675" s="35" t="n"/>
      <c r="M675" s="9">
        <f>IF(B675="","",IF(COUNTIF(Jobs!$A$5:$A$44,B675)=0,"Unknown Job ID",IF(C675="","Missing cost code",IF(COUNTIF(Settings!$E$5:$E$28,C675)=0,"Unknown cost code",IF(A675="","Missing date",IF(OR(G675="",H675=""),"Missing qty or cost",""))))))</f>
        <v/>
      </c>
      <c r="N675" s="35" t="n"/>
    </row>
    <row r="676">
      <c r="A676" s="40" t="n"/>
      <c r="B676" s="35" t="n"/>
      <c r="C676" s="35" t="n"/>
      <c r="D676" s="9">
        <f>IF(C676="","",IFERROR(VLOOKUP(C676,Settings!$E$5:$G$28,3,FALSE),"Other"))</f>
        <v/>
      </c>
      <c r="E676" s="35" t="n"/>
      <c r="F676" s="35" t="n"/>
      <c r="G676" s="35" t="n"/>
      <c r="H676" s="37" t="n"/>
      <c r="I676" s="39">
        <f>IF(B676="","",G676*H676)</f>
        <v/>
      </c>
      <c r="J676" s="35" t="n"/>
      <c r="K676" s="35" t="n"/>
      <c r="L676" s="35" t="n"/>
      <c r="M676" s="9">
        <f>IF(B676="","",IF(COUNTIF(Jobs!$A$5:$A$44,B676)=0,"Unknown Job ID",IF(C676="","Missing cost code",IF(COUNTIF(Settings!$E$5:$E$28,C676)=0,"Unknown cost code",IF(A676="","Missing date",IF(OR(G676="",H676=""),"Missing qty or cost",""))))))</f>
        <v/>
      </c>
      <c r="N676" s="35" t="n"/>
    </row>
    <row r="677">
      <c r="A677" s="40" t="n"/>
      <c r="B677" s="35" t="n"/>
      <c r="C677" s="35" t="n"/>
      <c r="D677" s="9">
        <f>IF(C677="","",IFERROR(VLOOKUP(C677,Settings!$E$5:$G$28,3,FALSE),"Other"))</f>
        <v/>
      </c>
      <c r="E677" s="35" t="n"/>
      <c r="F677" s="35" t="n"/>
      <c r="G677" s="35" t="n"/>
      <c r="H677" s="37" t="n"/>
      <c r="I677" s="39">
        <f>IF(B677="","",G677*H677)</f>
        <v/>
      </c>
      <c r="J677" s="35" t="n"/>
      <c r="K677" s="35" t="n"/>
      <c r="L677" s="35" t="n"/>
      <c r="M677" s="9">
        <f>IF(B677="","",IF(COUNTIF(Jobs!$A$5:$A$44,B677)=0,"Unknown Job ID",IF(C677="","Missing cost code",IF(COUNTIF(Settings!$E$5:$E$28,C677)=0,"Unknown cost code",IF(A677="","Missing date",IF(OR(G677="",H677=""),"Missing qty or cost",""))))))</f>
        <v/>
      </c>
      <c r="N677" s="35" t="n"/>
    </row>
    <row r="678">
      <c r="A678" s="40" t="n"/>
      <c r="B678" s="35" t="n"/>
      <c r="C678" s="35" t="n"/>
      <c r="D678" s="9">
        <f>IF(C678="","",IFERROR(VLOOKUP(C678,Settings!$E$5:$G$28,3,FALSE),"Other"))</f>
        <v/>
      </c>
      <c r="E678" s="35" t="n"/>
      <c r="F678" s="35" t="n"/>
      <c r="G678" s="35" t="n"/>
      <c r="H678" s="37" t="n"/>
      <c r="I678" s="39">
        <f>IF(B678="","",G678*H678)</f>
        <v/>
      </c>
      <c r="J678" s="35" t="n"/>
      <c r="K678" s="35" t="n"/>
      <c r="L678" s="35" t="n"/>
      <c r="M678" s="9">
        <f>IF(B678="","",IF(COUNTIF(Jobs!$A$5:$A$44,B678)=0,"Unknown Job ID",IF(C678="","Missing cost code",IF(COUNTIF(Settings!$E$5:$E$28,C678)=0,"Unknown cost code",IF(A678="","Missing date",IF(OR(G678="",H678=""),"Missing qty or cost",""))))))</f>
        <v/>
      </c>
      <c r="N678" s="35" t="n"/>
    </row>
    <row r="679">
      <c r="A679" s="40" t="n"/>
      <c r="B679" s="35" t="n"/>
      <c r="C679" s="35" t="n"/>
      <c r="D679" s="9">
        <f>IF(C679="","",IFERROR(VLOOKUP(C679,Settings!$E$5:$G$28,3,FALSE),"Other"))</f>
        <v/>
      </c>
      <c r="E679" s="35" t="n"/>
      <c r="F679" s="35" t="n"/>
      <c r="G679" s="35" t="n"/>
      <c r="H679" s="37" t="n"/>
      <c r="I679" s="39">
        <f>IF(B679="","",G679*H679)</f>
        <v/>
      </c>
      <c r="J679" s="35" t="n"/>
      <c r="K679" s="35" t="n"/>
      <c r="L679" s="35" t="n"/>
      <c r="M679" s="9">
        <f>IF(B679="","",IF(COUNTIF(Jobs!$A$5:$A$44,B679)=0,"Unknown Job ID",IF(C679="","Missing cost code",IF(COUNTIF(Settings!$E$5:$E$28,C679)=0,"Unknown cost code",IF(A679="","Missing date",IF(OR(G679="",H679=""),"Missing qty or cost",""))))))</f>
        <v/>
      </c>
      <c r="N679" s="35" t="n"/>
    </row>
    <row r="680">
      <c r="A680" s="40" t="n"/>
      <c r="B680" s="35" t="n"/>
      <c r="C680" s="35" t="n"/>
      <c r="D680" s="9">
        <f>IF(C680="","",IFERROR(VLOOKUP(C680,Settings!$E$5:$G$28,3,FALSE),"Other"))</f>
        <v/>
      </c>
      <c r="E680" s="35" t="n"/>
      <c r="F680" s="35" t="n"/>
      <c r="G680" s="35" t="n"/>
      <c r="H680" s="37" t="n"/>
      <c r="I680" s="39">
        <f>IF(B680="","",G680*H680)</f>
        <v/>
      </c>
      <c r="J680" s="35" t="n"/>
      <c r="K680" s="35" t="n"/>
      <c r="L680" s="35" t="n"/>
      <c r="M680" s="9">
        <f>IF(B680="","",IF(COUNTIF(Jobs!$A$5:$A$44,B680)=0,"Unknown Job ID",IF(C680="","Missing cost code",IF(COUNTIF(Settings!$E$5:$E$28,C680)=0,"Unknown cost code",IF(A680="","Missing date",IF(OR(G680="",H680=""),"Missing qty or cost",""))))))</f>
        <v/>
      </c>
      <c r="N680" s="35" t="n"/>
    </row>
    <row r="681">
      <c r="A681" s="40" t="n"/>
      <c r="B681" s="35" t="n"/>
      <c r="C681" s="35" t="n"/>
      <c r="D681" s="9">
        <f>IF(C681="","",IFERROR(VLOOKUP(C681,Settings!$E$5:$G$28,3,FALSE),"Other"))</f>
        <v/>
      </c>
      <c r="E681" s="35" t="n"/>
      <c r="F681" s="35" t="n"/>
      <c r="G681" s="35" t="n"/>
      <c r="H681" s="37" t="n"/>
      <c r="I681" s="39">
        <f>IF(B681="","",G681*H681)</f>
        <v/>
      </c>
      <c r="J681" s="35" t="n"/>
      <c r="K681" s="35" t="n"/>
      <c r="L681" s="35" t="n"/>
      <c r="M681" s="9">
        <f>IF(B681="","",IF(COUNTIF(Jobs!$A$5:$A$44,B681)=0,"Unknown Job ID",IF(C681="","Missing cost code",IF(COUNTIF(Settings!$E$5:$E$28,C681)=0,"Unknown cost code",IF(A681="","Missing date",IF(OR(G681="",H681=""),"Missing qty or cost",""))))))</f>
        <v/>
      </c>
      <c r="N681" s="35" t="n"/>
    </row>
    <row r="682">
      <c r="A682" s="40" t="n"/>
      <c r="B682" s="35" t="n"/>
      <c r="C682" s="35" t="n"/>
      <c r="D682" s="9">
        <f>IF(C682="","",IFERROR(VLOOKUP(C682,Settings!$E$5:$G$28,3,FALSE),"Other"))</f>
        <v/>
      </c>
      <c r="E682" s="35" t="n"/>
      <c r="F682" s="35" t="n"/>
      <c r="G682" s="35" t="n"/>
      <c r="H682" s="37" t="n"/>
      <c r="I682" s="39">
        <f>IF(B682="","",G682*H682)</f>
        <v/>
      </c>
      <c r="J682" s="35" t="n"/>
      <c r="K682" s="35" t="n"/>
      <c r="L682" s="35" t="n"/>
      <c r="M682" s="9">
        <f>IF(B682="","",IF(COUNTIF(Jobs!$A$5:$A$44,B682)=0,"Unknown Job ID",IF(C682="","Missing cost code",IF(COUNTIF(Settings!$E$5:$E$28,C682)=0,"Unknown cost code",IF(A682="","Missing date",IF(OR(G682="",H682=""),"Missing qty or cost",""))))))</f>
        <v/>
      </c>
      <c r="N682" s="35" t="n"/>
    </row>
    <row r="683">
      <c r="A683" s="40" t="n"/>
      <c r="B683" s="35" t="n"/>
      <c r="C683" s="35" t="n"/>
      <c r="D683" s="9">
        <f>IF(C683="","",IFERROR(VLOOKUP(C683,Settings!$E$5:$G$28,3,FALSE),"Other"))</f>
        <v/>
      </c>
      <c r="E683" s="35" t="n"/>
      <c r="F683" s="35" t="n"/>
      <c r="G683" s="35" t="n"/>
      <c r="H683" s="37" t="n"/>
      <c r="I683" s="39">
        <f>IF(B683="","",G683*H683)</f>
        <v/>
      </c>
      <c r="J683" s="35" t="n"/>
      <c r="K683" s="35" t="n"/>
      <c r="L683" s="35" t="n"/>
      <c r="M683" s="9">
        <f>IF(B683="","",IF(COUNTIF(Jobs!$A$5:$A$44,B683)=0,"Unknown Job ID",IF(C683="","Missing cost code",IF(COUNTIF(Settings!$E$5:$E$28,C683)=0,"Unknown cost code",IF(A683="","Missing date",IF(OR(G683="",H683=""),"Missing qty or cost",""))))))</f>
        <v/>
      </c>
      <c r="N683" s="35" t="n"/>
    </row>
    <row r="684">
      <c r="A684" s="40" t="n"/>
      <c r="B684" s="35" t="n"/>
      <c r="C684" s="35" t="n"/>
      <c r="D684" s="9">
        <f>IF(C684="","",IFERROR(VLOOKUP(C684,Settings!$E$5:$G$28,3,FALSE),"Other"))</f>
        <v/>
      </c>
      <c r="E684" s="35" t="n"/>
      <c r="F684" s="35" t="n"/>
      <c r="G684" s="35" t="n"/>
      <c r="H684" s="37" t="n"/>
      <c r="I684" s="39">
        <f>IF(B684="","",G684*H684)</f>
        <v/>
      </c>
      <c r="J684" s="35" t="n"/>
      <c r="K684" s="35" t="n"/>
      <c r="L684" s="35" t="n"/>
      <c r="M684" s="9">
        <f>IF(B684="","",IF(COUNTIF(Jobs!$A$5:$A$44,B684)=0,"Unknown Job ID",IF(C684="","Missing cost code",IF(COUNTIF(Settings!$E$5:$E$28,C684)=0,"Unknown cost code",IF(A684="","Missing date",IF(OR(G684="",H684=""),"Missing qty or cost",""))))))</f>
        <v/>
      </c>
      <c r="N684" s="35" t="n"/>
    </row>
    <row r="685">
      <c r="A685" s="40" t="n"/>
      <c r="B685" s="35" t="n"/>
      <c r="C685" s="35" t="n"/>
      <c r="D685" s="9">
        <f>IF(C685="","",IFERROR(VLOOKUP(C685,Settings!$E$5:$G$28,3,FALSE),"Other"))</f>
        <v/>
      </c>
      <c r="E685" s="35" t="n"/>
      <c r="F685" s="35" t="n"/>
      <c r="G685" s="35" t="n"/>
      <c r="H685" s="37" t="n"/>
      <c r="I685" s="39">
        <f>IF(B685="","",G685*H685)</f>
        <v/>
      </c>
      <c r="J685" s="35" t="n"/>
      <c r="K685" s="35" t="n"/>
      <c r="L685" s="35" t="n"/>
      <c r="M685" s="9">
        <f>IF(B685="","",IF(COUNTIF(Jobs!$A$5:$A$44,B685)=0,"Unknown Job ID",IF(C685="","Missing cost code",IF(COUNTIF(Settings!$E$5:$E$28,C685)=0,"Unknown cost code",IF(A685="","Missing date",IF(OR(G685="",H685=""),"Missing qty or cost",""))))))</f>
        <v/>
      </c>
      <c r="N685" s="35" t="n"/>
    </row>
    <row r="686">
      <c r="A686" s="40" t="n"/>
      <c r="B686" s="35" t="n"/>
      <c r="C686" s="35" t="n"/>
      <c r="D686" s="9">
        <f>IF(C686="","",IFERROR(VLOOKUP(C686,Settings!$E$5:$G$28,3,FALSE),"Other"))</f>
        <v/>
      </c>
      <c r="E686" s="35" t="n"/>
      <c r="F686" s="35" t="n"/>
      <c r="G686" s="35" t="n"/>
      <c r="H686" s="37" t="n"/>
      <c r="I686" s="39">
        <f>IF(B686="","",G686*H686)</f>
        <v/>
      </c>
      <c r="J686" s="35" t="n"/>
      <c r="K686" s="35" t="n"/>
      <c r="L686" s="35" t="n"/>
      <c r="M686" s="9">
        <f>IF(B686="","",IF(COUNTIF(Jobs!$A$5:$A$44,B686)=0,"Unknown Job ID",IF(C686="","Missing cost code",IF(COUNTIF(Settings!$E$5:$E$28,C686)=0,"Unknown cost code",IF(A686="","Missing date",IF(OR(G686="",H686=""),"Missing qty or cost",""))))))</f>
        <v/>
      </c>
      <c r="N686" s="35" t="n"/>
    </row>
    <row r="687">
      <c r="A687" s="40" t="n"/>
      <c r="B687" s="35" t="n"/>
      <c r="C687" s="35" t="n"/>
      <c r="D687" s="9">
        <f>IF(C687="","",IFERROR(VLOOKUP(C687,Settings!$E$5:$G$28,3,FALSE),"Other"))</f>
        <v/>
      </c>
      <c r="E687" s="35" t="n"/>
      <c r="F687" s="35" t="n"/>
      <c r="G687" s="35" t="n"/>
      <c r="H687" s="37" t="n"/>
      <c r="I687" s="39">
        <f>IF(B687="","",G687*H687)</f>
        <v/>
      </c>
      <c r="J687" s="35" t="n"/>
      <c r="K687" s="35" t="n"/>
      <c r="L687" s="35" t="n"/>
      <c r="M687" s="9">
        <f>IF(B687="","",IF(COUNTIF(Jobs!$A$5:$A$44,B687)=0,"Unknown Job ID",IF(C687="","Missing cost code",IF(COUNTIF(Settings!$E$5:$E$28,C687)=0,"Unknown cost code",IF(A687="","Missing date",IF(OR(G687="",H687=""),"Missing qty or cost",""))))))</f>
        <v/>
      </c>
      <c r="N687" s="35" t="n"/>
    </row>
    <row r="688">
      <c r="A688" s="40" t="n"/>
      <c r="B688" s="35" t="n"/>
      <c r="C688" s="35" t="n"/>
      <c r="D688" s="9">
        <f>IF(C688="","",IFERROR(VLOOKUP(C688,Settings!$E$5:$G$28,3,FALSE),"Other"))</f>
        <v/>
      </c>
      <c r="E688" s="35" t="n"/>
      <c r="F688" s="35" t="n"/>
      <c r="G688" s="35" t="n"/>
      <c r="H688" s="37" t="n"/>
      <c r="I688" s="39">
        <f>IF(B688="","",G688*H688)</f>
        <v/>
      </c>
      <c r="J688" s="35" t="n"/>
      <c r="K688" s="35" t="n"/>
      <c r="L688" s="35" t="n"/>
      <c r="M688" s="9">
        <f>IF(B688="","",IF(COUNTIF(Jobs!$A$5:$A$44,B688)=0,"Unknown Job ID",IF(C688="","Missing cost code",IF(COUNTIF(Settings!$E$5:$E$28,C688)=0,"Unknown cost code",IF(A688="","Missing date",IF(OR(G688="",H688=""),"Missing qty or cost",""))))))</f>
        <v/>
      </c>
      <c r="N688" s="35" t="n"/>
    </row>
    <row r="689">
      <c r="A689" s="40" t="n"/>
      <c r="B689" s="35" t="n"/>
      <c r="C689" s="35" t="n"/>
      <c r="D689" s="9">
        <f>IF(C689="","",IFERROR(VLOOKUP(C689,Settings!$E$5:$G$28,3,FALSE),"Other"))</f>
        <v/>
      </c>
      <c r="E689" s="35" t="n"/>
      <c r="F689" s="35" t="n"/>
      <c r="G689" s="35" t="n"/>
      <c r="H689" s="37" t="n"/>
      <c r="I689" s="39">
        <f>IF(B689="","",G689*H689)</f>
        <v/>
      </c>
      <c r="J689" s="35" t="n"/>
      <c r="K689" s="35" t="n"/>
      <c r="L689" s="35" t="n"/>
      <c r="M689" s="9">
        <f>IF(B689="","",IF(COUNTIF(Jobs!$A$5:$A$44,B689)=0,"Unknown Job ID",IF(C689="","Missing cost code",IF(COUNTIF(Settings!$E$5:$E$28,C689)=0,"Unknown cost code",IF(A689="","Missing date",IF(OR(G689="",H689=""),"Missing qty or cost",""))))))</f>
        <v/>
      </c>
      <c r="N689" s="35" t="n"/>
    </row>
    <row r="690">
      <c r="A690" s="40" t="n"/>
      <c r="B690" s="35" t="n"/>
      <c r="C690" s="35" t="n"/>
      <c r="D690" s="9">
        <f>IF(C690="","",IFERROR(VLOOKUP(C690,Settings!$E$5:$G$28,3,FALSE),"Other"))</f>
        <v/>
      </c>
      <c r="E690" s="35" t="n"/>
      <c r="F690" s="35" t="n"/>
      <c r="G690" s="35" t="n"/>
      <c r="H690" s="37" t="n"/>
      <c r="I690" s="39">
        <f>IF(B690="","",G690*H690)</f>
        <v/>
      </c>
      <c r="J690" s="35" t="n"/>
      <c r="K690" s="35" t="n"/>
      <c r="L690" s="35" t="n"/>
      <c r="M690" s="9">
        <f>IF(B690="","",IF(COUNTIF(Jobs!$A$5:$A$44,B690)=0,"Unknown Job ID",IF(C690="","Missing cost code",IF(COUNTIF(Settings!$E$5:$E$28,C690)=0,"Unknown cost code",IF(A690="","Missing date",IF(OR(G690="",H690=""),"Missing qty or cost",""))))))</f>
        <v/>
      </c>
      <c r="N690" s="35" t="n"/>
    </row>
    <row r="691">
      <c r="A691" s="40" t="n"/>
      <c r="B691" s="35" t="n"/>
      <c r="C691" s="35" t="n"/>
      <c r="D691" s="9">
        <f>IF(C691="","",IFERROR(VLOOKUP(C691,Settings!$E$5:$G$28,3,FALSE),"Other"))</f>
        <v/>
      </c>
      <c r="E691" s="35" t="n"/>
      <c r="F691" s="35" t="n"/>
      <c r="G691" s="35" t="n"/>
      <c r="H691" s="37" t="n"/>
      <c r="I691" s="39">
        <f>IF(B691="","",G691*H691)</f>
        <v/>
      </c>
      <c r="J691" s="35" t="n"/>
      <c r="K691" s="35" t="n"/>
      <c r="L691" s="35" t="n"/>
      <c r="M691" s="9">
        <f>IF(B691="","",IF(COUNTIF(Jobs!$A$5:$A$44,B691)=0,"Unknown Job ID",IF(C691="","Missing cost code",IF(COUNTIF(Settings!$E$5:$E$28,C691)=0,"Unknown cost code",IF(A691="","Missing date",IF(OR(G691="",H691=""),"Missing qty or cost",""))))))</f>
        <v/>
      </c>
      <c r="N691" s="35" t="n"/>
    </row>
    <row r="692">
      <c r="A692" s="40" t="n"/>
      <c r="B692" s="35" t="n"/>
      <c r="C692" s="35" t="n"/>
      <c r="D692" s="9">
        <f>IF(C692="","",IFERROR(VLOOKUP(C692,Settings!$E$5:$G$28,3,FALSE),"Other"))</f>
        <v/>
      </c>
      <c r="E692" s="35" t="n"/>
      <c r="F692" s="35" t="n"/>
      <c r="G692" s="35" t="n"/>
      <c r="H692" s="37" t="n"/>
      <c r="I692" s="39">
        <f>IF(B692="","",G692*H692)</f>
        <v/>
      </c>
      <c r="J692" s="35" t="n"/>
      <c r="K692" s="35" t="n"/>
      <c r="L692" s="35" t="n"/>
      <c r="M692" s="9">
        <f>IF(B692="","",IF(COUNTIF(Jobs!$A$5:$A$44,B692)=0,"Unknown Job ID",IF(C692="","Missing cost code",IF(COUNTIF(Settings!$E$5:$E$28,C692)=0,"Unknown cost code",IF(A692="","Missing date",IF(OR(G692="",H692=""),"Missing qty or cost",""))))))</f>
        <v/>
      </c>
      <c r="N692" s="35" t="n"/>
    </row>
    <row r="693">
      <c r="A693" s="40" t="n"/>
      <c r="B693" s="35" t="n"/>
      <c r="C693" s="35" t="n"/>
      <c r="D693" s="9">
        <f>IF(C693="","",IFERROR(VLOOKUP(C693,Settings!$E$5:$G$28,3,FALSE),"Other"))</f>
        <v/>
      </c>
      <c r="E693" s="35" t="n"/>
      <c r="F693" s="35" t="n"/>
      <c r="G693" s="35" t="n"/>
      <c r="H693" s="37" t="n"/>
      <c r="I693" s="39">
        <f>IF(B693="","",G693*H693)</f>
        <v/>
      </c>
      <c r="J693" s="35" t="n"/>
      <c r="K693" s="35" t="n"/>
      <c r="L693" s="35" t="n"/>
      <c r="M693" s="9">
        <f>IF(B693="","",IF(COUNTIF(Jobs!$A$5:$A$44,B693)=0,"Unknown Job ID",IF(C693="","Missing cost code",IF(COUNTIF(Settings!$E$5:$E$28,C693)=0,"Unknown cost code",IF(A693="","Missing date",IF(OR(G693="",H693=""),"Missing qty or cost",""))))))</f>
        <v/>
      </c>
      <c r="N693" s="35" t="n"/>
    </row>
    <row r="694">
      <c r="A694" s="40" t="n"/>
      <c r="B694" s="35" t="n"/>
      <c r="C694" s="35" t="n"/>
      <c r="D694" s="9">
        <f>IF(C694="","",IFERROR(VLOOKUP(C694,Settings!$E$5:$G$28,3,FALSE),"Other"))</f>
        <v/>
      </c>
      <c r="E694" s="35" t="n"/>
      <c r="F694" s="35" t="n"/>
      <c r="G694" s="35" t="n"/>
      <c r="H694" s="37" t="n"/>
      <c r="I694" s="39">
        <f>IF(B694="","",G694*H694)</f>
        <v/>
      </c>
      <c r="J694" s="35" t="n"/>
      <c r="K694" s="35" t="n"/>
      <c r="L694" s="35" t="n"/>
      <c r="M694" s="9">
        <f>IF(B694="","",IF(COUNTIF(Jobs!$A$5:$A$44,B694)=0,"Unknown Job ID",IF(C694="","Missing cost code",IF(COUNTIF(Settings!$E$5:$E$28,C694)=0,"Unknown cost code",IF(A694="","Missing date",IF(OR(G694="",H694=""),"Missing qty or cost",""))))))</f>
        <v/>
      </c>
      <c r="N694" s="35" t="n"/>
    </row>
    <row r="695">
      <c r="A695" s="40" t="n"/>
      <c r="B695" s="35" t="n"/>
      <c r="C695" s="35" t="n"/>
      <c r="D695" s="9">
        <f>IF(C695="","",IFERROR(VLOOKUP(C695,Settings!$E$5:$G$28,3,FALSE),"Other"))</f>
        <v/>
      </c>
      <c r="E695" s="35" t="n"/>
      <c r="F695" s="35" t="n"/>
      <c r="G695" s="35" t="n"/>
      <c r="H695" s="37" t="n"/>
      <c r="I695" s="39">
        <f>IF(B695="","",G695*H695)</f>
        <v/>
      </c>
      <c r="J695" s="35" t="n"/>
      <c r="K695" s="35" t="n"/>
      <c r="L695" s="35" t="n"/>
      <c r="M695" s="9">
        <f>IF(B695="","",IF(COUNTIF(Jobs!$A$5:$A$44,B695)=0,"Unknown Job ID",IF(C695="","Missing cost code",IF(COUNTIF(Settings!$E$5:$E$28,C695)=0,"Unknown cost code",IF(A695="","Missing date",IF(OR(G695="",H695=""),"Missing qty or cost",""))))))</f>
        <v/>
      </c>
      <c r="N695" s="35" t="n"/>
    </row>
    <row r="696">
      <c r="A696" s="40" t="n"/>
      <c r="B696" s="35" t="n"/>
      <c r="C696" s="35" t="n"/>
      <c r="D696" s="9">
        <f>IF(C696="","",IFERROR(VLOOKUP(C696,Settings!$E$5:$G$28,3,FALSE),"Other"))</f>
        <v/>
      </c>
      <c r="E696" s="35" t="n"/>
      <c r="F696" s="35" t="n"/>
      <c r="G696" s="35" t="n"/>
      <c r="H696" s="37" t="n"/>
      <c r="I696" s="39">
        <f>IF(B696="","",G696*H696)</f>
        <v/>
      </c>
      <c r="J696" s="35" t="n"/>
      <c r="K696" s="35" t="n"/>
      <c r="L696" s="35" t="n"/>
      <c r="M696" s="9">
        <f>IF(B696="","",IF(COUNTIF(Jobs!$A$5:$A$44,B696)=0,"Unknown Job ID",IF(C696="","Missing cost code",IF(COUNTIF(Settings!$E$5:$E$28,C696)=0,"Unknown cost code",IF(A696="","Missing date",IF(OR(G696="",H696=""),"Missing qty or cost",""))))))</f>
        <v/>
      </c>
      <c r="N696" s="35" t="n"/>
    </row>
    <row r="697">
      <c r="A697" s="40" t="n"/>
      <c r="B697" s="35" t="n"/>
      <c r="C697" s="35" t="n"/>
      <c r="D697" s="9">
        <f>IF(C697="","",IFERROR(VLOOKUP(C697,Settings!$E$5:$G$28,3,FALSE),"Other"))</f>
        <v/>
      </c>
      <c r="E697" s="35" t="n"/>
      <c r="F697" s="35" t="n"/>
      <c r="G697" s="35" t="n"/>
      <c r="H697" s="37" t="n"/>
      <c r="I697" s="39">
        <f>IF(B697="","",G697*H697)</f>
        <v/>
      </c>
      <c r="J697" s="35" t="n"/>
      <c r="K697" s="35" t="n"/>
      <c r="L697" s="35" t="n"/>
      <c r="M697" s="9">
        <f>IF(B697="","",IF(COUNTIF(Jobs!$A$5:$A$44,B697)=0,"Unknown Job ID",IF(C697="","Missing cost code",IF(COUNTIF(Settings!$E$5:$E$28,C697)=0,"Unknown cost code",IF(A697="","Missing date",IF(OR(G697="",H697=""),"Missing qty or cost",""))))))</f>
        <v/>
      </c>
      <c r="N697" s="35" t="n"/>
    </row>
    <row r="698">
      <c r="A698" s="40" t="n"/>
      <c r="B698" s="35" t="n"/>
      <c r="C698" s="35" t="n"/>
      <c r="D698" s="9">
        <f>IF(C698="","",IFERROR(VLOOKUP(C698,Settings!$E$5:$G$28,3,FALSE),"Other"))</f>
        <v/>
      </c>
      <c r="E698" s="35" t="n"/>
      <c r="F698" s="35" t="n"/>
      <c r="G698" s="35" t="n"/>
      <c r="H698" s="37" t="n"/>
      <c r="I698" s="39">
        <f>IF(B698="","",G698*H698)</f>
        <v/>
      </c>
      <c r="J698" s="35" t="n"/>
      <c r="K698" s="35" t="n"/>
      <c r="L698" s="35" t="n"/>
      <c r="M698" s="9">
        <f>IF(B698="","",IF(COUNTIF(Jobs!$A$5:$A$44,B698)=0,"Unknown Job ID",IF(C698="","Missing cost code",IF(COUNTIF(Settings!$E$5:$E$28,C698)=0,"Unknown cost code",IF(A698="","Missing date",IF(OR(G698="",H698=""),"Missing qty or cost",""))))))</f>
        <v/>
      </c>
      <c r="N698" s="35" t="n"/>
    </row>
    <row r="699">
      <c r="A699" s="40" t="n"/>
      <c r="B699" s="35" t="n"/>
      <c r="C699" s="35" t="n"/>
      <c r="D699" s="9">
        <f>IF(C699="","",IFERROR(VLOOKUP(C699,Settings!$E$5:$G$28,3,FALSE),"Other"))</f>
        <v/>
      </c>
      <c r="E699" s="35" t="n"/>
      <c r="F699" s="35" t="n"/>
      <c r="G699" s="35" t="n"/>
      <c r="H699" s="37" t="n"/>
      <c r="I699" s="39">
        <f>IF(B699="","",G699*H699)</f>
        <v/>
      </c>
      <c r="J699" s="35" t="n"/>
      <c r="K699" s="35" t="n"/>
      <c r="L699" s="35" t="n"/>
      <c r="M699" s="9">
        <f>IF(B699="","",IF(COUNTIF(Jobs!$A$5:$A$44,B699)=0,"Unknown Job ID",IF(C699="","Missing cost code",IF(COUNTIF(Settings!$E$5:$E$28,C699)=0,"Unknown cost code",IF(A699="","Missing date",IF(OR(G699="",H699=""),"Missing qty or cost",""))))))</f>
        <v/>
      </c>
      <c r="N699" s="35" t="n"/>
    </row>
    <row r="700">
      <c r="A700" s="40" t="n"/>
      <c r="B700" s="35" t="n"/>
      <c r="C700" s="35" t="n"/>
      <c r="D700" s="9">
        <f>IF(C700="","",IFERROR(VLOOKUP(C700,Settings!$E$5:$G$28,3,FALSE),"Other"))</f>
        <v/>
      </c>
      <c r="E700" s="35" t="n"/>
      <c r="F700" s="35" t="n"/>
      <c r="G700" s="35" t="n"/>
      <c r="H700" s="37" t="n"/>
      <c r="I700" s="39">
        <f>IF(B700="","",G700*H700)</f>
        <v/>
      </c>
      <c r="J700" s="35" t="n"/>
      <c r="K700" s="35" t="n"/>
      <c r="L700" s="35" t="n"/>
      <c r="M700" s="9">
        <f>IF(B700="","",IF(COUNTIF(Jobs!$A$5:$A$44,B700)=0,"Unknown Job ID",IF(C700="","Missing cost code",IF(COUNTIF(Settings!$E$5:$E$28,C700)=0,"Unknown cost code",IF(A700="","Missing date",IF(OR(G700="",H700=""),"Missing qty or cost",""))))))</f>
        <v/>
      </c>
      <c r="N700" s="35" t="n"/>
    </row>
    <row r="701">
      <c r="A701" s="40" t="n"/>
      <c r="B701" s="35" t="n"/>
      <c r="C701" s="35" t="n"/>
      <c r="D701" s="9">
        <f>IF(C701="","",IFERROR(VLOOKUP(C701,Settings!$E$5:$G$28,3,FALSE),"Other"))</f>
        <v/>
      </c>
      <c r="E701" s="35" t="n"/>
      <c r="F701" s="35" t="n"/>
      <c r="G701" s="35" t="n"/>
      <c r="H701" s="37" t="n"/>
      <c r="I701" s="39">
        <f>IF(B701="","",G701*H701)</f>
        <v/>
      </c>
      <c r="J701" s="35" t="n"/>
      <c r="K701" s="35" t="n"/>
      <c r="L701" s="35" t="n"/>
      <c r="M701" s="9">
        <f>IF(B701="","",IF(COUNTIF(Jobs!$A$5:$A$44,B701)=0,"Unknown Job ID",IF(C701="","Missing cost code",IF(COUNTIF(Settings!$E$5:$E$28,C701)=0,"Unknown cost code",IF(A701="","Missing date",IF(OR(G701="",H701=""),"Missing qty or cost",""))))))</f>
        <v/>
      </c>
      <c r="N701" s="35" t="n"/>
    </row>
    <row r="702">
      <c r="A702" s="40" t="n"/>
      <c r="B702" s="35" t="n"/>
      <c r="C702" s="35" t="n"/>
      <c r="D702" s="9">
        <f>IF(C702="","",IFERROR(VLOOKUP(C702,Settings!$E$5:$G$28,3,FALSE),"Other"))</f>
        <v/>
      </c>
      <c r="E702" s="35" t="n"/>
      <c r="F702" s="35" t="n"/>
      <c r="G702" s="35" t="n"/>
      <c r="H702" s="37" t="n"/>
      <c r="I702" s="39">
        <f>IF(B702="","",G702*H702)</f>
        <v/>
      </c>
      <c r="J702" s="35" t="n"/>
      <c r="K702" s="35" t="n"/>
      <c r="L702" s="35" t="n"/>
      <c r="M702" s="9">
        <f>IF(B702="","",IF(COUNTIF(Jobs!$A$5:$A$44,B702)=0,"Unknown Job ID",IF(C702="","Missing cost code",IF(COUNTIF(Settings!$E$5:$E$28,C702)=0,"Unknown cost code",IF(A702="","Missing date",IF(OR(G702="",H702=""),"Missing qty or cost",""))))))</f>
        <v/>
      </c>
      <c r="N702" s="35" t="n"/>
    </row>
    <row r="703">
      <c r="A703" s="40" t="n"/>
      <c r="B703" s="35" t="n"/>
      <c r="C703" s="35" t="n"/>
      <c r="D703" s="9">
        <f>IF(C703="","",IFERROR(VLOOKUP(C703,Settings!$E$5:$G$28,3,FALSE),"Other"))</f>
        <v/>
      </c>
      <c r="E703" s="35" t="n"/>
      <c r="F703" s="35" t="n"/>
      <c r="G703" s="35" t="n"/>
      <c r="H703" s="37" t="n"/>
      <c r="I703" s="39">
        <f>IF(B703="","",G703*H703)</f>
        <v/>
      </c>
      <c r="J703" s="35" t="n"/>
      <c r="K703" s="35" t="n"/>
      <c r="L703" s="35" t="n"/>
      <c r="M703" s="9">
        <f>IF(B703="","",IF(COUNTIF(Jobs!$A$5:$A$44,B703)=0,"Unknown Job ID",IF(C703="","Missing cost code",IF(COUNTIF(Settings!$E$5:$E$28,C703)=0,"Unknown cost code",IF(A703="","Missing date",IF(OR(G703="",H703=""),"Missing qty or cost",""))))))</f>
        <v/>
      </c>
      <c r="N703" s="35" t="n"/>
    </row>
    <row r="704">
      <c r="A704" s="40" t="n"/>
      <c r="B704" s="35" t="n"/>
      <c r="C704" s="35" t="n"/>
      <c r="D704" s="9">
        <f>IF(C704="","",IFERROR(VLOOKUP(C704,Settings!$E$5:$G$28,3,FALSE),"Other"))</f>
        <v/>
      </c>
      <c r="E704" s="35" t="n"/>
      <c r="F704" s="35" t="n"/>
      <c r="G704" s="35" t="n"/>
      <c r="H704" s="37" t="n"/>
      <c r="I704" s="39">
        <f>IF(B704="","",G704*H704)</f>
        <v/>
      </c>
      <c r="J704" s="35" t="n"/>
      <c r="K704" s="35" t="n"/>
      <c r="L704" s="35" t="n"/>
      <c r="M704" s="9">
        <f>IF(B704="","",IF(COUNTIF(Jobs!$A$5:$A$44,B704)=0,"Unknown Job ID",IF(C704="","Missing cost code",IF(COUNTIF(Settings!$E$5:$E$28,C704)=0,"Unknown cost code",IF(A704="","Missing date",IF(OR(G704="",H704=""),"Missing qty or cost",""))))))</f>
        <v/>
      </c>
      <c r="N704" s="35" t="n"/>
    </row>
    <row r="705">
      <c r="A705" s="40" t="n"/>
      <c r="B705" s="35" t="n"/>
      <c r="C705" s="35" t="n"/>
      <c r="D705" s="9">
        <f>IF(C705="","",IFERROR(VLOOKUP(C705,Settings!$E$5:$G$28,3,FALSE),"Other"))</f>
        <v/>
      </c>
      <c r="E705" s="35" t="n"/>
      <c r="F705" s="35" t="n"/>
      <c r="G705" s="35" t="n"/>
      <c r="H705" s="37" t="n"/>
      <c r="I705" s="39">
        <f>IF(B705="","",G705*H705)</f>
        <v/>
      </c>
      <c r="J705" s="35" t="n"/>
      <c r="K705" s="35" t="n"/>
      <c r="L705" s="35" t="n"/>
      <c r="M705" s="9">
        <f>IF(B705="","",IF(COUNTIF(Jobs!$A$5:$A$44,B705)=0,"Unknown Job ID",IF(C705="","Missing cost code",IF(COUNTIF(Settings!$E$5:$E$28,C705)=0,"Unknown cost code",IF(A705="","Missing date",IF(OR(G705="",H705=""),"Missing qty or cost",""))))))</f>
        <v/>
      </c>
      <c r="N705" s="35" t="n"/>
    </row>
    <row r="706">
      <c r="A706" s="40" t="n"/>
      <c r="B706" s="35" t="n"/>
      <c r="C706" s="35" t="n"/>
      <c r="D706" s="9">
        <f>IF(C706="","",IFERROR(VLOOKUP(C706,Settings!$E$5:$G$28,3,FALSE),"Other"))</f>
        <v/>
      </c>
      <c r="E706" s="35" t="n"/>
      <c r="F706" s="35" t="n"/>
      <c r="G706" s="35" t="n"/>
      <c r="H706" s="37" t="n"/>
      <c r="I706" s="39">
        <f>IF(B706="","",G706*H706)</f>
        <v/>
      </c>
      <c r="J706" s="35" t="n"/>
      <c r="K706" s="35" t="n"/>
      <c r="L706" s="35" t="n"/>
      <c r="M706" s="9">
        <f>IF(B706="","",IF(COUNTIF(Jobs!$A$5:$A$44,B706)=0,"Unknown Job ID",IF(C706="","Missing cost code",IF(COUNTIF(Settings!$E$5:$E$28,C706)=0,"Unknown cost code",IF(A706="","Missing date",IF(OR(G706="",H706=""),"Missing qty or cost",""))))))</f>
        <v/>
      </c>
      <c r="N706" s="35" t="n"/>
    </row>
    <row r="707">
      <c r="A707" s="40" t="n"/>
      <c r="B707" s="35" t="n"/>
      <c r="C707" s="35" t="n"/>
      <c r="D707" s="9">
        <f>IF(C707="","",IFERROR(VLOOKUP(C707,Settings!$E$5:$G$28,3,FALSE),"Other"))</f>
        <v/>
      </c>
      <c r="E707" s="35" t="n"/>
      <c r="F707" s="35" t="n"/>
      <c r="G707" s="35" t="n"/>
      <c r="H707" s="37" t="n"/>
      <c r="I707" s="39">
        <f>IF(B707="","",G707*H707)</f>
        <v/>
      </c>
      <c r="J707" s="35" t="n"/>
      <c r="K707" s="35" t="n"/>
      <c r="L707" s="35" t="n"/>
      <c r="M707" s="9">
        <f>IF(B707="","",IF(COUNTIF(Jobs!$A$5:$A$44,B707)=0,"Unknown Job ID",IF(C707="","Missing cost code",IF(COUNTIF(Settings!$E$5:$E$28,C707)=0,"Unknown cost code",IF(A707="","Missing date",IF(OR(G707="",H707=""),"Missing qty or cost",""))))))</f>
        <v/>
      </c>
      <c r="N707" s="35" t="n"/>
    </row>
    <row r="708">
      <c r="A708" s="40" t="n"/>
      <c r="B708" s="35" t="n"/>
      <c r="C708" s="35" t="n"/>
      <c r="D708" s="9">
        <f>IF(C708="","",IFERROR(VLOOKUP(C708,Settings!$E$5:$G$28,3,FALSE),"Other"))</f>
        <v/>
      </c>
      <c r="E708" s="35" t="n"/>
      <c r="F708" s="35" t="n"/>
      <c r="G708" s="35" t="n"/>
      <c r="H708" s="37" t="n"/>
      <c r="I708" s="39">
        <f>IF(B708="","",G708*H708)</f>
        <v/>
      </c>
      <c r="J708" s="35" t="n"/>
      <c r="K708" s="35" t="n"/>
      <c r="L708" s="35" t="n"/>
      <c r="M708" s="9">
        <f>IF(B708="","",IF(COUNTIF(Jobs!$A$5:$A$44,B708)=0,"Unknown Job ID",IF(C708="","Missing cost code",IF(COUNTIF(Settings!$E$5:$E$28,C708)=0,"Unknown cost code",IF(A708="","Missing date",IF(OR(G708="",H708=""),"Missing qty or cost",""))))))</f>
        <v/>
      </c>
      <c r="N708" s="35" t="n"/>
    </row>
    <row r="709">
      <c r="A709" s="40" t="n"/>
      <c r="B709" s="35" t="n"/>
      <c r="C709" s="35" t="n"/>
      <c r="D709" s="9">
        <f>IF(C709="","",IFERROR(VLOOKUP(C709,Settings!$E$5:$G$28,3,FALSE),"Other"))</f>
        <v/>
      </c>
      <c r="E709" s="35" t="n"/>
      <c r="F709" s="35" t="n"/>
      <c r="G709" s="35" t="n"/>
      <c r="H709" s="37" t="n"/>
      <c r="I709" s="39">
        <f>IF(B709="","",G709*H709)</f>
        <v/>
      </c>
      <c r="J709" s="35" t="n"/>
      <c r="K709" s="35" t="n"/>
      <c r="L709" s="35" t="n"/>
      <c r="M709" s="9">
        <f>IF(B709="","",IF(COUNTIF(Jobs!$A$5:$A$44,B709)=0,"Unknown Job ID",IF(C709="","Missing cost code",IF(COUNTIF(Settings!$E$5:$E$28,C709)=0,"Unknown cost code",IF(A709="","Missing date",IF(OR(G709="",H709=""),"Missing qty or cost",""))))))</f>
        <v/>
      </c>
      <c r="N709" s="35" t="n"/>
    </row>
    <row r="710">
      <c r="A710" s="40" t="n"/>
      <c r="B710" s="35" t="n"/>
      <c r="C710" s="35" t="n"/>
      <c r="D710" s="9">
        <f>IF(C710="","",IFERROR(VLOOKUP(C710,Settings!$E$5:$G$28,3,FALSE),"Other"))</f>
        <v/>
      </c>
      <c r="E710" s="35" t="n"/>
      <c r="F710" s="35" t="n"/>
      <c r="G710" s="35" t="n"/>
      <c r="H710" s="37" t="n"/>
      <c r="I710" s="39">
        <f>IF(B710="","",G710*H710)</f>
        <v/>
      </c>
      <c r="J710" s="35" t="n"/>
      <c r="K710" s="35" t="n"/>
      <c r="L710" s="35" t="n"/>
      <c r="M710" s="9">
        <f>IF(B710="","",IF(COUNTIF(Jobs!$A$5:$A$44,B710)=0,"Unknown Job ID",IF(C710="","Missing cost code",IF(COUNTIF(Settings!$E$5:$E$28,C710)=0,"Unknown cost code",IF(A710="","Missing date",IF(OR(G710="",H710=""),"Missing qty or cost",""))))))</f>
        <v/>
      </c>
      <c r="N710" s="35" t="n"/>
    </row>
    <row r="711">
      <c r="A711" s="40" t="n"/>
      <c r="B711" s="35" t="n"/>
      <c r="C711" s="35" t="n"/>
      <c r="D711" s="9">
        <f>IF(C711="","",IFERROR(VLOOKUP(C711,Settings!$E$5:$G$28,3,FALSE),"Other"))</f>
        <v/>
      </c>
      <c r="E711" s="35" t="n"/>
      <c r="F711" s="35" t="n"/>
      <c r="G711" s="35" t="n"/>
      <c r="H711" s="37" t="n"/>
      <c r="I711" s="39">
        <f>IF(B711="","",G711*H711)</f>
        <v/>
      </c>
      <c r="J711" s="35" t="n"/>
      <c r="K711" s="35" t="n"/>
      <c r="L711" s="35" t="n"/>
      <c r="M711" s="9">
        <f>IF(B711="","",IF(COUNTIF(Jobs!$A$5:$A$44,B711)=0,"Unknown Job ID",IF(C711="","Missing cost code",IF(COUNTIF(Settings!$E$5:$E$28,C711)=0,"Unknown cost code",IF(A711="","Missing date",IF(OR(G711="",H711=""),"Missing qty or cost",""))))))</f>
        <v/>
      </c>
      <c r="N711" s="35" t="n"/>
    </row>
    <row r="712">
      <c r="A712" s="40" t="n"/>
      <c r="B712" s="35" t="n"/>
      <c r="C712" s="35" t="n"/>
      <c r="D712" s="9">
        <f>IF(C712="","",IFERROR(VLOOKUP(C712,Settings!$E$5:$G$28,3,FALSE),"Other"))</f>
        <v/>
      </c>
      <c r="E712" s="35" t="n"/>
      <c r="F712" s="35" t="n"/>
      <c r="G712" s="35" t="n"/>
      <c r="H712" s="37" t="n"/>
      <c r="I712" s="39">
        <f>IF(B712="","",G712*H712)</f>
        <v/>
      </c>
      <c r="J712" s="35" t="n"/>
      <c r="K712" s="35" t="n"/>
      <c r="L712" s="35" t="n"/>
      <c r="M712" s="9">
        <f>IF(B712="","",IF(COUNTIF(Jobs!$A$5:$A$44,B712)=0,"Unknown Job ID",IF(C712="","Missing cost code",IF(COUNTIF(Settings!$E$5:$E$28,C712)=0,"Unknown cost code",IF(A712="","Missing date",IF(OR(G712="",H712=""),"Missing qty or cost",""))))))</f>
        <v/>
      </c>
      <c r="N712" s="35" t="n"/>
    </row>
    <row r="713">
      <c r="A713" s="40" t="n"/>
      <c r="B713" s="35" t="n"/>
      <c r="C713" s="35" t="n"/>
      <c r="D713" s="9">
        <f>IF(C713="","",IFERROR(VLOOKUP(C713,Settings!$E$5:$G$28,3,FALSE),"Other"))</f>
        <v/>
      </c>
      <c r="E713" s="35" t="n"/>
      <c r="F713" s="35" t="n"/>
      <c r="G713" s="35" t="n"/>
      <c r="H713" s="37" t="n"/>
      <c r="I713" s="39">
        <f>IF(B713="","",G713*H713)</f>
        <v/>
      </c>
      <c r="J713" s="35" t="n"/>
      <c r="K713" s="35" t="n"/>
      <c r="L713" s="35" t="n"/>
      <c r="M713" s="9">
        <f>IF(B713="","",IF(COUNTIF(Jobs!$A$5:$A$44,B713)=0,"Unknown Job ID",IF(C713="","Missing cost code",IF(COUNTIF(Settings!$E$5:$E$28,C713)=0,"Unknown cost code",IF(A713="","Missing date",IF(OR(G713="",H713=""),"Missing qty or cost",""))))))</f>
        <v/>
      </c>
      <c r="N713" s="35" t="n"/>
    </row>
    <row r="714">
      <c r="A714" s="40" t="n"/>
      <c r="B714" s="35" t="n"/>
      <c r="C714" s="35" t="n"/>
      <c r="D714" s="9">
        <f>IF(C714="","",IFERROR(VLOOKUP(C714,Settings!$E$5:$G$28,3,FALSE),"Other"))</f>
        <v/>
      </c>
      <c r="E714" s="35" t="n"/>
      <c r="F714" s="35" t="n"/>
      <c r="G714" s="35" t="n"/>
      <c r="H714" s="37" t="n"/>
      <c r="I714" s="39">
        <f>IF(B714="","",G714*H714)</f>
        <v/>
      </c>
      <c r="J714" s="35" t="n"/>
      <c r="K714" s="35" t="n"/>
      <c r="L714" s="35" t="n"/>
      <c r="M714" s="9">
        <f>IF(B714="","",IF(COUNTIF(Jobs!$A$5:$A$44,B714)=0,"Unknown Job ID",IF(C714="","Missing cost code",IF(COUNTIF(Settings!$E$5:$E$28,C714)=0,"Unknown cost code",IF(A714="","Missing date",IF(OR(G714="",H714=""),"Missing qty or cost",""))))))</f>
        <v/>
      </c>
      <c r="N714" s="35" t="n"/>
    </row>
    <row r="715">
      <c r="A715" s="40" t="n"/>
      <c r="B715" s="35" t="n"/>
      <c r="C715" s="35" t="n"/>
      <c r="D715" s="9">
        <f>IF(C715="","",IFERROR(VLOOKUP(C715,Settings!$E$5:$G$28,3,FALSE),"Other"))</f>
        <v/>
      </c>
      <c r="E715" s="35" t="n"/>
      <c r="F715" s="35" t="n"/>
      <c r="G715" s="35" t="n"/>
      <c r="H715" s="37" t="n"/>
      <c r="I715" s="39">
        <f>IF(B715="","",G715*H715)</f>
        <v/>
      </c>
      <c r="J715" s="35" t="n"/>
      <c r="K715" s="35" t="n"/>
      <c r="L715" s="35" t="n"/>
      <c r="M715" s="9">
        <f>IF(B715="","",IF(COUNTIF(Jobs!$A$5:$A$44,B715)=0,"Unknown Job ID",IF(C715="","Missing cost code",IF(COUNTIF(Settings!$E$5:$E$28,C715)=0,"Unknown cost code",IF(A715="","Missing date",IF(OR(G715="",H715=""),"Missing qty or cost",""))))))</f>
        <v/>
      </c>
      <c r="N715" s="35" t="n"/>
    </row>
    <row r="716">
      <c r="A716" s="40" t="n"/>
      <c r="B716" s="35" t="n"/>
      <c r="C716" s="35" t="n"/>
      <c r="D716" s="9">
        <f>IF(C716="","",IFERROR(VLOOKUP(C716,Settings!$E$5:$G$28,3,FALSE),"Other"))</f>
        <v/>
      </c>
      <c r="E716" s="35" t="n"/>
      <c r="F716" s="35" t="n"/>
      <c r="G716" s="35" t="n"/>
      <c r="H716" s="37" t="n"/>
      <c r="I716" s="39">
        <f>IF(B716="","",G716*H716)</f>
        <v/>
      </c>
      <c r="J716" s="35" t="n"/>
      <c r="K716" s="35" t="n"/>
      <c r="L716" s="35" t="n"/>
      <c r="M716" s="9">
        <f>IF(B716="","",IF(COUNTIF(Jobs!$A$5:$A$44,B716)=0,"Unknown Job ID",IF(C716="","Missing cost code",IF(COUNTIF(Settings!$E$5:$E$28,C716)=0,"Unknown cost code",IF(A716="","Missing date",IF(OR(G716="",H716=""),"Missing qty or cost",""))))))</f>
        <v/>
      </c>
      <c r="N716" s="35" t="n"/>
    </row>
    <row r="717">
      <c r="A717" s="40" t="n"/>
      <c r="B717" s="35" t="n"/>
      <c r="C717" s="35" t="n"/>
      <c r="D717" s="9">
        <f>IF(C717="","",IFERROR(VLOOKUP(C717,Settings!$E$5:$G$28,3,FALSE),"Other"))</f>
        <v/>
      </c>
      <c r="E717" s="35" t="n"/>
      <c r="F717" s="35" t="n"/>
      <c r="G717" s="35" t="n"/>
      <c r="H717" s="37" t="n"/>
      <c r="I717" s="39">
        <f>IF(B717="","",G717*H717)</f>
        <v/>
      </c>
      <c r="J717" s="35" t="n"/>
      <c r="K717" s="35" t="n"/>
      <c r="L717" s="35" t="n"/>
      <c r="M717" s="9">
        <f>IF(B717="","",IF(COUNTIF(Jobs!$A$5:$A$44,B717)=0,"Unknown Job ID",IF(C717="","Missing cost code",IF(COUNTIF(Settings!$E$5:$E$28,C717)=0,"Unknown cost code",IF(A717="","Missing date",IF(OR(G717="",H717=""),"Missing qty or cost",""))))))</f>
        <v/>
      </c>
      <c r="N717" s="35" t="n"/>
    </row>
    <row r="718">
      <c r="A718" s="40" t="n"/>
      <c r="B718" s="35" t="n"/>
      <c r="C718" s="35" t="n"/>
      <c r="D718" s="9">
        <f>IF(C718="","",IFERROR(VLOOKUP(C718,Settings!$E$5:$G$28,3,FALSE),"Other"))</f>
        <v/>
      </c>
      <c r="E718" s="35" t="n"/>
      <c r="F718" s="35" t="n"/>
      <c r="G718" s="35" t="n"/>
      <c r="H718" s="37" t="n"/>
      <c r="I718" s="39">
        <f>IF(B718="","",G718*H718)</f>
        <v/>
      </c>
      <c r="J718" s="35" t="n"/>
      <c r="K718" s="35" t="n"/>
      <c r="L718" s="35" t="n"/>
      <c r="M718" s="9">
        <f>IF(B718="","",IF(COUNTIF(Jobs!$A$5:$A$44,B718)=0,"Unknown Job ID",IF(C718="","Missing cost code",IF(COUNTIF(Settings!$E$5:$E$28,C718)=0,"Unknown cost code",IF(A718="","Missing date",IF(OR(G718="",H718=""),"Missing qty or cost",""))))))</f>
        <v/>
      </c>
      <c r="N718" s="35" t="n"/>
    </row>
    <row r="719">
      <c r="A719" s="40" t="n"/>
      <c r="B719" s="35" t="n"/>
      <c r="C719" s="35" t="n"/>
      <c r="D719" s="9">
        <f>IF(C719="","",IFERROR(VLOOKUP(C719,Settings!$E$5:$G$28,3,FALSE),"Other"))</f>
        <v/>
      </c>
      <c r="E719" s="35" t="n"/>
      <c r="F719" s="35" t="n"/>
      <c r="G719" s="35" t="n"/>
      <c r="H719" s="37" t="n"/>
      <c r="I719" s="39">
        <f>IF(B719="","",G719*H719)</f>
        <v/>
      </c>
      <c r="J719" s="35" t="n"/>
      <c r="K719" s="35" t="n"/>
      <c r="L719" s="35" t="n"/>
      <c r="M719" s="9">
        <f>IF(B719="","",IF(COUNTIF(Jobs!$A$5:$A$44,B719)=0,"Unknown Job ID",IF(C719="","Missing cost code",IF(COUNTIF(Settings!$E$5:$E$28,C719)=0,"Unknown cost code",IF(A719="","Missing date",IF(OR(G719="",H719=""),"Missing qty or cost",""))))))</f>
        <v/>
      </c>
      <c r="N719" s="35" t="n"/>
    </row>
    <row r="720">
      <c r="A720" s="40" t="n"/>
      <c r="B720" s="35" t="n"/>
      <c r="C720" s="35" t="n"/>
      <c r="D720" s="9">
        <f>IF(C720="","",IFERROR(VLOOKUP(C720,Settings!$E$5:$G$28,3,FALSE),"Other"))</f>
        <v/>
      </c>
      <c r="E720" s="35" t="n"/>
      <c r="F720" s="35" t="n"/>
      <c r="G720" s="35" t="n"/>
      <c r="H720" s="37" t="n"/>
      <c r="I720" s="39">
        <f>IF(B720="","",G720*H720)</f>
        <v/>
      </c>
      <c r="J720" s="35" t="n"/>
      <c r="K720" s="35" t="n"/>
      <c r="L720" s="35" t="n"/>
      <c r="M720" s="9">
        <f>IF(B720="","",IF(COUNTIF(Jobs!$A$5:$A$44,B720)=0,"Unknown Job ID",IF(C720="","Missing cost code",IF(COUNTIF(Settings!$E$5:$E$28,C720)=0,"Unknown cost code",IF(A720="","Missing date",IF(OR(G720="",H720=""),"Missing qty or cost",""))))))</f>
        <v/>
      </c>
      <c r="N720" s="35" t="n"/>
    </row>
    <row r="721">
      <c r="A721" s="40" t="n"/>
      <c r="B721" s="35" t="n"/>
      <c r="C721" s="35" t="n"/>
      <c r="D721" s="9">
        <f>IF(C721="","",IFERROR(VLOOKUP(C721,Settings!$E$5:$G$28,3,FALSE),"Other"))</f>
        <v/>
      </c>
      <c r="E721" s="35" t="n"/>
      <c r="F721" s="35" t="n"/>
      <c r="G721" s="35" t="n"/>
      <c r="H721" s="37" t="n"/>
      <c r="I721" s="39">
        <f>IF(B721="","",G721*H721)</f>
        <v/>
      </c>
      <c r="J721" s="35" t="n"/>
      <c r="K721" s="35" t="n"/>
      <c r="L721" s="35" t="n"/>
      <c r="M721" s="9">
        <f>IF(B721="","",IF(COUNTIF(Jobs!$A$5:$A$44,B721)=0,"Unknown Job ID",IF(C721="","Missing cost code",IF(COUNTIF(Settings!$E$5:$E$28,C721)=0,"Unknown cost code",IF(A721="","Missing date",IF(OR(G721="",H721=""),"Missing qty or cost",""))))))</f>
        <v/>
      </c>
      <c r="N721" s="35" t="n"/>
    </row>
    <row r="722">
      <c r="A722" s="40" t="n"/>
      <c r="B722" s="35" t="n"/>
      <c r="C722" s="35" t="n"/>
      <c r="D722" s="9">
        <f>IF(C722="","",IFERROR(VLOOKUP(C722,Settings!$E$5:$G$28,3,FALSE),"Other"))</f>
        <v/>
      </c>
      <c r="E722" s="35" t="n"/>
      <c r="F722" s="35" t="n"/>
      <c r="G722" s="35" t="n"/>
      <c r="H722" s="37" t="n"/>
      <c r="I722" s="39">
        <f>IF(B722="","",G722*H722)</f>
        <v/>
      </c>
      <c r="J722" s="35" t="n"/>
      <c r="K722" s="35" t="n"/>
      <c r="L722" s="35" t="n"/>
      <c r="M722" s="9">
        <f>IF(B722="","",IF(COUNTIF(Jobs!$A$5:$A$44,B722)=0,"Unknown Job ID",IF(C722="","Missing cost code",IF(COUNTIF(Settings!$E$5:$E$28,C722)=0,"Unknown cost code",IF(A722="","Missing date",IF(OR(G722="",H722=""),"Missing qty or cost",""))))))</f>
        <v/>
      </c>
      <c r="N722" s="35" t="n"/>
    </row>
    <row r="723">
      <c r="A723" s="40" t="n"/>
      <c r="B723" s="35" t="n"/>
      <c r="C723" s="35" t="n"/>
      <c r="D723" s="9">
        <f>IF(C723="","",IFERROR(VLOOKUP(C723,Settings!$E$5:$G$28,3,FALSE),"Other"))</f>
        <v/>
      </c>
      <c r="E723" s="35" t="n"/>
      <c r="F723" s="35" t="n"/>
      <c r="G723" s="35" t="n"/>
      <c r="H723" s="37" t="n"/>
      <c r="I723" s="39">
        <f>IF(B723="","",G723*H723)</f>
        <v/>
      </c>
      <c r="J723" s="35" t="n"/>
      <c r="K723" s="35" t="n"/>
      <c r="L723" s="35" t="n"/>
      <c r="M723" s="9">
        <f>IF(B723="","",IF(COUNTIF(Jobs!$A$5:$A$44,B723)=0,"Unknown Job ID",IF(C723="","Missing cost code",IF(COUNTIF(Settings!$E$5:$E$28,C723)=0,"Unknown cost code",IF(A723="","Missing date",IF(OR(G723="",H723=""),"Missing qty or cost",""))))))</f>
        <v/>
      </c>
      <c r="N723" s="35" t="n"/>
    </row>
    <row r="724">
      <c r="A724" s="40" t="n"/>
      <c r="B724" s="35" t="n"/>
      <c r="C724" s="35" t="n"/>
      <c r="D724" s="9">
        <f>IF(C724="","",IFERROR(VLOOKUP(C724,Settings!$E$5:$G$28,3,FALSE),"Other"))</f>
        <v/>
      </c>
      <c r="E724" s="35" t="n"/>
      <c r="F724" s="35" t="n"/>
      <c r="G724" s="35" t="n"/>
      <c r="H724" s="37" t="n"/>
      <c r="I724" s="39">
        <f>IF(B724="","",G724*H724)</f>
        <v/>
      </c>
      <c r="J724" s="35" t="n"/>
      <c r="K724" s="35" t="n"/>
      <c r="L724" s="35" t="n"/>
      <c r="M724" s="9">
        <f>IF(B724="","",IF(COUNTIF(Jobs!$A$5:$A$44,B724)=0,"Unknown Job ID",IF(C724="","Missing cost code",IF(COUNTIF(Settings!$E$5:$E$28,C724)=0,"Unknown cost code",IF(A724="","Missing date",IF(OR(G724="",H724=""),"Missing qty or cost",""))))))</f>
        <v/>
      </c>
      <c r="N724" s="35" t="n"/>
    </row>
    <row r="725">
      <c r="A725" s="40" t="n"/>
      <c r="B725" s="35" t="n"/>
      <c r="C725" s="35" t="n"/>
      <c r="D725" s="9">
        <f>IF(C725="","",IFERROR(VLOOKUP(C725,Settings!$E$5:$G$28,3,FALSE),"Other"))</f>
        <v/>
      </c>
      <c r="E725" s="35" t="n"/>
      <c r="F725" s="35" t="n"/>
      <c r="G725" s="35" t="n"/>
      <c r="H725" s="37" t="n"/>
      <c r="I725" s="39">
        <f>IF(B725="","",G725*H725)</f>
        <v/>
      </c>
      <c r="J725" s="35" t="n"/>
      <c r="K725" s="35" t="n"/>
      <c r="L725" s="35" t="n"/>
      <c r="M725" s="9">
        <f>IF(B725="","",IF(COUNTIF(Jobs!$A$5:$A$44,B725)=0,"Unknown Job ID",IF(C725="","Missing cost code",IF(COUNTIF(Settings!$E$5:$E$28,C725)=0,"Unknown cost code",IF(A725="","Missing date",IF(OR(G725="",H725=""),"Missing qty or cost",""))))))</f>
        <v/>
      </c>
      <c r="N725" s="35" t="n"/>
    </row>
    <row r="726">
      <c r="A726" s="40" t="n"/>
      <c r="B726" s="35" t="n"/>
      <c r="C726" s="35" t="n"/>
      <c r="D726" s="9">
        <f>IF(C726="","",IFERROR(VLOOKUP(C726,Settings!$E$5:$G$28,3,FALSE),"Other"))</f>
        <v/>
      </c>
      <c r="E726" s="35" t="n"/>
      <c r="F726" s="35" t="n"/>
      <c r="G726" s="35" t="n"/>
      <c r="H726" s="37" t="n"/>
      <c r="I726" s="39">
        <f>IF(B726="","",G726*H726)</f>
        <v/>
      </c>
      <c r="J726" s="35" t="n"/>
      <c r="K726" s="35" t="n"/>
      <c r="L726" s="35" t="n"/>
      <c r="M726" s="9">
        <f>IF(B726="","",IF(COUNTIF(Jobs!$A$5:$A$44,B726)=0,"Unknown Job ID",IF(C726="","Missing cost code",IF(COUNTIF(Settings!$E$5:$E$28,C726)=0,"Unknown cost code",IF(A726="","Missing date",IF(OR(G726="",H726=""),"Missing qty or cost",""))))))</f>
        <v/>
      </c>
      <c r="N726" s="35" t="n"/>
    </row>
    <row r="727">
      <c r="A727" s="40" t="n"/>
      <c r="B727" s="35" t="n"/>
      <c r="C727" s="35" t="n"/>
      <c r="D727" s="9">
        <f>IF(C727="","",IFERROR(VLOOKUP(C727,Settings!$E$5:$G$28,3,FALSE),"Other"))</f>
        <v/>
      </c>
      <c r="E727" s="35" t="n"/>
      <c r="F727" s="35" t="n"/>
      <c r="G727" s="35" t="n"/>
      <c r="H727" s="37" t="n"/>
      <c r="I727" s="39">
        <f>IF(B727="","",G727*H727)</f>
        <v/>
      </c>
      <c r="J727" s="35" t="n"/>
      <c r="K727" s="35" t="n"/>
      <c r="L727" s="35" t="n"/>
      <c r="M727" s="9">
        <f>IF(B727="","",IF(COUNTIF(Jobs!$A$5:$A$44,B727)=0,"Unknown Job ID",IF(C727="","Missing cost code",IF(COUNTIF(Settings!$E$5:$E$28,C727)=0,"Unknown cost code",IF(A727="","Missing date",IF(OR(G727="",H727=""),"Missing qty or cost",""))))))</f>
        <v/>
      </c>
      <c r="N727" s="35" t="n"/>
    </row>
    <row r="728">
      <c r="A728" s="40" t="n"/>
      <c r="B728" s="35" t="n"/>
      <c r="C728" s="35" t="n"/>
      <c r="D728" s="9">
        <f>IF(C728="","",IFERROR(VLOOKUP(C728,Settings!$E$5:$G$28,3,FALSE),"Other"))</f>
        <v/>
      </c>
      <c r="E728" s="35" t="n"/>
      <c r="F728" s="35" t="n"/>
      <c r="G728" s="35" t="n"/>
      <c r="H728" s="37" t="n"/>
      <c r="I728" s="39">
        <f>IF(B728="","",G728*H728)</f>
        <v/>
      </c>
      <c r="J728" s="35" t="n"/>
      <c r="K728" s="35" t="n"/>
      <c r="L728" s="35" t="n"/>
      <c r="M728" s="9">
        <f>IF(B728="","",IF(COUNTIF(Jobs!$A$5:$A$44,B728)=0,"Unknown Job ID",IF(C728="","Missing cost code",IF(COUNTIF(Settings!$E$5:$E$28,C728)=0,"Unknown cost code",IF(A728="","Missing date",IF(OR(G728="",H728=""),"Missing qty or cost",""))))))</f>
        <v/>
      </c>
      <c r="N728" s="35" t="n"/>
    </row>
    <row r="729">
      <c r="A729" s="40" t="n"/>
      <c r="B729" s="35" t="n"/>
      <c r="C729" s="35" t="n"/>
      <c r="D729" s="9">
        <f>IF(C729="","",IFERROR(VLOOKUP(C729,Settings!$E$5:$G$28,3,FALSE),"Other"))</f>
        <v/>
      </c>
      <c r="E729" s="35" t="n"/>
      <c r="F729" s="35" t="n"/>
      <c r="G729" s="35" t="n"/>
      <c r="H729" s="37" t="n"/>
      <c r="I729" s="39">
        <f>IF(B729="","",G729*H729)</f>
        <v/>
      </c>
      <c r="J729" s="35" t="n"/>
      <c r="K729" s="35" t="n"/>
      <c r="L729" s="35" t="n"/>
      <c r="M729" s="9">
        <f>IF(B729="","",IF(COUNTIF(Jobs!$A$5:$A$44,B729)=0,"Unknown Job ID",IF(C729="","Missing cost code",IF(COUNTIF(Settings!$E$5:$E$28,C729)=0,"Unknown cost code",IF(A729="","Missing date",IF(OR(G729="",H729=""),"Missing qty or cost",""))))))</f>
        <v/>
      </c>
      <c r="N729" s="35" t="n"/>
    </row>
    <row r="730">
      <c r="A730" s="40" t="n"/>
      <c r="B730" s="35" t="n"/>
      <c r="C730" s="35" t="n"/>
      <c r="D730" s="9">
        <f>IF(C730="","",IFERROR(VLOOKUP(C730,Settings!$E$5:$G$28,3,FALSE),"Other"))</f>
        <v/>
      </c>
      <c r="E730" s="35" t="n"/>
      <c r="F730" s="35" t="n"/>
      <c r="G730" s="35" t="n"/>
      <c r="H730" s="37" t="n"/>
      <c r="I730" s="39">
        <f>IF(B730="","",G730*H730)</f>
        <v/>
      </c>
      <c r="J730" s="35" t="n"/>
      <c r="K730" s="35" t="n"/>
      <c r="L730" s="35" t="n"/>
      <c r="M730" s="9">
        <f>IF(B730="","",IF(COUNTIF(Jobs!$A$5:$A$44,B730)=0,"Unknown Job ID",IF(C730="","Missing cost code",IF(COUNTIF(Settings!$E$5:$E$28,C730)=0,"Unknown cost code",IF(A730="","Missing date",IF(OR(G730="",H730=""),"Missing qty or cost",""))))))</f>
        <v/>
      </c>
      <c r="N730" s="35" t="n"/>
    </row>
    <row r="731">
      <c r="A731" s="40" t="n"/>
      <c r="B731" s="35" t="n"/>
      <c r="C731" s="35" t="n"/>
      <c r="D731" s="9">
        <f>IF(C731="","",IFERROR(VLOOKUP(C731,Settings!$E$5:$G$28,3,FALSE),"Other"))</f>
        <v/>
      </c>
      <c r="E731" s="35" t="n"/>
      <c r="F731" s="35" t="n"/>
      <c r="G731" s="35" t="n"/>
      <c r="H731" s="37" t="n"/>
      <c r="I731" s="39">
        <f>IF(B731="","",G731*H731)</f>
        <v/>
      </c>
      <c r="J731" s="35" t="n"/>
      <c r="K731" s="35" t="n"/>
      <c r="L731" s="35" t="n"/>
      <c r="M731" s="9">
        <f>IF(B731="","",IF(COUNTIF(Jobs!$A$5:$A$44,B731)=0,"Unknown Job ID",IF(C731="","Missing cost code",IF(COUNTIF(Settings!$E$5:$E$28,C731)=0,"Unknown cost code",IF(A731="","Missing date",IF(OR(G731="",H731=""),"Missing qty or cost",""))))))</f>
        <v/>
      </c>
      <c r="N731" s="35" t="n"/>
    </row>
    <row r="732">
      <c r="A732" s="40" t="n"/>
      <c r="B732" s="35" t="n"/>
      <c r="C732" s="35" t="n"/>
      <c r="D732" s="9">
        <f>IF(C732="","",IFERROR(VLOOKUP(C732,Settings!$E$5:$G$28,3,FALSE),"Other"))</f>
        <v/>
      </c>
      <c r="E732" s="35" t="n"/>
      <c r="F732" s="35" t="n"/>
      <c r="G732" s="35" t="n"/>
      <c r="H732" s="37" t="n"/>
      <c r="I732" s="39">
        <f>IF(B732="","",G732*H732)</f>
        <v/>
      </c>
      <c r="J732" s="35" t="n"/>
      <c r="K732" s="35" t="n"/>
      <c r="L732" s="35" t="n"/>
      <c r="M732" s="9">
        <f>IF(B732="","",IF(COUNTIF(Jobs!$A$5:$A$44,B732)=0,"Unknown Job ID",IF(C732="","Missing cost code",IF(COUNTIF(Settings!$E$5:$E$28,C732)=0,"Unknown cost code",IF(A732="","Missing date",IF(OR(G732="",H732=""),"Missing qty or cost",""))))))</f>
        <v/>
      </c>
      <c r="N732" s="35" t="n"/>
    </row>
    <row r="733">
      <c r="A733" s="40" t="n"/>
      <c r="B733" s="35" t="n"/>
      <c r="C733" s="35" t="n"/>
      <c r="D733" s="9">
        <f>IF(C733="","",IFERROR(VLOOKUP(C733,Settings!$E$5:$G$28,3,FALSE),"Other"))</f>
        <v/>
      </c>
      <c r="E733" s="35" t="n"/>
      <c r="F733" s="35" t="n"/>
      <c r="G733" s="35" t="n"/>
      <c r="H733" s="37" t="n"/>
      <c r="I733" s="39">
        <f>IF(B733="","",G733*H733)</f>
        <v/>
      </c>
      <c r="J733" s="35" t="n"/>
      <c r="K733" s="35" t="n"/>
      <c r="L733" s="35" t="n"/>
      <c r="M733" s="9">
        <f>IF(B733="","",IF(COUNTIF(Jobs!$A$5:$A$44,B733)=0,"Unknown Job ID",IF(C733="","Missing cost code",IF(COUNTIF(Settings!$E$5:$E$28,C733)=0,"Unknown cost code",IF(A733="","Missing date",IF(OR(G733="",H733=""),"Missing qty or cost",""))))))</f>
        <v/>
      </c>
      <c r="N733" s="35" t="n"/>
    </row>
    <row r="734">
      <c r="A734" s="40" t="n"/>
      <c r="B734" s="35" t="n"/>
      <c r="C734" s="35" t="n"/>
      <c r="D734" s="9">
        <f>IF(C734="","",IFERROR(VLOOKUP(C734,Settings!$E$5:$G$28,3,FALSE),"Other"))</f>
        <v/>
      </c>
      <c r="E734" s="35" t="n"/>
      <c r="F734" s="35" t="n"/>
      <c r="G734" s="35" t="n"/>
      <c r="H734" s="37" t="n"/>
      <c r="I734" s="39">
        <f>IF(B734="","",G734*H734)</f>
        <v/>
      </c>
      <c r="J734" s="35" t="n"/>
      <c r="K734" s="35" t="n"/>
      <c r="L734" s="35" t="n"/>
      <c r="M734" s="9">
        <f>IF(B734="","",IF(COUNTIF(Jobs!$A$5:$A$44,B734)=0,"Unknown Job ID",IF(C734="","Missing cost code",IF(COUNTIF(Settings!$E$5:$E$28,C734)=0,"Unknown cost code",IF(A734="","Missing date",IF(OR(G734="",H734=""),"Missing qty or cost",""))))))</f>
        <v/>
      </c>
      <c r="N734" s="35" t="n"/>
    </row>
    <row r="735">
      <c r="A735" s="40" t="n"/>
      <c r="B735" s="35" t="n"/>
      <c r="C735" s="35" t="n"/>
      <c r="D735" s="9">
        <f>IF(C735="","",IFERROR(VLOOKUP(C735,Settings!$E$5:$G$28,3,FALSE),"Other"))</f>
        <v/>
      </c>
      <c r="E735" s="35" t="n"/>
      <c r="F735" s="35" t="n"/>
      <c r="G735" s="35" t="n"/>
      <c r="H735" s="37" t="n"/>
      <c r="I735" s="39">
        <f>IF(B735="","",G735*H735)</f>
        <v/>
      </c>
      <c r="J735" s="35" t="n"/>
      <c r="K735" s="35" t="n"/>
      <c r="L735" s="35" t="n"/>
      <c r="M735" s="9">
        <f>IF(B735="","",IF(COUNTIF(Jobs!$A$5:$A$44,B735)=0,"Unknown Job ID",IF(C735="","Missing cost code",IF(COUNTIF(Settings!$E$5:$E$28,C735)=0,"Unknown cost code",IF(A735="","Missing date",IF(OR(G735="",H735=""),"Missing qty or cost",""))))))</f>
        <v/>
      </c>
      <c r="N735" s="35" t="n"/>
    </row>
    <row r="736">
      <c r="A736" s="40" t="n"/>
      <c r="B736" s="35" t="n"/>
      <c r="C736" s="35" t="n"/>
      <c r="D736" s="9">
        <f>IF(C736="","",IFERROR(VLOOKUP(C736,Settings!$E$5:$G$28,3,FALSE),"Other"))</f>
        <v/>
      </c>
      <c r="E736" s="35" t="n"/>
      <c r="F736" s="35" t="n"/>
      <c r="G736" s="35" t="n"/>
      <c r="H736" s="37" t="n"/>
      <c r="I736" s="39">
        <f>IF(B736="","",G736*H736)</f>
        <v/>
      </c>
      <c r="J736" s="35" t="n"/>
      <c r="K736" s="35" t="n"/>
      <c r="L736" s="35" t="n"/>
      <c r="M736" s="9">
        <f>IF(B736="","",IF(COUNTIF(Jobs!$A$5:$A$44,B736)=0,"Unknown Job ID",IF(C736="","Missing cost code",IF(COUNTIF(Settings!$E$5:$E$28,C736)=0,"Unknown cost code",IF(A736="","Missing date",IF(OR(G736="",H736=""),"Missing qty or cost",""))))))</f>
        <v/>
      </c>
      <c r="N736" s="35" t="n"/>
    </row>
    <row r="737">
      <c r="A737" s="40" t="n"/>
      <c r="B737" s="35" t="n"/>
      <c r="C737" s="35" t="n"/>
      <c r="D737" s="9">
        <f>IF(C737="","",IFERROR(VLOOKUP(C737,Settings!$E$5:$G$28,3,FALSE),"Other"))</f>
        <v/>
      </c>
      <c r="E737" s="35" t="n"/>
      <c r="F737" s="35" t="n"/>
      <c r="G737" s="35" t="n"/>
      <c r="H737" s="37" t="n"/>
      <c r="I737" s="39">
        <f>IF(B737="","",G737*H737)</f>
        <v/>
      </c>
      <c r="J737" s="35" t="n"/>
      <c r="K737" s="35" t="n"/>
      <c r="L737" s="35" t="n"/>
      <c r="M737" s="9">
        <f>IF(B737="","",IF(COUNTIF(Jobs!$A$5:$A$44,B737)=0,"Unknown Job ID",IF(C737="","Missing cost code",IF(COUNTIF(Settings!$E$5:$E$28,C737)=0,"Unknown cost code",IF(A737="","Missing date",IF(OR(G737="",H737=""),"Missing qty or cost",""))))))</f>
        <v/>
      </c>
      <c r="N737" s="35" t="n"/>
    </row>
    <row r="738">
      <c r="A738" s="40" t="n"/>
      <c r="B738" s="35" t="n"/>
      <c r="C738" s="35" t="n"/>
      <c r="D738" s="9">
        <f>IF(C738="","",IFERROR(VLOOKUP(C738,Settings!$E$5:$G$28,3,FALSE),"Other"))</f>
        <v/>
      </c>
      <c r="E738" s="35" t="n"/>
      <c r="F738" s="35" t="n"/>
      <c r="G738" s="35" t="n"/>
      <c r="H738" s="37" t="n"/>
      <c r="I738" s="39">
        <f>IF(B738="","",G738*H738)</f>
        <v/>
      </c>
      <c r="J738" s="35" t="n"/>
      <c r="K738" s="35" t="n"/>
      <c r="L738" s="35" t="n"/>
      <c r="M738" s="9">
        <f>IF(B738="","",IF(COUNTIF(Jobs!$A$5:$A$44,B738)=0,"Unknown Job ID",IF(C738="","Missing cost code",IF(COUNTIF(Settings!$E$5:$E$28,C738)=0,"Unknown cost code",IF(A738="","Missing date",IF(OR(G738="",H738=""),"Missing qty or cost",""))))))</f>
        <v/>
      </c>
      <c r="N738" s="35" t="n"/>
    </row>
    <row r="739">
      <c r="A739" s="40" t="n"/>
      <c r="B739" s="35" t="n"/>
      <c r="C739" s="35" t="n"/>
      <c r="D739" s="9">
        <f>IF(C739="","",IFERROR(VLOOKUP(C739,Settings!$E$5:$G$28,3,FALSE),"Other"))</f>
        <v/>
      </c>
      <c r="E739" s="35" t="n"/>
      <c r="F739" s="35" t="n"/>
      <c r="G739" s="35" t="n"/>
      <c r="H739" s="37" t="n"/>
      <c r="I739" s="39">
        <f>IF(B739="","",G739*H739)</f>
        <v/>
      </c>
      <c r="J739" s="35" t="n"/>
      <c r="K739" s="35" t="n"/>
      <c r="L739" s="35" t="n"/>
      <c r="M739" s="9">
        <f>IF(B739="","",IF(COUNTIF(Jobs!$A$5:$A$44,B739)=0,"Unknown Job ID",IF(C739="","Missing cost code",IF(COUNTIF(Settings!$E$5:$E$28,C739)=0,"Unknown cost code",IF(A739="","Missing date",IF(OR(G739="",H739=""),"Missing qty or cost",""))))))</f>
        <v/>
      </c>
      <c r="N739" s="35" t="n"/>
    </row>
    <row r="740">
      <c r="A740" s="40" t="n"/>
      <c r="B740" s="35" t="n"/>
      <c r="C740" s="35" t="n"/>
      <c r="D740" s="9">
        <f>IF(C740="","",IFERROR(VLOOKUP(C740,Settings!$E$5:$G$28,3,FALSE),"Other"))</f>
        <v/>
      </c>
      <c r="E740" s="35" t="n"/>
      <c r="F740" s="35" t="n"/>
      <c r="G740" s="35" t="n"/>
      <c r="H740" s="37" t="n"/>
      <c r="I740" s="39">
        <f>IF(B740="","",G740*H740)</f>
        <v/>
      </c>
      <c r="J740" s="35" t="n"/>
      <c r="K740" s="35" t="n"/>
      <c r="L740" s="35" t="n"/>
      <c r="M740" s="9">
        <f>IF(B740="","",IF(COUNTIF(Jobs!$A$5:$A$44,B740)=0,"Unknown Job ID",IF(C740="","Missing cost code",IF(COUNTIF(Settings!$E$5:$E$28,C740)=0,"Unknown cost code",IF(A740="","Missing date",IF(OR(G740="",H740=""),"Missing qty or cost",""))))))</f>
        <v/>
      </c>
      <c r="N740" s="35" t="n"/>
    </row>
    <row r="741">
      <c r="A741" s="40" t="n"/>
      <c r="B741" s="35" t="n"/>
      <c r="C741" s="35" t="n"/>
      <c r="D741" s="9">
        <f>IF(C741="","",IFERROR(VLOOKUP(C741,Settings!$E$5:$G$28,3,FALSE),"Other"))</f>
        <v/>
      </c>
      <c r="E741" s="35" t="n"/>
      <c r="F741" s="35" t="n"/>
      <c r="G741" s="35" t="n"/>
      <c r="H741" s="37" t="n"/>
      <c r="I741" s="39">
        <f>IF(B741="","",G741*H741)</f>
        <v/>
      </c>
      <c r="J741" s="35" t="n"/>
      <c r="K741" s="35" t="n"/>
      <c r="L741" s="35" t="n"/>
      <c r="M741" s="9">
        <f>IF(B741="","",IF(COUNTIF(Jobs!$A$5:$A$44,B741)=0,"Unknown Job ID",IF(C741="","Missing cost code",IF(COUNTIF(Settings!$E$5:$E$28,C741)=0,"Unknown cost code",IF(A741="","Missing date",IF(OR(G741="",H741=""),"Missing qty or cost",""))))))</f>
        <v/>
      </c>
      <c r="N741" s="35" t="n"/>
    </row>
    <row r="742">
      <c r="A742" s="40" t="n"/>
      <c r="B742" s="35" t="n"/>
      <c r="C742" s="35" t="n"/>
      <c r="D742" s="9">
        <f>IF(C742="","",IFERROR(VLOOKUP(C742,Settings!$E$5:$G$28,3,FALSE),"Other"))</f>
        <v/>
      </c>
      <c r="E742" s="35" t="n"/>
      <c r="F742" s="35" t="n"/>
      <c r="G742" s="35" t="n"/>
      <c r="H742" s="37" t="n"/>
      <c r="I742" s="39">
        <f>IF(B742="","",G742*H742)</f>
        <v/>
      </c>
      <c r="J742" s="35" t="n"/>
      <c r="K742" s="35" t="n"/>
      <c r="L742" s="35" t="n"/>
      <c r="M742" s="9">
        <f>IF(B742="","",IF(COUNTIF(Jobs!$A$5:$A$44,B742)=0,"Unknown Job ID",IF(C742="","Missing cost code",IF(COUNTIF(Settings!$E$5:$E$28,C742)=0,"Unknown cost code",IF(A742="","Missing date",IF(OR(G742="",H742=""),"Missing qty or cost",""))))))</f>
        <v/>
      </c>
      <c r="N742" s="35" t="n"/>
    </row>
    <row r="743">
      <c r="A743" s="40" t="n"/>
      <c r="B743" s="35" t="n"/>
      <c r="C743" s="35" t="n"/>
      <c r="D743" s="9">
        <f>IF(C743="","",IFERROR(VLOOKUP(C743,Settings!$E$5:$G$28,3,FALSE),"Other"))</f>
        <v/>
      </c>
      <c r="E743" s="35" t="n"/>
      <c r="F743" s="35" t="n"/>
      <c r="G743" s="35" t="n"/>
      <c r="H743" s="37" t="n"/>
      <c r="I743" s="39">
        <f>IF(B743="","",G743*H743)</f>
        <v/>
      </c>
      <c r="J743" s="35" t="n"/>
      <c r="K743" s="35" t="n"/>
      <c r="L743" s="35" t="n"/>
      <c r="M743" s="9">
        <f>IF(B743="","",IF(COUNTIF(Jobs!$A$5:$A$44,B743)=0,"Unknown Job ID",IF(C743="","Missing cost code",IF(COUNTIF(Settings!$E$5:$E$28,C743)=0,"Unknown cost code",IF(A743="","Missing date",IF(OR(G743="",H743=""),"Missing qty or cost",""))))))</f>
        <v/>
      </c>
      <c r="N743" s="35" t="n"/>
    </row>
    <row r="744">
      <c r="A744" s="40" t="n"/>
      <c r="B744" s="35" t="n"/>
      <c r="C744" s="35" t="n"/>
      <c r="D744" s="9">
        <f>IF(C744="","",IFERROR(VLOOKUP(C744,Settings!$E$5:$G$28,3,FALSE),"Other"))</f>
        <v/>
      </c>
      <c r="E744" s="35" t="n"/>
      <c r="F744" s="35" t="n"/>
      <c r="G744" s="35" t="n"/>
      <c r="H744" s="37" t="n"/>
      <c r="I744" s="39">
        <f>IF(B744="","",G744*H744)</f>
        <v/>
      </c>
      <c r="J744" s="35" t="n"/>
      <c r="K744" s="35" t="n"/>
      <c r="L744" s="35" t="n"/>
      <c r="M744" s="9">
        <f>IF(B744="","",IF(COUNTIF(Jobs!$A$5:$A$44,B744)=0,"Unknown Job ID",IF(C744="","Missing cost code",IF(COUNTIF(Settings!$E$5:$E$28,C744)=0,"Unknown cost code",IF(A744="","Missing date",IF(OR(G744="",H744=""),"Missing qty or cost",""))))))</f>
        <v/>
      </c>
      <c r="N744" s="35" t="n"/>
    </row>
    <row r="745">
      <c r="A745" s="40" t="n"/>
      <c r="B745" s="35" t="n"/>
      <c r="C745" s="35" t="n"/>
      <c r="D745" s="9">
        <f>IF(C745="","",IFERROR(VLOOKUP(C745,Settings!$E$5:$G$28,3,FALSE),"Other"))</f>
        <v/>
      </c>
      <c r="E745" s="35" t="n"/>
      <c r="F745" s="35" t="n"/>
      <c r="G745" s="35" t="n"/>
      <c r="H745" s="37" t="n"/>
      <c r="I745" s="39">
        <f>IF(B745="","",G745*H745)</f>
        <v/>
      </c>
      <c r="J745" s="35" t="n"/>
      <c r="K745" s="35" t="n"/>
      <c r="L745" s="35" t="n"/>
      <c r="M745" s="9">
        <f>IF(B745="","",IF(COUNTIF(Jobs!$A$5:$A$44,B745)=0,"Unknown Job ID",IF(C745="","Missing cost code",IF(COUNTIF(Settings!$E$5:$E$28,C745)=0,"Unknown cost code",IF(A745="","Missing date",IF(OR(G745="",H745=""),"Missing qty or cost",""))))))</f>
        <v/>
      </c>
      <c r="N745" s="35" t="n"/>
    </row>
    <row r="746">
      <c r="A746" s="40" t="n"/>
      <c r="B746" s="35" t="n"/>
      <c r="C746" s="35" t="n"/>
      <c r="D746" s="9">
        <f>IF(C746="","",IFERROR(VLOOKUP(C746,Settings!$E$5:$G$28,3,FALSE),"Other"))</f>
        <v/>
      </c>
      <c r="E746" s="35" t="n"/>
      <c r="F746" s="35" t="n"/>
      <c r="G746" s="35" t="n"/>
      <c r="H746" s="37" t="n"/>
      <c r="I746" s="39">
        <f>IF(B746="","",G746*H746)</f>
        <v/>
      </c>
      <c r="J746" s="35" t="n"/>
      <c r="K746" s="35" t="n"/>
      <c r="L746" s="35" t="n"/>
      <c r="M746" s="9">
        <f>IF(B746="","",IF(COUNTIF(Jobs!$A$5:$A$44,B746)=0,"Unknown Job ID",IF(C746="","Missing cost code",IF(COUNTIF(Settings!$E$5:$E$28,C746)=0,"Unknown cost code",IF(A746="","Missing date",IF(OR(G746="",H746=""),"Missing qty or cost",""))))))</f>
        <v/>
      </c>
      <c r="N746" s="35" t="n"/>
    </row>
    <row r="747">
      <c r="A747" s="40" t="n"/>
      <c r="B747" s="35" t="n"/>
      <c r="C747" s="35" t="n"/>
      <c r="D747" s="9">
        <f>IF(C747="","",IFERROR(VLOOKUP(C747,Settings!$E$5:$G$28,3,FALSE),"Other"))</f>
        <v/>
      </c>
      <c r="E747" s="35" t="n"/>
      <c r="F747" s="35" t="n"/>
      <c r="G747" s="35" t="n"/>
      <c r="H747" s="37" t="n"/>
      <c r="I747" s="39">
        <f>IF(B747="","",G747*H747)</f>
        <v/>
      </c>
      <c r="J747" s="35" t="n"/>
      <c r="K747" s="35" t="n"/>
      <c r="L747" s="35" t="n"/>
      <c r="M747" s="9">
        <f>IF(B747="","",IF(COUNTIF(Jobs!$A$5:$A$44,B747)=0,"Unknown Job ID",IF(C747="","Missing cost code",IF(COUNTIF(Settings!$E$5:$E$28,C747)=0,"Unknown cost code",IF(A747="","Missing date",IF(OR(G747="",H747=""),"Missing qty or cost",""))))))</f>
        <v/>
      </c>
      <c r="N747" s="35" t="n"/>
    </row>
    <row r="748">
      <c r="A748" s="40" t="n"/>
      <c r="B748" s="35" t="n"/>
      <c r="C748" s="35" t="n"/>
      <c r="D748" s="9">
        <f>IF(C748="","",IFERROR(VLOOKUP(C748,Settings!$E$5:$G$28,3,FALSE),"Other"))</f>
        <v/>
      </c>
      <c r="E748" s="35" t="n"/>
      <c r="F748" s="35" t="n"/>
      <c r="G748" s="35" t="n"/>
      <c r="H748" s="37" t="n"/>
      <c r="I748" s="39">
        <f>IF(B748="","",G748*H748)</f>
        <v/>
      </c>
      <c r="J748" s="35" t="n"/>
      <c r="K748" s="35" t="n"/>
      <c r="L748" s="35" t="n"/>
      <c r="M748" s="9">
        <f>IF(B748="","",IF(COUNTIF(Jobs!$A$5:$A$44,B748)=0,"Unknown Job ID",IF(C748="","Missing cost code",IF(COUNTIF(Settings!$E$5:$E$28,C748)=0,"Unknown cost code",IF(A748="","Missing date",IF(OR(G748="",H748=""),"Missing qty or cost",""))))))</f>
        <v/>
      </c>
      <c r="N748" s="35" t="n"/>
    </row>
    <row r="749">
      <c r="A749" s="40" t="n"/>
      <c r="B749" s="35" t="n"/>
      <c r="C749" s="35" t="n"/>
      <c r="D749" s="9">
        <f>IF(C749="","",IFERROR(VLOOKUP(C749,Settings!$E$5:$G$28,3,FALSE),"Other"))</f>
        <v/>
      </c>
      <c r="E749" s="35" t="n"/>
      <c r="F749" s="35" t="n"/>
      <c r="G749" s="35" t="n"/>
      <c r="H749" s="37" t="n"/>
      <c r="I749" s="39">
        <f>IF(B749="","",G749*H749)</f>
        <v/>
      </c>
      <c r="J749" s="35" t="n"/>
      <c r="K749" s="35" t="n"/>
      <c r="L749" s="35" t="n"/>
      <c r="M749" s="9">
        <f>IF(B749="","",IF(COUNTIF(Jobs!$A$5:$A$44,B749)=0,"Unknown Job ID",IF(C749="","Missing cost code",IF(COUNTIF(Settings!$E$5:$E$28,C749)=0,"Unknown cost code",IF(A749="","Missing date",IF(OR(G749="",H749=""),"Missing qty or cost",""))))))</f>
        <v/>
      </c>
      <c r="N749" s="35" t="n"/>
    </row>
    <row r="750">
      <c r="A750" s="40" t="n"/>
      <c r="B750" s="35" t="n"/>
      <c r="C750" s="35" t="n"/>
      <c r="D750" s="9">
        <f>IF(C750="","",IFERROR(VLOOKUP(C750,Settings!$E$5:$G$28,3,FALSE),"Other"))</f>
        <v/>
      </c>
      <c r="E750" s="35" t="n"/>
      <c r="F750" s="35" t="n"/>
      <c r="G750" s="35" t="n"/>
      <c r="H750" s="37" t="n"/>
      <c r="I750" s="39">
        <f>IF(B750="","",G750*H750)</f>
        <v/>
      </c>
      <c r="J750" s="35" t="n"/>
      <c r="K750" s="35" t="n"/>
      <c r="L750" s="35" t="n"/>
      <c r="M750" s="9">
        <f>IF(B750="","",IF(COUNTIF(Jobs!$A$5:$A$44,B750)=0,"Unknown Job ID",IF(C750="","Missing cost code",IF(COUNTIF(Settings!$E$5:$E$28,C750)=0,"Unknown cost code",IF(A750="","Missing date",IF(OR(G750="",H750=""),"Missing qty or cost",""))))))</f>
        <v/>
      </c>
      <c r="N750" s="35" t="n"/>
    </row>
    <row r="751">
      <c r="A751" s="40" t="n"/>
      <c r="B751" s="35" t="n"/>
      <c r="C751" s="35" t="n"/>
      <c r="D751" s="9">
        <f>IF(C751="","",IFERROR(VLOOKUP(C751,Settings!$E$5:$G$28,3,FALSE),"Other"))</f>
        <v/>
      </c>
      <c r="E751" s="35" t="n"/>
      <c r="F751" s="35" t="n"/>
      <c r="G751" s="35" t="n"/>
      <c r="H751" s="37" t="n"/>
      <c r="I751" s="39">
        <f>IF(B751="","",G751*H751)</f>
        <v/>
      </c>
      <c r="J751" s="35" t="n"/>
      <c r="K751" s="35" t="n"/>
      <c r="L751" s="35" t="n"/>
      <c r="M751" s="9">
        <f>IF(B751="","",IF(COUNTIF(Jobs!$A$5:$A$44,B751)=0,"Unknown Job ID",IF(C751="","Missing cost code",IF(COUNTIF(Settings!$E$5:$E$28,C751)=0,"Unknown cost code",IF(A751="","Missing date",IF(OR(G751="",H751=""),"Missing qty or cost",""))))))</f>
        <v/>
      </c>
      <c r="N751" s="35" t="n"/>
    </row>
    <row r="752">
      <c r="A752" s="40" t="n"/>
      <c r="B752" s="35" t="n"/>
      <c r="C752" s="35" t="n"/>
      <c r="D752" s="9">
        <f>IF(C752="","",IFERROR(VLOOKUP(C752,Settings!$E$5:$G$28,3,FALSE),"Other"))</f>
        <v/>
      </c>
      <c r="E752" s="35" t="n"/>
      <c r="F752" s="35" t="n"/>
      <c r="G752" s="35" t="n"/>
      <c r="H752" s="37" t="n"/>
      <c r="I752" s="39">
        <f>IF(B752="","",G752*H752)</f>
        <v/>
      </c>
      <c r="J752" s="35" t="n"/>
      <c r="K752" s="35" t="n"/>
      <c r="L752" s="35" t="n"/>
      <c r="M752" s="9">
        <f>IF(B752="","",IF(COUNTIF(Jobs!$A$5:$A$44,B752)=0,"Unknown Job ID",IF(C752="","Missing cost code",IF(COUNTIF(Settings!$E$5:$E$28,C752)=0,"Unknown cost code",IF(A752="","Missing date",IF(OR(G752="",H752=""),"Missing qty or cost",""))))))</f>
        <v/>
      </c>
      <c r="N752" s="35" t="n"/>
    </row>
    <row r="753">
      <c r="A753" s="40" t="n"/>
      <c r="B753" s="35" t="n"/>
      <c r="C753" s="35" t="n"/>
      <c r="D753" s="9">
        <f>IF(C753="","",IFERROR(VLOOKUP(C753,Settings!$E$5:$G$28,3,FALSE),"Other"))</f>
        <v/>
      </c>
      <c r="E753" s="35" t="n"/>
      <c r="F753" s="35" t="n"/>
      <c r="G753" s="35" t="n"/>
      <c r="H753" s="37" t="n"/>
      <c r="I753" s="39">
        <f>IF(B753="","",G753*H753)</f>
        <v/>
      </c>
      <c r="J753" s="35" t="n"/>
      <c r="K753" s="35" t="n"/>
      <c r="L753" s="35" t="n"/>
      <c r="M753" s="9">
        <f>IF(B753="","",IF(COUNTIF(Jobs!$A$5:$A$44,B753)=0,"Unknown Job ID",IF(C753="","Missing cost code",IF(COUNTIF(Settings!$E$5:$E$28,C753)=0,"Unknown cost code",IF(A753="","Missing date",IF(OR(G753="",H753=""),"Missing qty or cost",""))))))</f>
        <v/>
      </c>
      <c r="N753" s="35" t="n"/>
    </row>
    <row r="754">
      <c r="A754" s="40" t="n"/>
      <c r="B754" s="35" t="n"/>
      <c r="C754" s="35" t="n"/>
      <c r="D754" s="9">
        <f>IF(C754="","",IFERROR(VLOOKUP(C754,Settings!$E$5:$G$28,3,FALSE),"Other"))</f>
        <v/>
      </c>
      <c r="E754" s="35" t="n"/>
      <c r="F754" s="35" t="n"/>
      <c r="G754" s="35" t="n"/>
      <c r="H754" s="37" t="n"/>
      <c r="I754" s="39">
        <f>IF(B754="","",G754*H754)</f>
        <v/>
      </c>
      <c r="J754" s="35" t="n"/>
      <c r="K754" s="35" t="n"/>
      <c r="L754" s="35" t="n"/>
      <c r="M754" s="9">
        <f>IF(B754="","",IF(COUNTIF(Jobs!$A$5:$A$44,B754)=0,"Unknown Job ID",IF(C754="","Missing cost code",IF(COUNTIF(Settings!$E$5:$E$28,C754)=0,"Unknown cost code",IF(A754="","Missing date",IF(OR(G754="",H754=""),"Missing qty or cost",""))))))</f>
        <v/>
      </c>
      <c r="N754" s="35" t="n"/>
    </row>
    <row r="755">
      <c r="A755" s="40" t="n"/>
      <c r="B755" s="35" t="n"/>
      <c r="C755" s="35" t="n"/>
      <c r="D755" s="9">
        <f>IF(C755="","",IFERROR(VLOOKUP(C755,Settings!$E$5:$G$28,3,FALSE),"Other"))</f>
        <v/>
      </c>
      <c r="E755" s="35" t="n"/>
      <c r="F755" s="35" t="n"/>
      <c r="G755" s="35" t="n"/>
      <c r="H755" s="37" t="n"/>
      <c r="I755" s="39">
        <f>IF(B755="","",G755*H755)</f>
        <v/>
      </c>
      <c r="J755" s="35" t="n"/>
      <c r="K755" s="35" t="n"/>
      <c r="L755" s="35" t="n"/>
      <c r="M755" s="9">
        <f>IF(B755="","",IF(COUNTIF(Jobs!$A$5:$A$44,B755)=0,"Unknown Job ID",IF(C755="","Missing cost code",IF(COUNTIF(Settings!$E$5:$E$28,C755)=0,"Unknown cost code",IF(A755="","Missing date",IF(OR(G755="",H755=""),"Missing qty or cost",""))))))</f>
        <v/>
      </c>
      <c r="N755" s="35" t="n"/>
    </row>
    <row r="756">
      <c r="A756" s="40" t="n"/>
      <c r="B756" s="35" t="n"/>
      <c r="C756" s="35" t="n"/>
      <c r="D756" s="9">
        <f>IF(C756="","",IFERROR(VLOOKUP(C756,Settings!$E$5:$G$28,3,FALSE),"Other"))</f>
        <v/>
      </c>
      <c r="E756" s="35" t="n"/>
      <c r="F756" s="35" t="n"/>
      <c r="G756" s="35" t="n"/>
      <c r="H756" s="37" t="n"/>
      <c r="I756" s="39">
        <f>IF(B756="","",G756*H756)</f>
        <v/>
      </c>
      <c r="J756" s="35" t="n"/>
      <c r="K756" s="35" t="n"/>
      <c r="L756" s="35" t="n"/>
      <c r="M756" s="9">
        <f>IF(B756="","",IF(COUNTIF(Jobs!$A$5:$A$44,B756)=0,"Unknown Job ID",IF(C756="","Missing cost code",IF(COUNTIF(Settings!$E$5:$E$28,C756)=0,"Unknown cost code",IF(A756="","Missing date",IF(OR(G756="",H756=""),"Missing qty or cost",""))))))</f>
        <v/>
      </c>
      <c r="N756" s="35" t="n"/>
    </row>
    <row r="757">
      <c r="A757" s="40" t="n"/>
      <c r="B757" s="35" t="n"/>
      <c r="C757" s="35" t="n"/>
      <c r="D757" s="9">
        <f>IF(C757="","",IFERROR(VLOOKUP(C757,Settings!$E$5:$G$28,3,FALSE),"Other"))</f>
        <v/>
      </c>
      <c r="E757" s="35" t="n"/>
      <c r="F757" s="35" t="n"/>
      <c r="G757" s="35" t="n"/>
      <c r="H757" s="37" t="n"/>
      <c r="I757" s="39">
        <f>IF(B757="","",G757*H757)</f>
        <v/>
      </c>
      <c r="J757" s="35" t="n"/>
      <c r="K757" s="35" t="n"/>
      <c r="L757" s="35" t="n"/>
      <c r="M757" s="9">
        <f>IF(B757="","",IF(COUNTIF(Jobs!$A$5:$A$44,B757)=0,"Unknown Job ID",IF(C757="","Missing cost code",IF(COUNTIF(Settings!$E$5:$E$28,C757)=0,"Unknown cost code",IF(A757="","Missing date",IF(OR(G757="",H757=""),"Missing qty or cost",""))))))</f>
        <v/>
      </c>
      <c r="N757" s="35" t="n"/>
    </row>
    <row r="758">
      <c r="A758" s="40" t="n"/>
      <c r="B758" s="35" t="n"/>
      <c r="C758" s="35" t="n"/>
      <c r="D758" s="9">
        <f>IF(C758="","",IFERROR(VLOOKUP(C758,Settings!$E$5:$G$28,3,FALSE),"Other"))</f>
        <v/>
      </c>
      <c r="E758" s="35" t="n"/>
      <c r="F758" s="35" t="n"/>
      <c r="G758" s="35" t="n"/>
      <c r="H758" s="37" t="n"/>
      <c r="I758" s="39">
        <f>IF(B758="","",G758*H758)</f>
        <v/>
      </c>
      <c r="J758" s="35" t="n"/>
      <c r="K758" s="35" t="n"/>
      <c r="L758" s="35" t="n"/>
      <c r="M758" s="9">
        <f>IF(B758="","",IF(COUNTIF(Jobs!$A$5:$A$44,B758)=0,"Unknown Job ID",IF(C758="","Missing cost code",IF(COUNTIF(Settings!$E$5:$E$28,C758)=0,"Unknown cost code",IF(A758="","Missing date",IF(OR(G758="",H758=""),"Missing qty or cost",""))))))</f>
        <v/>
      </c>
      <c r="N758" s="35" t="n"/>
    </row>
    <row r="759">
      <c r="A759" s="40" t="n"/>
      <c r="B759" s="35" t="n"/>
      <c r="C759" s="35" t="n"/>
      <c r="D759" s="9">
        <f>IF(C759="","",IFERROR(VLOOKUP(C759,Settings!$E$5:$G$28,3,FALSE),"Other"))</f>
        <v/>
      </c>
      <c r="E759" s="35" t="n"/>
      <c r="F759" s="35" t="n"/>
      <c r="G759" s="35" t="n"/>
      <c r="H759" s="37" t="n"/>
      <c r="I759" s="39">
        <f>IF(B759="","",G759*H759)</f>
        <v/>
      </c>
      <c r="J759" s="35" t="n"/>
      <c r="K759" s="35" t="n"/>
      <c r="L759" s="35" t="n"/>
      <c r="M759" s="9">
        <f>IF(B759="","",IF(COUNTIF(Jobs!$A$5:$A$44,B759)=0,"Unknown Job ID",IF(C759="","Missing cost code",IF(COUNTIF(Settings!$E$5:$E$28,C759)=0,"Unknown cost code",IF(A759="","Missing date",IF(OR(G759="",H759=""),"Missing qty or cost",""))))))</f>
        <v/>
      </c>
      <c r="N759" s="35" t="n"/>
    </row>
    <row r="760">
      <c r="A760" s="40" t="n"/>
      <c r="B760" s="35" t="n"/>
      <c r="C760" s="35" t="n"/>
      <c r="D760" s="9">
        <f>IF(C760="","",IFERROR(VLOOKUP(C760,Settings!$E$5:$G$28,3,FALSE),"Other"))</f>
        <v/>
      </c>
      <c r="E760" s="35" t="n"/>
      <c r="F760" s="35" t="n"/>
      <c r="G760" s="35" t="n"/>
      <c r="H760" s="37" t="n"/>
      <c r="I760" s="39">
        <f>IF(B760="","",G760*H760)</f>
        <v/>
      </c>
      <c r="J760" s="35" t="n"/>
      <c r="K760" s="35" t="n"/>
      <c r="L760" s="35" t="n"/>
      <c r="M760" s="9">
        <f>IF(B760="","",IF(COUNTIF(Jobs!$A$5:$A$44,B760)=0,"Unknown Job ID",IF(C760="","Missing cost code",IF(COUNTIF(Settings!$E$5:$E$28,C760)=0,"Unknown cost code",IF(A760="","Missing date",IF(OR(G760="",H760=""),"Missing qty or cost",""))))))</f>
        <v/>
      </c>
      <c r="N760" s="35" t="n"/>
    </row>
    <row r="761">
      <c r="A761" s="40" t="n"/>
      <c r="B761" s="35" t="n"/>
      <c r="C761" s="35" t="n"/>
      <c r="D761" s="9">
        <f>IF(C761="","",IFERROR(VLOOKUP(C761,Settings!$E$5:$G$28,3,FALSE),"Other"))</f>
        <v/>
      </c>
      <c r="E761" s="35" t="n"/>
      <c r="F761" s="35" t="n"/>
      <c r="G761" s="35" t="n"/>
      <c r="H761" s="37" t="n"/>
      <c r="I761" s="39">
        <f>IF(B761="","",G761*H761)</f>
        <v/>
      </c>
      <c r="J761" s="35" t="n"/>
      <c r="K761" s="35" t="n"/>
      <c r="L761" s="35" t="n"/>
      <c r="M761" s="9">
        <f>IF(B761="","",IF(COUNTIF(Jobs!$A$5:$A$44,B761)=0,"Unknown Job ID",IF(C761="","Missing cost code",IF(COUNTIF(Settings!$E$5:$E$28,C761)=0,"Unknown cost code",IF(A761="","Missing date",IF(OR(G761="",H761=""),"Missing qty or cost",""))))))</f>
        <v/>
      </c>
      <c r="N761" s="35" t="n"/>
    </row>
    <row r="762">
      <c r="A762" s="40" t="n"/>
      <c r="B762" s="35" t="n"/>
      <c r="C762" s="35" t="n"/>
      <c r="D762" s="9">
        <f>IF(C762="","",IFERROR(VLOOKUP(C762,Settings!$E$5:$G$28,3,FALSE),"Other"))</f>
        <v/>
      </c>
      <c r="E762" s="35" t="n"/>
      <c r="F762" s="35" t="n"/>
      <c r="G762" s="35" t="n"/>
      <c r="H762" s="37" t="n"/>
      <c r="I762" s="39">
        <f>IF(B762="","",G762*H762)</f>
        <v/>
      </c>
      <c r="J762" s="35" t="n"/>
      <c r="K762" s="35" t="n"/>
      <c r="L762" s="35" t="n"/>
      <c r="M762" s="9">
        <f>IF(B762="","",IF(COUNTIF(Jobs!$A$5:$A$44,B762)=0,"Unknown Job ID",IF(C762="","Missing cost code",IF(COUNTIF(Settings!$E$5:$E$28,C762)=0,"Unknown cost code",IF(A762="","Missing date",IF(OR(G762="",H762=""),"Missing qty or cost",""))))))</f>
        <v/>
      </c>
      <c r="N762" s="35" t="n"/>
    </row>
    <row r="763">
      <c r="A763" s="40" t="n"/>
      <c r="B763" s="35" t="n"/>
      <c r="C763" s="35" t="n"/>
      <c r="D763" s="9">
        <f>IF(C763="","",IFERROR(VLOOKUP(C763,Settings!$E$5:$G$28,3,FALSE),"Other"))</f>
        <v/>
      </c>
      <c r="E763" s="35" t="n"/>
      <c r="F763" s="35" t="n"/>
      <c r="G763" s="35" t="n"/>
      <c r="H763" s="37" t="n"/>
      <c r="I763" s="39">
        <f>IF(B763="","",G763*H763)</f>
        <v/>
      </c>
      <c r="J763" s="35" t="n"/>
      <c r="K763" s="35" t="n"/>
      <c r="L763" s="35" t="n"/>
      <c r="M763" s="9">
        <f>IF(B763="","",IF(COUNTIF(Jobs!$A$5:$A$44,B763)=0,"Unknown Job ID",IF(C763="","Missing cost code",IF(COUNTIF(Settings!$E$5:$E$28,C763)=0,"Unknown cost code",IF(A763="","Missing date",IF(OR(G763="",H763=""),"Missing qty or cost",""))))))</f>
        <v/>
      </c>
      <c r="N763" s="35" t="n"/>
    </row>
    <row r="764">
      <c r="A764" s="40" t="n"/>
      <c r="B764" s="35" t="n"/>
      <c r="C764" s="35" t="n"/>
      <c r="D764" s="9">
        <f>IF(C764="","",IFERROR(VLOOKUP(C764,Settings!$E$5:$G$28,3,FALSE),"Other"))</f>
        <v/>
      </c>
      <c r="E764" s="35" t="n"/>
      <c r="F764" s="35" t="n"/>
      <c r="G764" s="35" t="n"/>
      <c r="H764" s="37" t="n"/>
      <c r="I764" s="39">
        <f>IF(B764="","",G764*H764)</f>
        <v/>
      </c>
      <c r="J764" s="35" t="n"/>
      <c r="K764" s="35" t="n"/>
      <c r="L764" s="35" t="n"/>
      <c r="M764" s="9">
        <f>IF(B764="","",IF(COUNTIF(Jobs!$A$5:$A$44,B764)=0,"Unknown Job ID",IF(C764="","Missing cost code",IF(COUNTIF(Settings!$E$5:$E$28,C764)=0,"Unknown cost code",IF(A764="","Missing date",IF(OR(G764="",H764=""),"Missing qty or cost",""))))))</f>
        <v/>
      </c>
      <c r="N764" s="35" t="n"/>
    </row>
    <row r="765">
      <c r="A765" s="40" t="n"/>
      <c r="B765" s="35" t="n"/>
      <c r="C765" s="35" t="n"/>
      <c r="D765" s="9">
        <f>IF(C765="","",IFERROR(VLOOKUP(C765,Settings!$E$5:$G$28,3,FALSE),"Other"))</f>
        <v/>
      </c>
      <c r="E765" s="35" t="n"/>
      <c r="F765" s="35" t="n"/>
      <c r="G765" s="35" t="n"/>
      <c r="H765" s="37" t="n"/>
      <c r="I765" s="39">
        <f>IF(B765="","",G765*H765)</f>
        <v/>
      </c>
      <c r="J765" s="35" t="n"/>
      <c r="K765" s="35" t="n"/>
      <c r="L765" s="35" t="n"/>
      <c r="M765" s="9">
        <f>IF(B765="","",IF(COUNTIF(Jobs!$A$5:$A$44,B765)=0,"Unknown Job ID",IF(C765="","Missing cost code",IF(COUNTIF(Settings!$E$5:$E$28,C765)=0,"Unknown cost code",IF(A765="","Missing date",IF(OR(G765="",H765=""),"Missing qty or cost",""))))))</f>
        <v/>
      </c>
      <c r="N765" s="35" t="n"/>
    </row>
    <row r="766">
      <c r="A766" s="40" t="n"/>
      <c r="B766" s="35" t="n"/>
      <c r="C766" s="35" t="n"/>
      <c r="D766" s="9">
        <f>IF(C766="","",IFERROR(VLOOKUP(C766,Settings!$E$5:$G$28,3,FALSE),"Other"))</f>
        <v/>
      </c>
      <c r="E766" s="35" t="n"/>
      <c r="F766" s="35" t="n"/>
      <c r="G766" s="35" t="n"/>
      <c r="H766" s="37" t="n"/>
      <c r="I766" s="39">
        <f>IF(B766="","",G766*H766)</f>
        <v/>
      </c>
      <c r="J766" s="35" t="n"/>
      <c r="K766" s="35" t="n"/>
      <c r="L766" s="35" t="n"/>
      <c r="M766" s="9">
        <f>IF(B766="","",IF(COUNTIF(Jobs!$A$5:$A$44,B766)=0,"Unknown Job ID",IF(C766="","Missing cost code",IF(COUNTIF(Settings!$E$5:$E$28,C766)=0,"Unknown cost code",IF(A766="","Missing date",IF(OR(G766="",H766=""),"Missing qty or cost",""))))))</f>
        <v/>
      </c>
      <c r="N766" s="35" t="n"/>
    </row>
    <row r="767">
      <c r="A767" s="40" t="n"/>
      <c r="B767" s="35" t="n"/>
      <c r="C767" s="35" t="n"/>
      <c r="D767" s="9">
        <f>IF(C767="","",IFERROR(VLOOKUP(C767,Settings!$E$5:$G$28,3,FALSE),"Other"))</f>
        <v/>
      </c>
      <c r="E767" s="35" t="n"/>
      <c r="F767" s="35" t="n"/>
      <c r="G767" s="35" t="n"/>
      <c r="H767" s="37" t="n"/>
      <c r="I767" s="39">
        <f>IF(B767="","",G767*H767)</f>
        <v/>
      </c>
      <c r="J767" s="35" t="n"/>
      <c r="K767" s="35" t="n"/>
      <c r="L767" s="35" t="n"/>
      <c r="M767" s="9">
        <f>IF(B767="","",IF(COUNTIF(Jobs!$A$5:$A$44,B767)=0,"Unknown Job ID",IF(C767="","Missing cost code",IF(COUNTIF(Settings!$E$5:$E$28,C767)=0,"Unknown cost code",IF(A767="","Missing date",IF(OR(G767="",H767=""),"Missing qty or cost",""))))))</f>
        <v/>
      </c>
      <c r="N767" s="35" t="n"/>
    </row>
    <row r="768">
      <c r="A768" s="40" t="n"/>
      <c r="B768" s="35" t="n"/>
      <c r="C768" s="35" t="n"/>
      <c r="D768" s="9">
        <f>IF(C768="","",IFERROR(VLOOKUP(C768,Settings!$E$5:$G$28,3,FALSE),"Other"))</f>
        <v/>
      </c>
      <c r="E768" s="35" t="n"/>
      <c r="F768" s="35" t="n"/>
      <c r="G768" s="35" t="n"/>
      <c r="H768" s="37" t="n"/>
      <c r="I768" s="39">
        <f>IF(B768="","",G768*H768)</f>
        <v/>
      </c>
      <c r="J768" s="35" t="n"/>
      <c r="K768" s="35" t="n"/>
      <c r="L768" s="35" t="n"/>
      <c r="M768" s="9">
        <f>IF(B768="","",IF(COUNTIF(Jobs!$A$5:$A$44,B768)=0,"Unknown Job ID",IF(C768="","Missing cost code",IF(COUNTIF(Settings!$E$5:$E$28,C768)=0,"Unknown cost code",IF(A768="","Missing date",IF(OR(G768="",H768=""),"Missing qty or cost",""))))))</f>
        <v/>
      </c>
      <c r="N768" s="35" t="n"/>
    </row>
    <row r="769">
      <c r="A769" s="40" t="n"/>
      <c r="B769" s="35" t="n"/>
      <c r="C769" s="35" t="n"/>
      <c r="D769" s="9">
        <f>IF(C769="","",IFERROR(VLOOKUP(C769,Settings!$E$5:$G$28,3,FALSE),"Other"))</f>
        <v/>
      </c>
      <c r="E769" s="35" t="n"/>
      <c r="F769" s="35" t="n"/>
      <c r="G769" s="35" t="n"/>
      <c r="H769" s="37" t="n"/>
      <c r="I769" s="39">
        <f>IF(B769="","",G769*H769)</f>
        <v/>
      </c>
      <c r="J769" s="35" t="n"/>
      <c r="K769" s="35" t="n"/>
      <c r="L769" s="35" t="n"/>
      <c r="M769" s="9">
        <f>IF(B769="","",IF(COUNTIF(Jobs!$A$5:$A$44,B769)=0,"Unknown Job ID",IF(C769="","Missing cost code",IF(COUNTIF(Settings!$E$5:$E$28,C769)=0,"Unknown cost code",IF(A769="","Missing date",IF(OR(G769="",H769=""),"Missing qty or cost",""))))))</f>
        <v/>
      </c>
      <c r="N769" s="35" t="n"/>
    </row>
    <row r="770">
      <c r="A770" s="40" t="n"/>
      <c r="B770" s="35" t="n"/>
      <c r="C770" s="35" t="n"/>
      <c r="D770" s="9">
        <f>IF(C770="","",IFERROR(VLOOKUP(C770,Settings!$E$5:$G$28,3,FALSE),"Other"))</f>
        <v/>
      </c>
      <c r="E770" s="35" t="n"/>
      <c r="F770" s="35" t="n"/>
      <c r="G770" s="35" t="n"/>
      <c r="H770" s="37" t="n"/>
      <c r="I770" s="39">
        <f>IF(B770="","",G770*H770)</f>
        <v/>
      </c>
      <c r="J770" s="35" t="n"/>
      <c r="K770" s="35" t="n"/>
      <c r="L770" s="35" t="n"/>
      <c r="M770" s="9">
        <f>IF(B770="","",IF(COUNTIF(Jobs!$A$5:$A$44,B770)=0,"Unknown Job ID",IF(C770="","Missing cost code",IF(COUNTIF(Settings!$E$5:$E$28,C770)=0,"Unknown cost code",IF(A770="","Missing date",IF(OR(G770="",H770=""),"Missing qty or cost",""))))))</f>
        <v/>
      </c>
      <c r="N770" s="35" t="n"/>
    </row>
    <row r="771">
      <c r="A771" s="40" t="n"/>
      <c r="B771" s="35" t="n"/>
      <c r="C771" s="35" t="n"/>
      <c r="D771" s="9">
        <f>IF(C771="","",IFERROR(VLOOKUP(C771,Settings!$E$5:$G$28,3,FALSE),"Other"))</f>
        <v/>
      </c>
      <c r="E771" s="35" t="n"/>
      <c r="F771" s="35" t="n"/>
      <c r="G771" s="35" t="n"/>
      <c r="H771" s="37" t="n"/>
      <c r="I771" s="39">
        <f>IF(B771="","",G771*H771)</f>
        <v/>
      </c>
      <c r="J771" s="35" t="n"/>
      <c r="K771" s="35" t="n"/>
      <c r="L771" s="35" t="n"/>
      <c r="M771" s="9">
        <f>IF(B771="","",IF(COUNTIF(Jobs!$A$5:$A$44,B771)=0,"Unknown Job ID",IF(C771="","Missing cost code",IF(COUNTIF(Settings!$E$5:$E$28,C771)=0,"Unknown cost code",IF(A771="","Missing date",IF(OR(G771="",H771=""),"Missing qty or cost",""))))))</f>
        <v/>
      </c>
      <c r="N771" s="35" t="n"/>
    </row>
    <row r="772">
      <c r="A772" s="40" t="n"/>
      <c r="B772" s="35" t="n"/>
      <c r="C772" s="35" t="n"/>
      <c r="D772" s="9">
        <f>IF(C772="","",IFERROR(VLOOKUP(C772,Settings!$E$5:$G$28,3,FALSE),"Other"))</f>
        <v/>
      </c>
      <c r="E772" s="35" t="n"/>
      <c r="F772" s="35" t="n"/>
      <c r="G772" s="35" t="n"/>
      <c r="H772" s="37" t="n"/>
      <c r="I772" s="39">
        <f>IF(B772="","",G772*H772)</f>
        <v/>
      </c>
      <c r="J772" s="35" t="n"/>
      <c r="K772" s="35" t="n"/>
      <c r="L772" s="35" t="n"/>
      <c r="M772" s="9">
        <f>IF(B772="","",IF(COUNTIF(Jobs!$A$5:$A$44,B772)=0,"Unknown Job ID",IF(C772="","Missing cost code",IF(COUNTIF(Settings!$E$5:$E$28,C772)=0,"Unknown cost code",IF(A772="","Missing date",IF(OR(G772="",H772=""),"Missing qty or cost",""))))))</f>
        <v/>
      </c>
      <c r="N772" s="35" t="n"/>
    </row>
    <row r="773">
      <c r="A773" s="40" t="n"/>
      <c r="B773" s="35" t="n"/>
      <c r="C773" s="35" t="n"/>
      <c r="D773" s="9">
        <f>IF(C773="","",IFERROR(VLOOKUP(C773,Settings!$E$5:$G$28,3,FALSE),"Other"))</f>
        <v/>
      </c>
      <c r="E773" s="35" t="n"/>
      <c r="F773" s="35" t="n"/>
      <c r="G773" s="35" t="n"/>
      <c r="H773" s="37" t="n"/>
      <c r="I773" s="39">
        <f>IF(B773="","",G773*H773)</f>
        <v/>
      </c>
      <c r="J773" s="35" t="n"/>
      <c r="K773" s="35" t="n"/>
      <c r="L773" s="35" t="n"/>
      <c r="M773" s="9">
        <f>IF(B773="","",IF(COUNTIF(Jobs!$A$5:$A$44,B773)=0,"Unknown Job ID",IF(C773="","Missing cost code",IF(COUNTIF(Settings!$E$5:$E$28,C773)=0,"Unknown cost code",IF(A773="","Missing date",IF(OR(G773="",H773=""),"Missing qty or cost",""))))))</f>
        <v/>
      </c>
      <c r="N773" s="35" t="n"/>
    </row>
    <row r="774">
      <c r="A774" s="40" t="n"/>
      <c r="B774" s="35" t="n"/>
      <c r="C774" s="35" t="n"/>
      <c r="D774" s="9">
        <f>IF(C774="","",IFERROR(VLOOKUP(C774,Settings!$E$5:$G$28,3,FALSE),"Other"))</f>
        <v/>
      </c>
      <c r="E774" s="35" t="n"/>
      <c r="F774" s="35" t="n"/>
      <c r="G774" s="35" t="n"/>
      <c r="H774" s="37" t="n"/>
      <c r="I774" s="39">
        <f>IF(B774="","",G774*H774)</f>
        <v/>
      </c>
      <c r="J774" s="35" t="n"/>
      <c r="K774" s="35" t="n"/>
      <c r="L774" s="35" t="n"/>
      <c r="M774" s="9">
        <f>IF(B774="","",IF(COUNTIF(Jobs!$A$5:$A$44,B774)=0,"Unknown Job ID",IF(C774="","Missing cost code",IF(COUNTIF(Settings!$E$5:$E$28,C774)=0,"Unknown cost code",IF(A774="","Missing date",IF(OR(G774="",H774=""),"Missing qty or cost",""))))))</f>
        <v/>
      </c>
      <c r="N774" s="35" t="n"/>
    </row>
    <row r="775">
      <c r="A775" s="40" t="n"/>
      <c r="B775" s="35" t="n"/>
      <c r="C775" s="35" t="n"/>
      <c r="D775" s="9">
        <f>IF(C775="","",IFERROR(VLOOKUP(C775,Settings!$E$5:$G$28,3,FALSE),"Other"))</f>
        <v/>
      </c>
      <c r="E775" s="35" t="n"/>
      <c r="F775" s="35" t="n"/>
      <c r="G775" s="35" t="n"/>
      <c r="H775" s="37" t="n"/>
      <c r="I775" s="39">
        <f>IF(B775="","",G775*H775)</f>
        <v/>
      </c>
      <c r="J775" s="35" t="n"/>
      <c r="K775" s="35" t="n"/>
      <c r="L775" s="35" t="n"/>
      <c r="M775" s="9">
        <f>IF(B775="","",IF(COUNTIF(Jobs!$A$5:$A$44,B775)=0,"Unknown Job ID",IF(C775="","Missing cost code",IF(COUNTIF(Settings!$E$5:$E$28,C775)=0,"Unknown cost code",IF(A775="","Missing date",IF(OR(G775="",H775=""),"Missing qty or cost",""))))))</f>
        <v/>
      </c>
      <c r="N775" s="35" t="n"/>
    </row>
    <row r="776">
      <c r="A776" s="40" t="n"/>
      <c r="B776" s="35" t="n"/>
      <c r="C776" s="35" t="n"/>
      <c r="D776" s="9">
        <f>IF(C776="","",IFERROR(VLOOKUP(C776,Settings!$E$5:$G$28,3,FALSE),"Other"))</f>
        <v/>
      </c>
      <c r="E776" s="35" t="n"/>
      <c r="F776" s="35" t="n"/>
      <c r="G776" s="35" t="n"/>
      <c r="H776" s="37" t="n"/>
      <c r="I776" s="39">
        <f>IF(B776="","",G776*H776)</f>
        <v/>
      </c>
      <c r="J776" s="35" t="n"/>
      <c r="K776" s="35" t="n"/>
      <c r="L776" s="35" t="n"/>
      <c r="M776" s="9">
        <f>IF(B776="","",IF(COUNTIF(Jobs!$A$5:$A$44,B776)=0,"Unknown Job ID",IF(C776="","Missing cost code",IF(COUNTIF(Settings!$E$5:$E$28,C776)=0,"Unknown cost code",IF(A776="","Missing date",IF(OR(G776="",H776=""),"Missing qty or cost",""))))))</f>
        <v/>
      </c>
      <c r="N776" s="35" t="n"/>
    </row>
    <row r="777">
      <c r="A777" s="40" t="n"/>
      <c r="B777" s="35" t="n"/>
      <c r="C777" s="35" t="n"/>
      <c r="D777" s="9">
        <f>IF(C777="","",IFERROR(VLOOKUP(C777,Settings!$E$5:$G$28,3,FALSE),"Other"))</f>
        <v/>
      </c>
      <c r="E777" s="35" t="n"/>
      <c r="F777" s="35" t="n"/>
      <c r="G777" s="35" t="n"/>
      <c r="H777" s="37" t="n"/>
      <c r="I777" s="39">
        <f>IF(B777="","",G777*H777)</f>
        <v/>
      </c>
      <c r="J777" s="35" t="n"/>
      <c r="K777" s="35" t="n"/>
      <c r="L777" s="35" t="n"/>
      <c r="M777" s="9">
        <f>IF(B777="","",IF(COUNTIF(Jobs!$A$5:$A$44,B777)=0,"Unknown Job ID",IF(C777="","Missing cost code",IF(COUNTIF(Settings!$E$5:$E$28,C777)=0,"Unknown cost code",IF(A777="","Missing date",IF(OR(G777="",H777=""),"Missing qty or cost",""))))))</f>
        <v/>
      </c>
      <c r="N777" s="35" t="n"/>
    </row>
    <row r="778">
      <c r="A778" s="40" t="n"/>
      <c r="B778" s="35" t="n"/>
      <c r="C778" s="35" t="n"/>
      <c r="D778" s="9">
        <f>IF(C778="","",IFERROR(VLOOKUP(C778,Settings!$E$5:$G$28,3,FALSE),"Other"))</f>
        <v/>
      </c>
      <c r="E778" s="35" t="n"/>
      <c r="F778" s="35" t="n"/>
      <c r="G778" s="35" t="n"/>
      <c r="H778" s="37" t="n"/>
      <c r="I778" s="39">
        <f>IF(B778="","",G778*H778)</f>
        <v/>
      </c>
      <c r="J778" s="35" t="n"/>
      <c r="K778" s="35" t="n"/>
      <c r="L778" s="35" t="n"/>
      <c r="M778" s="9">
        <f>IF(B778="","",IF(COUNTIF(Jobs!$A$5:$A$44,B778)=0,"Unknown Job ID",IF(C778="","Missing cost code",IF(COUNTIF(Settings!$E$5:$E$28,C778)=0,"Unknown cost code",IF(A778="","Missing date",IF(OR(G778="",H778=""),"Missing qty or cost",""))))))</f>
        <v/>
      </c>
      <c r="N778" s="35" t="n"/>
    </row>
    <row r="779">
      <c r="A779" s="40" t="n"/>
      <c r="B779" s="35" t="n"/>
      <c r="C779" s="35" t="n"/>
      <c r="D779" s="9">
        <f>IF(C779="","",IFERROR(VLOOKUP(C779,Settings!$E$5:$G$28,3,FALSE),"Other"))</f>
        <v/>
      </c>
      <c r="E779" s="35" t="n"/>
      <c r="F779" s="35" t="n"/>
      <c r="G779" s="35" t="n"/>
      <c r="H779" s="37" t="n"/>
      <c r="I779" s="39">
        <f>IF(B779="","",G779*H779)</f>
        <v/>
      </c>
      <c r="J779" s="35" t="n"/>
      <c r="K779" s="35" t="n"/>
      <c r="L779" s="35" t="n"/>
      <c r="M779" s="9">
        <f>IF(B779="","",IF(COUNTIF(Jobs!$A$5:$A$44,B779)=0,"Unknown Job ID",IF(C779="","Missing cost code",IF(COUNTIF(Settings!$E$5:$E$28,C779)=0,"Unknown cost code",IF(A779="","Missing date",IF(OR(G779="",H779=""),"Missing qty or cost",""))))))</f>
        <v/>
      </c>
      <c r="N779" s="35" t="n"/>
    </row>
    <row r="780">
      <c r="A780" s="40" t="n"/>
      <c r="B780" s="35" t="n"/>
      <c r="C780" s="35" t="n"/>
      <c r="D780" s="9">
        <f>IF(C780="","",IFERROR(VLOOKUP(C780,Settings!$E$5:$G$28,3,FALSE),"Other"))</f>
        <v/>
      </c>
      <c r="E780" s="35" t="n"/>
      <c r="F780" s="35" t="n"/>
      <c r="G780" s="35" t="n"/>
      <c r="H780" s="37" t="n"/>
      <c r="I780" s="39">
        <f>IF(B780="","",G780*H780)</f>
        <v/>
      </c>
      <c r="J780" s="35" t="n"/>
      <c r="K780" s="35" t="n"/>
      <c r="L780" s="35" t="n"/>
      <c r="M780" s="9">
        <f>IF(B780="","",IF(COUNTIF(Jobs!$A$5:$A$44,B780)=0,"Unknown Job ID",IF(C780="","Missing cost code",IF(COUNTIF(Settings!$E$5:$E$28,C780)=0,"Unknown cost code",IF(A780="","Missing date",IF(OR(G780="",H780=""),"Missing qty or cost",""))))))</f>
        <v/>
      </c>
      <c r="N780" s="35" t="n"/>
    </row>
    <row r="781">
      <c r="A781" s="40" t="n"/>
      <c r="B781" s="35" t="n"/>
      <c r="C781" s="35" t="n"/>
      <c r="D781" s="9">
        <f>IF(C781="","",IFERROR(VLOOKUP(C781,Settings!$E$5:$G$28,3,FALSE),"Other"))</f>
        <v/>
      </c>
      <c r="E781" s="35" t="n"/>
      <c r="F781" s="35" t="n"/>
      <c r="G781" s="35" t="n"/>
      <c r="H781" s="37" t="n"/>
      <c r="I781" s="39">
        <f>IF(B781="","",G781*H781)</f>
        <v/>
      </c>
      <c r="J781" s="35" t="n"/>
      <c r="K781" s="35" t="n"/>
      <c r="L781" s="35" t="n"/>
      <c r="M781" s="9">
        <f>IF(B781="","",IF(COUNTIF(Jobs!$A$5:$A$44,B781)=0,"Unknown Job ID",IF(C781="","Missing cost code",IF(COUNTIF(Settings!$E$5:$E$28,C781)=0,"Unknown cost code",IF(A781="","Missing date",IF(OR(G781="",H781=""),"Missing qty or cost",""))))))</f>
        <v/>
      </c>
      <c r="N781" s="35" t="n"/>
    </row>
    <row r="782">
      <c r="A782" s="40" t="n"/>
      <c r="B782" s="35" t="n"/>
      <c r="C782" s="35" t="n"/>
      <c r="D782" s="9">
        <f>IF(C782="","",IFERROR(VLOOKUP(C782,Settings!$E$5:$G$28,3,FALSE),"Other"))</f>
        <v/>
      </c>
      <c r="E782" s="35" t="n"/>
      <c r="F782" s="35" t="n"/>
      <c r="G782" s="35" t="n"/>
      <c r="H782" s="37" t="n"/>
      <c r="I782" s="39">
        <f>IF(B782="","",G782*H782)</f>
        <v/>
      </c>
      <c r="J782" s="35" t="n"/>
      <c r="K782" s="35" t="n"/>
      <c r="L782" s="35" t="n"/>
      <c r="M782" s="9">
        <f>IF(B782="","",IF(COUNTIF(Jobs!$A$5:$A$44,B782)=0,"Unknown Job ID",IF(C782="","Missing cost code",IF(COUNTIF(Settings!$E$5:$E$28,C782)=0,"Unknown cost code",IF(A782="","Missing date",IF(OR(G782="",H782=""),"Missing qty or cost",""))))))</f>
        <v/>
      </c>
      <c r="N782" s="35" t="n"/>
    </row>
    <row r="783">
      <c r="A783" s="40" t="n"/>
      <c r="B783" s="35" t="n"/>
      <c r="C783" s="35" t="n"/>
      <c r="D783" s="9">
        <f>IF(C783="","",IFERROR(VLOOKUP(C783,Settings!$E$5:$G$28,3,FALSE),"Other"))</f>
        <v/>
      </c>
      <c r="E783" s="35" t="n"/>
      <c r="F783" s="35" t="n"/>
      <c r="G783" s="35" t="n"/>
      <c r="H783" s="37" t="n"/>
      <c r="I783" s="39">
        <f>IF(B783="","",G783*H783)</f>
        <v/>
      </c>
      <c r="J783" s="35" t="n"/>
      <c r="K783" s="35" t="n"/>
      <c r="L783" s="35" t="n"/>
      <c r="M783" s="9">
        <f>IF(B783="","",IF(COUNTIF(Jobs!$A$5:$A$44,B783)=0,"Unknown Job ID",IF(C783="","Missing cost code",IF(COUNTIF(Settings!$E$5:$E$28,C783)=0,"Unknown cost code",IF(A783="","Missing date",IF(OR(G783="",H783=""),"Missing qty or cost",""))))))</f>
        <v/>
      </c>
      <c r="N783" s="35" t="n"/>
    </row>
    <row r="784">
      <c r="A784" s="40" t="n"/>
      <c r="B784" s="35" t="n"/>
      <c r="C784" s="35" t="n"/>
      <c r="D784" s="9">
        <f>IF(C784="","",IFERROR(VLOOKUP(C784,Settings!$E$5:$G$28,3,FALSE),"Other"))</f>
        <v/>
      </c>
      <c r="E784" s="35" t="n"/>
      <c r="F784" s="35" t="n"/>
      <c r="G784" s="35" t="n"/>
      <c r="H784" s="37" t="n"/>
      <c r="I784" s="39">
        <f>IF(B784="","",G784*H784)</f>
        <v/>
      </c>
      <c r="J784" s="35" t="n"/>
      <c r="K784" s="35" t="n"/>
      <c r="L784" s="35" t="n"/>
      <c r="M784" s="9">
        <f>IF(B784="","",IF(COUNTIF(Jobs!$A$5:$A$44,B784)=0,"Unknown Job ID",IF(C784="","Missing cost code",IF(COUNTIF(Settings!$E$5:$E$28,C784)=0,"Unknown cost code",IF(A784="","Missing date",IF(OR(G784="",H784=""),"Missing qty or cost",""))))))</f>
        <v/>
      </c>
      <c r="N784" s="35" t="n"/>
    </row>
    <row r="785">
      <c r="A785" s="40" t="n"/>
      <c r="B785" s="35" t="n"/>
      <c r="C785" s="35" t="n"/>
      <c r="D785" s="9">
        <f>IF(C785="","",IFERROR(VLOOKUP(C785,Settings!$E$5:$G$28,3,FALSE),"Other"))</f>
        <v/>
      </c>
      <c r="E785" s="35" t="n"/>
      <c r="F785" s="35" t="n"/>
      <c r="G785" s="35" t="n"/>
      <c r="H785" s="37" t="n"/>
      <c r="I785" s="39">
        <f>IF(B785="","",G785*H785)</f>
        <v/>
      </c>
      <c r="J785" s="35" t="n"/>
      <c r="K785" s="35" t="n"/>
      <c r="L785" s="35" t="n"/>
      <c r="M785" s="9">
        <f>IF(B785="","",IF(COUNTIF(Jobs!$A$5:$A$44,B785)=0,"Unknown Job ID",IF(C785="","Missing cost code",IF(COUNTIF(Settings!$E$5:$E$28,C785)=0,"Unknown cost code",IF(A785="","Missing date",IF(OR(G785="",H785=""),"Missing qty or cost",""))))))</f>
        <v/>
      </c>
      <c r="N785" s="35" t="n"/>
    </row>
    <row r="786">
      <c r="A786" s="40" t="n"/>
      <c r="B786" s="35" t="n"/>
      <c r="C786" s="35" t="n"/>
      <c r="D786" s="9">
        <f>IF(C786="","",IFERROR(VLOOKUP(C786,Settings!$E$5:$G$28,3,FALSE),"Other"))</f>
        <v/>
      </c>
      <c r="E786" s="35" t="n"/>
      <c r="F786" s="35" t="n"/>
      <c r="G786" s="35" t="n"/>
      <c r="H786" s="37" t="n"/>
      <c r="I786" s="39">
        <f>IF(B786="","",G786*H786)</f>
        <v/>
      </c>
      <c r="J786" s="35" t="n"/>
      <c r="K786" s="35" t="n"/>
      <c r="L786" s="35" t="n"/>
      <c r="M786" s="9">
        <f>IF(B786="","",IF(COUNTIF(Jobs!$A$5:$A$44,B786)=0,"Unknown Job ID",IF(C786="","Missing cost code",IF(COUNTIF(Settings!$E$5:$E$28,C786)=0,"Unknown cost code",IF(A786="","Missing date",IF(OR(G786="",H786=""),"Missing qty or cost",""))))))</f>
        <v/>
      </c>
      <c r="N786" s="35" t="n"/>
    </row>
    <row r="787">
      <c r="A787" s="40" t="n"/>
      <c r="B787" s="35" t="n"/>
      <c r="C787" s="35" t="n"/>
      <c r="D787" s="9">
        <f>IF(C787="","",IFERROR(VLOOKUP(C787,Settings!$E$5:$G$28,3,FALSE),"Other"))</f>
        <v/>
      </c>
      <c r="E787" s="35" t="n"/>
      <c r="F787" s="35" t="n"/>
      <c r="G787" s="35" t="n"/>
      <c r="H787" s="37" t="n"/>
      <c r="I787" s="39">
        <f>IF(B787="","",G787*H787)</f>
        <v/>
      </c>
      <c r="J787" s="35" t="n"/>
      <c r="K787" s="35" t="n"/>
      <c r="L787" s="35" t="n"/>
      <c r="M787" s="9">
        <f>IF(B787="","",IF(COUNTIF(Jobs!$A$5:$A$44,B787)=0,"Unknown Job ID",IF(C787="","Missing cost code",IF(COUNTIF(Settings!$E$5:$E$28,C787)=0,"Unknown cost code",IF(A787="","Missing date",IF(OR(G787="",H787=""),"Missing qty or cost",""))))))</f>
        <v/>
      </c>
      <c r="N787" s="35" t="n"/>
    </row>
    <row r="788">
      <c r="A788" s="40" t="n"/>
      <c r="B788" s="35" t="n"/>
      <c r="C788" s="35" t="n"/>
      <c r="D788" s="9">
        <f>IF(C788="","",IFERROR(VLOOKUP(C788,Settings!$E$5:$G$28,3,FALSE),"Other"))</f>
        <v/>
      </c>
      <c r="E788" s="35" t="n"/>
      <c r="F788" s="35" t="n"/>
      <c r="G788" s="35" t="n"/>
      <c r="H788" s="37" t="n"/>
      <c r="I788" s="39">
        <f>IF(B788="","",G788*H788)</f>
        <v/>
      </c>
      <c r="J788" s="35" t="n"/>
      <c r="K788" s="35" t="n"/>
      <c r="L788" s="35" t="n"/>
      <c r="M788" s="9">
        <f>IF(B788="","",IF(COUNTIF(Jobs!$A$5:$A$44,B788)=0,"Unknown Job ID",IF(C788="","Missing cost code",IF(COUNTIF(Settings!$E$5:$E$28,C788)=0,"Unknown cost code",IF(A788="","Missing date",IF(OR(G788="",H788=""),"Missing qty or cost",""))))))</f>
        <v/>
      </c>
      <c r="N788" s="35" t="n"/>
    </row>
    <row r="789">
      <c r="A789" s="40" t="n"/>
      <c r="B789" s="35" t="n"/>
      <c r="C789" s="35" t="n"/>
      <c r="D789" s="9">
        <f>IF(C789="","",IFERROR(VLOOKUP(C789,Settings!$E$5:$G$28,3,FALSE),"Other"))</f>
        <v/>
      </c>
      <c r="E789" s="35" t="n"/>
      <c r="F789" s="35" t="n"/>
      <c r="G789" s="35" t="n"/>
      <c r="H789" s="37" t="n"/>
      <c r="I789" s="39">
        <f>IF(B789="","",G789*H789)</f>
        <v/>
      </c>
      <c r="J789" s="35" t="n"/>
      <c r="K789" s="35" t="n"/>
      <c r="L789" s="35" t="n"/>
      <c r="M789" s="9">
        <f>IF(B789="","",IF(COUNTIF(Jobs!$A$5:$A$44,B789)=0,"Unknown Job ID",IF(C789="","Missing cost code",IF(COUNTIF(Settings!$E$5:$E$28,C789)=0,"Unknown cost code",IF(A789="","Missing date",IF(OR(G789="",H789=""),"Missing qty or cost",""))))))</f>
        <v/>
      </c>
      <c r="N789" s="35" t="n"/>
    </row>
    <row r="790">
      <c r="A790" s="40" t="n"/>
      <c r="B790" s="35" t="n"/>
      <c r="C790" s="35" t="n"/>
      <c r="D790" s="9">
        <f>IF(C790="","",IFERROR(VLOOKUP(C790,Settings!$E$5:$G$28,3,FALSE),"Other"))</f>
        <v/>
      </c>
      <c r="E790" s="35" t="n"/>
      <c r="F790" s="35" t="n"/>
      <c r="G790" s="35" t="n"/>
      <c r="H790" s="37" t="n"/>
      <c r="I790" s="39">
        <f>IF(B790="","",G790*H790)</f>
        <v/>
      </c>
      <c r="J790" s="35" t="n"/>
      <c r="K790" s="35" t="n"/>
      <c r="L790" s="35" t="n"/>
      <c r="M790" s="9">
        <f>IF(B790="","",IF(COUNTIF(Jobs!$A$5:$A$44,B790)=0,"Unknown Job ID",IF(C790="","Missing cost code",IF(COUNTIF(Settings!$E$5:$E$28,C790)=0,"Unknown cost code",IF(A790="","Missing date",IF(OR(G790="",H790=""),"Missing qty or cost",""))))))</f>
        <v/>
      </c>
      <c r="N790" s="35" t="n"/>
    </row>
    <row r="791">
      <c r="A791" s="40" t="n"/>
      <c r="B791" s="35" t="n"/>
      <c r="C791" s="35" t="n"/>
      <c r="D791" s="9">
        <f>IF(C791="","",IFERROR(VLOOKUP(C791,Settings!$E$5:$G$28,3,FALSE),"Other"))</f>
        <v/>
      </c>
      <c r="E791" s="35" t="n"/>
      <c r="F791" s="35" t="n"/>
      <c r="G791" s="35" t="n"/>
      <c r="H791" s="37" t="n"/>
      <c r="I791" s="39">
        <f>IF(B791="","",G791*H791)</f>
        <v/>
      </c>
      <c r="J791" s="35" t="n"/>
      <c r="K791" s="35" t="n"/>
      <c r="L791" s="35" t="n"/>
      <c r="M791" s="9">
        <f>IF(B791="","",IF(COUNTIF(Jobs!$A$5:$A$44,B791)=0,"Unknown Job ID",IF(C791="","Missing cost code",IF(COUNTIF(Settings!$E$5:$E$28,C791)=0,"Unknown cost code",IF(A791="","Missing date",IF(OR(G791="",H791=""),"Missing qty or cost",""))))))</f>
        <v/>
      </c>
      <c r="N791" s="35" t="n"/>
    </row>
    <row r="792">
      <c r="A792" s="40" t="n"/>
      <c r="B792" s="35" t="n"/>
      <c r="C792" s="35" t="n"/>
      <c r="D792" s="9">
        <f>IF(C792="","",IFERROR(VLOOKUP(C792,Settings!$E$5:$G$28,3,FALSE),"Other"))</f>
        <v/>
      </c>
      <c r="E792" s="35" t="n"/>
      <c r="F792" s="35" t="n"/>
      <c r="G792" s="35" t="n"/>
      <c r="H792" s="37" t="n"/>
      <c r="I792" s="39">
        <f>IF(B792="","",G792*H792)</f>
        <v/>
      </c>
      <c r="J792" s="35" t="n"/>
      <c r="K792" s="35" t="n"/>
      <c r="L792" s="35" t="n"/>
      <c r="M792" s="9">
        <f>IF(B792="","",IF(COUNTIF(Jobs!$A$5:$A$44,B792)=0,"Unknown Job ID",IF(C792="","Missing cost code",IF(COUNTIF(Settings!$E$5:$E$28,C792)=0,"Unknown cost code",IF(A792="","Missing date",IF(OR(G792="",H792=""),"Missing qty or cost",""))))))</f>
        <v/>
      </c>
      <c r="N792" s="35" t="n"/>
    </row>
    <row r="793">
      <c r="A793" s="40" t="n"/>
      <c r="B793" s="35" t="n"/>
      <c r="C793" s="35" t="n"/>
      <c r="D793" s="9">
        <f>IF(C793="","",IFERROR(VLOOKUP(C793,Settings!$E$5:$G$28,3,FALSE),"Other"))</f>
        <v/>
      </c>
      <c r="E793" s="35" t="n"/>
      <c r="F793" s="35" t="n"/>
      <c r="G793" s="35" t="n"/>
      <c r="H793" s="37" t="n"/>
      <c r="I793" s="39">
        <f>IF(B793="","",G793*H793)</f>
        <v/>
      </c>
      <c r="J793" s="35" t="n"/>
      <c r="K793" s="35" t="n"/>
      <c r="L793" s="35" t="n"/>
      <c r="M793" s="9">
        <f>IF(B793="","",IF(COUNTIF(Jobs!$A$5:$A$44,B793)=0,"Unknown Job ID",IF(C793="","Missing cost code",IF(COUNTIF(Settings!$E$5:$E$28,C793)=0,"Unknown cost code",IF(A793="","Missing date",IF(OR(G793="",H793=""),"Missing qty or cost",""))))))</f>
        <v/>
      </c>
      <c r="N793" s="35" t="n"/>
    </row>
    <row r="794">
      <c r="A794" s="40" t="n"/>
      <c r="B794" s="35" t="n"/>
      <c r="C794" s="35" t="n"/>
      <c r="D794" s="9">
        <f>IF(C794="","",IFERROR(VLOOKUP(C794,Settings!$E$5:$G$28,3,FALSE),"Other"))</f>
        <v/>
      </c>
      <c r="E794" s="35" t="n"/>
      <c r="F794" s="35" t="n"/>
      <c r="G794" s="35" t="n"/>
      <c r="H794" s="37" t="n"/>
      <c r="I794" s="39">
        <f>IF(B794="","",G794*H794)</f>
        <v/>
      </c>
      <c r="J794" s="35" t="n"/>
      <c r="K794" s="35" t="n"/>
      <c r="L794" s="35" t="n"/>
      <c r="M794" s="9">
        <f>IF(B794="","",IF(COUNTIF(Jobs!$A$5:$A$44,B794)=0,"Unknown Job ID",IF(C794="","Missing cost code",IF(COUNTIF(Settings!$E$5:$E$28,C794)=0,"Unknown cost code",IF(A794="","Missing date",IF(OR(G794="",H794=""),"Missing qty or cost",""))))))</f>
        <v/>
      </c>
      <c r="N794" s="35" t="n"/>
    </row>
    <row r="795">
      <c r="A795" s="40" t="n"/>
      <c r="B795" s="35" t="n"/>
      <c r="C795" s="35" t="n"/>
      <c r="D795" s="9">
        <f>IF(C795="","",IFERROR(VLOOKUP(C795,Settings!$E$5:$G$28,3,FALSE),"Other"))</f>
        <v/>
      </c>
      <c r="E795" s="35" t="n"/>
      <c r="F795" s="35" t="n"/>
      <c r="G795" s="35" t="n"/>
      <c r="H795" s="37" t="n"/>
      <c r="I795" s="39">
        <f>IF(B795="","",G795*H795)</f>
        <v/>
      </c>
      <c r="J795" s="35" t="n"/>
      <c r="K795" s="35" t="n"/>
      <c r="L795" s="35" t="n"/>
      <c r="M795" s="9">
        <f>IF(B795="","",IF(COUNTIF(Jobs!$A$5:$A$44,B795)=0,"Unknown Job ID",IF(C795="","Missing cost code",IF(COUNTIF(Settings!$E$5:$E$28,C795)=0,"Unknown cost code",IF(A795="","Missing date",IF(OR(G795="",H795=""),"Missing qty or cost",""))))))</f>
        <v/>
      </c>
      <c r="N795" s="35" t="n"/>
    </row>
    <row r="796">
      <c r="A796" s="40" t="n"/>
      <c r="B796" s="35" t="n"/>
      <c r="C796" s="35" t="n"/>
      <c r="D796" s="9">
        <f>IF(C796="","",IFERROR(VLOOKUP(C796,Settings!$E$5:$G$28,3,FALSE),"Other"))</f>
        <v/>
      </c>
      <c r="E796" s="35" t="n"/>
      <c r="F796" s="35" t="n"/>
      <c r="G796" s="35" t="n"/>
      <c r="H796" s="37" t="n"/>
      <c r="I796" s="39">
        <f>IF(B796="","",G796*H796)</f>
        <v/>
      </c>
      <c r="J796" s="35" t="n"/>
      <c r="K796" s="35" t="n"/>
      <c r="L796" s="35" t="n"/>
      <c r="M796" s="9">
        <f>IF(B796="","",IF(COUNTIF(Jobs!$A$5:$A$44,B796)=0,"Unknown Job ID",IF(C796="","Missing cost code",IF(COUNTIF(Settings!$E$5:$E$28,C796)=0,"Unknown cost code",IF(A796="","Missing date",IF(OR(G796="",H796=""),"Missing qty or cost",""))))))</f>
        <v/>
      </c>
      <c r="N796" s="35" t="n"/>
    </row>
    <row r="797">
      <c r="A797" s="40" t="n"/>
      <c r="B797" s="35" t="n"/>
      <c r="C797" s="35" t="n"/>
      <c r="D797" s="9">
        <f>IF(C797="","",IFERROR(VLOOKUP(C797,Settings!$E$5:$G$28,3,FALSE),"Other"))</f>
        <v/>
      </c>
      <c r="E797" s="35" t="n"/>
      <c r="F797" s="35" t="n"/>
      <c r="G797" s="35" t="n"/>
      <c r="H797" s="37" t="n"/>
      <c r="I797" s="39">
        <f>IF(B797="","",G797*H797)</f>
        <v/>
      </c>
      <c r="J797" s="35" t="n"/>
      <c r="K797" s="35" t="n"/>
      <c r="L797" s="35" t="n"/>
      <c r="M797" s="9">
        <f>IF(B797="","",IF(COUNTIF(Jobs!$A$5:$A$44,B797)=0,"Unknown Job ID",IF(C797="","Missing cost code",IF(COUNTIF(Settings!$E$5:$E$28,C797)=0,"Unknown cost code",IF(A797="","Missing date",IF(OR(G797="",H797=""),"Missing qty or cost",""))))))</f>
        <v/>
      </c>
      <c r="N797" s="35" t="n"/>
    </row>
    <row r="798">
      <c r="A798" s="40" t="n"/>
      <c r="B798" s="35" t="n"/>
      <c r="C798" s="35" t="n"/>
      <c r="D798" s="9">
        <f>IF(C798="","",IFERROR(VLOOKUP(C798,Settings!$E$5:$G$28,3,FALSE),"Other"))</f>
        <v/>
      </c>
      <c r="E798" s="35" t="n"/>
      <c r="F798" s="35" t="n"/>
      <c r="G798" s="35" t="n"/>
      <c r="H798" s="37" t="n"/>
      <c r="I798" s="39">
        <f>IF(B798="","",G798*H798)</f>
        <v/>
      </c>
      <c r="J798" s="35" t="n"/>
      <c r="K798" s="35" t="n"/>
      <c r="L798" s="35" t="n"/>
      <c r="M798" s="9">
        <f>IF(B798="","",IF(COUNTIF(Jobs!$A$5:$A$44,B798)=0,"Unknown Job ID",IF(C798="","Missing cost code",IF(COUNTIF(Settings!$E$5:$E$28,C798)=0,"Unknown cost code",IF(A798="","Missing date",IF(OR(G798="",H798=""),"Missing qty or cost",""))))))</f>
        <v/>
      </c>
      <c r="N798" s="35" t="n"/>
    </row>
    <row r="799">
      <c r="A799" s="40" t="n"/>
      <c r="B799" s="35" t="n"/>
      <c r="C799" s="35" t="n"/>
      <c r="D799" s="9">
        <f>IF(C799="","",IFERROR(VLOOKUP(C799,Settings!$E$5:$G$28,3,FALSE),"Other"))</f>
        <v/>
      </c>
      <c r="E799" s="35" t="n"/>
      <c r="F799" s="35" t="n"/>
      <c r="G799" s="35" t="n"/>
      <c r="H799" s="37" t="n"/>
      <c r="I799" s="39">
        <f>IF(B799="","",G799*H799)</f>
        <v/>
      </c>
      <c r="J799" s="35" t="n"/>
      <c r="K799" s="35" t="n"/>
      <c r="L799" s="35" t="n"/>
      <c r="M799" s="9">
        <f>IF(B799="","",IF(COUNTIF(Jobs!$A$5:$A$44,B799)=0,"Unknown Job ID",IF(C799="","Missing cost code",IF(COUNTIF(Settings!$E$5:$E$28,C799)=0,"Unknown cost code",IF(A799="","Missing date",IF(OR(G799="",H799=""),"Missing qty or cost",""))))))</f>
        <v/>
      </c>
      <c r="N799" s="35" t="n"/>
    </row>
    <row r="800">
      <c r="A800" s="40" t="n"/>
      <c r="B800" s="35" t="n"/>
      <c r="C800" s="35" t="n"/>
      <c r="D800" s="9">
        <f>IF(C800="","",IFERROR(VLOOKUP(C800,Settings!$E$5:$G$28,3,FALSE),"Other"))</f>
        <v/>
      </c>
      <c r="E800" s="35" t="n"/>
      <c r="F800" s="35" t="n"/>
      <c r="G800" s="35" t="n"/>
      <c r="H800" s="37" t="n"/>
      <c r="I800" s="39">
        <f>IF(B800="","",G800*H800)</f>
        <v/>
      </c>
      <c r="J800" s="35" t="n"/>
      <c r="K800" s="35" t="n"/>
      <c r="L800" s="35" t="n"/>
      <c r="M800" s="9">
        <f>IF(B800="","",IF(COUNTIF(Jobs!$A$5:$A$44,B800)=0,"Unknown Job ID",IF(C800="","Missing cost code",IF(COUNTIF(Settings!$E$5:$E$28,C800)=0,"Unknown cost code",IF(A800="","Missing date",IF(OR(G800="",H800=""),"Missing qty or cost",""))))))</f>
        <v/>
      </c>
      <c r="N800" s="35" t="n"/>
    </row>
    <row r="801">
      <c r="A801" s="40" t="n"/>
      <c r="B801" s="35" t="n"/>
      <c r="C801" s="35" t="n"/>
      <c r="D801" s="9">
        <f>IF(C801="","",IFERROR(VLOOKUP(C801,Settings!$E$5:$G$28,3,FALSE),"Other"))</f>
        <v/>
      </c>
      <c r="E801" s="35" t="n"/>
      <c r="F801" s="35" t="n"/>
      <c r="G801" s="35" t="n"/>
      <c r="H801" s="37" t="n"/>
      <c r="I801" s="39">
        <f>IF(B801="","",G801*H801)</f>
        <v/>
      </c>
      <c r="J801" s="35" t="n"/>
      <c r="K801" s="35" t="n"/>
      <c r="L801" s="35" t="n"/>
      <c r="M801" s="9">
        <f>IF(B801="","",IF(COUNTIF(Jobs!$A$5:$A$44,B801)=0,"Unknown Job ID",IF(C801="","Missing cost code",IF(COUNTIF(Settings!$E$5:$E$28,C801)=0,"Unknown cost code",IF(A801="","Missing date",IF(OR(G801="",H801=""),"Missing qty or cost",""))))))</f>
        <v/>
      </c>
      <c r="N801" s="35" t="n"/>
    </row>
    <row r="802">
      <c r="A802" s="40" t="n"/>
      <c r="B802" s="35" t="n"/>
      <c r="C802" s="35" t="n"/>
      <c r="D802" s="9">
        <f>IF(C802="","",IFERROR(VLOOKUP(C802,Settings!$E$5:$G$28,3,FALSE),"Other"))</f>
        <v/>
      </c>
      <c r="E802" s="35" t="n"/>
      <c r="F802" s="35" t="n"/>
      <c r="G802" s="35" t="n"/>
      <c r="H802" s="37" t="n"/>
      <c r="I802" s="39">
        <f>IF(B802="","",G802*H802)</f>
        <v/>
      </c>
      <c r="J802" s="35" t="n"/>
      <c r="K802" s="35" t="n"/>
      <c r="L802" s="35" t="n"/>
      <c r="M802" s="9">
        <f>IF(B802="","",IF(COUNTIF(Jobs!$A$5:$A$44,B802)=0,"Unknown Job ID",IF(C802="","Missing cost code",IF(COUNTIF(Settings!$E$5:$E$28,C802)=0,"Unknown cost code",IF(A802="","Missing date",IF(OR(G802="",H802=""),"Missing qty or cost",""))))))</f>
        <v/>
      </c>
      <c r="N802" s="35" t="n"/>
    </row>
    <row r="803">
      <c r="A803" s="40" t="n"/>
      <c r="B803" s="35" t="n"/>
      <c r="C803" s="35" t="n"/>
      <c r="D803" s="9">
        <f>IF(C803="","",IFERROR(VLOOKUP(C803,Settings!$E$5:$G$28,3,FALSE),"Other"))</f>
        <v/>
      </c>
      <c r="E803" s="35" t="n"/>
      <c r="F803" s="35" t="n"/>
      <c r="G803" s="35" t="n"/>
      <c r="H803" s="37" t="n"/>
      <c r="I803" s="39">
        <f>IF(B803="","",G803*H803)</f>
        <v/>
      </c>
      <c r="J803" s="35" t="n"/>
      <c r="K803" s="35" t="n"/>
      <c r="L803" s="35" t="n"/>
      <c r="M803" s="9">
        <f>IF(B803="","",IF(COUNTIF(Jobs!$A$5:$A$44,B803)=0,"Unknown Job ID",IF(C803="","Missing cost code",IF(COUNTIF(Settings!$E$5:$E$28,C803)=0,"Unknown cost code",IF(A803="","Missing date",IF(OR(G803="",H803=""),"Missing qty or cost",""))))))</f>
        <v/>
      </c>
      <c r="N803" s="35" t="n"/>
    </row>
    <row r="804">
      <c r="A804" s="40" t="n"/>
      <c r="B804" s="35" t="n"/>
      <c r="C804" s="35" t="n"/>
      <c r="D804" s="9">
        <f>IF(C804="","",IFERROR(VLOOKUP(C804,Settings!$E$5:$G$28,3,FALSE),"Other"))</f>
        <v/>
      </c>
      <c r="E804" s="35" t="n"/>
      <c r="F804" s="35" t="n"/>
      <c r="G804" s="35" t="n"/>
      <c r="H804" s="37" t="n"/>
      <c r="I804" s="39">
        <f>IF(B804="","",G804*H804)</f>
        <v/>
      </c>
      <c r="J804" s="35" t="n"/>
      <c r="K804" s="35" t="n"/>
      <c r="L804" s="35" t="n"/>
      <c r="M804" s="9">
        <f>IF(B804="","",IF(COUNTIF(Jobs!$A$5:$A$44,B804)=0,"Unknown Job ID",IF(C804="","Missing cost code",IF(COUNTIF(Settings!$E$5:$E$28,C804)=0,"Unknown cost code",IF(A804="","Missing date",IF(OR(G804="",H804=""),"Missing qty or cost",""))))))</f>
        <v/>
      </c>
      <c r="N804" s="35" t="n"/>
    </row>
    <row r="805">
      <c r="A805" s="40" t="n"/>
      <c r="B805" s="35" t="n"/>
      <c r="C805" s="35" t="n"/>
      <c r="D805" s="9">
        <f>IF(C805="","",IFERROR(VLOOKUP(C805,Settings!$E$5:$G$28,3,FALSE),"Other"))</f>
        <v/>
      </c>
      <c r="E805" s="35" t="n"/>
      <c r="F805" s="35" t="n"/>
      <c r="G805" s="35" t="n"/>
      <c r="H805" s="37" t="n"/>
      <c r="I805" s="39">
        <f>IF(B805="","",G805*H805)</f>
        <v/>
      </c>
      <c r="J805" s="35" t="n"/>
      <c r="K805" s="35" t="n"/>
      <c r="L805" s="35" t="n"/>
      <c r="M805" s="9">
        <f>IF(B805="","",IF(COUNTIF(Jobs!$A$5:$A$44,B805)=0,"Unknown Job ID",IF(C805="","Missing cost code",IF(COUNTIF(Settings!$E$5:$E$28,C805)=0,"Unknown cost code",IF(A805="","Missing date",IF(OR(G805="",H805=""),"Missing qty or cost",""))))))</f>
        <v/>
      </c>
      <c r="N805" s="35" t="n"/>
    </row>
    <row r="806">
      <c r="A806" s="40" t="n"/>
      <c r="B806" s="35" t="n"/>
      <c r="C806" s="35" t="n"/>
      <c r="D806" s="9">
        <f>IF(C806="","",IFERROR(VLOOKUP(C806,Settings!$E$5:$G$28,3,FALSE),"Other"))</f>
        <v/>
      </c>
      <c r="E806" s="35" t="n"/>
      <c r="F806" s="35" t="n"/>
      <c r="G806" s="35" t="n"/>
      <c r="H806" s="37" t="n"/>
      <c r="I806" s="39">
        <f>IF(B806="","",G806*H806)</f>
        <v/>
      </c>
      <c r="J806" s="35" t="n"/>
      <c r="K806" s="35" t="n"/>
      <c r="L806" s="35" t="n"/>
      <c r="M806" s="9">
        <f>IF(B806="","",IF(COUNTIF(Jobs!$A$5:$A$44,B806)=0,"Unknown Job ID",IF(C806="","Missing cost code",IF(COUNTIF(Settings!$E$5:$E$28,C806)=0,"Unknown cost code",IF(A806="","Missing date",IF(OR(G806="",H806=""),"Missing qty or cost",""))))))</f>
        <v/>
      </c>
      <c r="N806" s="35" t="n"/>
    </row>
    <row r="807">
      <c r="A807" s="40" t="n"/>
      <c r="B807" s="35" t="n"/>
      <c r="C807" s="35" t="n"/>
      <c r="D807" s="9">
        <f>IF(C807="","",IFERROR(VLOOKUP(C807,Settings!$E$5:$G$28,3,FALSE),"Other"))</f>
        <v/>
      </c>
      <c r="E807" s="35" t="n"/>
      <c r="F807" s="35" t="n"/>
      <c r="G807" s="35" t="n"/>
      <c r="H807" s="37" t="n"/>
      <c r="I807" s="39">
        <f>IF(B807="","",G807*H807)</f>
        <v/>
      </c>
      <c r="J807" s="35" t="n"/>
      <c r="K807" s="35" t="n"/>
      <c r="L807" s="35" t="n"/>
      <c r="M807" s="9">
        <f>IF(B807="","",IF(COUNTIF(Jobs!$A$5:$A$44,B807)=0,"Unknown Job ID",IF(C807="","Missing cost code",IF(COUNTIF(Settings!$E$5:$E$28,C807)=0,"Unknown cost code",IF(A807="","Missing date",IF(OR(G807="",H807=""),"Missing qty or cost",""))))))</f>
        <v/>
      </c>
      <c r="N807" s="35" t="n"/>
    </row>
    <row r="808">
      <c r="A808" s="40" t="n"/>
      <c r="B808" s="35" t="n"/>
      <c r="C808" s="35" t="n"/>
      <c r="D808" s="9">
        <f>IF(C808="","",IFERROR(VLOOKUP(C808,Settings!$E$5:$G$28,3,FALSE),"Other"))</f>
        <v/>
      </c>
      <c r="E808" s="35" t="n"/>
      <c r="F808" s="35" t="n"/>
      <c r="G808" s="35" t="n"/>
      <c r="H808" s="37" t="n"/>
      <c r="I808" s="39">
        <f>IF(B808="","",G808*H808)</f>
        <v/>
      </c>
      <c r="J808" s="35" t="n"/>
      <c r="K808" s="35" t="n"/>
      <c r="L808" s="35" t="n"/>
      <c r="M808" s="9">
        <f>IF(B808="","",IF(COUNTIF(Jobs!$A$5:$A$44,B808)=0,"Unknown Job ID",IF(C808="","Missing cost code",IF(COUNTIF(Settings!$E$5:$E$28,C808)=0,"Unknown cost code",IF(A808="","Missing date",IF(OR(G808="",H808=""),"Missing qty or cost",""))))))</f>
        <v/>
      </c>
      <c r="N808" s="35" t="n"/>
    </row>
    <row r="809">
      <c r="A809" s="40" t="n"/>
      <c r="B809" s="35" t="n"/>
      <c r="C809" s="35" t="n"/>
      <c r="D809" s="9">
        <f>IF(C809="","",IFERROR(VLOOKUP(C809,Settings!$E$5:$G$28,3,FALSE),"Other"))</f>
        <v/>
      </c>
      <c r="E809" s="35" t="n"/>
      <c r="F809" s="35" t="n"/>
      <c r="G809" s="35" t="n"/>
      <c r="H809" s="37" t="n"/>
      <c r="I809" s="39">
        <f>IF(B809="","",G809*H809)</f>
        <v/>
      </c>
      <c r="J809" s="35" t="n"/>
      <c r="K809" s="35" t="n"/>
      <c r="L809" s="35" t="n"/>
      <c r="M809" s="9">
        <f>IF(B809="","",IF(COUNTIF(Jobs!$A$5:$A$44,B809)=0,"Unknown Job ID",IF(C809="","Missing cost code",IF(COUNTIF(Settings!$E$5:$E$28,C809)=0,"Unknown cost code",IF(A809="","Missing date",IF(OR(G809="",H809=""),"Missing qty or cost",""))))))</f>
        <v/>
      </c>
      <c r="N809" s="35" t="n"/>
    </row>
    <row r="810">
      <c r="A810" s="40" t="n"/>
      <c r="B810" s="35" t="n"/>
      <c r="C810" s="35" t="n"/>
      <c r="D810" s="9">
        <f>IF(C810="","",IFERROR(VLOOKUP(C810,Settings!$E$5:$G$28,3,FALSE),"Other"))</f>
        <v/>
      </c>
      <c r="E810" s="35" t="n"/>
      <c r="F810" s="35" t="n"/>
      <c r="G810" s="35" t="n"/>
      <c r="H810" s="37" t="n"/>
      <c r="I810" s="39">
        <f>IF(B810="","",G810*H810)</f>
        <v/>
      </c>
      <c r="J810" s="35" t="n"/>
      <c r="K810" s="35" t="n"/>
      <c r="L810" s="35" t="n"/>
      <c r="M810" s="9">
        <f>IF(B810="","",IF(COUNTIF(Jobs!$A$5:$A$44,B810)=0,"Unknown Job ID",IF(C810="","Missing cost code",IF(COUNTIF(Settings!$E$5:$E$28,C810)=0,"Unknown cost code",IF(A810="","Missing date",IF(OR(G810="",H810=""),"Missing qty or cost",""))))))</f>
        <v/>
      </c>
      <c r="N810" s="35" t="n"/>
    </row>
    <row r="811">
      <c r="A811" s="40" t="n"/>
      <c r="B811" s="35" t="n"/>
      <c r="C811" s="35" t="n"/>
      <c r="D811" s="9">
        <f>IF(C811="","",IFERROR(VLOOKUP(C811,Settings!$E$5:$G$28,3,FALSE),"Other"))</f>
        <v/>
      </c>
      <c r="E811" s="35" t="n"/>
      <c r="F811" s="35" t="n"/>
      <c r="G811" s="35" t="n"/>
      <c r="H811" s="37" t="n"/>
      <c r="I811" s="39">
        <f>IF(B811="","",G811*H811)</f>
        <v/>
      </c>
      <c r="J811" s="35" t="n"/>
      <c r="K811" s="35" t="n"/>
      <c r="L811" s="35" t="n"/>
      <c r="M811" s="9">
        <f>IF(B811="","",IF(COUNTIF(Jobs!$A$5:$A$44,B811)=0,"Unknown Job ID",IF(C811="","Missing cost code",IF(COUNTIF(Settings!$E$5:$E$28,C811)=0,"Unknown cost code",IF(A811="","Missing date",IF(OR(G811="",H811=""),"Missing qty or cost",""))))))</f>
        <v/>
      </c>
      <c r="N811" s="35" t="n"/>
    </row>
    <row r="812">
      <c r="A812" s="40" t="n"/>
      <c r="B812" s="35" t="n"/>
      <c r="C812" s="35" t="n"/>
      <c r="D812" s="9">
        <f>IF(C812="","",IFERROR(VLOOKUP(C812,Settings!$E$5:$G$28,3,FALSE),"Other"))</f>
        <v/>
      </c>
      <c r="E812" s="35" t="n"/>
      <c r="F812" s="35" t="n"/>
      <c r="G812" s="35" t="n"/>
      <c r="H812" s="37" t="n"/>
      <c r="I812" s="39">
        <f>IF(B812="","",G812*H812)</f>
        <v/>
      </c>
      <c r="J812" s="35" t="n"/>
      <c r="K812" s="35" t="n"/>
      <c r="L812" s="35" t="n"/>
      <c r="M812" s="9">
        <f>IF(B812="","",IF(COUNTIF(Jobs!$A$5:$A$44,B812)=0,"Unknown Job ID",IF(C812="","Missing cost code",IF(COUNTIF(Settings!$E$5:$E$28,C812)=0,"Unknown cost code",IF(A812="","Missing date",IF(OR(G812="",H812=""),"Missing qty or cost",""))))))</f>
        <v/>
      </c>
      <c r="N812" s="35" t="n"/>
    </row>
    <row r="813">
      <c r="A813" s="40" t="n"/>
      <c r="B813" s="35" t="n"/>
      <c r="C813" s="35" t="n"/>
      <c r="D813" s="9">
        <f>IF(C813="","",IFERROR(VLOOKUP(C813,Settings!$E$5:$G$28,3,FALSE),"Other"))</f>
        <v/>
      </c>
      <c r="E813" s="35" t="n"/>
      <c r="F813" s="35" t="n"/>
      <c r="G813" s="35" t="n"/>
      <c r="H813" s="37" t="n"/>
      <c r="I813" s="39">
        <f>IF(B813="","",G813*H813)</f>
        <v/>
      </c>
      <c r="J813" s="35" t="n"/>
      <c r="K813" s="35" t="n"/>
      <c r="L813" s="35" t="n"/>
      <c r="M813" s="9">
        <f>IF(B813="","",IF(COUNTIF(Jobs!$A$5:$A$44,B813)=0,"Unknown Job ID",IF(C813="","Missing cost code",IF(COUNTIF(Settings!$E$5:$E$28,C813)=0,"Unknown cost code",IF(A813="","Missing date",IF(OR(G813="",H813=""),"Missing qty or cost",""))))))</f>
        <v/>
      </c>
      <c r="N813" s="35" t="n"/>
    </row>
    <row r="814">
      <c r="A814" s="40" t="n"/>
      <c r="B814" s="35" t="n"/>
      <c r="C814" s="35" t="n"/>
      <c r="D814" s="9">
        <f>IF(C814="","",IFERROR(VLOOKUP(C814,Settings!$E$5:$G$28,3,FALSE),"Other"))</f>
        <v/>
      </c>
      <c r="E814" s="35" t="n"/>
      <c r="F814" s="35" t="n"/>
      <c r="G814" s="35" t="n"/>
      <c r="H814" s="37" t="n"/>
      <c r="I814" s="39">
        <f>IF(B814="","",G814*H814)</f>
        <v/>
      </c>
      <c r="J814" s="35" t="n"/>
      <c r="K814" s="35" t="n"/>
      <c r="L814" s="35" t="n"/>
      <c r="M814" s="9">
        <f>IF(B814="","",IF(COUNTIF(Jobs!$A$5:$A$44,B814)=0,"Unknown Job ID",IF(C814="","Missing cost code",IF(COUNTIF(Settings!$E$5:$E$28,C814)=0,"Unknown cost code",IF(A814="","Missing date",IF(OR(G814="",H814=""),"Missing qty or cost",""))))))</f>
        <v/>
      </c>
      <c r="N814" s="35" t="n"/>
    </row>
    <row r="815">
      <c r="A815" s="40" t="n"/>
      <c r="B815" s="35" t="n"/>
      <c r="C815" s="35" t="n"/>
      <c r="D815" s="9">
        <f>IF(C815="","",IFERROR(VLOOKUP(C815,Settings!$E$5:$G$28,3,FALSE),"Other"))</f>
        <v/>
      </c>
      <c r="E815" s="35" t="n"/>
      <c r="F815" s="35" t="n"/>
      <c r="G815" s="35" t="n"/>
      <c r="H815" s="37" t="n"/>
      <c r="I815" s="39">
        <f>IF(B815="","",G815*H815)</f>
        <v/>
      </c>
      <c r="J815" s="35" t="n"/>
      <c r="K815" s="35" t="n"/>
      <c r="L815" s="35" t="n"/>
      <c r="M815" s="9">
        <f>IF(B815="","",IF(COUNTIF(Jobs!$A$5:$A$44,B815)=0,"Unknown Job ID",IF(C815="","Missing cost code",IF(COUNTIF(Settings!$E$5:$E$28,C815)=0,"Unknown cost code",IF(A815="","Missing date",IF(OR(G815="",H815=""),"Missing qty or cost",""))))))</f>
        <v/>
      </c>
      <c r="N815" s="35" t="n"/>
    </row>
    <row r="816">
      <c r="A816" s="40" t="n"/>
      <c r="B816" s="35" t="n"/>
      <c r="C816" s="35" t="n"/>
      <c r="D816" s="9">
        <f>IF(C816="","",IFERROR(VLOOKUP(C816,Settings!$E$5:$G$28,3,FALSE),"Other"))</f>
        <v/>
      </c>
      <c r="E816" s="35" t="n"/>
      <c r="F816" s="35" t="n"/>
      <c r="G816" s="35" t="n"/>
      <c r="H816" s="37" t="n"/>
      <c r="I816" s="39">
        <f>IF(B816="","",G816*H816)</f>
        <v/>
      </c>
      <c r="J816" s="35" t="n"/>
      <c r="K816" s="35" t="n"/>
      <c r="L816" s="35" t="n"/>
      <c r="M816" s="9">
        <f>IF(B816="","",IF(COUNTIF(Jobs!$A$5:$A$44,B816)=0,"Unknown Job ID",IF(C816="","Missing cost code",IF(COUNTIF(Settings!$E$5:$E$28,C816)=0,"Unknown cost code",IF(A816="","Missing date",IF(OR(G816="",H816=""),"Missing qty or cost",""))))))</f>
        <v/>
      </c>
      <c r="N816" s="35" t="n"/>
    </row>
    <row r="817">
      <c r="A817" s="40" t="n"/>
      <c r="B817" s="35" t="n"/>
      <c r="C817" s="35" t="n"/>
      <c r="D817" s="9">
        <f>IF(C817="","",IFERROR(VLOOKUP(C817,Settings!$E$5:$G$28,3,FALSE),"Other"))</f>
        <v/>
      </c>
      <c r="E817" s="35" t="n"/>
      <c r="F817" s="35" t="n"/>
      <c r="G817" s="35" t="n"/>
      <c r="H817" s="37" t="n"/>
      <c r="I817" s="39">
        <f>IF(B817="","",G817*H817)</f>
        <v/>
      </c>
      <c r="J817" s="35" t="n"/>
      <c r="K817" s="35" t="n"/>
      <c r="L817" s="35" t="n"/>
      <c r="M817" s="9">
        <f>IF(B817="","",IF(COUNTIF(Jobs!$A$5:$A$44,B817)=0,"Unknown Job ID",IF(C817="","Missing cost code",IF(COUNTIF(Settings!$E$5:$E$28,C817)=0,"Unknown cost code",IF(A817="","Missing date",IF(OR(G817="",H817=""),"Missing qty or cost",""))))))</f>
        <v/>
      </c>
      <c r="N817" s="35" t="n"/>
    </row>
    <row r="818">
      <c r="A818" s="40" t="n"/>
      <c r="B818" s="35" t="n"/>
      <c r="C818" s="35" t="n"/>
      <c r="D818" s="9">
        <f>IF(C818="","",IFERROR(VLOOKUP(C818,Settings!$E$5:$G$28,3,FALSE),"Other"))</f>
        <v/>
      </c>
      <c r="E818" s="35" t="n"/>
      <c r="F818" s="35" t="n"/>
      <c r="G818" s="35" t="n"/>
      <c r="H818" s="37" t="n"/>
      <c r="I818" s="39">
        <f>IF(B818="","",G818*H818)</f>
        <v/>
      </c>
      <c r="J818" s="35" t="n"/>
      <c r="K818" s="35" t="n"/>
      <c r="L818" s="35" t="n"/>
      <c r="M818" s="9">
        <f>IF(B818="","",IF(COUNTIF(Jobs!$A$5:$A$44,B818)=0,"Unknown Job ID",IF(C818="","Missing cost code",IF(COUNTIF(Settings!$E$5:$E$28,C818)=0,"Unknown cost code",IF(A818="","Missing date",IF(OR(G818="",H818=""),"Missing qty or cost",""))))))</f>
        <v/>
      </c>
      <c r="N818" s="35" t="n"/>
    </row>
    <row r="819">
      <c r="A819" s="40" t="n"/>
      <c r="B819" s="35" t="n"/>
      <c r="C819" s="35" t="n"/>
      <c r="D819" s="9">
        <f>IF(C819="","",IFERROR(VLOOKUP(C819,Settings!$E$5:$G$28,3,FALSE),"Other"))</f>
        <v/>
      </c>
      <c r="E819" s="35" t="n"/>
      <c r="F819" s="35" t="n"/>
      <c r="G819" s="35" t="n"/>
      <c r="H819" s="37" t="n"/>
      <c r="I819" s="39">
        <f>IF(B819="","",G819*H819)</f>
        <v/>
      </c>
      <c r="J819" s="35" t="n"/>
      <c r="K819" s="35" t="n"/>
      <c r="L819" s="35" t="n"/>
      <c r="M819" s="9">
        <f>IF(B819="","",IF(COUNTIF(Jobs!$A$5:$A$44,B819)=0,"Unknown Job ID",IF(C819="","Missing cost code",IF(COUNTIF(Settings!$E$5:$E$28,C819)=0,"Unknown cost code",IF(A819="","Missing date",IF(OR(G819="",H819=""),"Missing qty or cost",""))))))</f>
        <v/>
      </c>
      <c r="N819" s="35" t="n"/>
    </row>
    <row r="820">
      <c r="A820" s="40" t="n"/>
      <c r="B820" s="35" t="n"/>
      <c r="C820" s="35" t="n"/>
      <c r="D820" s="9">
        <f>IF(C820="","",IFERROR(VLOOKUP(C820,Settings!$E$5:$G$28,3,FALSE),"Other"))</f>
        <v/>
      </c>
      <c r="E820" s="35" t="n"/>
      <c r="F820" s="35" t="n"/>
      <c r="G820" s="35" t="n"/>
      <c r="H820" s="37" t="n"/>
      <c r="I820" s="39">
        <f>IF(B820="","",G820*H820)</f>
        <v/>
      </c>
      <c r="J820" s="35" t="n"/>
      <c r="K820" s="35" t="n"/>
      <c r="L820" s="35" t="n"/>
      <c r="M820" s="9">
        <f>IF(B820="","",IF(COUNTIF(Jobs!$A$5:$A$44,B820)=0,"Unknown Job ID",IF(C820="","Missing cost code",IF(COUNTIF(Settings!$E$5:$E$28,C820)=0,"Unknown cost code",IF(A820="","Missing date",IF(OR(G820="",H820=""),"Missing qty or cost",""))))))</f>
        <v/>
      </c>
      <c r="N820" s="35" t="n"/>
    </row>
    <row r="821">
      <c r="A821" s="40" t="n"/>
      <c r="B821" s="35" t="n"/>
      <c r="C821" s="35" t="n"/>
      <c r="D821" s="9">
        <f>IF(C821="","",IFERROR(VLOOKUP(C821,Settings!$E$5:$G$28,3,FALSE),"Other"))</f>
        <v/>
      </c>
      <c r="E821" s="35" t="n"/>
      <c r="F821" s="35" t="n"/>
      <c r="G821" s="35" t="n"/>
      <c r="H821" s="37" t="n"/>
      <c r="I821" s="39">
        <f>IF(B821="","",G821*H821)</f>
        <v/>
      </c>
      <c r="J821" s="35" t="n"/>
      <c r="K821" s="35" t="n"/>
      <c r="L821" s="35" t="n"/>
      <c r="M821" s="9">
        <f>IF(B821="","",IF(COUNTIF(Jobs!$A$5:$A$44,B821)=0,"Unknown Job ID",IF(C821="","Missing cost code",IF(COUNTIF(Settings!$E$5:$E$28,C821)=0,"Unknown cost code",IF(A821="","Missing date",IF(OR(G821="",H821=""),"Missing qty or cost",""))))))</f>
        <v/>
      </c>
      <c r="N821" s="35" t="n"/>
    </row>
    <row r="822">
      <c r="A822" s="40" t="n"/>
      <c r="B822" s="35" t="n"/>
      <c r="C822" s="35" t="n"/>
      <c r="D822" s="9">
        <f>IF(C822="","",IFERROR(VLOOKUP(C822,Settings!$E$5:$G$28,3,FALSE),"Other"))</f>
        <v/>
      </c>
      <c r="E822" s="35" t="n"/>
      <c r="F822" s="35" t="n"/>
      <c r="G822" s="35" t="n"/>
      <c r="H822" s="37" t="n"/>
      <c r="I822" s="39">
        <f>IF(B822="","",G822*H822)</f>
        <v/>
      </c>
      <c r="J822" s="35" t="n"/>
      <c r="K822" s="35" t="n"/>
      <c r="L822" s="35" t="n"/>
      <c r="M822" s="9">
        <f>IF(B822="","",IF(COUNTIF(Jobs!$A$5:$A$44,B822)=0,"Unknown Job ID",IF(C822="","Missing cost code",IF(COUNTIF(Settings!$E$5:$E$28,C822)=0,"Unknown cost code",IF(A822="","Missing date",IF(OR(G822="",H822=""),"Missing qty or cost",""))))))</f>
        <v/>
      </c>
      <c r="N822" s="35" t="n"/>
    </row>
    <row r="823">
      <c r="A823" s="40" t="n"/>
      <c r="B823" s="35" t="n"/>
      <c r="C823" s="35" t="n"/>
      <c r="D823" s="9">
        <f>IF(C823="","",IFERROR(VLOOKUP(C823,Settings!$E$5:$G$28,3,FALSE),"Other"))</f>
        <v/>
      </c>
      <c r="E823" s="35" t="n"/>
      <c r="F823" s="35" t="n"/>
      <c r="G823" s="35" t="n"/>
      <c r="H823" s="37" t="n"/>
      <c r="I823" s="39">
        <f>IF(B823="","",G823*H823)</f>
        <v/>
      </c>
      <c r="J823" s="35" t="n"/>
      <c r="K823" s="35" t="n"/>
      <c r="L823" s="35" t="n"/>
      <c r="M823" s="9">
        <f>IF(B823="","",IF(COUNTIF(Jobs!$A$5:$A$44,B823)=0,"Unknown Job ID",IF(C823="","Missing cost code",IF(COUNTIF(Settings!$E$5:$E$28,C823)=0,"Unknown cost code",IF(A823="","Missing date",IF(OR(G823="",H823=""),"Missing qty or cost",""))))))</f>
        <v/>
      </c>
      <c r="N823" s="35" t="n"/>
    </row>
    <row r="824">
      <c r="A824" s="40" t="n"/>
      <c r="B824" s="35" t="n"/>
      <c r="C824" s="35" t="n"/>
      <c r="D824" s="9">
        <f>IF(C824="","",IFERROR(VLOOKUP(C824,Settings!$E$5:$G$28,3,FALSE),"Other"))</f>
        <v/>
      </c>
      <c r="E824" s="35" t="n"/>
      <c r="F824" s="35" t="n"/>
      <c r="G824" s="35" t="n"/>
      <c r="H824" s="37" t="n"/>
      <c r="I824" s="39">
        <f>IF(B824="","",G824*H824)</f>
        <v/>
      </c>
      <c r="J824" s="35" t="n"/>
      <c r="K824" s="35" t="n"/>
      <c r="L824" s="35" t="n"/>
      <c r="M824" s="9">
        <f>IF(B824="","",IF(COUNTIF(Jobs!$A$5:$A$44,B824)=0,"Unknown Job ID",IF(C824="","Missing cost code",IF(COUNTIF(Settings!$E$5:$E$28,C824)=0,"Unknown cost code",IF(A824="","Missing date",IF(OR(G824="",H824=""),"Missing qty or cost",""))))))</f>
        <v/>
      </c>
      <c r="N824" s="35" t="n"/>
    </row>
    <row r="825">
      <c r="A825" s="40" t="n"/>
      <c r="B825" s="35" t="n"/>
      <c r="C825" s="35" t="n"/>
      <c r="D825" s="9">
        <f>IF(C825="","",IFERROR(VLOOKUP(C825,Settings!$E$5:$G$28,3,FALSE),"Other"))</f>
        <v/>
      </c>
      <c r="E825" s="35" t="n"/>
      <c r="F825" s="35" t="n"/>
      <c r="G825" s="35" t="n"/>
      <c r="H825" s="37" t="n"/>
      <c r="I825" s="39">
        <f>IF(B825="","",G825*H825)</f>
        <v/>
      </c>
      <c r="J825" s="35" t="n"/>
      <c r="K825" s="35" t="n"/>
      <c r="L825" s="35" t="n"/>
      <c r="M825" s="9">
        <f>IF(B825="","",IF(COUNTIF(Jobs!$A$5:$A$44,B825)=0,"Unknown Job ID",IF(C825="","Missing cost code",IF(COUNTIF(Settings!$E$5:$E$28,C825)=0,"Unknown cost code",IF(A825="","Missing date",IF(OR(G825="",H825=""),"Missing qty or cost",""))))))</f>
        <v/>
      </c>
      <c r="N825" s="35" t="n"/>
    </row>
    <row r="826">
      <c r="A826" s="40" t="n"/>
      <c r="B826" s="35" t="n"/>
      <c r="C826" s="35" t="n"/>
      <c r="D826" s="9">
        <f>IF(C826="","",IFERROR(VLOOKUP(C826,Settings!$E$5:$G$28,3,FALSE),"Other"))</f>
        <v/>
      </c>
      <c r="E826" s="35" t="n"/>
      <c r="F826" s="35" t="n"/>
      <c r="G826" s="35" t="n"/>
      <c r="H826" s="37" t="n"/>
      <c r="I826" s="39">
        <f>IF(B826="","",G826*H826)</f>
        <v/>
      </c>
      <c r="J826" s="35" t="n"/>
      <c r="K826" s="35" t="n"/>
      <c r="L826" s="35" t="n"/>
      <c r="M826" s="9">
        <f>IF(B826="","",IF(COUNTIF(Jobs!$A$5:$A$44,B826)=0,"Unknown Job ID",IF(C826="","Missing cost code",IF(COUNTIF(Settings!$E$5:$E$28,C826)=0,"Unknown cost code",IF(A826="","Missing date",IF(OR(G826="",H826=""),"Missing qty or cost",""))))))</f>
        <v/>
      </c>
      <c r="N826" s="35" t="n"/>
    </row>
    <row r="827">
      <c r="A827" s="40" t="n"/>
      <c r="B827" s="35" t="n"/>
      <c r="C827" s="35" t="n"/>
      <c r="D827" s="9">
        <f>IF(C827="","",IFERROR(VLOOKUP(C827,Settings!$E$5:$G$28,3,FALSE),"Other"))</f>
        <v/>
      </c>
      <c r="E827" s="35" t="n"/>
      <c r="F827" s="35" t="n"/>
      <c r="G827" s="35" t="n"/>
      <c r="H827" s="37" t="n"/>
      <c r="I827" s="39">
        <f>IF(B827="","",G827*H827)</f>
        <v/>
      </c>
      <c r="J827" s="35" t="n"/>
      <c r="K827" s="35" t="n"/>
      <c r="L827" s="35" t="n"/>
      <c r="M827" s="9">
        <f>IF(B827="","",IF(COUNTIF(Jobs!$A$5:$A$44,B827)=0,"Unknown Job ID",IF(C827="","Missing cost code",IF(COUNTIF(Settings!$E$5:$E$28,C827)=0,"Unknown cost code",IF(A827="","Missing date",IF(OR(G827="",H827=""),"Missing qty or cost",""))))))</f>
        <v/>
      </c>
      <c r="N827" s="35" t="n"/>
    </row>
    <row r="828">
      <c r="A828" s="40" t="n"/>
      <c r="B828" s="35" t="n"/>
      <c r="C828" s="35" t="n"/>
      <c r="D828" s="9">
        <f>IF(C828="","",IFERROR(VLOOKUP(C828,Settings!$E$5:$G$28,3,FALSE),"Other"))</f>
        <v/>
      </c>
      <c r="E828" s="35" t="n"/>
      <c r="F828" s="35" t="n"/>
      <c r="G828" s="35" t="n"/>
      <c r="H828" s="37" t="n"/>
      <c r="I828" s="39">
        <f>IF(B828="","",G828*H828)</f>
        <v/>
      </c>
      <c r="J828" s="35" t="n"/>
      <c r="K828" s="35" t="n"/>
      <c r="L828" s="35" t="n"/>
      <c r="M828" s="9">
        <f>IF(B828="","",IF(COUNTIF(Jobs!$A$5:$A$44,B828)=0,"Unknown Job ID",IF(C828="","Missing cost code",IF(COUNTIF(Settings!$E$5:$E$28,C828)=0,"Unknown cost code",IF(A828="","Missing date",IF(OR(G828="",H828=""),"Missing qty or cost",""))))))</f>
        <v/>
      </c>
      <c r="N828" s="35" t="n"/>
    </row>
    <row r="829">
      <c r="A829" s="40" t="n"/>
      <c r="B829" s="35" t="n"/>
      <c r="C829" s="35" t="n"/>
      <c r="D829" s="9">
        <f>IF(C829="","",IFERROR(VLOOKUP(C829,Settings!$E$5:$G$28,3,FALSE),"Other"))</f>
        <v/>
      </c>
      <c r="E829" s="35" t="n"/>
      <c r="F829" s="35" t="n"/>
      <c r="G829" s="35" t="n"/>
      <c r="H829" s="37" t="n"/>
      <c r="I829" s="39">
        <f>IF(B829="","",G829*H829)</f>
        <v/>
      </c>
      <c r="J829" s="35" t="n"/>
      <c r="K829" s="35" t="n"/>
      <c r="L829" s="35" t="n"/>
      <c r="M829" s="9">
        <f>IF(B829="","",IF(COUNTIF(Jobs!$A$5:$A$44,B829)=0,"Unknown Job ID",IF(C829="","Missing cost code",IF(COUNTIF(Settings!$E$5:$E$28,C829)=0,"Unknown cost code",IF(A829="","Missing date",IF(OR(G829="",H829=""),"Missing qty or cost",""))))))</f>
        <v/>
      </c>
      <c r="N829" s="35" t="n"/>
    </row>
    <row r="830">
      <c r="A830" s="40" t="n"/>
      <c r="B830" s="35" t="n"/>
      <c r="C830" s="35" t="n"/>
      <c r="D830" s="9">
        <f>IF(C830="","",IFERROR(VLOOKUP(C830,Settings!$E$5:$G$28,3,FALSE),"Other"))</f>
        <v/>
      </c>
      <c r="E830" s="35" t="n"/>
      <c r="F830" s="35" t="n"/>
      <c r="G830" s="35" t="n"/>
      <c r="H830" s="37" t="n"/>
      <c r="I830" s="39">
        <f>IF(B830="","",G830*H830)</f>
        <v/>
      </c>
      <c r="J830" s="35" t="n"/>
      <c r="K830" s="35" t="n"/>
      <c r="L830" s="35" t="n"/>
      <c r="M830" s="9">
        <f>IF(B830="","",IF(COUNTIF(Jobs!$A$5:$A$44,B830)=0,"Unknown Job ID",IF(C830="","Missing cost code",IF(COUNTIF(Settings!$E$5:$E$28,C830)=0,"Unknown cost code",IF(A830="","Missing date",IF(OR(G830="",H830=""),"Missing qty or cost",""))))))</f>
        <v/>
      </c>
      <c r="N830" s="35" t="n"/>
    </row>
    <row r="831">
      <c r="A831" s="40" t="n"/>
      <c r="B831" s="35" t="n"/>
      <c r="C831" s="35" t="n"/>
      <c r="D831" s="9">
        <f>IF(C831="","",IFERROR(VLOOKUP(C831,Settings!$E$5:$G$28,3,FALSE),"Other"))</f>
        <v/>
      </c>
      <c r="E831" s="35" t="n"/>
      <c r="F831" s="35" t="n"/>
      <c r="G831" s="35" t="n"/>
      <c r="H831" s="37" t="n"/>
      <c r="I831" s="39">
        <f>IF(B831="","",G831*H831)</f>
        <v/>
      </c>
      <c r="J831" s="35" t="n"/>
      <c r="K831" s="35" t="n"/>
      <c r="L831" s="35" t="n"/>
      <c r="M831" s="9">
        <f>IF(B831="","",IF(COUNTIF(Jobs!$A$5:$A$44,B831)=0,"Unknown Job ID",IF(C831="","Missing cost code",IF(COUNTIF(Settings!$E$5:$E$28,C831)=0,"Unknown cost code",IF(A831="","Missing date",IF(OR(G831="",H831=""),"Missing qty or cost",""))))))</f>
        <v/>
      </c>
      <c r="N831" s="35" t="n"/>
    </row>
    <row r="832">
      <c r="A832" s="40" t="n"/>
      <c r="B832" s="35" t="n"/>
      <c r="C832" s="35" t="n"/>
      <c r="D832" s="9">
        <f>IF(C832="","",IFERROR(VLOOKUP(C832,Settings!$E$5:$G$28,3,FALSE),"Other"))</f>
        <v/>
      </c>
      <c r="E832" s="35" t="n"/>
      <c r="F832" s="35" t="n"/>
      <c r="G832" s="35" t="n"/>
      <c r="H832" s="37" t="n"/>
      <c r="I832" s="39">
        <f>IF(B832="","",G832*H832)</f>
        <v/>
      </c>
      <c r="J832" s="35" t="n"/>
      <c r="K832" s="35" t="n"/>
      <c r="L832" s="35" t="n"/>
      <c r="M832" s="9">
        <f>IF(B832="","",IF(COUNTIF(Jobs!$A$5:$A$44,B832)=0,"Unknown Job ID",IF(C832="","Missing cost code",IF(COUNTIF(Settings!$E$5:$E$28,C832)=0,"Unknown cost code",IF(A832="","Missing date",IF(OR(G832="",H832=""),"Missing qty or cost",""))))))</f>
        <v/>
      </c>
      <c r="N832" s="35" t="n"/>
    </row>
    <row r="833">
      <c r="A833" s="40" t="n"/>
      <c r="B833" s="35" t="n"/>
      <c r="C833" s="35" t="n"/>
      <c r="D833" s="9">
        <f>IF(C833="","",IFERROR(VLOOKUP(C833,Settings!$E$5:$G$28,3,FALSE),"Other"))</f>
        <v/>
      </c>
      <c r="E833" s="35" t="n"/>
      <c r="F833" s="35" t="n"/>
      <c r="G833" s="35" t="n"/>
      <c r="H833" s="37" t="n"/>
      <c r="I833" s="39">
        <f>IF(B833="","",G833*H833)</f>
        <v/>
      </c>
      <c r="J833" s="35" t="n"/>
      <c r="K833" s="35" t="n"/>
      <c r="L833" s="35" t="n"/>
      <c r="M833" s="9">
        <f>IF(B833="","",IF(COUNTIF(Jobs!$A$5:$A$44,B833)=0,"Unknown Job ID",IF(C833="","Missing cost code",IF(COUNTIF(Settings!$E$5:$E$28,C833)=0,"Unknown cost code",IF(A833="","Missing date",IF(OR(G833="",H833=""),"Missing qty or cost",""))))))</f>
        <v/>
      </c>
      <c r="N833" s="35" t="n"/>
    </row>
    <row r="834">
      <c r="A834" s="40" t="n"/>
      <c r="B834" s="35" t="n"/>
      <c r="C834" s="35" t="n"/>
      <c r="D834" s="9">
        <f>IF(C834="","",IFERROR(VLOOKUP(C834,Settings!$E$5:$G$28,3,FALSE),"Other"))</f>
        <v/>
      </c>
      <c r="E834" s="35" t="n"/>
      <c r="F834" s="35" t="n"/>
      <c r="G834" s="35" t="n"/>
      <c r="H834" s="37" t="n"/>
      <c r="I834" s="39">
        <f>IF(B834="","",G834*H834)</f>
        <v/>
      </c>
      <c r="J834" s="35" t="n"/>
      <c r="K834" s="35" t="n"/>
      <c r="L834" s="35" t="n"/>
      <c r="M834" s="9">
        <f>IF(B834="","",IF(COUNTIF(Jobs!$A$5:$A$44,B834)=0,"Unknown Job ID",IF(C834="","Missing cost code",IF(COUNTIF(Settings!$E$5:$E$28,C834)=0,"Unknown cost code",IF(A834="","Missing date",IF(OR(G834="",H834=""),"Missing qty or cost",""))))))</f>
        <v/>
      </c>
      <c r="N834" s="35" t="n"/>
    </row>
    <row r="835">
      <c r="A835" s="40" t="n"/>
      <c r="B835" s="35" t="n"/>
      <c r="C835" s="35" t="n"/>
      <c r="D835" s="9">
        <f>IF(C835="","",IFERROR(VLOOKUP(C835,Settings!$E$5:$G$28,3,FALSE),"Other"))</f>
        <v/>
      </c>
      <c r="E835" s="35" t="n"/>
      <c r="F835" s="35" t="n"/>
      <c r="G835" s="35" t="n"/>
      <c r="H835" s="37" t="n"/>
      <c r="I835" s="39">
        <f>IF(B835="","",G835*H835)</f>
        <v/>
      </c>
      <c r="J835" s="35" t="n"/>
      <c r="K835" s="35" t="n"/>
      <c r="L835" s="35" t="n"/>
      <c r="M835" s="9">
        <f>IF(B835="","",IF(COUNTIF(Jobs!$A$5:$A$44,B835)=0,"Unknown Job ID",IF(C835="","Missing cost code",IF(COUNTIF(Settings!$E$5:$E$28,C835)=0,"Unknown cost code",IF(A835="","Missing date",IF(OR(G835="",H835=""),"Missing qty or cost",""))))))</f>
        <v/>
      </c>
      <c r="N835" s="35" t="n"/>
    </row>
    <row r="836">
      <c r="A836" s="40" t="n"/>
      <c r="B836" s="35" t="n"/>
      <c r="C836" s="35" t="n"/>
      <c r="D836" s="9">
        <f>IF(C836="","",IFERROR(VLOOKUP(C836,Settings!$E$5:$G$28,3,FALSE),"Other"))</f>
        <v/>
      </c>
      <c r="E836" s="35" t="n"/>
      <c r="F836" s="35" t="n"/>
      <c r="G836" s="35" t="n"/>
      <c r="H836" s="37" t="n"/>
      <c r="I836" s="39">
        <f>IF(B836="","",G836*H836)</f>
        <v/>
      </c>
      <c r="J836" s="35" t="n"/>
      <c r="K836" s="35" t="n"/>
      <c r="L836" s="35" t="n"/>
      <c r="M836" s="9">
        <f>IF(B836="","",IF(COUNTIF(Jobs!$A$5:$A$44,B836)=0,"Unknown Job ID",IF(C836="","Missing cost code",IF(COUNTIF(Settings!$E$5:$E$28,C836)=0,"Unknown cost code",IF(A836="","Missing date",IF(OR(G836="",H836=""),"Missing qty or cost",""))))))</f>
        <v/>
      </c>
      <c r="N836" s="35" t="n"/>
    </row>
    <row r="837">
      <c r="A837" s="40" t="n"/>
      <c r="B837" s="35" t="n"/>
      <c r="C837" s="35" t="n"/>
      <c r="D837" s="9">
        <f>IF(C837="","",IFERROR(VLOOKUP(C837,Settings!$E$5:$G$28,3,FALSE),"Other"))</f>
        <v/>
      </c>
      <c r="E837" s="35" t="n"/>
      <c r="F837" s="35" t="n"/>
      <c r="G837" s="35" t="n"/>
      <c r="H837" s="37" t="n"/>
      <c r="I837" s="39">
        <f>IF(B837="","",G837*H837)</f>
        <v/>
      </c>
      <c r="J837" s="35" t="n"/>
      <c r="K837" s="35" t="n"/>
      <c r="L837" s="35" t="n"/>
      <c r="M837" s="9">
        <f>IF(B837="","",IF(COUNTIF(Jobs!$A$5:$A$44,B837)=0,"Unknown Job ID",IF(C837="","Missing cost code",IF(COUNTIF(Settings!$E$5:$E$28,C837)=0,"Unknown cost code",IF(A837="","Missing date",IF(OR(G837="",H837=""),"Missing qty or cost",""))))))</f>
        <v/>
      </c>
      <c r="N837" s="35" t="n"/>
    </row>
    <row r="838">
      <c r="A838" s="40" t="n"/>
      <c r="B838" s="35" t="n"/>
      <c r="C838" s="35" t="n"/>
      <c r="D838" s="9">
        <f>IF(C838="","",IFERROR(VLOOKUP(C838,Settings!$E$5:$G$28,3,FALSE),"Other"))</f>
        <v/>
      </c>
      <c r="E838" s="35" t="n"/>
      <c r="F838" s="35" t="n"/>
      <c r="G838" s="35" t="n"/>
      <c r="H838" s="37" t="n"/>
      <c r="I838" s="39">
        <f>IF(B838="","",G838*H838)</f>
        <v/>
      </c>
      <c r="J838" s="35" t="n"/>
      <c r="K838" s="35" t="n"/>
      <c r="L838" s="35" t="n"/>
      <c r="M838" s="9">
        <f>IF(B838="","",IF(COUNTIF(Jobs!$A$5:$A$44,B838)=0,"Unknown Job ID",IF(C838="","Missing cost code",IF(COUNTIF(Settings!$E$5:$E$28,C838)=0,"Unknown cost code",IF(A838="","Missing date",IF(OR(G838="",H838=""),"Missing qty or cost",""))))))</f>
        <v/>
      </c>
      <c r="N838" s="35" t="n"/>
    </row>
    <row r="839">
      <c r="A839" s="40" t="n"/>
      <c r="B839" s="35" t="n"/>
      <c r="C839" s="35" t="n"/>
      <c r="D839" s="9">
        <f>IF(C839="","",IFERROR(VLOOKUP(C839,Settings!$E$5:$G$28,3,FALSE),"Other"))</f>
        <v/>
      </c>
      <c r="E839" s="35" t="n"/>
      <c r="F839" s="35" t="n"/>
      <c r="G839" s="35" t="n"/>
      <c r="H839" s="37" t="n"/>
      <c r="I839" s="39">
        <f>IF(B839="","",G839*H839)</f>
        <v/>
      </c>
      <c r="J839" s="35" t="n"/>
      <c r="K839" s="35" t="n"/>
      <c r="L839" s="35" t="n"/>
      <c r="M839" s="9">
        <f>IF(B839="","",IF(COUNTIF(Jobs!$A$5:$A$44,B839)=0,"Unknown Job ID",IF(C839="","Missing cost code",IF(COUNTIF(Settings!$E$5:$E$28,C839)=0,"Unknown cost code",IF(A839="","Missing date",IF(OR(G839="",H839=""),"Missing qty or cost",""))))))</f>
        <v/>
      </c>
      <c r="N839" s="35" t="n"/>
    </row>
    <row r="840">
      <c r="A840" s="40" t="n"/>
      <c r="B840" s="35" t="n"/>
      <c r="C840" s="35" t="n"/>
      <c r="D840" s="9">
        <f>IF(C840="","",IFERROR(VLOOKUP(C840,Settings!$E$5:$G$28,3,FALSE),"Other"))</f>
        <v/>
      </c>
      <c r="E840" s="35" t="n"/>
      <c r="F840" s="35" t="n"/>
      <c r="G840" s="35" t="n"/>
      <c r="H840" s="37" t="n"/>
      <c r="I840" s="39">
        <f>IF(B840="","",G840*H840)</f>
        <v/>
      </c>
      <c r="J840" s="35" t="n"/>
      <c r="K840" s="35" t="n"/>
      <c r="L840" s="35" t="n"/>
      <c r="M840" s="9">
        <f>IF(B840="","",IF(COUNTIF(Jobs!$A$5:$A$44,B840)=0,"Unknown Job ID",IF(C840="","Missing cost code",IF(COUNTIF(Settings!$E$5:$E$28,C840)=0,"Unknown cost code",IF(A840="","Missing date",IF(OR(G840="",H840=""),"Missing qty or cost",""))))))</f>
        <v/>
      </c>
      <c r="N840" s="35" t="n"/>
    </row>
    <row r="841">
      <c r="A841" s="40" t="n"/>
      <c r="B841" s="35" t="n"/>
      <c r="C841" s="35" t="n"/>
      <c r="D841" s="9">
        <f>IF(C841="","",IFERROR(VLOOKUP(C841,Settings!$E$5:$G$28,3,FALSE),"Other"))</f>
        <v/>
      </c>
      <c r="E841" s="35" t="n"/>
      <c r="F841" s="35" t="n"/>
      <c r="G841" s="35" t="n"/>
      <c r="H841" s="37" t="n"/>
      <c r="I841" s="39">
        <f>IF(B841="","",G841*H841)</f>
        <v/>
      </c>
      <c r="J841" s="35" t="n"/>
      <c r="K841" s="35" t="n"/>
      <c r="L841" s="35" t="n"/>
      <c r="M841" s="9">
        <f>IF(B841="","",IF(COUNTIF(Jobs!$A$5:$A$44,B841)=0,"Unknown Job ID",IF(C841="","Missing cost code",IF(COUNTIF(Settings!$E$5:$E$28,C841)=0,"Unknown cost code",IF(A841="","Missing date",IF(OR(G841="",H841=""),"Missing qty or cost",""))))))</f>
        <v/>
      </c>
      <c r="N841" s="35" t="n"/>
    </row>
    <row r="842">
      <c r="A842" s="40" t="n"/>
      <c r="B842" s="35" t="n"/>
      <c r="C842" s="35" t="n"/>
      <c r="D842" s="9">
        <f>IF(C842="","",IFERROR(VLOOKUP(C842,Settings!$E$5:$G$28,3,FALSE),"Other"))</f>
        <v/>
      </c>
      <c r="E842" s="35" t="n"/>
      <c r="F842" s="35" t="n"/>
      <c r="G842" s="35" t="n"/>
      <c r="H842" s="37" t="n"/>
      <c r="I842" s="39">
        <f>IF(B842="","",G842*H842)</f>
        <v/>
      </c>
      <c r="J842" s="35" t="n"/>
      <c r="K842" s="35" t="n"/>
      <c r="L842" s="35" t="n"/>
      <c r="M842" s="9">
        <f>IF(B842="","",IF(COUNTIF(Jobs!$A$5:$A$44,B842)=0,"Unknown Job ID",IF(C842="","Missing cost code",IF(COUNTIF(Settings!$E$5:$E$28,C842)=0,"Unknown cost code",IF(A842="","Missing date",IF(OR(G842="",H842=""),"Missing qty or cost",""))))))</f>
        <v/>
      </c>
      <c r="N842" s="35" t="n"/>
    </row>
    <row r="843">
      <c r="A843" s="40" t="n"/>
      <c r="B843" s="35" t="n"/>
      <c r="C843" s="35" t="n"/>
      <c r="D843" s="9">
        <f>IF(C843="","",IFERROR(VLOOKUP(C843,Settings!$E$5:$G$28,3,FALSE),"Other"))</f>
        <v/>
      </c>
      <c r="E843" s="35" t="n"/>
      <c r="F843" s="35" t="n"/>
      <c r="G843" s="35" t="n"/>
      <c r="H843" s="37" t="n"/>
      <c r="I843" s="39">
        <f>IF(B843="","",G843*H843)</f>
        <v/>
      </c>
      <c r="J843" s="35" t="n"/>
      <c r="K843" s="35" t="n"/>
      <c r="L843" s="35" t="n"/>
      <c r="M843" s="9">
        <f>IF(B843="","",IF(COUNTIF(Jobs!$A$5:$A$44,B843)=0,"Unknown Job ID",IF(C843="","Missing cost code",IF(COUNTIF(Settings!$E$5:$E$28,C843)=0,"Unknown cost code",IF(A843="","Missing date",IF(OR(G843="",H843=""),"Missing qty or cost",""))))))</f>
        <v/>
      </c>
      <c r="N843" s="35" t="n"/>
    </row>
    <row r="844">
      <c r="A844" s="40" t="n"/>
      <c r="B844" s="35" t="n"/>
      <c r="C844" s="35" t="n"/>
      <c r="D844" s="9">
        <f>IF(C844="","",IFERROR(VLOOKUP(C844,Settings!$E$5:$G$28,3,FALSE),"Other"))</f>
        <v/>
      </c>
      <c r="E844" s="35" t="n"/>
      <c r="F844" s="35" t="n"/>
      <c r="G844" s="35" t="n"/>
      <c r="H844" s="37" t="n"/>
      <c r="I844" s="39">
        <f>IF(B844="","",G844*H844)</f>
        <v/>
      </c>
      <c r="J844" s="35" t="n"/>
      <c r="K844" s="35" t="n"/>
      <c r="L844" s="35" t="n"/>
      <c r="M844" s="9">
        <f>IF(B844="","",IF(COUNTIF(Jobs!$A$5:$A$44,B844)=0,"Unknown Job ID",IF(C844="","Missing cost code",IF(COUNTIF(Settings!$E$5:$E$28,C844)=0,"Unknown cost code",IF(A844="","Missing date",IF(OR(G844="",H844=""),"Missing qty or cost",""))))))</f>
        <v/>
      </c>
      <c r="N844" s="35" t="n"/>
    </row>
    <row r="845">
      <c r="A845" s="40" t="n"/>
      <c r="B845" s="35" t="n"/>
      <c r="C845" s="35" t="n"/>
      <c r="D845" s="9">
        <f>IF(C845="","",IFERROR(VLOOKUP(C845,Settings!$E$5:$G$28,3,FALSE),"Other"))</f>
        <v/>
      </c>
      <c r="E845" s="35" t="n"/>
      <c r="F845" s="35" t="n"/>
      <c r="G845" s="35" t="n"/>
      <c r="H845" s="37" t="n"/>
      <c r="I845" s="39">
        <f>IF(B845="","",G845*H845)</f>
        <v/>
      </c>
      <c r="J845" s="35" t="n"/>
      <c r="K845" s="35" t="n"/>
      <c r="L845" s="35" t="n"/>
      <c r="M845" s="9">
        <f>IF(B845="","",IF(COUNTIF(Jobs!$A$5:$A$44,B845)=0,"Unknown Job ID",IF(C845="","Missing cost code",IF(COUNTIF(Settings!$E$5:$E$28,C845)=0,"Unknown cost code",IF(A845="","Missing date",IF(OR(G845="",H845=""),"Missing qty or cost",""))))))</f>
        <v/>
      </c>
      <c r="N845" s="35" t="n"/>
    </row>
    <row r="846">
      <c r="A846" s="40" t="n"/>
      <c r="B846" s="35" t="n"/>
      <c r="C846" s="35" t="n"/>
      <c r="D846" s="9">
        <f>IF(C846="","",IFERROR(VLOOKUP(C846,Settings!$E$5:$G$28,3,FALSE),"Other"))</f>
        <v/>
      </c>
      <c r="E846" s="35" t="n"/>
      <c r="F846" s="35" t="n"/>
      <c r="G846" s="35" t="n"/>
      <c r="H846" s="37" t="n"/>
      <c r="I846" s="39">
        <f>IF(B846="","",G846*H846)</f>
        <v/>
      </c>
      <c r="J846" s="35" t="n"/>
      <c r="K846" s="35" t="n"/>
      <c r="L846" s="35" t="n"/>
      <c r="M846" s="9">
        <f>IF(B846="","",IF(COUNTIF(Jobs!$A$5:$A$44,B846)=0,"Unknown Job ID",IF(C846="","Missing cost code",IF(COUNTIF(Settings!$E$5:$E$28,C846)=0,"Unknown cost code",IF(A846="","Missing date",IF(OR(G846="",H846=""),"Missing qty or cost",""))))))</f>
        <v/>
      </c>
      <c r="N846" s="35" t="n"/>
    </row>
    <row r="847">
      <c r="A847" s="40" t="n"/>
      <c r="B847" s="35" t="n"/>
      <c r="C847" s="35" t="n"/>
      <c r="D847" s="9">
        <f>IF(C847="","",IFERROR(VLOOKUP(C847,Settings!$E$5:$G$28,3,FALSE),"Other"))</f>
        <v/>
      </c>
      <c r="E847" s="35" t="n"/>
      <c r="F847" s="35" t="n"/>
      <c r="G847" s="35" t="n"/>
      <c r="H847" s="37" t="n"/>
      <c r="I847" s="39">
        <f>IF(B847="","",G847*H847)</f>
        <v/>
      </c>
      <c r="J847" s="35" t="n"/>
      <c r="K847" s="35" t="n"/>
      <c r="L847" s="35" t="n"/>
      <c r="M847" s="9">
        <f>IF(B847="","",IF(COUNTIF(Jobs!$A$5:$A$44,B847)=0,"Unknown Job ID",IF(C847="","Missing cost code",IF(COUNTIF(Settings!$E$5:$E$28,C847)=0,"Unknown cost code",IF(A847="","Missing date",IF(OR(G847="",H847=""),"Missing qty or cost",""))))))</f>
        <v/>
      </c>
      <c r="N847" s="35" t="n"/>
    </row>
    <row r="848">
      <c r="A848" s="40" t="n"/>
      <c r="B848" s="35" t="n"/>
      <c r="C848" s="35" t="n"/>
      <c r="D848" s="9">
        <f>IF(C848="","",IFERROR(VLOOKUP(C848,Settings!$E$5:$G$28,3,FALSE),"Other"))</f>
        <v/>
      </c>
      <c r="E848" s="35" t="n"/>
      <c r="F848" s="35" t="n"/>
      <c r="G848" s="35" t="n"/>
      <c r="H848" s="37" t="n"/>
      <c r="I848" s="39">
        <f>IF(B848="","",G848*H848)</f>
        <v/>
      </c>
      <c r="J848" s="35" t="n"/>
      <c r="K848" s="35" t="n"/>
      <c r="L848" s="35" t="n"/>
      <c r="M848" s="9">
        <f>IF(B848="","",IF(COUNTIF(Jobs!$A$5:$A$44,B848)=0,"Unknown Job ID",IF(C848="","Missing cost code",IF(COUNTIF(Settings!$E$5:$E$28,C848)=0,"Unknown cost code",IF(A848="","Missing date",IF(OR(G848="",H848=""),"Missing qty or cost",""))))))</f>
        <v/>
      </c>
      <c r="N848" s="35" t="n"/>
    </row>
    <row r="849">
      <c r="A849" s="40" t="n"/>
      <c r="B849" s="35" t="n"/>
      <c r="C849" s="35" t="n"/>
      <c r="D849" s="9">
        <f>IF(C849="","",IFERROR(VLOOKUP(C849,Settings!$E$5:$G$28,3,FALSE),"Other"))</f>
        <v/>
      </c>
      <c r="E849" s="35" t="n"/>
      <c r="F849" s="35" t="n"/>
      <c r="G849" s="35" t="n"/>
      <c r="H849" s="37" t="n"/>
      <c r="I849" s="39">
        <f>IF(B849="","",G849*H849)</f>
        <v/>
      </c>
      <c r="J849" s="35" t="n"/>
      <c r="K849" s="35" t="n"/>
      <c r="L849" s="35" t="n"/>
      <c r="M849" s="9">
        <f>IF(B849="","",IF(COUNTIF(Jobs!$A$5:$A$44,B849)=0,"Unknown Job ID",IF(C849="","Missing cost code",IF(COUNTIF(Settings!$E$5:$E$28,C849)=0,"Unknown cost code",IF(A849="","Missing date",IF(OR(G849="",H849=""),"Missing qty or cost",""))))))</f>
        <v/>
      </c>
      <c r="N849" s="35" t="n"/>
    </row>
    <row r="850">
      <c r="A850" s="40" t="n"/>
      <c r="B850" s="35" t="n"/>
      <c r="C850" s="35" t="n"/>
      <c r="D850" s="9">
        <f>IF(C850="","",IFERROR(VLOOKUP(C850,Settings!$E$5:$G$28,3,FALSE),"Other"))</f>
        <v/>
      </c>
      <c r="E850" s="35" t="n"/>
      <c r="F850" s="35" t="n"/>
      <c r="G850" s="35" t="n"/>
      <c r="H850" s="37" t="n"/>
      <c r="I850" s="39">
        <f>IF(B850="","",G850*H850)</f>
        <v/>
      </c>
      <c r="J850" s="35" t="n"/>
      <c r="K850" s="35" t="n"/>
      <c r="L850" s="35" t="n"/>
      <c r="M850" s="9">
        <f>IF(B850="","",IF(COUNTIF(Jobs!$A$5:$A$44,B850)=0,"Unknown Job ID",IF(C850="","Missing cost code",IF(COUNTIF(Settings!$E$5:$E$28,C850)=0,"Unknown cost code",IF(A850="","Missing date",IF(OR(G850="",H850=""),"Missing qty or cost",""))))))</f>
        <v/>
      </c>
      <c r="N850" s="35" t="n"/>
    </row>
    <row r="851">
      <c r="A851" s="40" t="n"/>
      <c r="B851" s="35" t="n"/>
      <c r="C851" s="35" t="n"/>
      <c r="D851" s="9">
        <f>IF(C851="","",IFERROR(VLOOKUP(C851,Settings!$E$5:$G$28,3,FALSE),"Other"))</f>
        <v/>
      </c>
      <c r="E851" s="35" t="n"/>
      <c r="F851" s="35" t="n"/>
      <c r="G851" s="35" t="n"/>
      <c r="H851" s="37" t="n"/>
      <c r="I851" s="39">
        <f>IF(B851="","",G851*H851)</f>
        <v/>
      </c>
      <c r="J851" s="35" t="n"/>
      <c r="K851" s="35" t="n"/>
      <c r="L851" s="35" t="n"/>
      <c r="M851" s="9">
        <f>IF(B851="","",IF(COUNTIF(Jobs!$A$5:$A$44,B851)=0,"Unknown Job ID",IF(C851="","Missing cost code",IF(COUNTIF(Settings!$E$5:$E$28,C851)=0,"Unknown cost code",IF(A851="","Missing date",IF(OR(G851="",H851=""),"Missing qty or cost",""))))))</f>
        <v/>
      </c>
      <c r="N851" s="35" t="n"/>
    </row>
    <row r="852">
      <c r="A852" s="40" t="n"/>
      <c r="B852" s="35" t="n"/>
      <c r="C852" s="35" t="n"/>
      <c r="D852" s="9">
        <f>IF(C852="","",IFERROR(VLOOKUP(C852,Settings!$E$5:$G$28,3,FALSE),"Other"))</f>
        <v/>
      </c>
      <c r="E852" s="35" t="n"/>
      <c r="F852" s="35" t="n"/>
      <c r="G852" s="35" t="n"/>
      <c r="H852" s="37" t="n"/>
      <c r="I852" s="39">
        <f>IF(B852="","",G852*H852)</f>
        <v/>
      </c>
      <c r="J852" s="35" t="n"/>
      <c r="K852" s="35" t="n"/>
      <c r="L852" s="35" t="n"/>
      <c r="M852" s="9">
        <f>IF(B852="","",IF(COUNTIF(Jobs!$A$5:$A$44,B852)=0,"Unknown Job ID",IF(C852="","Missing cost code",IF(COUNTIF(Settings!$E$5:$E$28,C852)=0,"Unknown cost code",IF(A852="","Missing date",IF(OR(G852="",H852=""),"Missing qty or cost",""))))))</f>
        <v/>
      </c>
      <c r="N852" s="35" t="n"/>
    </row>
    <row r="853">
      <c r="A853" s="40" t="n"/>
      <c r="B853" s="35" t="n"/>
      <c r="C853" s="35" t="n"/>
      <c r="D853" s="9">
        <f>IF(C853="","",IFERROR(VLOOKUP(C853,Settings!$E$5:$G$28,3,FALSE),"Other"))</f>
        <v/>
      </c>
      <c r="E853" s="35" t="n"/>
      <c r="F853" s="35" t="n"/>
      <c r="G853" s="35" t="n"/>
      <c r="H853" s="37" t="n"/>
      <c r="I853" s="39">
        <f>IF(B853="","",G853*H853)</f>
        <v/>
      </c>
      <c r="J853" s="35" t="n"/>
      <c r="K853" s="35" t="n"/>
      <c r="L853" s="35" t="n"/>
      <c r="M853" s="9">
        <f>IF(B853="","",IF(COUNTIF(Jobs!$A$5:$A$44,B853)=0,"Unknown Job ID",IF(C853="","Missing cost code",IF(COUNTIF(Settings!$E$5:$E$28,C853)=0,"Unknown cost code",IF(A853="","Missing date",IF(OR(G853="",H853=""),"Missing qty or cost",""))))))</f>
        <v/>
      </c>
      <c r="N853" s="35" t="n"/>
    </row>
    <row r="854">
      <c r="A854" s="40" t="n"/>
      <c r="B854" s="35" t="n"/>
      <c r="C854" s="35" t="n"/>
      <c r="D854" s="9">
        <f>IF(C854="","",IFERROR(VLOOKUP(C854,Settings!$E$5:$G$28,3,FALSE),"Other"))</f>
        <v/>
      </c>
      <c r="E854" s="35" t="n"/>
      <c r="F854" s="35" t="n"/>
      <c r="G854" s="35" t="n"/>
      <c r="H854" s="37" t="n"/>
      <c r="I854" s="39">
        <f>IF(B854="","",G854*H854)</f>
        <v/>
      </c>
      <c r="J854" s="35" t="n"/>
      <c r="K854" s="35" t="n"/>
      <c r="L854" s="35" t="n"/>
      <c r="M854" s="9">
        <f>IF(B854="","",IF(COUNTIF(Jobs!$A$5:$A$44,B854)=0,"Unknown Job ID",IF(C854="","Missing cost code",IF(COUNTIF(Settings!$E$5:$E$28,C854)=0,"Unknown cost code",IF(A854="","Missing date",IF(OR(G854="",H854=""),"Missing qty or cost",""))))))</f>
        <v/>
      </c>
      <c r="N854" s="35" t="n"/>
    </row>
    <row r="855">
      <c r="A855" s="40" t="n"/>
      <c r="B855" s="35" t="n"/>
      <c r="C855" s="35" t="n"/>
      <c r="D855" s="9">
        <f>IF(C855="","",IFERROR(VLOOKUP(C855,Settings!$E$5:$G$28,3,FALSE),"Other"))</f>
        <v/>
      </c>
      <c r="E855" s="35" t="n"/>
      <c r="F855" s="35" t="n"/>
      <c r="G855" s="35" t="n"/>
      <c r="H855" s="37" t="n"/>
      <c r="I855" s="39">
        <f>IF(B855="","",G855*H855)</f>
        <v/>
      </c>
      <c r="J855" s="35" t="n"/>
      <c r="K855" s="35" t="n"/>
      <c r="L855" s="35" t="n"/>
      <c r="M855" s="9">
        <f>IF(B855="","",IF(COUNTIF(Jobs!$A$5:$A$44,B855)=0,"Unknown Job ID",IF(C855="","Missing cost code",IF(COUNTIF(Settings!$E$5:$E$28,C855)=0,"Unknown cost code",IF(A855="","Missing date",IF(OR(G855="",H855=""),"Missing qty or cost",""))))))</f>
        <v/>
      </c>
      <c r="N855" s="35" t="n"/>
    </row>
    <row r="856">
      <c r="A856" s="40" t="n"/>
      <c r="B856" s="35" t="n"/>
      <c r="C856" s="35" t="n"/>
      <c r="D856" s="9">
        <f>IF(C856="","",IFERROR(VLOOKUP(C856,Settings!$E$5:$G$28,3,FALSE),"Other"))</f>
        <v/>
      </c>
      <c r="E856" s="35" t="n"/>
      <c r="F856" s="35" t="n"/>
      <c r="G856" s="35" t="n"/>
      <c r="H856" s="37" t="n"/>
      <c r="I856" s="39">
        <f>IF(B856="","",G856*H856)</f>
        <v/>
      </c>
      <c r="J856" s="35" t="n"/>
      <c r="K856" s="35" t="n"/>
      <c r="L856" s="35" t="n"/>
      <c r="M856" s="9">
        <f>IF(B856="","",IF(COUNTIF(Jobs!$A$5:$A$44,B856)=0,"Unknown Job ID",IF(C856="","Missing cost code",IF(COUNTIF(Settings!$E$5:$E$28,C856)=0,"Unknown cost code",IF(A856="","Missing date",IF(OR(G856="",H856=""),"Missing qty or cost",""))))))</f>
        <v/>
      </c>
      <c r="N856" s="35" t="n"/>
    </row>
    <row r="857">
      <c r="A857" s="40" t="n"/>
      <c r="B857" s="35" t="n"/>
      <c r="C857" s="35" t="n"/>
      <c r="D857" s="9">
        <f>IF(C857="","",IFERROR(VLOOKUP(C857,Settings!$E$5:$G$28,3,FALSE),"Other"))</f>
        <v/>
      </c>
      <c r="E857" s="35" t="n"/>
      <c r="F857" s="35" t="n"/>
      <c r="G857" s="35" t="n"/>
      <c r="H857" s="37" t="n"/>
      <c r="I857" s="39">
        <f>IF(B857="","",G857*H857)</f>
        <v/>
      </c>
      <c r="J857" s="35" t="n"/>
      <c r="K857" s="35" t="n"/>
      <c r="L857" s="35" t="n"/>
      <c r="M857" s="9">
        <f>IF(B857="","",IF(COUNTIF(Jobs!$A$5:$A$44,B857)=0,"Unknown Job ID",IF(C857="","Missing cost code",IF(COUNTIF(Settings!$E$5:$E$28,C857)=0,"Unknown cost code",IF(A857="","Missing date",IF(OR(G857="",H857=""),"Missing qty or cost",""))))))</f>
        <v/>
      </c>
      <c r="N857" s="35" t="n"/>
    </row>
    <row r="858">
      <c r="A858" s="40" t="n"/>
      <c r="B858" s="35" t="n"/>
      <c r="C858" s="35" t="n"/>
      <c r="D858" s="9">
        <f>IF(C858="","",IFERROR(VLOOKUP(C858,Settings!$E$5:$G$28,3,FALSE),"Other"))</f>
        <v/>
      </c>
      <c r="E858" s="35" t="n"/>
      <c r="F858" s="35" t="n"/>
      <c r="G858" s="35" t="n"/>
      <c r="H858" s="37" t="n"/>
      <c r="I858" s="39">
        <f>IF(B858="","",G858*H858)</f>
        <v/>
      </c>
      <c r="J858" s="35" t="n"/>
      <c r="K858" s="35" t="n"/>
      <c r="L858" s="35" t="n"/>
      <c r="M858" s="9">
        <f>IF(B858="","",IF(COUNTIF(Jobs!$A$5:$A$44,B858)=0,"Unknown Job ID",IF(C858="","Missing cost code",IF(COUNTIF(Settings!$E$5:$E$28,C858)=0,"Unknown cost code",IF(A858="","Missing date",IF(OR(G858="",H858=""),"Missing qty or cost",""))))))</f>
        <v/>
      </c>
      <c r="N858" s="35" t="n"/>
    </row>
    <row r="859">
      <c r="A859" s="40" t="n"/>
      <c r="B859" s="35" t="n"/>
      <c r="C859" s="35" t="n"/>
      <c r="D859" s="9">
        <f>IF(C859="","",IFERROR(VLOOKUP(C859,Settings!$E$5:$G$28,3,FALSE),"Other"))</f>
        <v/>
      </c>
      <c r="E859" s="35" t="n"/>
      <c r="F859" s="35" t="n"/>
      <c r="G859" s="35" t="n"/>
      <c r="H859" s="37" t="n"/>
      <c r="I859" s="39">
        <f>IF(B859="","",G859*H859)</f>
        <v/>
      </c>
      <c r="J859" s="35" t="n"/>
      <c r="K859" s="35" t="n"/>
      <c r="L859" s="35" t="n"/>
      <c r="M859" s="9">
        <f>IF(B859="","",IF(COUNTIF(Jobs!$A$5:$A$44,B859)=0,"Unknown Job ID",IF(C859="","Missing cost code",IF(COUNTIF(Settings!$E$5:$E$28,C859)=0,"Unknown cost code",IF(A859="","Missing date",IF(OR(G859="",H859=""),"Missing qty or cost",""))))))</f>
        <v/>
      </c>
      <c r="N859" s="35" t="n"/>
    </row>
    <row r="860">
      <c r="A860" s="40" t="n"/>
      <c r="B860" s="35" t="n"/>
      <c r="C860" s="35" t="n"/>
      <c r="D860" s="9">
        <f>IF(C860="","",IFERROR(VLOOKUP(C860,Settings!$E$5:$G$28,3,FALSE),"Other"))</f>
        <v/>
      </c>
      <c r="E860" s="35" t="n"/>
      <c r="F860" s="35" t="n"/>
      <c r="G860" s="35" t="n"/>
      <c r="H860" s="37" t="n"/>
      <c r="I860" s="39">
        <f>IF(B860="","",G860*H860)</f>
        <v/>
      </c>
      <c r="J860" s="35" t="n"/>
      <c r="K860" s="35" t="n"/>
      <c r="L860" s="35" t="n"/>
      <c r="M860" s="9">
        <f>IF(B860="","",IF(COUNTIF(Jobs!$A$5:$A$44,B860)=0,"Unknown Job ID",IF(C860="","Missing cost code",IF(COUNTIF(Settings!$E$5:$E$28,C860)=0,"Unknown cost code",IF(A860="","Missing date",IF(OR(G860="",H860=""),"Missing qty or cost",""))))))</f>
        <v/>
      </c>
      <c r="N860" s="35" t="n"/>
    </row>
    <row r="861">
      <c r="A861" s="40" t="n"/>
      <c r="B861" s="35" t="n"/>
      <c r="C861" s="35" t="n"/>
      <c r="D861" s="9">
        <f>IF(C861="","",IFERROR(VLOOKUP(C861,Settings!$E$5:$G$28,3,FALSE),"Other"))</f>
        <v/>
      </c>
      <c r="E861" s="35" t="n"/>
      <c r="F861" s="35" t="n"/>
      <c r="G861" s="35" t="n"/>
      <c r="H861" s="37" t="n"/>
      <c r="I861" s="39">
        <f>IF(B861="","",G861*H861)</f>
        <v/>
      </c>
      <c r="J861" s="35" t="n"/>
      <c r="K861" s="35" t="n"/>
      <c r="L861" s="35" t="n"/>
      <c r="M861" s="9">
        <f>IF(B861="","",IF(COUNTIF(Jobs!$A$5:$A$44,B861)=0,"Unknown Job ID",IF(C861="","Missing cost code",IF(COUNTIF(Settings!$E$5:$E$28,C861)=0,"Unknown cost code",IF(A861="","Missing date",IF(OR(G861="",H861=""),"Missing qty or cost",""))))))</f>
        <v/>
      </c>
      <c r="N861" s="35" t="n"/>
    </row>
    <row r="862">
      <c r="A862" s="40" t="n"/>
      <c r="B862" s="35" t="n"/>
      <c r="C862" s="35" t="n"/>
      <c r="D862" s="9">
        <f>IF(C862="","",IFERROR(VLOOKUP(C862,Settings!$E$5:$G$28,3,FALSE),"Other"))</f>
        <v/>
      </c>
      <c r="E862" s="35" t="n"/>
      <c r="F862" s="35" t="n"/>
      <c r="G862" s="35" t="n"/>
      <c r="H862" s="37" t="n"/>
      <c r="I862" s="39">
        <f>IF(B862="","",G862*H862)</f>
        <v/>
      </c>
      <c r="J862" s="35" t="n"/>
      <c r="K862" s="35" t="n"/>
      <c r="L862" s="35" t="n"/>
      <c r="M862" s="9">
        <f>IF(B862="","",IF(COUNTIF(Jobs!$A$5:$A$44,B862)=0,"Unknown Job ID",IF(C862="","Missing cost code",IF(COUNTIF(Settings!$E$5:$E$28,C862)=0,"Unknown cost code",IF(A862="","Missing date",IF(OR(G862="",H862=""),"Missing qty or cost",""))))))</f>
        <v/>
      </c>
      <c r="N862" s="35" t="n"/>
    </row>
    <row r="863">
      <c r="A863" s="40" t="n"/>
      <c r="B863" s="35" t="n"/>
      <c r="C863" s="35" t="n"/>
      <c r="D863" s="9">
        <f>IF(C863="","",IFERROR(VLOOKUP(C863,Settings!$E$5:$G$28,3,FALSE),"Other"))</f>
        <v/>
      </c>
      <c r="E863" s="35" t="n"/>
      <c r="F863" s="35" t="n"/>
      <c r="G863" s="35" t="n"/>
      <c r="H863" s="37" t="n"/>
      <c r="I863" s="39">
        <f>IF(B863="","",G863*H863)</f>
        <v/>
      </c>
      <c r="J863" s="35" t="n"/>
      <c r="K863" s="35" t="n"/>
      <c r="L863" s="35" t="n"/>
      <c r="M863" s="9">
        <f>IF(B863="","",IF(COUNTIF(Jobs!$A$5:$A$44,B863)=0,"Unknown Job ID",IF(C863="","Missing cost code",IF(COUNTIF(Settings!$E$5:$E$28,C863)=0,"Unknown cost code",IF(A863="","Missing date",IF(OR(G863="",H863=""),"Missing qty or cost",""))))))</f>
        <v/>
      </c>
      <c r="N863" s="35" t="n"/>
    </row>
    <row r="864">
      <c r="A864" s="40" t="n"/>
      <c r="B864" s="35" t="n"/>
      <c r="C864" s="35" t="n"/>
      <c r="D864" s="9">
        <f>IF(C864="","",IFERROR(VLOOKUP(C864,Settings!$E$5:$G$28,3,FALSE),"Other"))</f>
        <v/>
      </c>
      <c r="E864" s="35" t="n"/>
      <c r="F864" s="35" t="n"/>
      <c r="G864" s="35" t="n"/>
      <c r="H864" s="37" t="n"/>
      <c r="I864" s="39">
        <f>IF(B864="","",G864*H864)</f>
        <v/>
      </c>
      <c r="J864" s="35" t="n"/>
      <c r="K864" s="35" t="n"/>
      <c r="L864" s="35" t="n"/>
      <c r="M864" s="9">
        <f>IF(B864="","",IF(COUNTIF(Jobs!$A$5:$A$44,B864)=0,"Unknown Job ID",IF(C864="","Missing cost code",IF(COUNTIF(Settings!$E$5:$E$28,C864)=0,"Unknown cost code",IF(A864="","Missing date",IF(OR(G864="",H864=""),"Missing qty or cost",""))))))</f>
        <v/>
      </c>
      <c r="N864" s="35" t="n"/>
    </row>
    <row r="865">
      <c r="A865" s="40" t="n"/>
      <c r="B865" s="35" t="n"/>
      <c r="C865" s="35" t="n"/>
      <c r="D865" s="9">
        <f>IF(C865="","",IFERROR(VLOOKUP(C865,Settings!$E$5:$G$28,3,FALSE),"Other"))</f>
        <v/>
      </c>
      <c r="E865" s="35" t="n"/>
      <c r="F865" s="35" t="n"/>
      <c r="G865" s="35" t="n"/>
      <c r="H865" s="37" t="n"/>
      <c r="I865" s="39">
        <f>IF(B865="","",G865*H865)</f>
        <v/>
      </c>
      <c r="J865" s="35" t="n"/>
      <c r="K865" s="35" t="n"/>
      <c r="L865" s="35" t="n"/>
      <c r="M865" s="9">
        <f>IF(B865="","",IF(COUNTIF(Jobs!$A$5:$A$44,B865)=0,"Unknown Job ID",IF(C865="","Missing cost code",IF(COUNTIF(Settings!$E$5:$E$28,C865)=0,"Unknown cost code",IF(A865="","Missing date",IF(OR(G865="",H865=""),"Missing qty or cost",""))))))</f>
        <v/>
      </c>
      <c r="N865" s="35" t="n"/>
    </row>
    <row r="866">
      <c r="A866" s="40" t="n"/>
      <c r="B866" s="35" t="n"/>
      <c r="C866" s="35" t="n"/>
      <c r="D866" s="9">
        <f>IF(C866="","",IFERROR(VLOOKUP(C866,Settings!$E$5:$G$28,3,FALSE),"Other"))</f>
        <v/>
      </c>
      <c r="E866" s="35" t="n"/>
      <c r="F866" s="35" t="n"/>
      <c r="G866" s="35" t="n"/>
      <c r="H866" s="37" t="n"/>
      <c r="I866" s="39">
        <f>IF(B866="","",G866*H866)</f>
        <v/>
      </c>
      <c r="J866" s="35" t="n"/>
      <c r="K866" s="35" t="n"/>
      <c r="L866" s="35" t="n"/>
      <c r="M866" s="9">
        <f>IF(B866="","",IF(COUNTIF(Jobs!$A$5:$A$44,B866)=0,"Unknown Job ID",IF(C866="","Missing cost code",IF(COUNTIF(Settings!$E$5:$E$28,C866)=0,"Unknown cost code",IF(A866="","Missing date",IF(OR(G866="",H866=""),"Missing qty or cost",""))))))</f>
        <v/>
      </c>
      <c r="N866" s="35" t="n"/>
    </row>
    <row r="867">
      <c r="A867" s="40" t="n"/>
      <c r="B867" s="35" t="n"/>
      <c r="C867" s="35" t="n"/>
      <c r="D867" s="9">
        <f>IF(C867="","",IFERROR(VLOOKUP(C867,Settings!$E$5:$G$28,3,FALSE),"Other"))</f>
        <v/>
      </c>
      <c r="E867" s="35" t="n"/>
      <c r="F867" s="35" t="n"/>
      <c r="G867" s="35" t="n"/>
      <c r="H867" s="37" t="n"/>
      <c r="I867" s="39">
        <f>IF(B867="","",G867*H867)</f>
        <v/>
      </c>
      <c r="J867" s="35" t="n"/>
      <c r="K867" s="35" t="n"/>
      <c r="L867" s="35" t="n"/>
      <c r="M867" s="9">
        <f>IF(B867="","",IF(COUNTIF(Jobs!$A$5:$A$44,B867)=0,"Unknown Job ID",IF(C867="","Missing cost code",IF(COUNTIF(Settings!$E$5:$E$28,C867)=0,"Unknown cost code",IF(A867="","Missing date",IF(OR(G867="",H867=""),"Missing qty or cost",""))))))</f>
        <v/>
      </c>
      <c r="N867" s="35" t="n"/>
    </row>
    <row r="868">
      <c r="A868" s="40" t="n"/>
      <c r="B868" s="35" t="n"/>
      <c r="C868" s="35" t="n"/>
      <c r="D868" s="9">
        <f>IF(C868="","",IFERROR(VLOOKUP(C868,Settings!$E$5:$G$28,3,FALSE),"Other"))</f>
        <v/>
      </c>
      <c r="E868" s="35" t="n"/>
      <c r="F868" s="35" t="n"/>
      <c r="G868" s="35" t="n"/>
      <c r="H868" s="37" t="n"/>
      <c r="I868" s="39">
        <f>IF(B868="","",G868*H868)</f>
        <v/>
      </c>
      <c r="J868" s="35" t="n"/>
      <c r="K868" s="35" t="n"/>
      <c r="L868" s="35" t="n"/>
      <c r="M868" s="9">
        <f>IF(B868="","",IF(COUNTIF(Jobs!$A$5:$A$44,B868)=0,"Unknown Job ID",IF(C868="","Missing cost code",IF(COUNTIF(Settings!$E$5:$E$28,C868)=0,"Unknown cost code",IF(A868="","Missing date",IF(OR(G868="",H868=""),"Missing qty or cost",""))))))</f>
        <v/>
      </c>
      <c r="N868" s="35" t="n"/>
    </row>
    <row r="869">
      <c r="A869" s="40" t="n"/>
      <c r="B869" s="35" t="n"/>
      <c r="C869" s="35" t="n"/>
      <c r="D869" s="9">
        <f>IF(C869="","",IFERROR(VLOOKUP(C869,Settings!$E$5:$G$28,3,FALSE),"Other"))</f>
        <v/>
      </c>
      <c r="E869" s="35" t="n"/>
      <c r="F869" s="35" t="n"/>
      <c r="G869" s="35" t="n"/>
      <c r="H869" s="37" t="n"/>
      <c r="I869" s="39">
        <f>IF(B869="","",G869*H869)</f>
        <v/>
      </c>
      <c r="J869" s="35" t="n"/>
      <c r="K869" s="35" t="n"/>
      <c r="L869" s="35" t="n"/>
      <c r="M869" s="9">
        <f>IF(B869="","",IF(COUNTIF(Jobs!$A$5:$A$44,B869)=0,"Unknown Job ID",IF(C869="","Missing cost code",IF(COUNTIF(Settings!$E$5:$E$28,C869)=0,"Unknown cost code",IF(A869="","Missing date",IF(OR(G869="",H869=""),"Missing qty or cost",""))))))</f>
        <v/>
      </c>
      <c r="N869" s="35" t="n"/>
    </row>
    <row r="870">
      <c r="A870" s="40" t="n"/>
      <c r="B870" s="35" t="n"/>
      <c r="C870" s="35" t="n"/>
      <c r="D870" s="9">
        <f>IF(C870="","",IFERROR(VLOOKUP(C870,Settings!$E$5:$G$28,3,FALSE),"Other"))</f>
        <v/>
      </c>
      <c r="E870" s="35" t="n"/>
      <c r="F870" s="35" t="n"/>
      <c r="G870" s="35" t="n"/>
      <c r="H870" s="37" t="n"/>
      <c r="I870" s="39">
        <f>IF(B870="","",G870*H870)</f>
        <v/>
      </c>
      <c r="J870" s="35" t="n"/>
      <c r="K870" s="35" t="n"/>
      <c r="L870" s="35" t="n"/>
      <c r="M870" s="9">
        <f>IF(B870="","",IF(COUNTIF(Jobs!$A$5:$A$44,B870)=0,"Unknown Job ID",IF(C870="","Missing cost code",IF(COUNTIF(Settings!$E$5:$E$28,C870)=0,"Unknown cost code",IF(A870="","Missing date",IF(OR(G870="",H870=""),"Missing qty or cost",""))))))</f>
        <v/>
      </c>
      <c r="N870" s="35" t="n"/>
    </row>
    <row r="871">
      <c r="A871" s="40" t="n"/>
      <c r="B871" s="35" t="n"/>
      <c r="C871" s="35" t="n"/>
      <c r="D871" s="9">
        <f>IF(C871="","",IFERROR(VLOOKUP(C871,Settings!$E$5:$G$28,3,FALSE),"Other"))</f>
        <v/>
      </c>
      <c r="E871" s="35" t="n"/>
      <c r="F871" s="35" t="n"/>
      <c r="G871" s="35" t="n"/>
      <c r="H871" s="37" t="n"/>
      <c r="I871" s="39">
        <f>IF(B871="","",G871*H871)</f>
        <v/>
      </c>
      <c r="J871" s="35" t="n"/>
      <c r="K871" s="35" t="n"/>
      <c r="L871" s="35" t="n"/>
      <c r="M871" s="9">
        <f>IF(B871="","",IF(COUNTIF(Jobs!$A$5:$A$44,B871)=0,"Unknown Job ID",IF(C871="","Missing cost code",IF(COUNTIF(Settings!$E$5:$E$28,C871)=0,"Unknown cost code",IF(A871="","Missing date",IF(OR(G871="",H871=""),"Missing qty or cost",""))))))</f>
        <v/>
      </c>
      <c r="N871" s="35" t="n"/>
    </row>
    <row r="872">
      <c r="A872" s="40" t="n"/>
      <c r="B872" s="35" t="n"/>
      <c r="C872" s="35" t="n"/>
      <c r="D872" s="9">
        <f>IF(C872="","",IFERROR(VLOOKUP(C872,Settings!$E$5:$G$28,3,FALSE),"Other"))</f>
        <v/>
      </c>
      <c r="E872" s="35" t="n"/>
      <c r="F872" s="35" t="n"/>
      <c r="G872" s="35" t="n"/>
      <c r="H872" s="37" t="n"/>
      <c r="I872" s="39">
        <f>IF(B872="","",G872*H872)</f>
        <v/>
      </c>
      <c r="J872" s="35" t="n"/>
      <c r="K872" s="35" t="n"/>
      <c r="L872" s="35" t="n"/>
      <c r="M872" s="9">
        <f>IF(B872="","",IF(COUNTIF(Jobs!$A$5:$A$44,B872)=0,"Unknown Job ID",IF(C872="","Missing cost code",IF(COUNTIF(Settings!$E$5:$E$28,C872)=0,"Unknown cost code",IF(A872="","Missing date",IF(OR(G872="",H872=""),"Missing qty or cost",""))))))</f>
        <v/>
      </c>
      <c r="N872" s="35" t="n"/>
    </row>
    <row r="873">
      <c r="A873" s="40" t="n"/>
      <c r="B873" s="35" t="n"/>
      <c r="C873" s="35" t="n"/>
      <c r="D873" s="9">
        <f>IF(C873="","",IFERROR(VLOOKUP(C873,Settings!$E$5:$G$28,3,FALSE),"Other"))</f>
        <v/>
      </c>
      <c r="E873" s="35" t="n"/>
      <c r="F873" s="35" t="n"/>
      <c r="G873" s="35" t="n"/>
      <c r="H873" s="37" t="n"/>
      <c r="I873" s="39">
        <f>IF(B873="","",G873*H873)</f>
        <v/>
      </c>
      <c r="J873" s="35" t="n"/>
      <c r="K873" s="35" t="n"/>
      <c r="L873" s="35" t="n"/>
      <c r="M873" s="9">
        <f>IF(B873="","",IF(COUNTIF(Jobs!$A$5:$A$44,B873)=0,"Unknown Job ID",IF(C873="","Missing cost code",IF(COUNTIF(Settings!$E$5:$E$28,C873)=0,"Unknown cost code",IF(A873="","Missing date",IF(OR(G873="",H873=""),"Missing qty or cost",""))))))</f>
        <v/>
      </c>
      <c r="N873" s="35" t="n"/>
    </row>
    <row r="874">
      <c r="A874" s="40" t="n"/>
      <c r="B874" s="35" t="n"/>
      <c r="C874" s="35" t="n"/>
      <c r="D874" s="9">
        <f>IF(C874="","",IFERROR(VLOOKUP(C874,Settings!$E$5:$G$28,3,FALSE),"Other"))</f>
        <v/>
      </c>
      <c r="E874" s="35" t="n"/>
      <c r="F874" s="35" t="n"/>
      <c r="G874" s="35" t="n"/>
      <c r="H874" s="37" t="n"/>
      <c r="I874" s="39">
        <f>IF(B874="","",G874*H874)</f>
        <v/>
      </c>
      <c r="J874" s="35" t="n"/>
      <c r="K874" s="35" t="n"/>
      <c r="L874" s="35" t="n"/>
      <c r="M874" s="9">
        <f>IF(B874="","",IF(COUNTIF(Jobs!$A$5:$A$44,B874)=0,"Unknown Job ID",IF(C874="","Missing cost code",IF(COUNTIF(Settings!$E$5:$E$28,C874)=0,"Unknown cost code",IF(A874="","Missing date",IF(OR(G874="",H874=""),"Missing qty or cost",""))))))</f>
        <v/>
      </c>
      <c r="N874" s="35" t="n"/>
    </row>
    <row r="875">
      <c r="A875" s="40" t="n"/>
      <c r="B875" s="35" t="n"/>
      <c r="C875" s="35" t="n"/>
      <c r="D875" s="9">
        <f>IF(C875="","",IFERROR(VLOOKUP(C875,Settings!$E$5:$G$28,3,FALSE),"Other"))</f>
        <v/>
      </c>
      <c r="E875" s="35" t="n"/>
      <c r="F875" s="35" t="n"/>
      <c r="G875" s="35" t="n"/>
      <c r="H875" s="37" t="n"/>
      <c r="I875" s="39">
        <f>IF(B875="","",G875*H875)</f>
        <v/>
      </c>
      <c r="J875" s="35" t="n"/>
      <c r="K875" s="35" t="n"/>
      <c r="L875" s="35" t="n"/>
      <c r="M875" s="9">
        <f>IF(B875="","",IF(COUNTIF(Jobs!$A$5:$A$44,B875)=0,"Unknown Job ID",IF(C875="","Missing cost code",IF(COUNTIF(Settings!$E$5:$E$28,C875)=0,"Unknown cost code",IF(A875="","Missing date",IF(OR(G875="",H875=""),"Missing qty or cost",""))))))</f>
        <v/>
      </c>
      <c r="N875" s="35" t="n"/>
    </row>
    <row r="876">
      <c r="A876" s="40" t="n"/>
      <c r="B876" s="35" t="n"/>
      <c r="C876" s="35" t="n"/>
      <c r="D876" s="9">
        <f>IF(C876="","",IFERROR(VLOOKUP(C876,Settings!$E$5:$G$28,3,FALSE),"Other"))</f>
        <v/>
      </c>
      <c r="E876" s="35" t="n"/>
      <c r="F876" s="35" t="n"/>
      <c r="G876" s="35" t="n"/>
      <c r="H876" s="37" t="n"/>
      <c r="I876" s="39">
        <f>IF(B876="","",G876*H876)</f>
        <v/>
      </c>
      <c r="J876" s="35" t="n"/>
      <c r="K876" s="35" t="n"/>
      <c r="L876" s="35" t="n"/>
      <c r="M876" s="9">
        <f>IF(B876="","",IF(COUNTIF(Jobs!$A$5:$A$44,B876)=0,"Unknown Job ID",IF(C876="","Missing cost code",IF(COUNTIF(Settings!$E$5:$E$28,C876)=0,"Unknown cost code",IF(A876="","Missing date",IF(OR(G876="",H876=""),"Missing qty or cost",""))))))</f>
        <v/>
      </c>
      <c r="N876" s="35" t="n"/>
    </row>
    <row r="877">
      <c r="A877" s="40" t="n"/>
      <c r="B877" s="35" t="n"/>
      <c r="C877" s="35" t="n"/>
      <c r="D877" s="9">
        <f>IF(C877="","",IFERROR(VLOOKUP(C877,Settings!$E$5:$G$28,3,FALSE),"Other"))</f>
        <v/>
      </c>
      <c r="E877" s="35" t="n"/>
      <c r="F877" s="35" t="n"/>
      <c r="G877" s="35" t="n"/>
      <c r="H877" s="37" t="n"/>
      <c r="I877" s="39">
        <f>IF(B877="","",G877*H877)</f>
        <v/>
      </c>
      <c r="J877" s="35" t="n"/>
      <c r="K877" s="35" t="n"/>
      <c r="L877" s="35" t="n"/>
      <c r="M877" s="9">
        <f>IF(B877="","",IF(COUNTIF(Jobs!$A$5:$A$44,B877)=0,"Unknown Job ID",IF(C877="","Missing cost code",IF(COUNTIF(Settings!$E$5:$E$28,C877)=0,"Unknown cost code",IF(A877="","Missing date",IF(OR(G877="",H877=""),"Missing qty or cost",""))))))</f>
        <v/>
      </c>
      <c r="N877" s="35" t="n"/>
    </row>
    <row r="878">
      <c r="A878" s="40" t="n"/>
      <c r="B878" s="35" t="n"/>
      <c r="C878" s="35" t="n"/>
      <c r="D878" s="9">
        <f>IF(C878="","",IFERROR(VLOOKUP(C878,Settings!$E$5:$G$28,3,FALSE),"Other"))</f>
        <v/>
      </c>
      <c r="E878" s="35" t="n"/>
      <c r="F878" s="35" t="n"/>
      <c r="G878" s="35" t="n"/>
      <c r="H878" s="37" t="n"/>
      <c r="I878" s="39">
        <f>IF(B878="","",G878*H878)</f>
        <v/>
      </c>
      <c r="J878" s="35" t="n"/>
      <c r="K878" s="35" t="n"/>
      <c r="L878" s="35" t="n"/>
      <c r="M878" s="9">
        <f>IF(B878="","",IF(COUNTIF(Jobs!$A$5:$A$44,B878)=0,"Unknown Job ID",IF(C878="","Missing cost code",IF(COUNTIF(Settings!$E$5:$E$28,C878)=0,"Unknown cost code",IF(A878="","Missing date",IF(OR(G878="",H878=""),"Missing qty or cost",""))))))</f>
        <v/>
      </c>
      <c r="N878" s="35" t="n"/>
    </row>
    <row r="879">
      <c r="A879" s="40" t="n"/>
      <c r="B879" s="35" t="n"/>
      <c r="C879" s="35" t="n"/>
      <c r="D879" s="9">
        <f>IF(C879="","",IFERROR(VLOOKUP(C879,Settings!$E$5:$G$28,3,FALSE),"Other"))</f>
        <v/>
      </c>
      <c r="E879" s="35" t="n"/>
      <c r="F879" s="35" t="n"/>
      <c r="G879" s="35" t="n"/>
      <c r="H879" s="37" t="n"/>
      <c r="I879" s="39">
        <f>IF(B879="","",G879*H879)</f>
        <v/>
      </c>
      <c r="J879" s="35" t="n"/>
      <c r="K879" s="35" t="n"/>
      <c r="L879" s="35" t="n"/>
      <c r="M879" s="9">
        <f>IF(B879="","",IF(COUNTIF(Jobs!$A$5:$A$44,B879)=0,"Unknown Job ID",IF(C879="","Missing cost code",IF(COUNTIF(Settings!$E$5:$E$28,C879)=0,"Unknown cost code",IF(A879="","Missing date",IF(OR(G879="",H879=""),"Missing qty or cost",""))))))</f>
        <v/>
      </c>
      <c r="N879" s="35" t="n"/>
    </row>
    <row r="880">
      <c r="A880" s="40" t="n"/>
      <c r="B880" s="35" t="n"/>
      <c r="C880" s="35" t="n"/>
      <c r="D880" s="9">
        <f>IF(C880="","",IFERROR(VLOOKUP(C880,Settings!$E$5:$G$28,3,FALSE),"Other"))</f>
        <v/>
      </c>
      <c r="E880" s="35" t="n"/>
      <c r="F880" s="35" t="n"/>
      <c r="G880" s="35" t="n"/>
      <c r="H880" s="37" t="n"/>
      <c r="I880" s="39">
        <f>IF(B880="","",G880*H880)</f>
        <v/>
      </c>
      <c r="J880" s="35" t="n"/>
      <c r="K880" s="35" t="n"/>
      <c r="L880" s="35" t="n"/>
      <c r="M880" s="9">
        <f>IF(B880="","",IF(COUNTIF(Jobs!$A$5:$A$44,B880)=0,"Unknown Job ID",IF(C880="","Missing cost code",IF(COUNTIF(Settings!$E$5:$E$28,C880)=0,"Unknown cost code",IF(A880="","Missing date",IF(OR(G880="",H880=""),"Missing qty or cost",""))))))</f>
        <v/>
      </c>
      <c r="N880" s="35" t="n"/>
    </row>
    <row r="881">
      <c r="A881" s="40" t="n"/>
      <c r="B881" s="35" t="n"/>
      <c r="C881" s="35" t="n"/>
      <c r="D881" s="9">
        <f>IF(C881="","",IFERROR(VLOOKUP(C881,Settings!$E$5:$G$28,3,FALSE),"Other"))</f>
        <v/>
      </c>
      <c r="E881" s="35" t="n"/>
      <c r="F881" s="35" t="n"/>
      <c r="G881" s="35" t="n"/>
      <c r="H881" s="37" t="n"/>
      <c r="I881" s="39">
        <f>IF(B881="","",G881*H881)</f>
        <v/>
      </c>
      <c r="J881" s="35" t="n"/>
      <c r="K881" s="35" t="n"/>
      <c r="L881" s="35" t="n"/>
      <c r="M881" s="9">
        <f>IF(B881="","",IF(COUNTIF(Jobs!$A$5:$A$44,B881)=0,"Unknown Job ID",IF(C881="","Missing cost code",IF(COUNTIF(Settings!$E$5:$E$28,C881)=0,"Unknown cost code",IF(A881="","Missing date",IF(OR(G881="",H881=""),"Missing qty or cost",""))))))</f>
        <v/>
      </c>
      <c r="N881" s="35" t="n"/>
    </row>
    <row r="882">
      <c r="A882" s="40" t="n"/>
      <c r="B882" s="35" t="n"/>
      <c r="C882" s="35" t="n"/>
      <c r="D882" s="9">
        <f>IF(C882="","",IFERROR(VLOOKUP(C882,Settings!$E$5:$G$28,3,FALSE),"Other"))</f>
        <v/>
      </c>
      <c r="E882" s="35" t="n"/>
      <c r="F882" s="35" t="n"/>
      <c r="G882" s="35" t="n"/>
      <c r="H882" s="37" t="n"/>
      <c r="I882" s="39">
        <f>IF(B882="","",G882*H882)</f>
        <v/>
      </c>
      <c r="J882" s="35" t="n"/>
      <c r="K882" s="35" t="n"/>
      <c r="L882" s="35" t="n"/>
      <c r="M882" s="9">
        <f>IF(B882="","",IF(COUNTIF(Jobs!$A$5:$A$44,B882)=0,"Unknown Job ID",IF(C882="","Missing cost code",IF(COUNTIF(Settings!$E$5:$E$28,C882)=0,"Unknown cost code",IF(A882="","Missing date",IF(OR(G882="",H882=""),"Missing qty or cost",""))))))</f>
        <v/>
      </c>
      <c r="N882" s="35" t="n"/>
    </row>
    <row r="883">
      <c r="A883" s="40" t="n"/>
      <c r="B883" s="35" t="n"/>
      <c r="C883" s="35" t="n"/>
      <c r="D883" s="9">
        <f>IF(C883="","",IFERROR(VLOOKUP(C883,Settings!$E$5:$G$28,3,FALSE),"Other"))</f>
        <v/>
      </c>
      <c r="E883" s="35" t="n"/>
      <c r="F883" s="35" t="n"/>
      <c r="G883" s="35" t="n"/>
      <c r="H883" s="37" t="n"/>
      <c r="I883" s="39">
        <f>IF(B883="","",G883*H883)</f>
        <v/>
      </c>
      <c r="J883" s="35" t="n"/>
      <c r="K883" s="35" t="n"/>
      <c r="L883" s="35" t="n"/>
      <c r="M883" s="9">
        <f>IF(B883="","",IF(COUNTIF(Jobs!$A$5:$A$44,B883)=0,"Unknown Job ID",IF(C883="","Missing cost code",IF(COUNTIF(Settings!$E$5:$E$28,C883)=0,"Unknown cost code",IF(A883="","Missing date",IF(OR(G883="",H883=""),"Missing qty or cost",""))))))</f>
        <v/>
      </c>
      <c r="N883" s="35" t="n"/>
    </row>
    <row r="884">
      <c r="A884" s="40" t="n"/>
      <c r="B884" s="35" t="n"/>
      <c r="C884" s="35" t="n"/>
      <c r="D884" s="9">
        <f>IF(C884="","",IFERROR(VLOOKUP(C884,Settings!$E$5:$G$28,3,FALSE),"Other"))</f>
        <v/>
      </c>
      <c r="E884" s="35" t="n"/>
      <c r="F884" s="35" t="n"/>
      <c r="G884" s="35" t="n"/>
      <c r="H884" s="37" t="n"/>
      <c r="I884" s="39">
        <f>IF(B884="","",G884*H884)</f>
        <v/>
      </c>
      <c r="J884" s="35" t="n"/>
      <c r="K884" s="35" t="n"/>
      <c r="L884" s="35" t="n"/>
      <c r="M884" s="9">
        <f>IF(B884="","",IF(COUNTIF(Jobs!$A$5:$A$44,B884)=0,"Unknown Job ID",IF(C884="","Missing cost code",IF(COUNTIF(Settings!$E$5:$E$28,C884)=0,"Unknown cost code",IF(A884="","Missing date",IF(OR(G884="",H884=""),"Missing qty or cost",""))))))</f>
        <v/>
      </c>
      <c r="N884" s="35" t="n"/>
    </row>
    <row r="885">
      <c r="A885" s="40" t="n"/>
      <c r="B885" s="35" t="n"/>
      <c r="C885" s="35" t="n"/>
      <c r="D885" s="9">
        <f>IF(C885="","",IFERROR(VLOOKUP(C885,Settings!$E$5:$G$28,3,FALSE),"Other"))</f>
        <v/>
      </c>
      <c r="E885" s="35" t="n"/>
      <c r="F885" s="35" t="n"/>
      <c r="G885" s="35" t="n"/>
      <c r="H885" s="37" t="n"/>
      <c r="I885" s="39">
        <f>IF(B885="","",G885*H885)</f>
        <v/>
      </c>
      <c r="J885" s="35" t="n"/>
      <c r="K885" s="35" t="n"/>
      <c r="L885" s="35" t="n"/>
      <c r="M885" s="9">
        <f>IF(B885="","",IF(COUNTIF(Jobs!$A$5:$A$44,B885)=0,"Unknown Job ID",IF(C885="","Missing cost code",IF(COUNTIF(Settings!$E$5:$E$28,C885)=0,"Unknown cost code",IF(A885="","Missing date",IF(OR(G885="",H885=""),"Missing qty or cost",""))))))</f>
        <v/>
      </c>
      <c r="N885" s="35" t="n"/>
    </row>
    <row r="886">
      <c r="A886" s="40" t="n"/>
      <c r="B886" s="35" t="n"/>
      <c r="C886" s="35" t="n"/>
      <c r="D886" s="9">
        <f>IF(C886="","",IFERROR(VLOOKUP(C886,Settings!$E$5:$G$28,3,FALSE),"Other"))</f>
        <v/>
      </c>
      <c r="E886" s="35" t="n"/>
      <c r="F886" s="35" t="n"/>
      <c r="G886" s="35" t="n"/>
      <c r="H886" s="37" t="n"/>
      <c r="I886" s="39">
        <f>IF(B886="","",G886*H886)</f>
        <v/>
      </c>
      <c r="J886" s="35" t="n"/>
      <c r="K886" s="35" t="n"/>
      <c r="L886" s="35" t="n"/>
      <c r="M886" s="9">
        <f>IF(B886="","",IF(COUNTIF(Jobs!$A$5:$A$44,B886)=0,"Unknown Job ID",IF(C886="","Missing cost code",IF(COUNTIF(Settings!$E$5:$E$28,C886)=0,"Unknown cost code",IF(A886="","Missing date",IF(OR(G886="",H886=""),"Missing qty or cost",""))))))</f>
        <v/>
      </c>
      <c r="N886" s="35" t="n"/>
    </row>
    <row r="887">
      <c r="A887" s="40" t="n"/>
      <c r="B887" s="35" t="n"/>
      <c r="C887" s="35" t="n"/>
      <c r="D887" s="9">
        <f>IF(C887="","",IFERROR(VLOOKUP(C887,Settings!$E$5:$G$28,3,FALSE),"Other"))</f>
        <v/>
      </c>
      <c r="E887" s="35" t="n"/>
      <c r="F887" s="35" t="n"/>
      <c r="G887" s="35" t="n"/>
      <c r="H887" s="37" t="n"/>
      <c r="I887" s="39">
        <f>IF(B887="","",G887*H887)</f>
        <v/>
      </c>
      <c r="J887" s="35" t="n"/>
      <c r="K887" s="35" t="n"/>
      <c r="L887" s="35" t="n"/>
      <c r="M887" s="9">
        <f>IF(B887="","",IF(COUNTIF(Jobs!$A$5:$A$44,B887)=0,"Unknown Job ID",IF(C887="","Missing cost code",IF(COUNTIF(Settings!$E$5:$E$28,C887)=0,"Unknown cost code",IF(A887="","Missing date",IF(OR(G887="",H887=""),"Missing qty or cost",""))))))</f>
        <v/>
      </c>
      <c r="N887" s="35" t="n"/>
    </row>
    <row r="888">
      <c r="A888" s="40" t="n"/>
      <c r="B888" s="35" t="n"/>
      <c r="C888" s="35" t="n"/>
      <c r="D888" s="9">
        <f>IF(C888="","",IFERROR(VLOOKUP(C888,Settings!$E$5:$G$28,3,FALSE),"Other"))</f>
        <v/>
      </c>
      <c r="E888" s="35" t="n"/>
      <c r="F888" s="35" t="n"/>
      <c r="G888" s="35" t="n"/>
      <c r="H888" s="37" t="n"/>
      <c r="I888" s="39">
        <f>IF(B888="","",G888*H888)</f>
        <v/>
      </c>
      <c r="J888" s="35" t="n"/>
      <c r="K888" s="35" t="n"/>
      <c r="L888" s="35" t="n"/>
      <c r="M888" s="9">
        <f>IF(B888="","",IF(COUNTIF(Jobs!$A$5:$A$44,B888)=0,"Unknown Job ID",IF(C888="","Missing cost code",IF(COUNTIF(Settings!$E$5:$E$28,C888)=0,"Unknown cost code",IF(A888="","Missing date",IF(OR(G888="",H888=""),"Missing qty or cost",""))))))</f>
        <v/>
      </c>
      <c r="N888" s="35" t="n"/>
    </row>
    <row r="889">
      <c r="A889" s="40" t="n"/>
      <c r="B889" s="35" t="n"/>
      <c r="C889" s="35" t="n"/>
      <c r="D889" s="9">
        <f>IF(C889="","",IFERROR(VLOOKUP(C889,Settings!$E$5:$G$28,3,FALSE),"Other"))</f>
        <v/>
      </c>
      <c r="E889" s="35" t="n"/>
      <c r="F889" s="35" t="n"/>
      <c r="G889" s="35" t="n"/>
      <c r="H889" s="37" t="n"/>
      <c r="I889" s="39">
        <f>IF(B889="","",G889*H889)</f>
        <v/>
      </c>
      <c r="J889" s="35" t="n"/>
      <c r="K889" s="35" t="n"/>
      <c r="L889" s="35" t="n"/>
      <c r="M889" s="9">
        <f>IF(B889="","",IF(COUNTIF(Jobs!$A$5:$A$44,B889)=0,"Unknown Job ID",IF(C889="","Missing cost code",IF(COUNTIF(Settings!$E$5:$E$28,C889)=0,"Unknown cost code",IF(A889="","Missing date",IF(OR(G889="",H889=""),"Missing qty or cost",""))))))</f>
        <v/>
      </c>
      <c r="N889" s="35" t="n"/>
    </row>
    <row r="890">
      <c r="A890" s="40" t="n"/>
      <c r="B890" s="35" t="n"/>
      <c r="C890" s="35" t="n"/>
      <c r="D890" s="9">
        <f>IF(C890="","",IFERROR(VLOOKUP(C890,Settings!$E$5:$G$28,3,FALSE),"Other"))</f>
        <v/>
      </c>
      <c r="E890" s="35" t="n"/>
      <c r="F890" s="35" t="n"/>
      <c r="G890" s="35" t="n"/>
      <c r="H890" s="37" t="n"/>
      <c r="I890" s="39">
        <f>IF(B890="","",G890*H890)</f>
        <v/>
      </c>
      <c r="J890" s="35" t="n"/>
      <c r="K890" s="35" t="n"/>
      <c r="L890" s="35" t="n"/>
      <c r="M890" s="9">
        <f>IF(B890="","",IF(COUNTIF(Jobs!$A$5:$A$44,B890)=0,"Unknown Job ID",IF(C890="","Missing cost code",IF(COUNTIF(Settings!$E$5:$E$28,C890)=0,"Unknown cost code",IF(A890="","Missing date",IF(OR(G890="",H890=""),"Missing qty or cost",""))))))</f>
        <v/>
      </c>
      <c r="N890" s="35" t="n"/>
    </row>
    <row r="891">
      <c r="A891" s="40" t="n"/>
      <c r="B891" s="35" t="n"/>
      <c r="C891" s="35" t="n"/>
      <c r="D891" s="9">
        <f>IF(C891="","",IFERROR(VLOOKUP(C891,Settings!$E$5:$G$28,3,FALSE),"Other"))</f>
        <v/>
      </c>
      <c r="E891" s="35" t="n"/>
      <c r="F891" s="35" t="n"/>
      <c r="G891" s="35" t="n"/>
      <c r="H891" s="37" t="n"/>
      <c r="I891" s="39">
        <f>IF(B891="","",G891*H891)</f>
        <v/>
      </c>
      <c r="J891" s="35" t="n"/>
      <c r="K891" s="35" t="n"/>
      <c r="L891" s="35" t="n"/>
      <c r="M891" s="9">
        <f>IF(B891="","",IF(COUNTIF(Jobs!$A$5:$A$44,B891)=0,"Unknown Job ID",IF(C891="","Missing cost code",IF(COUNTIF(Settings!$E$5:$E$28,C891)=0,"Unknown cost code",IF(A891="","Missing date",IF(OR(G891="",H891=""),"Missing qty or cost",""))))))</f>
        <v/>
      </c>
      <c r="N891" s="35" t="n"/>
    </row>
    <row r="892">
      <c r="A892" s="40" t="n"/>
      <c r="B892" s="35" t="n"/>
      <c r="C892" s="35" t="n"/>
      <c r="D892" s="9">
        <f>IF(C892="","",IFERROR(VLOOKUP(C892,Settings!$E$5:$G$28,3,FALSE),"Other"))</f>
        <v/>
      </c>
      <c r="E892" s="35" t="n"/>
      <c r="F892" s="35" t="n"/>
      <c r="G892" s="35" t="n"/>
      <c r="H892" s="37" t="n"/>
      <c r="I892" s="39">
        <f>IF(B892="","",G892*H892)</f>
        <v/>
      </c>
      <c r="J892" s="35" t="n"/>
      <c r="K892" s="35" t="n"/>
      <c r="L892" s="35" t="n"/>
      <c r="M892" s="9">
        <f>IF(B892="","",IF(COUNTIF(Jobs!$A$5:$A$44,B892)=0,"Unknown Job ID",IF(C892="","Missing cost code",IF(COUNTIF(Settings!$E$5:$E$28,C892)=0,"Unknown cost code",IF(A892="","Missing date",IF(OR(G892="",H892=""),"Missing qty or cost",""))))))</f>
        <v/>
      </c>
      <c r="N892" s="35" t="n"/>
    </row>
    <row r="893">
      <c r="A893" s="40" t="n"/>
      <c r="B893" s="35" t="n"/>
      <c r="C893" s="35" t="n"/>
      <c r="D893" s="9">
        <f>IF(C893="","",IFERROR(VLOOKUP(C893,Settings!$E$5:$G$28,3,FALSE),"Other"))</f>
        <v/>
      </c>
      <c r="E893" s="35" t="n"/>
      <c r="F893" s="35" t="n"/>
      <c r="G893" s="35" t="n"/>
      <c r="H893" s="37" t="n"/>
      <c r="I893" s="39">
        <f>IF(B893="","",G893*H893)</f>
        <v/>
      </c>
      <c r="J893" s="35" t="n"/>
      <c r="K893" s="35" t="n"/>
      <c r="L893" s="35" t="n"/>
      <c r="M893" s="9">
        <f>IF(B893="","",IF(COUNTIF(Jobs!$A$5:$A$44,B893)=0,"Unknown Job ID",IF(C893="","Missing cost code",IF(COUNTIF(Settings!$E$5:$E$28,C893)=0,"Unknown cost code",IF(A893="","Missing date",IF(OR(G893="",H893=""),"Missing qty or cost",""))))))</f>
        <v/>
      </c>
      <c r="N893" s="35" t="n"/>
    </row>
    <row r="894">
      <c r="A894" s="40" t="n"/>
      <c r="B894" s="35" t="n"/>
      <c r="C894" s="35" t="n"/>
      <c r="D894" s="9">
        <f>IF(C894="","",IFERROR(VLOOKUP(C894,Settings!$E$5:$G$28,3,FALSE),"Other"))</f>
        <v/>
      </c>
      <c r="E894" s="35" t="n"/>
      <c r="F894" s="35" t="n"/>
      <c r="G894" s="35" t="n"/>
      <c r="H894" s="37" t="n"/>
      <c r="I894" s="39">
        <f>IF(B894="","",G894*H894)</f>
        <v/>
      </c>
      <c r="J894" s="35" t="n"/>
      <c r="K894" s="35" t="n"/>
      <c r="L894" s="35" t="n"/>
      <c r="M894" s="9">
        <f>IF(B894="","",IF(COUNTIF(Jobs!$A$5:$A$44,B894)=0,"Unknown Job ID",IF(C894="","Missing cost code",IF(COUNTIF(Settings!$E$5:$E$28,C894)=0,"Unknown cost code",IF(A894="","Missing date",IF(OR(G894="",H894=""),"Missing qty or cost",""))))))</f>
        <v/>
      </c>
      <c r="N894" s="35" t="n"/>
    </row>
    <row r="895">
      <c r="A895" s="40" t="n"/>
      <c r="B895" s="35" t="n"/>
      <c r="C895" s="35" t="n"/>
      <c r="D895" s="9">
        <f>IF(C895="","",IFERROR(VLOOKUP(C895,Settings!$E$5:$G$28,3,FALSE),"Other"))</f>
        <v/>
      </c>
      <c r="E895" s="35" t="n"/>
      <c r="F895" s="35" t="n"/>
      <c r="G895" s="35" t="n"/>
      <c r="H895" s="37" t="n"/>
      <c r="I895" s="39">
        <f>IF(B895="","",G895*H895)</f>
        <v/>
      </c>
      <c r="J895" s="35" t="n"/>
      <c r="K895" s="35" t="n"/>
      <c r="L895" s="35" t="n"/>
      <c r="M895" s="9">
        <f>IF(B895="","",IF(COUNTIF(Jobs!$A$5:$A$44,B895)=0,"Unknown Job ID",IF(C895="","Missing cost code",IF(COUNTIF(Settings!$E$5:$E$28,C895)=0,"Unknown cost code",IF(A895="","Missing date",IF(OR(G895="",H895=""),"Missing qty or cost",""))))))</f>
        <v/>
      </c>
      <c r="N895" s="35" t="n"/>
    </row>
    <row r="896">
      <c r="A896" s="40" t="n"/>
      <c r="B896" s="35" t="n"/>
      <c r="C896" s="35" t="n"/>
      <c r="D896" s="9">
        <f>IF(C896="","",IFERROR(VLOOKUP(C896,Settings!$E$5:$G$28,3,FALSE),"Other"))</f>
        <v/>
      </c>
      <c r="E896" s="35" t="n"/>
      <c r="F896" s="35" t="n"/>
      <c r="G896" s="35" t="n"/>
      <c r="H896" s="37" t="n"/>
      <c r="I896" s="39">
        <f>IF(B896="","",G896*H896)</f>
        <v/>
      </c>
      <c r="J896" s="35" t="n"/>
      <c r="K896" s="35" t="n"/>
      <c r="L896" s="35" t="n"/>
      <c r="M896" s="9">
        <f>IF(B896="","",IF(COUNTIF(Jobs!$A$5:$A$44,B896)=0,"Unknown Job ID",IF(C896="","Missing cost code",IF(COUNTIF(Settings!$E$5:$E$28,C896)=0,"Unknown cost code",IF(A896="","Missing date",IF(OR(G896="",H896=""),"Missing qty or cost",""))))))</f>
        <v/>
      </c>
      <c r="N896" s="35" t="n"/>
    </row>
    <row r="897">
      <c r="A897" s="40" t="n"/>
      <c r="B897" s="35" t="n"/>
      <c r="C897" s="35" t="n"/>
      <c r="D897" s="9">
        <f>IF(C897="","",IFERROR(VLOOKUP(C897,Settings!$E$5:$G$28,3,FALSE),"Other"))</f>
        <v/>
      </c>
      <c r="E897" s="35" t="n"/>
      <c r="F897" s="35" t="n"/>
      <c r="G897" s="35" t="n"/>
      <c r="H897" s="37" t="n"/>
      <c r="I897" s="39">
        <f>IF(B897="","",G897*H897)</f>
        <v/>
      </c>
      <c r="J897" s="35" t="n"/>
      <c r="K897" s="35" t="n"/>
      <c r="L897" s="35" t="n"/>
      <c r="M897" s="9">
        <f>IF(B897="","",IF(COUNTIF(Jobs!$A$5:$A$44,B897)=0,"Unknown Job ID",IF(C897="","Missing cost code",IF(COUNTIF(Settings!$E$5:$E$28,C897)=0,"Unknown cost code",IF(A897="","Missing date",IF(OR(G897="",H897=""),"Missing qty or cost",""))))))</f>
        <v/>
      </c>
      <c r="N897" s="35" t="n"/>
    </row>
    <row r="898">
      <c r="A898" s="40" t="n"/>
      <c r="B898" s="35" t="n"/>
      <c r="C898" s="35" t="n"/>
      <c r="D898" s="9">
        <f>IF(C898="","",IFERROR(VLOOKUP(C898,Settings!$E$5:$G$28,3,FALSE),"Other"))</f>
        <v/>
      </c>
      <c r="E898" s="35" t="n"/>
      <c r="F898" s="35" t="n"/>
      <c r="G898" s="35" t="n"/>
      <c r="H898" s="37" t="n"/>
      <c r="I898" s="39">
        <f>IF(B898="","",G898*H898)</f>
        <v/>
      </c>
      <c r="J898" s="35" t="n"/>
      <c r="K898" s="35" t="n"/>
      <c r="L898" s="35" t="n"/>
      <c r="M898" s="9">
        <f>IF(B898="","",IF(COUNTIF(Jobs!$A$5:$A$44,B898)=0,"Unknown Job ID",IF(C898="","Missing cost code",IF(COUNTIF(Settings!$E$5:$E$28,C898)=0,"Unknown cost code",IF(A898="","Missing date",IF(OR(G898="",H898=""),"Missing qty or cost",""))))))</f>
        <v/>
      </c>
      <c r="N898" s="35" t="n"/>
    </row>
    <row r="899">
      <c r="A899" s="40" t="n"/>
      <c r="B899" s="35" t="n"/>
      <c r="C899" s="35" t="n"/>
      <c r="D899" s="9">
        <f>IF(C899="","",IFERROR(VLOOKUP(C899,Settings!$E$5:$G$28,3,FALSE),"Other"))</f>
        <v/>
      </c>
      <c r="E899" s="35" t="n"/>
      <c r="F899" s="35" t="n"/>
      <c r="G899" s="35" t="n"/>
      <c r="H899" s="37" t="n"/>
      <c r="I899" s="39">
        <f>IF(B899="","",G899*H899)</f>
        <v/>
      </c>
      <c r="J899" s="35" t="n"/>
      <c r="K899" s="35" t="n"/>
      <c r="L899" s="35" t="n"/>
      <c r="M899" s="9">
        <f>IF(B899="","",IF(COUNTIF(Jobs!$A$5:$A$44,B899)=0,"Unknown Job ID",IF(C899="","Missing cost code",IF(COUNTIF(Settings!$E$5:$E$28,C899)=0,"Unknown cost code",IF(A899="","Missing date",IF(OR(G899="",H899=""),"Missing qty or cost",""))))))</f>
        <v/>
      </c>
      <c r="N899" s="35" t="n"/>
    </row>
    <row r="900">
      <c r="A900" s="40" t="n"/>
      <c r="B900" s="35" t="n"/>
      <c r="C900" s="35" t="n"/>
      <c r="D900" s="9">
        <f>IF(C900="","",IFERROR(VLOOKUP(C900,Settings!$E$5:$G$28,3,FALSE),"Other"))</f>
        <v/>
      </c>
      <c r="E900" s="35" t="n"/>
      <c r="F900" s="35" t="n"/>
      <c r="G900" s="35" t="n"/>
      <c r="H900" s="37" t="n"/>
      <c r="I900" s="39">
        <f>IF(B900="","",G900*H900)</f>
        <v/>
      </c>
      <c r="J900" s="35" t="n"/>
      <c r="K900" s="35" t="n"/>
      <c r="L900" s="35" t="n"/>
      <c r="M900" s="9">
        <f>IF(B900="","",IF(COUNTIF(Jobs!$A$5:$A$44,B900)=0,"Unknown Job ID",IF(C900="","Missing cost code",IF(COUNTIF(Settings!$E$5:$E$28,C900)=0,"Unknown cost code",IF(A900="","Missing date",IF(OR(G900="",H900=""),"Missing qty or cost",""))))))</f>
        <v/>
      </c>
      <c r="N900" s="35" t="n"/>
    </row>
    <row r="901">
      <c r="A901" s="40" t="n"/>
      <c r="B901" s="35" t="n"/>
      <c r="C901" s="35" t="n"/>
      <c r="D901" s="9">
        <f>IF(C901="","",IFERROR(VLOOKUP(C901,Settings!$E$5:$G$28,3,FALSE),"Other"))</f>
        <v/>
      </c>
      <c r="E901" s="35" t="n"/>
      <c r="F901" s="35" t="n"/>
      <c r="G901" s="35" t="n"/>
      <c r="H901" s="37" t="n"/>
      <c r="I901" s="39">
        <f>IF(B901="","",G901*H901)</f>
        <v/>
      </c>
      <c r="J901" s="35" t="n"/>
      <c r="K901" s="35" t="n"/>
      <c r="L901" s="35" t="n"/>
      <c r="M901" s="9">
        <f>IF(B901="","",IF(COUNTIF(Jobs!$A$5:$A$44,B901)=0,"Unknown Job ID",IF(C901="","Missing cost code",IF(COUNTIF(Settings!$E$5:$E$28,C901)=0,"Unknown cost code",IF(A901="","Missing date",IF(OR(G901="",H901=""),"Missing qty or cost",""))))))</f>
        <v/>
      </c>
      <c r="N901" s="35" t="n"/>
    </row>
    <row r="902">
      <c r="A902" s="40" t="n"/>
      <c r="B902" s="35" t="n"/>
      <c r="C902" s="35" t="n"/>
      <c r="D902" s="9">
        <f>IF(C902="","",IFERROR(VLOOKUP(C902,Settings!$E$5:$G$28,3,FALSE),"Other"))</f>
        <v/>
      </c>
      <c r="E902" s="35" t="n"/>
      <c r="F902" s="35" t="n"/>
      <c r="G902" s="35" t="n"/>
      <c r="H902" s="37" t="n"/>
      <c r="I902" s="39">
        <f>IF(B902="","",G902*H902)</f>
        <v/>
      </c>
      <c r="J902" s="35" t="n"/>
      <c r="K902" s="35" t="n"/>
      <c r="L902" s="35" t="n"/>
      <c r="M902" s="9">
        <f>IF(B902="","",IF(COUNTIF(Jobs!$A$5:$A$44,B902)=0,"Unknown Job ID",IF(C902="","Missing cost code",IF(COUNTIF(Settings!$E$5:$E$28,C902)=0,"Unknown cost code",IF(A902="","Missing date",IF(OR(G902="",H902=""),"Missing qty or cost",""))))))</f>
        <v/>
      </c>
      <c r="N902" s="35" t="n"/>
    </row>
    <row r="903">
      <c r="A903" s="40" t="n"/>
      <c r="B903" s="35" t="n"/>
      <c r="C903" s="35" t="n"/>
      <c r="D903" s="9">
        <f>IF(C903="","",IFERROR(VLOOKUP(C903,Settings!$E$5:$G$28,3,FALSE),"Other"))</f>
        <v/>
      </c>
      <c r="E903" s="35" t="n"/>
      <c r="F903" s="35" t="n"/>
      <c r="G903" s="35" t="n"/>
      <c r="H903" s="37" t="n"/>
      <c r="I903" s="39">
        <f>IF(B903="","",G903*H903)</f>
        <v/>
      </c>
      <c r="J903" s="35" t="n"/>
      <c r="K903" s="35" t="n"/>
      <c r="L903" s="35" t="n"/>
      <c r="M903" s="9">
        <f>IF(B903="","",IF(COUNTIF(Jobs!$A$5:$A$44,B903)=0,"Unknown Job ID",IF(C903="","Missing cost code",IF(COUNTIF(Settings!$E$5:$E$28,C903)=0,"Unknown cost code",IF(A903="","Missing date",IF(OR(G903="",H903=""),"Missing qty or cost",""))))))</f>
        <v/>
      </c>
      <c r="N903" s="35" t="n"/>
    </row>
    <row r="904">
      <c r="A904" s="40" t="n"/>
      <c r="B904" s="35" t="n"/>
      <c r="C904" s="35" t="n"/>
      <c r="D904" s="9">
        <f>IF(C904="","",IFERROR(VLOOKUP(C904,Settings!$E$5:$G$28,3,FALSE),"Other"))</f>
        <v/>
      </c>
      <c r="E904" s="35" t="n"/>
      <c r="F904" s="35" t="n"/>
      <c r="G904" s="35" t="n"/>
      <c r="H904" s="37" t="n"/>
      <c r="I904" s="39">
        <f>IF(B904="","",G904*H904)</f>
        <v/>
      </c>
      <c r="J904" s="35" t="n"/>
      <c r="K904" s="35" t="n"/>
      <c r="L904" s="35" t="n"/>
      <c r="M904" s="9">
        <f>IF(B904="","",IF(COUNTIF(Jobs!$A$5:$A$44,B904)=0,"Unknown Job ID",IF(C904="","Missing cost code",IF(COUNTIF(Settings!$E$5:$E$28,C904)=0,"Unknown cost code",IF(A904="","Missing date",IF(OR(G904="",H904=""),"Missing qty or cost",""))))))</f>
        <v/>
      </c>
      <c r="N904" s="35" t="n"/>
    </row>
    <row r="905">
      <c r="A905" s="40" t="n"/>
      <c r="B905" s="35" t="n"/>
      <c r="C905" s="35" t="n"/>
      <c r="D905" s="9">
        <f>IF(C905="","",IFERROR(VLOOKUP(C905,Settings!$E$5:$G$28,3,FALSE),"Other"))</f>
        <v/>
      </c>
      <c r="E905" s="35" t="n"/>
      <c r="F905" s="35" t="n"/>
      <c r="G905" s="35" t="n"/>
      <c r="H905" s="37" t="n"/>
      <c r="I905" s="39">
        <f>IF(B905="","",G905*H905)</f>
        <v/>
      </c>
      <c r="J905" s="35" t="n"/>
      <c r="K905" s="35" t="n"/>
      <c r="L905" s="35" t="n"/>
      <c r="M905" s="9">
        <f>IF(B905="","",IF(COUNTIF(Jobs!$A$5:$A$44,B905)=0,"Unknown Job ID",IF(C905="","Missing cost code",IF(COUNTIF(Settings!$E$5:$E$28,C905)=0,"Unknown cost code",IF(A905="","Missing date",IF(OR(G905="",H905=""),"Missing qty or cost",""))))))</f>
        <v/>
      </c>
      <c r="N905" s="35" t="n"/>
    </row>
    <row r="906">
      <c r="A906" s="40" t="n"/>
      <c r="B906" s="35" t="n"/>
      <c r="C906" s="35" t="n"/>
      <c r="D906" s="9">
        <f>IF(C906="","",IFERROR(VLOOKUP(C906,Settings!$E$5:$G$28,3,FALSE),"Other"))</f>
        <v/>
      </c>
      <c r="E906" s="35" t="n"/>
      <c r="F906" s="35" t="n"/>
      <c r="G906" s="35" t="n"/>
      <c r="H906" s="37" t="n"/>
      <c r="I906" s="39">
        <f>IF(B906="","",G906*H906)</f>
        <v/>
      </c>
      <c r="J906" s="35" t="n"/>
      <c r="K906" s="35" t="n"/>
      <c r="L906" s="35" t="n"/>
      <c r="M906" s="9">
        <f>IF(B906="","",IF(COUNTIF(Jobs!$A$5:$A$44,B906)=0,"Unknown Job ID",IF(C906="","Missing cost code",IF(COUNTIF(Settings!$E$5:$E$28,C906)=0,"Unknown cost code",IF(A906="","Missing date",IF(OR(G906="",H906=""),"Missing qty or cost",""))))))</f>
        <v/>
      </c>
      <c r="N906" s="35" t="n"/>
    </row>
    <row r="907">
      <c r="A907" s="40" t="n"/>
      <c r="B907" s="35" t="n"/>
      <c r="C907" s="35" t="n"/>
      <c r="D907" s="9">
        <f>IF(C907="","",IFERROR(VLOOKUP(C907,Settings!$E$5:$G$28,3,FALSE),"Other"))</f>
        <v/>
      </c>
      <c r="E907" s="35" t="n"/>
      <c r="F907" s="35" t="n"/>
      <c r="G907" s="35" t="n"/>
      <c r="H907" s="37" t="n"/>
      <c r="I907" s="39">
        <f>IF(B907="","",G907*H907)</f>
        <v/>
      </c>
      <c r="J907" s="35" t="n"/>
      <c r="K907" s="35" t="n"/>
      <c r="L907" s="35" t="n"/>
      <c r="M907" s="9">
        <f>IF(B907="","",IF(COUNTIF(Jobs!$A$5:$A$44,B907)=0,"Unknown Job ID",IF(C907="","Missing cost code",IF(COUNTIF(Settings!$E$5:$E$28,C907)=0,"Unknown cost code",IF(A907="","Missing date",IF(OR(G907="",H907=""),"Missing qty or cost",""))))))</f>
        <v/>
      </c>
      <c r="N907" s="35" t="n"/>
    </row>
    <row r="908">
      <c r="A908" s="40" t="n"/>
      <c r="B908" s="35" t="n"/>
      <c r="C908" s="35" t="n"/>
      <c r="D908" s="9">
        <f>IF(C908="","",IFERROR(VLOOKUP(C908,Settings!$E$5:$G$28,3,FALSE),"Other"))</f>
        <v/>
      </c>
      <c r="E908" s="35" t="n"/>
      <c r="F908" s="35" t="n"/>
      <c r="G908" s="35" t="n"/>
      <c r="H908" s="37" t="n"/>
      <c r="I908" s="39">
        <f>IF(B908="","",G908*H908)</f>
        <v/>
      </c>
      <c r="J908" s="35" t="n"/>
      <c r="K908" s="35" t="n"/>
      <c r="L908" s="35" t="n"/>
      <c r="M908" s="9">
        <f>IF(B908="","",IF(COUNTIF(Jobs!$A$5:$A$44,B908)=0,"Unknown Job ID",IF(C908="","Missing cost code",IF(COUNTIF(Settings!$E$5:$E$28,C908)=0,"Unknown cost code",IF(A908="","Missing date",IF(OR(G908="",H908=""),"Missing qty or cost",""))))))</f>
        <v/>
      </c>
      <c r="N908" s="35" t="n"/>
    </row>
    <row r="909">
      <c r="A909" s="40" t="n"/>
      <c r="B909" s="35" t="n"/>
      <c r="C909" s="35" t="n"/>
      <c r="D909" s="9">
        <f>IF(C909="","",IFERROR(VLOOKUP(C909,Settings!$E$5:$G$28,3,FALSE),"Other"))</f>
        <v/>
      </c>
      <c r="E909" s="35" t="n"/>
      <c r="F909" s="35" t="n"/>
      <c r="G909" s="35" t="n"/>
      <c r="H909" s="37" t="n"/>
      <c r="I909" s="39">
        <f>IF(B909="","",G909*H909)</f>
        <v/>
      </c>
      <c r="J909" s="35" t="n"/>
      <c r="K909" s="35" t="n"/>
      <c r="L909" s="35" t="n"/>
      <c r="M909" s="9">
        <f>IF(B909="","",IF(COUNTIF(Jobs!$A$5:$A$44,B909)=0,"Unknown Job ID",IF(C909="","Missing cost code",IF(COUNTIF(Settings!$E$5:$E$28,C909)=0,"Unknown cost code",IF(A909="","Missing date",IF(OR(G909="",H909=""),"Missing qty or cost",""))))))</f>
        <v/>
      </c>
      <c r="N909" s="35" t="n"/>
    </row>
    <row r="910">
      <c r="A910" s="40" t="n"/>
      <c r="B910" s="35" t="n"/>
      <c r="C910" s="35" t="n"/>
      <c r="D910" s="9">
        <f>IF(C910="","",IFERROR(VLOOKUP(C910,Settings!$E$5:$G$28,3,FALSE),"Other"))</f>
        <v/>
      </c>
      <c r="E910" s="35" t="n"/>
      <c r="F910" s="35" t="n"/>
      <c r="G910" s="35" t="n"/>
      <c r="H910" s="37" t="n"/>
      <c r="I910" s="39">
        <f>IF(B910="","",G910*H910)</f>
        <v/>
      </c>
      <c r="J910" s="35" t="n"/>
      <c r="K910" s="35" t="n"/>
      <c r="L910" s="35" t="n"/>
      <c r="M910" s="9">
        <f>IF(B910="","",IF(COUNTIF(Jobs!$A$5:$A$44,B910)=0,"Unknown Job ID",IF(C910="","Missing cost code",IF(COUNTIF(Settings!$E$5:$E$28,C910)=0,"Unknown cost code",IF(A910="","Missing date",IF(OR(G910="",H910=""),"Missing qty or cost",""))))))</f>
        <v/>
      </c>
      <c r="N910" s="35" t="n"/>
    </row>
    <row r="911">
      <c r="A911" s="40" t="n"/>
      <c r="B911" s="35" t="n"/>
      <c r="C911" s="35" t="n"/>
      <c r="D911" s="9">
        <f>IF(C911="","",IFERROR(VLOOKUP(C911,Settings!$E$5:$G$28,3,FALSE),"Other"))</f>
        <v/>
      </c>
      <c r="E911" s="35" t="n"/>
      <c r="F911" s="35" t="n"/>
      <c r="G911" s="35" t="n"/>
      <c r="H911" s="37" t="n"/>
      <c r="I911" s="39">
        <f>IF(B911="","",G911*H911)</f>
        <v/>
      </c>
      <c r="J911" s="35" t="n"/>
      <c r="K911" s="35" t="n"/>
      <c r="L911" s="35" t="n"/>
      <c r="M911" s="9">
        <f>IF(B911="","",IF(COUNTIF(Jobs!$A$5:$A$44,B911)=0,"Unknown Job ID",IF(C911="","Missing cost code",IF(COUNTIF(Settings!$E$5:$E$28,C911)=0,"Unknown cost code",IF(A911="","Missing date",IF(OR(G911="",H911=""),"Missing qty or cost",""))))))</f>
        <v/>
      </c>
      <c r="N911" s="35" t="n"/>
    </row>
    <row r="912">
      <c r="A912" s="40" t="n"/>
      <c r="B912" s="35" t="n"/>
      <c r="C912" s="35" t="n"/>
      <c r="D912" s="9">
        <f>IF(C912="","",IFERROR(VLOOKUP(C912,Settings!$E$5:$G$28,3,FALSE),"Other"))</f>
        <v/>
      </c>
      <c r="E912" s="35" t="n"/>
      <c r="F912" s="35" t="n"/>
      <c r="G912" s="35" t="n"/>
      <c r="H912" s="37" t="n"/>
      <c r="I912" s="39">
        <f>IF(B912="","",G912*H912)</f>
        <v/>
      </c>
      <c r="J912" s="35" t="n"/>
      <c r="K912" s="35" t="n"/>
      <c r="L912" s="35" t="n"/>
      <c r="M912" s="9">
        <f>IF(B912="","",IF(COUNTIF(Jobs!$A$5:$A$44,B912)=0,"Unknown Job ID",IF(C912="","Missing cost code",IF(COUNTIF(Settings!$E$5:$E$28,C912)=0,"Unknown cost code",IF(A912="","Missing date",IF(OR(G912="",H912=""),"Missing qty or cost",""))))))</f>
        <v/>
      </c>
      <c r="N912" s="35" t="n"/>
    </row>
    <row r="913">
      <c r="A913" s="40" t="n"/>
      <c r="B913" s="35" t="n"/>
      <c r="C913" s="35" t="n"/>
      <c r="D913" s="9">
        <f>IF(C913="","",IFERROR(VLOOKUP(C913,Settings!$E$5:$G$28,3,FALSE),"Other"))</f>
        <v/>
      </c>
      <c r="E913" s="35" t="n"/>
      <c r="F913" s="35" t="n"/>
      <c r="G913" s="35" t="n"/>
      <c r="H913" s="37" t="n"/>
      <c r="I913" s="39">
        <f>IF(B913="","",G913*H913)</f>
        <v/>
      </c>
      <c r="J913" s="35" t="n"/>
      <c r="K913" s="35" t="n"/>
      <c r="L913" s="35" t="n"/>
      <c r="M913" s="9">
        <f>IF(B913="","",IF(COUNTIF(Jobs!$A$5:$A$44,B913)=0,"Unknown Job ID",IF(C913="","Missing cost code",IF(COUNTIF(Settings!$E$5:$E$28,C913)=0,"Unknown cost code",IF(A913="","Missing date",IF(OR(G913="",H913=""),"Missing qty or cost",""))))))</f>
        <v/>
      </c>
      <c r="N913" s="35" t="n"/>
    </row>
    <row r="914">
      <c r="A914" s="40" t="n"/>
      <c r="B914" s="35" t="n"/>
      <c r="C914" s="35" t="n"/>
      <c r="D914" s="9">
        <f>IF(C914="","",IFERROR(VLOOKUP(C914,Settings!$E$5:$G$28,3,FALSE),"Other"))</f>
        <v/>
      </c>
      <c r="E914" s="35" t="n"/>
      <c r="F914" s="35" t="n"/>
      <c r="G914" s="35" t="n"/>
      <c r="H914" s="37" t="n"/>
      <c r="I914" s="39">
        <f>IF(B914="","",G914*H914)</f>
        <v/>
      </c>
      <c r="J914" s="35" t="n"/>
      <c r="K914" s="35" t="n"/>
      <c r="L914" s="35" t="n"/>
      <c r="M914" s="9">
        <f>IF(B914="","",IF(COUNTIF(Jobs!$A$5:$A$44,B914)=0,"Unknown Job ID",IF(C914="","Missing cost code",IF(COUNTIF(Settings!$E$5:$E$28,C914)=0,"Unknown cost code",IF(A914="","Missing date",IF(OR(G914="",H914=""),"Missing qty or cost",""))))))</f>
        <v/>
      </c>
      <c r="N914" s="35" t="n"/>
    </row>
    <row r="915">
      <c r="A915" s="40" t="n"/>
      <c r="B915" s="35" t="n"/>
      <c r="C915" s="35" t="n"/>
      <c r="D915" s="9">
        <f>IF(C915="","",IFERROR(VLOOKUP(C915,Settings!$E$5:$G$28,3,FALSE),"Other"))</f>
        <v/>
      </c>
      <c r="E915" s="35" t="n"/>
      <c r="F915" s="35" t="n"/>
      <c r="G915" s="35" t="n"/>
      <c r="H915" s="37" t="n"/>
      <c r="I915" s="39">
        <f>IF(B915="","",G915*H915)</f>
        <v/>
      </c>
      <c r="J915" s="35" t="n"/>
      <c r="K915" s="35" t="n"/>
      <c r="L915" s="35" t="n"/>
      <c r="M915" s="9">
        <f>IF(B915="","",IF(COUNTIF(Jobs!$A$5:$A$44,B915)=0,"Unknown Job ID",IF(C915="","Missing cost code",IF(COUNTIF(Settings!$E$5:$E$28,C915)=0,"Unknown cost code",IF(A915="","Missing date",IF(OR(G915="",H915=""),"Missing qty or cost",""))))))</f>
        <v/>
      </c>
      <c r="N915" s="35" t="n"/>
    </row>
    <row r="916">
      <c r="A916" s="40" t="n"/>
      <c r="B916" s="35" t="n"/>
      <c r="C916" s="35" t="n"/>
      <c r="D916" s="9">
        <f>IF(C916="","",IFERROR(VLOOKUP(C916,Settings!$E$5:$G$28,3,FALSE),"Other"))</f>
        <v/>
      </c>
      <c r="E916" s="35" t="n"/>
      <c r="F916" s="35" t="n"/>
      <c r="G916" s="35" t="n"/>
      <c r="H916" s="37" t="n"/>
      <c r="I916" s="39">
        <f>IF(B916="","",G916*H916)</f>
        <v/>
      </c>
      <c r="J916" s="35" t="n"/>
      <c r="K916" s="35" t="n"/>
      <c r="L916" s="35" t="n"/>
      <c r="M916" s="9">
        <f>IF(B916="","",IF(COUNTIF(Jobs!$A$5:$A$44,B916)=0,"Unknown Job ID",IF(C916="","Missing cost code",IF(COUNTIF(Settings!$E$5:$E$28,C916)=0,"Unknown cost code",IF(A916="","Missing date",IF(OR(G916="",H916=""),"Missing qty or cost",""))))))</f>
        <v/>
      </c>
      <c r="N916" s="35" t="n"/>
    </row>
    <row r="917">
      <c r="A917" s="40" t="n"/>
      <c r="B917" s="35" t="n"/>
      <c r="C917" s="35" t="n"/>
      <c r="D917" s="9">
        <f>IF(C917="","",IFERROR(VLOOKUP(C917,Settings!$E$5:$G$28,3,FALSE),"Other"))</f>
        <v/>
      </c>
      <c r="E917" s="35" t="n"/>
      <c r="F917" s="35" t="n"/>
      <c r="G917" s="35" t="n"/>
      <c r="H917" s="37" t="n"/>
      <c r="I917" s="39">
        <f>IF(B917="","",G917*H917)</f>
        <v/>
      </c>
      <c r="J917" s="35" t="n"/>
      <c r="K917" s="35" t="n"/>
      <c r="L917" s="35" t="n"/>
      <c r="M917" s="9">
        <f>IF(B917="","",IF(COUNTIF(Jobs!$A$5:$A$44,B917)=0,"Unknown Job ID",IF(C917="","Missing cost code",IF(COUNTIF(Settings!$E$5:$E$28,C917)=0,"Unknown cost code",IF(A917="","Missing date",IF(OR(G917="",H917=""),"Missing qty or cost",""))))))</f>
        <v/>
      </c>
      <c r="N917" s="35" t="n"/>
    </row>
    <row r="918">
      <c r="A918" s="40" t="n"/>
      <c r="B918" s="35" t="n"/>
      <c r="C918" s="35" t="n"/>
      <c r="D918" s="9">
        <f>IF(C918="","",IFERROR(VLOOKUP(C918,Settings!$E$5:$G$28,3,FALSE),"Other"))</f>
        <v/>
      </c>
      <c r="E918" s="35" t="n"/>
      <c r="F918" s="35" t="n"/>
      <c r="G918" s="35" t="n"/>
      <c r="H918" s="37" t="n"/>
      <c r="I918" s="39">
        <f>IF(B918="","",G918*H918)</f>
        <v/>
      </c>
      <c r="J918" s="35" t="n"/>
      <c r="K918" s="35" t="n"/>
      <c r="L918" s="35" t="n"/>
      <c r="M918" s="9">
        <f>IF(B918="","",IF(COUNTIF(Jobs!$A$5:$A$44,B918)=0,"Unknown Job ID",IF(C918="","Missing cost code",IF(COUNTIF(Settings!$E$5:$E$28,C918)=0,"Unknown cost code",IF(A918="","Missing date",IF(OR(G918="",H918=""),"Missing qty or cost",""))))))</f>
        <v/>
      </c>
      <c r="N918" s="35" t="n"/>
    </row>
    <row r="919">
      <c r="A919" s="40" t="n"/>
      <c r="B919" s="35" t="n"/>
      <c r="C919" s="35" t="n"/>
      <c r="D919" s="9">
        <f>IF(C919="","",IFERROR(VLOOKUP(C919,Settings!$E$5:$G$28,3,FALSE),"Other"))</f>
        <v/>
      </c>
      <c r="E919" s="35" t="n"/>
      <c r="F919" s="35" t="n"/>
      <c r="G919" s="35" t="n"/>
      <c r="H919" s="37" t="n"/>
      <c r="I919" s="39">
        <f>IF(B919="","",G919*H919)</f>
        <v/>
      </c>
      <c r="J919" s="35" t="n"/>
      <c r="K919" s="35" t="n"/>
      <c r="L919" s="35" t="n"/>
      <c r="M919" s="9">
        <f>IF(B919="","",IF(COUNTIF(Jobs!$A$5:$A$44,B919)=0,"Unknown Job ID",IF(C919="","Missing cost code",IF(COUNTIF(Settings!$E$5:$E$28,C919)=0,"Unknown cost code",IF(A919="","Missing date",IF(OR(G919="",H919=""),"Missing qty or cost",""))))))</f>
        <v/>
      </c>
      <c r="N919" s="35" t="n"/>
    </row>
    <row r="920">
      <c r="A920" s="40" t="n"/>
      <c r="B920" s="35" t="n"/>
      <c r="C920" s="35" t="n"/>
      <c r="D920" s="9">
        <f>IF(C920="","",IFERROR(VLOOKUP(C920,Settings!$E$5:$G$28,3,FALSE),"Other"))</f>
        <v/>
      </c>
      <c r="E920" s="35" t="n"/>
      <c r="F920" s="35" t="n"/>
      <c r="G920" s="35" t="n"/>
      <c r="H920" s="37" t="n"/>
      <c r="I920" s="39">
        <f>IF(B920="","",G920*H920)</f>
        <v/>
      </c>
      <c r="J920" s="35" t="n"/>
      <c r="K920" s="35" t="n"/>
      <c r="L920" s="35" t="n"/>
      <c r="M920" s="9">
        <f>IF(B920="","",IF(COUNTIF(Jobs!$A$5:$A$44,B920)=0,"Unknown Job ID",IF(C920="","Missing cost code",IF(COUNTIF(Settings!$E$5:$E$28,C920)=0,"Unknown cost code",IF(A920="","Missing date",IF(OR(G920="",H920=""),"Missing qty or cost",""))))))</f>
        <v/>
      </c>
      <c r="N920" s="35" t="n"/>
    </row>
    <row r="921">
      <c r="A921" s="40" t="n"/>
      <c r="B921" s="35" t="n"/>
      <c r="C921" s="35" t="n"/>
      <c r="D921" s="9">
        <f>IF(C921="","",IFERROR(VLOOKUP(C921,Settings!$E$5:$G$28,3,FALSE),"Other"))</f>
        <v/>
      </c>
      <c r="E921" s="35" t="n"/>
      <c r="F921" s="35" t="n"/>
      <c r="G921" s="35" t="n"/>
      <c r="H921" s="37" t="n"/>
      <c r="I921" s="39">
        <f>IF(B921="","",G921*H921)</f>
        <v/>
      </c>
      <c r="J921" s="35" t="n"/>
      <c r="K921" s="35" t="n"/>
      <c r="L921" s="35" t="n"/>
      <c r="M921" s="9">
        <f>IF(B921="","",IF(COUNTIF(Jobs!$A$5:$A$44,B921)=0,"Unknown Job ID",IF(C921="","Missing cost code",IF(COUNTIF(Settings!$E$5:$E$28,C921)=0,"Unknown cost code",IF(A921="","Missing date",IF(OR(G921="",H921=""),"Missing qty or cost",""))))))</f>
        <v/>
      </c>
      <c r="N921" s="35" t="n"/>
    </row>
    <row r="922">
      <c r="A922" s="40" t="n"/>
      <c r="B922" s="35" t="n"/>
      <c r="C922" s="35" t="n"/>
      <c r="D922" s="9">
        <f>IF(C922="","",IFERROR(VLOOKUP(C922,Settings!$E$5:$G$28,3,FALSE),"Other"))</f>
        <v/>
      </c>
      <c r="E922" s="35" t="n"/>
      <c r="F922" s="35" t="n"/>
      <c r="G922" s="35" t="n"/>
      <c r="H922" s="37" t="n"/>
      <c r="I922" s="39">
        <f>IF(B922="","",G922*H922)</f>
        <v/>
      </c>
      <c r="J922" s="35" t="n"/>
      <c r="K922" s="35" t="n"/>
      <c r="L922" s="35" t="n"/>
      <c r="M922" s="9">
        <f>IF(B922="","",IF(COUNTIF(Jobs!$A$5:$A$44,B922)=0,"Unknown Job ID",IF(C922="","Missing cost code",IF(COUNTIF(Settings!$E$5:$E$28,C922)=0,"Unknown cost code",IF(A922="","Missing date",IF(OR(G922="",H922=""),"Missing qty or cost",""))))))</f>
        <v/>
      </c>
      <c r="N922" s="35" t="n"/>
    </row>
    <row r="923">
      <c r="A923" s="40" t="n"/>
      <c r="B923" s="35" t="n"/>
      <c r="C923" s="35" t="n"/>
      <c r="D923" s="9">
        <f>IF(C923="","",IFERROR(VLOOKUP(C923,Settings!$E$5:$G$28,3,FALSE),"Other"))</f>
        <v/>
      </c>
      <c r="E923" s="35" t="n"/>
      <c r="F923" s="35" t="n"/>
      <c r="G923" s="35" t="n"/>
      <c r="H923" s="37" t="n"/>
      <c r="I923" s="39">
        <f>IF(B923="","",G923*H923)</f>
        <v/>
      </c>
      <c r="J923" s="35" t="n"/>
      <c r="K923" s="35" t="n"/>
      <c r="L923" s="35" t="n"/>
      <c r="M923" s="9">
        <f>IF(B923="","",IF(COUNTIF(Jobs!$A$5:$A$44,B923)=0,"Unknown Job ID",IF(C923="","Missing cost code",IF(COUNTIF(Settings!$E$5:$E$28,C923)=0,"Unknown cost code",IF(A923="","Missing date",IF(OR(G923="",H923=""),"Missing qty or cost",""))))))</f>
        <v/>
      </c>
      <c r="N923" s="35" t="n"/>
    </row>
    <row r="924">
      <c r="A924" s="40" t="n"/>
      <c r="B924" s="35" t="n"/>
      <c r="C924" s="35" t="n"/>
      <c r="D924" s="9">
        <f>IF(C924="","",IFERROR(VLOOKUP(C924,Settings!$E$5:$G$28,3,FALSE),"Other"))</f>
        <v/>
      </c>
      <c r="E924" s="35" t="n"/>
      <c r="F924" s="35" t="n"/>
      <c r="G924" s="35" t="n"/>
      <c r="H924" s="37" t="n"/>
      <c r="I924" s="39">
        <f>IF(B924="","",G924*H924)</f>
        <v/>
      </c>
      <c r="J924" s="35" t="n"/>
      <c r="K924" s="35" t="n"/>
      <c r="L924" s="35" t="n"/>
      <c r="M924" s="9">
        <f>IF(B924="","",IF(COUNTIF(Jobs!$A$5:$A$44,B924)=0,"Unknown Job ID",IF(C924="","Missing cost code",IF(COUNTIF(Settings!$E$5:$E$28,C924)=0,"Unknown cost code",IF(A924="","Missing date",IF(OR(G924="",H924=""),"Missing qty or cost",""))))))</f>
        <v/>
      </c>
      <c r="N924" s="35" t="n"/>
    </row>
    <row r="925">
      <c r="A925" s="40" t="n"/>
      <c r="B925" s="35" t="n"/>
      <c r="C925" s="35" t="n"/>
      <c r="D925" s="9">
        <f>IF(C925="","",IFERROR(VLOOKUP(C925,Settings!$E$5:$G$28,3,FALSE),"Other"))</f>
        <v/>
      </c>
      <c r="E925" s="35" t="n"/>
      <c r="F925" s="35" t="n"/>
      <c r="G925" s="35" t="n"/>
      <c r="H925" s="37" t="n"/>
      <c r="I925" s="39">
        <f>IF(B925="","",G925*H925)</f>
        <v/>
      </c>
      <c r="J925" s="35" t="n"/>
      <c r="K925" s="35" t="n"/>
      <c r="L925" s="35" t="n"/>
      <c r="M925" s="9">
        <f>IF(B925="","",IF(COUNTIF(Jobs!$A$5:$A$44,B925)=0,"Unknown Job ID",IF(C925="","Missing cost code",IF(COUNTIF(Settings!$E$5:$E$28,C925)=0,"Unknown cost code",IF(A925="","Missing date",IF(OR(G925="",H925=""),"Missing qty or cost",""))))))</f>
        <v/>
      </c>
      <c r="N925" s="35" t="n"/>
    </row>
    <row r="926">
      <c r="A926" s="40" t="n"/>
      <c r="B926" s="35" t="n"/>
      <c r="C926" s="35" t="n"/>
      <c r="D926" s="9">
        <f>IF(C926="","",IFERROR(VLOOKUP(C926,Settings!$E$5:$G$28,3,FALSE),"Other"))</f>
        <v/>
      </c>
      <c r="E926" s="35" t="n"/>
      <c r="F926" s="35" t="n"/>
      <c r="G926" s="35" t="n"/>
      <c r="H926" s="37" t="n"/>
      <c r="I926" s="39">
        <f>IF(B926="","",G926*H926)</f>
        <v/>
      </c>
      <c r="J926" s="35" t="n"/>
      <c r="K926" s="35" t="n"/>
      <c r="L926" s="35" t="n"/>
      <c r="M926" s="9">
        <f>IF(B926="","",IF(COUNTIF(Jobs!$A$5:$A$44,B926)=0,"Unknown Job ID",IF(C926="","Missing cost code",IF(COUNTIF(Settings!$E$5:$E$28,C926)=0,"Unknown cost code",IF(A926="","Missing date",IF(OR(G926="",H926=""),"Missing qty or cost",""))))))</f>
        <v/>
      </c>
      <c r="N926" s="35" t="n"/>
    </row>
    <row r="927">
      <c r="A927" s="40" t="n"/>
      <c r="B927" s="35" t="n"/>
      <c r="C927" s="35" t="n"/>
      <c r="D927" s="9">
        <f>IF(C927="","",IFERROR(VLOOKUP(C927,Settings!$E$5:$G$28,3,FALSE),"Other"))</f>
        <v/>
      </c>
      <c r="E927" s="35" t="n"/>
      <c r="F927" s="35" t="n"/>
      <c r="G927" s="35" t="n"/>
      <c r="H927" s="37" t="n"/>
      <c r="I927" s="39">
        <f>IF(B927="","",G927*H927)</f>
        <v/>
      </c>
      <c r="J927" s="35" t="n"/>
      <c r="K927" s="35" t="n"/>
      <c r="L927" s="35" t="n"/>
      <c r="M927" s="9">
        <f>IF(B927="","",IF(COUNTIF(Jobs!$A$5:$A$44,B927)=0,"Unknown Job ID",IF(C927="","Missing cost code",IF(COUNTIF(Settings!$E$5:$E$28,C927)=0,"Unknown cost code",IF(A927="","Missing date",IF(OR(G927="",H927=""),"Missing qty or cost",""))))))</f>
        <v/>
      </c>
      <c r="N927" s="35" t="n"/>
    </row>
    <row r="928">
      <c r="A928" s="40" t="n"/>
      <c r="B928" s="35" t="n"/>
      <c r="C928" s="35" t="n"/>
      <c r="D928" s="9">
        <f>IF(C928="","",IFERROR(VLOOKUP(C928,Settings!$E$5:$G$28,3,FALSE),"Other"))</f>
        <v/>
      </c>
      <c r="E928" s="35" t="n"/>
      <c r="F928" s="35" t="n"/>
      <c r="G928" s="35" t="n"/>
      <c r="H928" s="37" t="n"/>
      <c r="I928" s="39">
        <f>IF(B928="","",G928*H928)</f>
        <v/>
      </c>
      <c r="J928" s="35" t="n"/>
      <c r="K928" s="35" t="n"/>
      <c r="L928" s="35" t="n"/>
      <c r="M928" s="9">
        <f>IF(B928="","",IF(COUNTIF(Jobs!$A$5:$A$44,B928)=0,"Unknown Job ID",IF(C928="","Missing cost code",IF(COUNTIF(Settings!$E$5:$E$28,C928)=0,"Unknown cost code",IF(A928="","Missing date",IF(OR(G928="",H928=""),"Missing qty or cost",""))))))</f>
        <v/>
      </c>
      <c r="N928" s="35" t="n"/>
    </row>
    <row r="929">
      <c r="A929" s="40" t="n"/>
      <c r="B929" s="35" t="n"/>
      <c r="C929" s="35" t="n"/>
      <c r="D929" s="9">
        <f>IF(C929="","",IFERROR(VLOOKUP(C929,Settings!$E$5:$G$28,3,FALSE),"Other"))</f>
        <v/>
      </c>
      <c r="E929" s="35" t="n"/>
      <c r="F929" s="35" t="n"/>
      <c r="G929" s="35" t="n"/>
      <c r="H929" s="37" t="n"/>
      <c r="I929" s="39">
        <f>IF(B929="","",G929*H929)</f>
        <v/>
      </c>
      <c r="J929" s="35" t="n"/>
      <c r="K929" s="35" t="n"/>
      <c r="L929" s="35" t="n"/>
      <c r="M929" s="9">
        <f>IF(B929="","",IF(COUNTIF(Jobs!$A$5:$A$44,B929)=0,"Unknown Job ID",IF(C929="","Missing cost code",IF(COUNTIF(Settings!$E$5:$E$28,C929)=0,"Unknown cost code",IF(A929="","Missing date",IF(OR(G929="",H929=""),"Missing qty or cost",""))))))</f>
        <v/>
      </c>
      <c r="N929" s="35" t="n"/>
    </row>
    <row r="930">
      <c r="A930" s="40" t="n"/>
      <c r="B930" s="35" t="n"/>
      <c r="C930" s="35" t="n"/>
      <c r="D930" s="9">
        <f>IF(C930="","",IFERROR(VLOOKUP(C930,Settings!$E$5:$G$28,3,FALSE),"Other"))</f>
        <v/>
      </c>
      <c r="E930" s="35" t="n"/>
      <c r="F930" s="35" t="n"/>
      <c r="G930" s="35" t="n"/>
      <c r="H930" s="37" t="n"/>
      <c r="I930" s="39">
        <f>IF(B930="","",G930*H930)</f>
        <v/>
      </c>
      <c r="J930" s="35" t="n"/>
      <c r="K930" s="35" t="n"/>
      <c r="L930" s="35" t="n"/>
      <c r="M930" s="9">
        <f>IF(B930="","",IF(COUNTIF(Jobs!$A$5:$A$44,B930)=0,"Unknown Job ID",IF(C930="","Missing cost code",IF(COUNTIF(Settings!$E$5:$E$28,C930)=0,"Unknown cost code",IF(A930="","Missing date",IF(OR(G930="",H930=""),"Missing qty or cost",""))))))</f>
        <v/>
      </c>
      <c r="N930" s="35" t="n"/>
    </row>
    <row r="931">
      <c r="A931" s="40" t="n"/>
      <c r="B931" s="35" t="n"/>
      <c r="C931" s="35" t="n"/>
      <c r="D931" s="9">
        <f>IF(C931="","",IFERROR(VLOOKUP(C931,Settings!$E$5:$G$28,3,FALSE),"Other"))</f>
        <v/>
      </c>
      <c r="E931" s="35" t="n"/>
      <c r="F931" s="35" t="n"/>
      <c r="G931" s="35" t="n"/>
      <c r="H931" s="37" t="n"/>
      <c r="I931" s="39">
        <f>IF(B931="","",G931*H931)</f>
        <v/>
      </c>
      <c r="J931" s="35" t="n"/>
      <c r="K931" s="35" t="n"/>
      <c r="L931" s="35" t="n"/>
      <c r="M931" s="9">
        <f>IF(B931="","",IF(COUNTIF(Jobs!$A$5:$A$44,B931)=0,"Unknown Job ID",IF(C931="","Missing cost code",IF(COUNTIF(Settings!$E$5:$E$28,C931)=0,"Unknown cost code",IF(A931="","Missing date",IF(OR(G931="",H931=""),"Missing qty or cost",""))))))</f>
        <v/>
      </c>
      <c r="N931" s="35" t="n"/>
    </row>
    <row r="932">
      <c r="A932" s="40" t="n"/>
      <c r="B932" s="35" t="n"/>
      <c r="C932" s="35" t="n"/>
      <c r="D932" s="9">
        <f>IF(C932="","",IFERROR(VLOOKUP(C932,Settings!$E$5:$G$28,3,FALSE),"Other"))</f>
        <v/>
      </c>
      <c r="E932" s="35" t="n"/>
      <c r="F932" s="35" t="n"/>
      <c r="G932" s="35" t="n"/>
      <c r="H932" s="37" t="n"/>
      <c r="I932" s="39">
        <f>IF(B932="","",G932*H932)</f>
        <v/>
      </c>
      <c r="J932" s="35" t="n"/>
      <c r="K932" s="35" t="n"/>
      <c r="L932" s="35" t="n"/>
      <c r="M932" s="9">
        <f>IF(B932="","",IF(COUNTIF(Jobs!$A$5:$A$44,B932)=0,"Unknown Job ID",IF(C932="","Missing cost code",IF(COUNTIF(Settings!$E$5:$E$28,C932)=0,"Unknown cost code",IF(A932="","Missing date",IF(OR(G932="",H932=""),"Missing qty or cost",""))))))</f>
        <v/>
      </c>
      <c r="N932" s="35" t="n"/>
    </row>
    <row r="933">
      <c r="A933" s="40" t="n"/>
      <c r="B933" s="35" t="n"/>
      <c r="C933" s="35" t="n"/>
      <c r="D933" s="9">
        <f>IF(C933="","",IFERROR(VLOOKUP(C933,Settings!$E$5:$G$28,3,FALSE),"Other"))</f>
        <v/>
      </c>
      <c r="E933" s="35" t="n"/>
      <c r="F933" s="35" t="n"/>
      <c r="G933" s="35" t="n"/>
      <c r="H933" s="37" t="n"/>
      <c r="I933" s="39">
        <f>IF(B933="","",G933*H933)</f>
        <v/>
      </c>
      <c r="J933" s="35" t="n"/>
      <c r="K933" s="35" t="n"/>
      <c r="L933" s="35" t="n"/>
      <c r="M933" s="9">
        <f>IF(B933="","",IF(COUNTIF(Jobs!$A$5:$A$44,B933)=0,"Unknown Job ID",IF(C933="","Missing cost code",IF(COUNTIF(Settings!$E$5:$E$28,C933)=0,"Unknown cost code",IF(A933="","Missing date",IF(OR(G933="",H933=""),"Missing qty or cost",""))))))</f>
        <v/>
      </c>
      <c r="N933" s="35" t="n"/>
    </row>
    <row r="934">
      <c r="A934" s="40" t="n"/>
      <c r="B934" s="35" t="n"/>
      <c r="C934" s="35" t="n"/>
      <c r="D934" s="9">
        <f>IF(C934="","",IFERROR(VLOOKUP(C934,Settings!$E$5:$G$28,3,FALSE),"Other"))</f>
        <v/>
      </c>
      <c r="E934" s="35" t="n"/>
      <c r="F934" s="35" t="n"/>
      <c r="G934" s="35" t="n"/>
      <c r="H934" s="37" t="n"/>
      <c r="I934" s="39">
        <f>IF(B934="","",G934*H934)</f>
        <v/>
      </c>
      <c r="J934" s="35" t="n"/>
      <c r="K934" s="35" t="n"/>
      <c r="L934" s="35" t="n"/>
      <c r="M934" s="9">
        <f>IF(B934="","",IF(COUNTIF(Jobs!$A$5:$A$44,B934)=0,"Unknown Job ID",IF(C934="","Missing cost code",IF(COUNTIF(Settings!$E$5:$E$28,C934)=0,"Unknown cost code",IF(A934="","Missing date",IF(OR(G934="",H934=""),"Missing qty or cost",""))))))</f>
        <v/>
      </c>
      <c r="N934" s="35" t="n"/>
    </row>
    <row r="935">
      <c r="A935" s="40" t="n"/>
      <c r="B935" s="35" t="n"/>
      <c r="C935" s="35" t="n"/>
      <c r="D935" s="9">
        <f>IF(C935="","",IFERROR(VLOOKUP(C935,Settings!$E$5:$G$28,3,FALSE),"Other"))</f>
        <v/>
      </c>
      <c r="E935" s="35" t="n"/>
      <c r="F935" s="35" t="n"/>
      <c r="G935" s="35" t="n"/>
      <c r="H935" s="37" t="n"/>
      <c r="I935" s="39">
        <f>IF(B935="","",G935*H935)</f>
        <v/>
      </c>
      <c r="J935" s="35" t="n"/>
      <c r="K935" s="35" t="n"/>
      <c r="L935" s="35" t="n"/>
      <c r="M935" s="9">
        <f>IF(B935="","",IF(COUNTIF(Jobs!$A$5:$A$44,B935)=0,"Unknown Job ID",IF(C935="","Missing cost code",IF(COUNTIF(Settings!$E$5:$E$28,C935)=0,"Unknown cost code",IF(A935="","Missing date",IF(OR(G935="",H935=""),"Missing qty or cost",""))))))</f>
        <v/>
      </c>
      <c r="N935" s="35" t="n"/>
    </row>
    <row r="936">
      <c r="A936" s="40" t="n"/>
      <c r="B936" s="35" t="n"/>
      <c r="C936" s="35" t="n"/>
      <c r="D936" s="9">
        <f>IF(C936="","",IFERROR(VLOOKUP(C936,Settings!$E$5:$G$28,3,FALSE),"Other"))</f>
        <v/>
      </c>
      <c r="E936" s="35" t="n"/>
      <c r="F936" s="35" t="n"/>
      <c r="G936" s="35" t="n"/>
      <c r="H936" s="37" t="n"/>
      <c r="I936" s="39">
        <f>IF(B936="","",G936*H936)</f>
        <v/>
      </c>
      <c r="J936" s="35" t="n"/>
      <c r="K936" s="35" t="n"/>
      <c r="L936" s="35" t="n"/>
      <c r="M936" s="9">
        <f>IF(B936="","",IF(COUNTIF(Jobs!$A$5:$A$44,B936)=0,"Unknown Job ID",IF(C936="","Missing cost code",IF(COUNTIF(Settings!$E$5:$E$28,C936)=0,"Unknown cost code",IF(A936="","Missing date",IF(OR(G936="",H936=""),"Missing qty or cost",""))))))</f>
        <v/>
      </c>
      <c r="N936" s="35" t="n"/>
    </row>
    <row r="937">
      <c r="A937" s="40" t="n"/>
      <c r="B937" s="35" t="n"/>
      <c r="C937" s="35" t="n"/>
      <c r="D937" s="9">
        <f>IF(C937="","",IFERROR(VLOOKUP(C937,Settings!$E$5:$G$28,3,FALSE),"Other"))</f>
        <v/>
      </c>
      <c r="E937" s="35" t="n"/>
      <c r="F937" s="35" t="n"/>
      <c r="G937" s="35" t="n"/>
      <c r="H937" s="37" t="n"/>
      <c r="I937" s="39">
        <f>IF(B937="","",G937*H937)</f>
        <v/>
      </c>
      <c r="J937" s="35" t="n"/>
      <c r="K937" s="35" t="n"/>
      <c r="L937" s="35" t="n"/>
      <c r="M937" s="9">
        <f>IF(B937="","",IF(COUNTIF(Jobs!$A$5:$A$44,B937)=0,"Unknown Job ID",IF(C937="","Missing cost code",IF(COUNTIF(Settings!$E$5:$E$28,C937)=0,"Unknown cost code",IF(A937="","Missing date",IF(OR(G937="",H937=""),"Missing qty or cost",""))))))</f>
        <v/>
      </c>
      <c r="N937" s="35" t="n"/>
    </row>
    <row r="938">
      <c r="A938" s="40" t="n"/>
      <c r="B938" s="35" t="n"/>
      <c r="C938" s="35" t="n"/>
      <c r="D938" s="9">
        <f>IF(C938="","",IFERROR(VLOOKUP(C938,Settings!$E$5:$G$28,3,FALSE),"Other"))</f>
        <v/>
      </c>
      <c r="E938" s="35" t="n"/>
      <c r="F938" s="35" t="n"/>
      <c r="G938" s="35" t="n"/>
      <c r="H938" s="37" t="n"/>
      <c r="I938" s="39">
        <f>IF(B938="","",G938*H938)</f>
        <v/>
      </c>
      <c r="J938" s="35" t="n"/>
      <c r="K938" s="35" t="n"/>
      <c r="L938" s="35" t="n"/>
      <c r="M938" s="9">
        <f>IF(B938="","",IF(COUNTIF(Jobs!$A$5:$A$44,B938)=0,"Unknown Job ID",IF(C938="","Missing cost code",IF(COUNTIF(Settings!$E$5:$E$28,C938)=0,"Unknown cost code",IF(A938="","Missing date",IF(OR(G938="",H938=""),"Missing qty or cost",""))))))</f>
        <v/>
      </c>
      <c r="N938" s="35" t="n"/>
    </row>
    <row r="939">
      <c r="A939" s="40" t="n"/>
      <c r="B939" s="35" t="n"/>
      <c r="C939" s="35" t="n"/>
      <c r="D939" s="9">
        <f>IF(C939="","",IFERROR(VLOOKUP(C939,Settings!$E$5:$G$28,3,FALSE),"Other"))</f>
        <v/>
      </c>
      <c r="E939" s="35" t="n"/>
      <c r="F939" s="35" t="n"/>
      <c r="G939" s="35" t="n"/>
      <c r="H939" s="37" t="n"/>
      <c r="I939" s="39">
        <f>IF(B939="","",G939*H939)</f>
        <v/>
      </c>
      <c r="J939" s="35" t="n"/>
      <c r="K939" s="35" t="n"/>
      <c r="L939" s="35" t="n"/>
      <c r="M939" s="9">
        <f>IF(B939="","",IF(COUNTIF(Jobs!$A$5:$A$44,B939)=0,"Unknown Job ID",IF(C939="","Missing cost code",IF(COUNTIF(Settings!$E$5:$E$28,C939)=0,"Unknown cost code",IF(A939="","Missing date",IF(OR(G939="",H939=""),"Missing qty or cost",""))))))</f>
        <v/>
      </c>
      <c r="N939" s="35" t="n"/>
    </row>
    <row r="940">
      <c r="A940" s="40" t="n"/>
      <c r="B940" s="35" t="n"/>
      <c r="C940" s="35" t="n"/>
      <c r="D940" s="9">
        <f>IF(C940="","",IFERROR(VLOOKUP(C940,Settings!$E$5:$G$28,3,FALSE),"Other"))</f>
        <v/>
      </c>
      <c r="E940" s="35" t="n"/>
      <c r="F940" s="35" t="n"/>
      <c r="G940" s="35" t="n"/>
      <c r="H940" s="37" t="n"/>
      <c r="I940" s="39">
        <f>IF(B940="","",G940*H940)</f>
        <v/>
      </c>
      <c r="J940" s="35" t="n"/>
      <c r="K940" s="35" t="n"/>
      <c r="L940" s="35" t="n"/>
      <c r="M940" s="9">
        <f>IF(B940="","",IF(COUNTIF(Jobs!$A$5:$A$44,B940)=0,"Unknown Job ID",IF(C940="","Missing cost code",IF(COUNTIF(Settings!$E$5:$E$28,C940)=0,"Unknown cost code",IF(A940="","Missing date",IF(OR(G940="",H940=""),"Missing qty or cost",""))))))</f>
        <v/>
      </c>
      <c r="N940" s="35" t="n"/>
    </row>
    <row r="941">
      <c r="A941" s="40" t="n"/>
      <c r="B941" s="35" t="n"/>
      <c r="C941" s="35" t="n"/>
      <c r="D941" s="9">
        <f>IF(C941="","",IFERROR(VLOOKUP(C941,Settings!$E$5:$G$28,3,FALSE),"Other"))</f>
        <v/>
      </c>
      <c r="E941" s="35" t="n"/>
      <c r="F941" s="35" t="n"/>
      <c r="G941" s="35" t="n"/>
      <c r="H941" s="37" t="n"/>
      <c r="I941" s="39">
        <f>IF(B941="","",G941*H941)</f>
        <v/>
      </c>
      <c r="J941" s="35" t="n"/>
      <c r="K941" s="35" t="n"/>
      <c r="L941" s="35" t="n"/>
      <c r="M941" s="9">
        <f>IF(B941="","",IF(COUNTIF(Jobs!$A$5:$A$44,B941)=0,"Unknown Job ID",IF(C941="","Missing cost code",IF(COUNTIF(Settings!$E$5:$E$28,C941)=0,"Unknown cost code",IF(A941="","Missing date",IF(OR(G941="",H941=""),"Missing qty or cost",""))))))</f>
        <v/>
      </c>
      <c r="N941" s="35" t="n"/>
    </row>
    <row r="942">
      <c r="A942" s="40" t="n"/>
      <c r="B942" s="35" t="n"/>
      <c r="C942" s="35" t="n"/>
      <c r="D942" s="9">
        <f>IF(C942="","",IFERROR(VLOOKUP(C942,Settings!$E$5:$G$28,3,FALSE),"Other"))</f>
        <v/>
      </c>
      <c r="E942" s="35" t="n"/>
      <c r="F942" s="35" t="n"/>
      <c r="G942" s="35" t="n"/>
      <c r="H942" s="37" t="n"/>
      <c r="I942" s="39">
        <f>IF(B942="","",G942*H942)</f>
        <v/>
      </c>
      <c r="J942" s="35" t="n"/>
      <c r="K942" s="35" t="n"/>
      <c r="L942" s="35" t="n"/>
      <c r="M942" s="9">
        <f>IF(B942="","",IF(COUNTIF(Jobs!$A$5:$A$44,B942)=0,"Unknown Job ID",IF(C942="","Missing cost code",IF(COUNTIF(Settings!$E$5:$E$28,C942)=0,"Unknown cost code",IF(A942="","Missing date",IF(OR(G942="",H942=""),"Missing qty or cost",""))))))</f>
        <v/>
      </c>
      <c r="N942" s="35" t="n"/>
    </row>
    <row r="943">
      <c r="A943" s="40" t="n"/>
      <c r="B943" s="35" t="n"/>
      <c r="C943" s="35" t="n"/>
      <c r="D943" s="9">
        <f>IF(C943="","",IFERROR(VLOOKUP(C943,Settings!$E$5:$G$28,3,FALSE),"Other"))</f>
        <v/>
      </c>
      <c r="E943" s="35" t="n"/>
      <c r="F943" s="35" t="n"/>
      <c r="G943" s="35" t="n"/>
      <c r="H943" s="37" t="n"/>
      <c r="I943" s="39">
        <f>IF(B943="","",G943*H943)</f>
        <v/>
      </c>
      <c r="J943" s="35" t="n"/>
      <c r="K943" s="35" t="n"/>
      <c r="L943" s="35" t="n"/>
      <c r="M943" s="9">
        <f>IF(B943="","",IF(COUNTIF(Jobs!$A$5:$A$44,B943)=0,"Unknown Job ID",IF(C943="","Missing cost code",IF(COUNTIF(Settings!$E$5:$E$28,C943)=0,"Unknown cost code",IF(A943="","Missing date",IF(OR(G943="",H943=""),"Missing qty or cost",""))))))</f>
        <v/>
      </c>
      <c r="N943" s="35" t="n"/>
    </row>
    <row r="944">
      <c r="A944" s="40" t="n"/>
      <c r="B944" s="35" t="n"/>
      <c r="C944" s="35" t="n"/>
      <c r="D944" s="9">
        <f>IF(C944="","",IFERROR(VLOOKUP(C944,Settings!$E$5:$G$28,3,FALSE),"Other"))</f>
        <v/>
      </c>
      <c r="E944" s="35" t="n"/>
      <c r="F944" s="35" t="n"/>
      <c r="G944" s="35" t="n"/>
      <c r="H944" s="37" t="n"/>
      <c r="I944" s="39">
        <f>IF(B944="","",G944*H944)</f>
        <v/>
      </c>
      <c r="J944" s="35" t="n"/>
      <c r="K944" s="35" t="n"/>
      <c r="L944" s="35" t="n"/>
      <c r="M944" s="9">
        <f>IF(B944="","",IF(COUNTIF(Jobs!$A$5:$A$44,B944)=0,"Unknown Job ID",IF(C944="","Missing cost code",IF(COUNTIF(Settings!$E$5:$E$28,C944)=0,"Unknown cost code",IF(A944="","Missing date",IF(OR(G944="",H944=""),"Missing qty or cost",""))))))</f>
        <v/>
      </c>
      <c r="N944" s="35" t="n"/>
    </row>
    <row r="945">
      <c r="A945" s="40" t="n"/>
      <c r="B945" s="35" t="n"/>
      <c r="C945" s="35" t="n"/>
      <c r="D945" s="9">
        <f>IF(C945="","",IFERROR(VLOOKUP(C945,Settings!$E$5:$G$28,3,FALSE),"Other"))</f>
        <v/>
      </c>
      <c r="E945" s="35" t="n"/>
      <c r="F945" s="35" t="n"/>
      <c r="G945" s="35" t="n"/>
      <c r="H945" s="37" t="n"/>
      <c r="I945" s="39">
        <f>IF(B945="","",G945*H945)</f>
        <v/>
      </c>
      <c r="J945" s="35" t="n"/>
      <c r="K945" s="35" t="n"/>
      <c r="L945" s="35" t="n"/>
      <c r="M945" s="9">
        <f>IF(B945="","",IF(COUNTIF(Jobs!$A$5:$A$44,B945)=0,"Unknown Job ID",IF(C945="","Missing cost code",IF(COUNTIF(Settings!$E$5:$E$28,C945)=0,"Unknown cost code",IF(A945="","Missing date",IF(OR(G945="",H945=""),"Missing qty or cost",""))))))</f>
        <v/>
      </c>
      <c r="N945" s="35" t="n"/>
    </row>
    <row r="946">
      <c r="A946" s="40" t="n"/>
      <c r="B946" s="35" t="n"/>
      <c r="C946" s="35" t="n"/>
      <c r="D946" s="9">
        <f>IF(C946="","",IFERROR(VLOOKUP(C946,Settings!$E$5:$G$28,3,FALSE),"Other"))</f>
        <v/>
      </c>
      <c r="E946" s="35" t="n"/>
      <c r="F946" s="35" t="n"/>
      <c r="G946" s="35" t="n"/>
      <c r="H946" s="37" t="n"/>
      <c r="I946" s="39">
        <f>IF(B946="","",G946*H946)</f>
        <v/>
      </c>
      <c r="J946" s="35" t="n"/>
      <c r="K946" s="35" t="n"/>
      <c r="L946" s="35" t="n"/>
      <c r="M946" s="9">
        <f>IF(B946="","",IF(COUNTIF(Jobs!$A$5:$A$44,B946)=0,"Unknown Job ID",IF(C946="","Missing cost code",IF(COUNTIF(Settings!$E$5:$E$28,C946)=0,"Unknown cost code",IF(A946="","Missing date",IF(OR(G946="",H946=""),"Missing qty or cost",""))))))</f>
        <v/>
      </c>
      <c r="N946" s="35" t="n"/>
    </row>
    <row r="947">
      <c r="A947" s="40" t="n"/>
      <c r="B947" s="35" t="n"/>
      <c r="C947" s="35" t="n"/>
      <c r="D947" s="9">
        <f>IF(C947="","",IFERROR(VLOOKUP(C947,Settings!$E$5:$G$28,3,FALSE),"Other"))</f>
        <v/>
      </c>
      <c r="E947" s="35" t="n"/>
      <c r="F947" s="35" t="n"/>
      <c r="G947" s="35" t="n"/>
      <c r="H947" s="37" t="n"/>
      <c r="I947" s="39">
        <f>IF(B947="","",G947*H947)</f>
        <v/>
      </c>
      <c r="J947" s="35" t="n"/>
      <c r="K947" s="35" t="n"/>
      <c r="L947" s="35" t="n"/>
      <c r="M947" s="9">
        <f>IF(B947="","",IF(COUNTIF(Jobs!$A$5:$A$44,B947)=0,"Unknown Job ID",IF(C947="","Missing cost code",IF(COUNTIF(Settings!$E$5:$E$28,C947)=0,"Unknown cost code",IF(A947="","Missing date",IF(OR(G947="",H947=""),"Missing qty or cost",""))))))</f>
        <v/>
      </c>
      <c r="N947" s="35" t="n"/>
    </row>
    <row r="948">
      <c r="A948" s="40" t="n"/>
      <c r="B948" s="35" t="n"/>
      <c r="C948" s="35" t="n"/>
      <c r="D948" s="9">
        <f>IF(C948="","",IFERROR(VLOOKUP(C948,Settings!$E$5:$G$28,3,FALSE),"Other"))</f>
        <v/>
      </c>
      <c r="E948" s="35" t="n"/>
      <c r="F948" s="35" t="n"/>
      <c r="G948" s="35" t="n"/>
      <c r="H948" s="37" t="n"/>
      <c r="I948" s="39">
        <f>IF(B948="","",G948*H948)</f>
        <v/>
      </c>
      <c r="J948" s="35" t="n"/>
      <c r="K948" s="35" t="n"/>
      <c r="L948" s="35" t="n"/>
      <c r="M948" s="9">
        <f>IF(B948="","",IF(COUNTIF(Jobs!$A$5:$A$44,B948)=0,"Unknown Job ID",IF(C948="","Missing cost code",IF(COUNTIF(Settings!$E$5:$E$28,C948)=0,"Unknown cost code",IF(A948="","Missing date",IF(OR(G948="",H948=""),"Missing qty or cost",""))))))</f>
        <v/>
      </c>
      <c r="N948" s="35" t="n"/>
    </row>
    <row r="949">
      <c r="A949" s="40" t="n"/>
      <c r="B949" s="35" t="n"/>
      <c r="C949" s="35" t="n"/>
      <c r="D949" s="9">
        <f>IF(C949="","",IFERROR(VLOOKUP(C949,Settings!$E$5:$G$28,3,FALSE),"Other"))</f>
        <v/>
      </c>
      <c r="E949" s="35" t="n"/>
      <c r="F949" s="35" t="n"/>
      <c r="G949" s="35" t="n"/>
      <c r="H949" s="37" t="n"/>
      <c r="I949" s="39">
        <f>IF(B949="","",G949*H949)</f>
        <v/>
      </c>
      <c r="J949" s="35" t="n"/>
      <c r="K949" s="35" t="n"/>
      <c r="L949" s="35" t="n"/>
      <c r="M949" s="9">
        <f>IF(B949="","",IF(COUNTIF(Jobs!$A$5:$A$44,B949)=0,"Unknown Job ID",IF(C949="","Missing cost code",IF(COUNTIF(Settings!$E$5:$E$28,C949)=0,"Unknown cost code",IF(A949="","Missing date",IF(OR(G949="",H949=""),"Missing qty or cost",""))))))</f>
        <v/>
      </c>
      <c r="N949" s="35" t="n"/>
    </row>
    <row r="950">
      <c r="A950" s="40" t="n"/>
      <c r="B950" s="35" t="n"/>
      <c r="C950" s="35" t="n"/>
      <c r="D950" s="9">
        <f>IF(C950="","",IFERROR(VLOOKUP(C950,Settings!$E$5:$G$28,3,FALSE),"Other"))</f>
        <v/>
      </c>
      <c r="E950" s="35" t="n"/>
      <c r="F950" s="35" t="n"/>
      <c r="G950" s="35" t="n"/>
      <c r="H950" s="37" t="n"/>
      <c r="I950" s="39">
        <f>IF(B950="","",G950*H950)</f>
        <v/>
      </c>
      <c r="J950" s="35" t="n"/>
      <c r="K950" s="35" t="n"/>
      <c r="L950" s="35" t="n"/>
      <c r="M950" s="9">
        <f>IF(B950="","",IF(COUNTIF(Jobs!$A$5:$A$44,B950)=0,"Unknown Job ID",IF(C950="","Missing cost code",IF(COUNTIF(Settings!$E$5:$E$28,C950)=0,"Unknown cost code",IF(A950="","Missing date",IF(OR(G950="",H950=""),"Missing qty or cost",""))))))</f>
        <v/>
      </c>
      <c r="N950" s="35" t="n"/>
    </row>
    <row r="951">
      <c r="A951" s="40" t="n"/>
      <c r="B951" s="35" t="n"/>
      <c r="C951" s="35" t="n"/>
      <c r="D951" s="9">
        <f>IF(C951="","",IFERROR(VLOOKUP(C951,Settings!$E$5:$G$28,3,FALSE),"Other"))</f>
        <v/>
      </c>
      <c r="E951" s="35" t="n"/>
      <c r="F951" s="35" t="n"/>
      <c r="G951" s="35" t="n"/>
      <c r="H951" s="37" t="n"/>
      <c r="I951" s="39">
        <f>IF(B951="","",G951*H951)</f>
        <v/>
      </c>
      <c r="J951" s="35" t="n"/>
      <c r="K951" s="35" t="n"/>
      <c r="L951" s="35" t="n"/>
      <c r="M951" s="9">
        <f>IF(B951="","",IF(COUNTIF(Jobs!$A$5:$A$44,B951)=0,"Unknown Job ID",IF(C951="","Missing cost code",IF(COUNTIF(Settings!$E$5:$E$28,C951)=0,"Unknown cost code",IF(A951="","Missing date",IF(OR(G951="",H951=""),"Missing qty or cost",""))))))</f>
        <v/>
      </c>
      <c r="N951" s="35" t="n"/>
    </row>
    <row r="952">
      <c r="A952" s="40" t="n"/>
      <c r="B952" s="35" t="n"/>
      <c r="C952" s="35" t="n"/>
      <c r="D952" s="9">
        <f>IF(C952="","",IFERROR(VLOOKUP(C952,Settings!$E$5:$G$28,3,FALSE),"Other"))</f>
        <v/>
      </c>
      <c r="E952" s="35" t="n"/>
      <c r="F952" s="35" t="n"/>
      <c r="G952" s="35" t="n"/>
      <c r="H952" s="37" t="n"/>
      <c r="I952" s="39">
        <f>IF(B952="","",G952*H952)</f>
        <v/>
      </c>
      <c r="J952" s="35" t="n"/>
      <c r="K952" s="35" t="n"/>
      <c r="L952" s="35" t="n"/>
      <c r="M952" s="9">
        <f>IF(B952="","",IF(COUNTIF(Jobs!$A$5:$A$44,B952)=0,"Unknown Job ID",IF(C952="","Missing cost code",IF(COUNTIF(Settings!$E$5:$E$28,C952)=0,"Unknown cost code",IF(A952="","Missing date",IF(OR(G952="",H952=""),"Missing qty or cost",""))))))</f>
        <v/>
      </c>
      <c r="N952" s="35" t="n"/>
    </row>
    <row r="953">
      <c r="A953" s="40" t="n"/>
      <c r="B953" s="35" t="n"/>
      <c r="C953" s="35" t="n"/>
      <c r="D953" s="9">
        <f>IF(C953="","",IFERROR(VLOOKUP(C953,Settings!$E$5:$G$28,3,FALSE),"Other"))</f>
        <v/>
      </c>
      <c r="E953" s="35" t="n"/>
      <c r="F953" s="35" t="n"/>
      <c r="G953" s="35" t="n"/>
      <c r="H953" s="37" t="n"/>
      <c r="I953" s="39">
        <f>IF(B953="","",G953*H953)</f>
        <v/>
      </c>
      <c r="J953" s="35" t="n"/>
      <c r="K953" s="35" t="n"/>
      <c r="L953" s="35" t="n"/>
      <c r="M953" s="9">
        <f>IF(B953="","",IF(COUNTIF(Jobs!$A$5:$A$44,B953)=0,"Unknown Job ID",IF(C953="","Missing cost code",IF(COUNTIF(Settings!$E$5:$E$28,C953)=0,"Unknown cost code",IF(A953="","Missing date",IF(OR(G953="",H953=""),"Missing qty or cost",""))))))</f>
        <v/>
      </c>
      <c r="N953" s="35" t="n"/>
    </row>
    <row r="954">
      <c r="A954" s="40" t="n"/>
      <c r="B954" s="35" t="n"/>
      <c r="C954" s="35" t="n"/>
      <c r="D954" s="9">
        <f>IF(C954="","",IFERROR(VLOOKUP(C954,Settings!$E$5:$G$28,3,FALSE),"Other"))</f>
        <v/>
      </c>
      <c r="E954" s="35" t="n"/>
      <c r="F954" s="35" t="n"/>
      <c r="G954" s="35" t="n"/>
      <c r="H954" s="37" t="n"/>
      <c r="I954" s="39">
        <f>IF(B954="","",G954*H954)</f>
        <v/>
      </c>
      <c r="J954" s="35" t="n"/>
      <c r="K954" s="35" t="n"/>
      <c r="L954" s="35" t="n"/>
      <c r="M954" s="9">
        <f>IF(B954="","",IF(COUNTIF(Jobs!$A$5:$A$44,B954)=0,"Unknown Job ID",IF(C954="","Missing cost code",IF(COUNTIF(Settings!$E$5:$E$28,C954)=0,"Unknown cost code",IF(A954="","Missing date",IF(OR(G954="",H954=""),"Missing qty or cost",""))))))</f>
        <v/>
      </c>
      <c r="N954" s="35" t="n"/>
    </row>
    <row r="955">
      <c r="A955" s="40" t="n"/>
      <c r="B955" s="35" t="n"/>
      <c r="C955" s="35" t="n"/>
      <c r="D955" s="9">
        <f>IF(C955="","",IFERROR(VLOOKUP(C955,Settings!$E$5:$G$28,3,FALSE),"Other"))</f>
        <v/>
      </c>
      <c r="E955" s="35" t="n"/>
      <c r="F955" s="35" t="n"/>
      <c r="G955" s="35" t="n"/>
      <c r="H955" s="37" t="n"/>
      <c r="I955" s="39">
        <f>IF(B955="","",G955*H955)</f>
        <v/>
      </c>
      <c r="J955" s="35" t="n"/>
      <c r="K955" s="35" t="n"/>
      <c r="L955" s="35" t="n"/>
      <c r="M955" s="9">
        <f>IF(B955="","",IF(COUNTIF(Jobs!$A$5:$A$44,B955)=0,"Unknown Job ID",IF(C955="","Missing cost code",IF(COUNTIF(Settings!$E$5:$E$28,C955)=0,"Unknown cost code",IF(A955="","Missing date",IF(OR(G955="",H955=""),"Missing qty or cost",""))))))</f>
        <v/>
      </c>
      <c r="N955" s="35" t="n"/>
    </row>
    <row r="956">
      <c r="A956" s="40" t="n"/>
      <c r="B956" s="35" t="n"/>
      <c r="C956" s="35" t="n"/>
      <c r="D956" s="9">
        <f>IF(C956="","",IFERROR(VLOOKUP(C956,Settings!$E$5:$G$28,3,FALSE),"Other"))</f>
        <v/>
      </c>
      <c r="E956" s="35" t="n"/>
      <c r="F956" s="35" t="n"/>
      <c r="G956" s="35" t="n"/>
      <c r="H956" s="37" t="n"/>
      <c r="I956" s="39">
        <f>IF(B956="","",G956*H956)</f>
        <v/>
      </c>
      <c r="J956" s="35" t="n"/>
      <c r="K956" s="35" t="n"/>
      <c r="L956" s="35" t="n"/>
      <c r="M956" s="9">
        <f>IF(B956="","",IF(COUNTIF(Jobs!$A$5:$A$44,B956)=0,"Unknown Job ID",IF(C956="","Missing cost code",IF(COUNTIF(Settings!$E$5:$E$28,C956)=0,"Unknown cost code",IF(A956="","Missing date",IF(OR(G956="",H956=""),"Missing qty or cost",""))))))</f>
        <v/>
      </c>
      <c r="N956" s="35" t="n"/>
    </row>
    <row r="957">
      <c r="A957" s="40" t="n"/>
      <c r="B957" s="35" t="n"/>
      <c r="C957" s="35" t="n"/>
      <c r="D957" s="9">
        <f>IF(C957="","",IFERROR(VLOOKUP(C957,Settings!$E$5:$G$28,3,FALSE),"Other"))</f>
        <v/>
      </c>
      <c r="E957" s="35" t="n"/>
      <c r="F957" s="35" t="n"/>
      <c r="G957" s="35" t="n"/>
      <c r="H957" s="37" t="n"/>
      <c r="I957" s="39">
        <f>IF(B957="","",G957*H957)</f>
        <v/>
      </c>
      <c r="J957" s="35" t="n"/>
      <c r="K957" s="35" t="n"/>
      <c r="L957" s="35" t="n"/>
      <c r="M957" s="9">
        <f>IF(B957="","",IF(COUNTIF(Jobs!$A$5:$A$44,B957)=0,"Unknown Job ID",IF(C957="","Missing cost code",IF(COUNTIF(Settings!$E$5:$E$28,C957)=0,"Unknown cost code",IF(A957="","Missing date",IF(OR(G957="",H957=""),"Missing qty or cost",""))))))</f>
        <v/>
      </c>
      <c r="N957" s="35" t="n"/>
    </row>
    <row r="958">
      <c r="A958" s="40" t="n"/>
      <c r="B958" s="35" t="n"/>
      <c r="C958" s="35" t="n"/>
      <c r="D958" s="9">
        <f>IF(C958="","",IFERROR(VLOOKUP(C958,Settings!$E$5:$G$28,3,FALSE),"Other"))</f>
        <v/>
      </c>
      <c r="E958" s="35" t="n"/>
      <c r="F958" s="35" t="n"/>
      <c r="G958" s="35" t="n"/>
      <c r="H958" s="37" t="n"/>
      <c r="I958" s="39">
        <f>IF(B958="","",G958*H958)</f>
        <v/>
      </c>
      <c r="J958" s="35" t="n"/>
      <c r="K958" s="35" t="n"/>
      <c r="L958" s="35" t="n"/>
      <c r="M958" s="9">
        <f>IF(B958="","",IF(COUNTIF(Jobs!$A$5:$A$44,B958)=0,"Unknown Job ID",IF(C958="","Missing cost code",IF(COUNTIF(Settings!$E$5:$E$28,C958)=0,"Unknown cost code",IF(A958="","Missing date",IF(OR(G958="",H958=""),"Missing qty or cost",""))))))</f>
        <v/>
      </c>
      <c r="N958" s="35" t="n"/>
    </row>
    <row r="959">
      <c r="A959" s="40" t="n"/>
      <c r="B959" s="35" t="n"/>
      <c r="C959" s="35" t="n"/>
      <c r="D959" s="9">
        <f>IF(C959="","",IFERROR(VLOOKUP(C959,Settings!$E$5:$G$28,3,FALSE),"Other"))</f>
        <v/>
      </c>
      <c r="E959" s="35" t="n"/>
      <c r="F959" s="35" t="n"/>
      <c r="G959" s="35" t="n"/>
      <c r="H959" s="37" t="n"/>
      <c r="I959" s="39">
        <f>IF(B959="","",G959*H959)</f>
        <v/>
      </c>
      <c r="J959" s="35" t="n"/>
      <c r="K959" s="35" t="n"/>
      <c r="L959" s="35" t="n"/>
      <c r="M959" s="9">
        <f>IF(B959="","",IF(COUNTIF(Jobs!$A$5:$A$44,B959)=0,"Unknown Job ID",IF(C959="","Missing cost code",IF(COUNTIF(Settings!$E$5:$E$28,C959)=0,"Unknown cost code",IF(A959="","Missing date",IF(OR(G959="",H959=""),"Missing qty or cost",""))))))</f>
        <v/>
      </c>
      <c r="N959" s="35" t="n"/>
    </row>
    <row r="960">
      <c r="A960" s="40" t="n"/>
      <c r="B960" s="35" t="n"/>
      <c r="C960" s="35" t="n"/>
      <c r="D960" s="9">
        <f>IF(C960="","",IFERROR(VLOOKUP(C960,Settings!$E$5:$G$28,3,FALSE),"Other"))</f>
        <v/>
      </c>
      <c r="E960" s="35" t="n"/>
      <c r="F960" s="35" t="n"/>
      <c r="G960" s="35" t="n"/>
      <c r="H960" s="37" t="n"/>
      <c r="I960" s="39">
        <f>IF(B960="","",G960*H960)</f>
        <v/>
      </c>
      <c r="J960" s="35" t="n"/>
      <c r="K960" s="35" t="n"/>
      <c r="L960" s="35" t="n"/>
      <c r="M960" s="9">
        <f>IF(B960="","",IF(COUNTIF(Jobs!$A$5:$A$44,B960)=0,"Unknown Job ID",IF(C960="","Missing cost code",IF(COUNTIF(Settings!$E$5:$E$28,C960)=0,"Unknown cost code",IF(A960="","Missing date",IF(OR(G960="",H960=""),"Missing qty or cost",""))))))</f>
        <v/>
      </c>
      <c r="N960" s="35" t="n"/>
    </row>
    <row r="961">
      <c r="A961" s="40" t="n"/>
      <c r="B961" s="35" t="n"/>
      <c r="C961" s="35" t="n"/>
      <c r="D961" s="9">
        <f>IF(C961="","",IFERROR(VLOOKUP(C961,Settings!$E$5:$G$28,3,FALSE),"Other"))</f>
        <v/>
      </c>
      <c r="E961" s="35" t="n"/>
      <c r="F961" s="35" t="n"/>
      <c r="G961" s="35" t="n"/>
      <c r="H961" s="37" t="n"/>
      <c r="I961" s="39">
        <f>IF(B961="","",G961*H961)</f>
        <v/>
      </c>
      <c r="J961" s="35" t="n"/>
      <c r="K961" s="35" t="n"/>
      <c r="L961" s="35" t="n"/>
      <c r="M961" s="9">
        <f>IF(B961="","",IF(COUNTIF(Jobs!$A$5:$A$44,B961)=0,"Unknown Job ID",IF(C961="","Missing cost code",IF(COUNTIF(Settings!$E$5:$E$28,C961)=0,"Unknown cost code",IF(A961="","Missing date",IF(OR(G961="",H961=""),"Missing qty or cost",""))))))</f>
        <v/>
      </c>
      <c r="N961" s="35" t="n"/>
    </row>
    <row r="962">
      <c r="A962" s="40" t="n"/>
      <c r="B962" s="35" t="n"/>
      <c r="C962" s="35" t="n"/>
      <c r="D962" s="9">
        <f>IF(C962="","",IFERROR(VLOOKUP(C962,Settings!$E$5:$G$28,3,FALSE),"Other"))</f>
        <v/>
      </c>
      <c r="E962" s="35" t="n"/>
      <c r="F962" s="35" t="n"/>
      <c r="G962" s="35" t="n"/>
      <c r="H962" s="37" t="n"/>
      <c r="I962" s="39">
        <f>IF(B962="","",G962*H962)</f>
        <v/>
      </c>
      <c r="J962" s="35" t="n"/>
      <c r="K962" s="35" t="n"/>
      <c r="L962" s="35" t="n"/>
      <c r="M962" s="9">
        <f>IF(B962="","",IF(COUNTIF(Jobs!$A$5:$A$44,B962)=0,"Unknown Job ID",IF(C962="","Missing cost code",IF(COUNTIF(Settings!$E$5:$E$28,C962)=0,"Unknown cost code",IF(A962="","Missing date",IF(OR(G962="",H962=""),"Missing qty or cost",""))))))</f>
        <v/>
      </c>
      <c r="N962" s="35" t="n"/>
    </row>
    <row r="963">
      <c r="A963" s="40" t="n"/>
      <c r="B963" s="35" t="n"/>
      <c r="C963" s="35" t="n"/>
      <c r="D963" s="9">
        <f>IF(C963="","",IFERROR(VLOOKUP(C963,Settings!$E$5:$G$28,3,FALSE),"Other"))</f>
        <v/>
      </c>
      <c r="E963" s="35" t="n"/>
      <c r="F963" s="35" t="n"/>
      <c r="G963" s="35" t="n"/>
      <c r="H963" s="37" t="n"/>
      <c r="I963" s="39">
        <f>IF(B963="","",G963*H963)</f>
        <v/>
      </c>
      <c r="J963" s="35" t="n"/>
      <c r="K963" s="35" t="n"/>
      <c r="L963" s="35" t="n"/>
      <c r="M963" s="9">
        <f>IF(B963="","",IF(COUNTIF(Jobs!$A$5:$A$44,B963)=0,"Unknown Job ID",IF(C963="","Missing cost code",IF(COUNTIF(Settings!$E$5:$E$28,C963)=0,"Unknown cost code",IF(A963="","Missing date",IF(OR(G963="",H963=""),"Missing qty or cost",""))))))</f>
        <v/>
      </c>
      <c r="N963" s="35" t="n"/>
    </row>
    <row r="964">
      <c r="A964" s="40" t="n"/>
      <c r="B964" s="35" t="n"/>
      <c r="C964" s="35" t="n"/>
      <c r="D964" s="9">
        <f>IF(C964="","",IFERROR(VLOOKUP(C964,Settings!$E$5:$G$28,3,FALSE),"Other"))</f>
        <v/>
      </c>
      <c r="E964" s="35" t="n"/>
      <c r="F964" s="35" t="n"/>
      <c r="G964" s="35" t="n"/>
      <c r="H964" s="37" t="n"/>
      <c r="I964" s="39">
        <f>IF(B964="","",G964*H964)</f>
        <v/>
      </c>
      <c r="J964" s="35" t="n"/>
      <c r="K964" s="35" t="n"/>
      <c r="L964" s="35" t="n"/>
      <c r="M964" s="9">
        <f>IF(B964="","",IF(COUNTIF(Jobs!$A$5:$A$44,B964)=0,"Unknown Job ID",IF(C964="","Missing cost code",IF(COUNTIF(Settings!$E$5:$E$28,C964)=0,"Unknown cost code",IF(A964="","Missing date",IF(OR(G964="",H964=""),"Missing qty or cost",""))))))</f>
        <v/>
      </c>
      <c r="N964" s="35" t="n"/>
    </row>
    <row r="965">
      <c r="A965" s="40" t="n"/>
      <c r="B965" s="35" t="n"/>
      <c r="C965" s="35" t="n"/>
      <c r="D965" s="9">
        <f>IF(C965="","",IFERROR(VLOOKUP(C965,Settings!$E$5:$G$28,3,FALSE),"Other"))</f>
        <v/>
      </c>
      <c r="E965" s="35" t="n"/>
      <c r="F965" s="35" t="n"/>
      <c r="G965" s="35" t="n"/>
      <c r="H965" s="37" t="n"/>
      <c r="I965" s="39">
        <f>IF(B965="","",G965*H965)</f>
        <v/>
      </c>
      <c r="J965" s="35" t="n"/>
      <c r="K965" s="35" t="n"/>
      <c r="L965" s="35" t="n"/>
      <c r="M965" s="9">
        <f>IF(B965="","",IF(COUNTIF(Jobs!$A$5:$A$44,B965)=0,"Unknown Job ID",IF(C965="","Missing cost code",IF(COUNTIF(Settings!$E$5:$E$28,C965)=0,"Unknown cost code",IF(A965="","Missing date",IF(OR(G965="",H965=""),"Missing qty or cost",""))))))</f>
        <v/>
      </c>
      <c r="N965" s="35" t="n"/>
    </row>
    <row r="966">
      <c r="A966" s="40" t="n"/>
      <c r="B966" s="35" t="n"/>
      <c r="C966" s="35" t="n"/>
      <c r="D966" s="9">
        <f>IF(C966="","",IFERROR(VLOOKUP(C966,Settings!$E$5:$G$28,3,FALSE),"Other"))</f>
        <v/>
      </c>
      <c r="E966" s="35" t="n"/>
      <c r="F966" s="35" t="n"/>
      <c r="G966" s="35" t="n"/>
      <c r="H966" s="37" t="n"/>
      <c r="I966" s="39">
        <f>IF(B966="","",G966*H966)</f>
        <v/>
      </c>
      <c r="J966" s="35" t="n"/>
      <c r="K966" s="35" t="n"/>
      <c r="L966" s="35" t="n"/>
      <c r="M966" s="9">
        <f>IF(B966="","",IF(COUNTIF(Jobs!$A$5:$A$44,B966)=0,"Unknown Job ID",IF(C966="","Missing cost code",IF(COUNTIF(Settings!$E$5:$E$28,C966)=0,"Unknown cost code",IF(A966="","Missing date",IF(OR(G966="",H966=""),"Missing qty or cost",""))))))</f>
        <v/>
      </c>
      <c r="N966" s="35" t="n"/>
    </row>
    <row r="967">
      <c r="A967" s="40" t="n"/>
      <c r="B967" s="35" t="n"/>
      <c r="C967" s="35" t="n"/>
      <c r="D967" s="9">
        <f>IF(C967="","",IFERROR(VLOOKUP(C967,Settings!$E$5:$G$28,3,FALSE),"Other"))</f>
        <v/>
      </c>
      <c r="E967" s="35" t="n"/>
      <c r="F967" s="35" t="n"/>
      <c r="G967" s="35" t="n"/>
      <c r="H967" s="37" t="n"/>
      <c r="I967" s="39">
        <f>IF(B967="","",G967*H967)</f>
        <v/>
      </c>
      <c r="J967" s="35" t="n"/>
      <c r="K967" s="35" t="n"/>
      <c r="L967" s="35" t="n"/>
      <c r="M967" s="9">
        <f>IF(B967="","",IF(COUNTIF(Jobs!$A$5:$A$44,B967)=0,"Unknown Job ID",IF(C967="","Missing cost code",IF(COUNTIF(Settings!$E$5:$E$28,C967)=0,"Unknown cost code",IF(A967="","Missing date",IF(OR(G967="",H967=""),"Missing qty or cost",""))))))</f>
        <v/>
      </c>
      <c r="N967" s="35" t="n"/>
    </row>
    <row r="968">
      <c r="A968" s="40" t="n"/>
      <c r="B968" s="35" t="n"/>
      <c r="C968" s="35" t="n"/>
      <c r="D968" s="9">
        <f>IF(C968="","",IFERROR(VLOOKUP(C968,Settings!$E$5:$G$28,3,FALSE),"Other"))</f>
        <v/>
      </c>
      <c r="E968" s="35" t="n"/>
      <c r="F968" s="35" t="n"/>
      <c r="G968" s="35" t="n"/>
      <c r="H968" s="37" t="n"/>
      <c r="I968" s="39">
        <f>IF(B968="","",G968*H968)</f>
        <v/>
      </c>
      <c r="J968" s="35" t="n"/>
      <c r="K968" s="35" t="n"/>
      <c r="L968" s="35" t="n"/>
      <c r="M968" s="9">
        <f>IF(B968="","",IF(COUNTIF(Jobs!$A$5:$A$44,B968)=0,"Unknown Job ID",IF(C968="","Missing cost code",IF(COUNTIF(Settings!$E$5:$E$28,C968)=0,"Unknown cost code",IF(A968="","Missing date",IF(OR(G968="",H968=""),"Missing qty or cost",""))))))</f>
        <v/>
      </c>
      <c r="N968" s="35" t="n"/>
    </row>
    <row r="969">
      <c r="A969" s="40" t="n"/>
      <c r="B969" s="35" t="n"/>
      <c r="C969" s="35" t="n"/>
      <c r="D969" s="9">
        <f>IF(C969="","",IFERROR(VLOOKUP(C969,Settings!$E$5:$G$28,3,FALSE),"Other"))</f>
        <v/>
      </c>
      <c r="E969" s="35" t="n"/>
      <c r="F969" s="35" t="n"/>
      <c r="G969" s="35" t="n"/>
      <c r="H969" s="37" t="n"/>
      <c r="I969" s="39">
        <f>IF(B969="","",G969*H969)</f>
        <v/>
      </c>
      <c r="J969" s="35" t="n"/>
      <c r="K969" s="35" t="n"/>
      <c r="L969" s="35" t="n"/>
      <c r="M969" s="9">
        <f>IF(B969="","",IF(COUNTIF(Jobs!$A$5:$A$44,B969)=0,"Unknown Job ID",IF(C969="","Missing cost code",IF(COUNTIF(Settings!$E$5:$E$28,C969)=0,"Unknown cost code",IF(A969="","Missing date",IF(OR(G969="",H969=""),"Missing qty or cost",""))))))</f>
        <v/>
      </c>
      <c r="N969" s="35" t="n"/>
    </row>
    <row r="970">
      <c r="A970" s="40" t="n"/>
      <c r="B970" s="35" t="n"/>
      <c r="C970" s="35" t="n"/>
      <c r="D970" s="9">
        <f>IF(C970="","",IFERROR(VLOOKUP(C970,Settings!$E$5:$G$28,3,FALSE),"Other"))</f>
        <v/>
      </c>
      <c r="E970" s="35" t="n"/>
      <c r="F970" s="35" t="n"/>
      <c r="G970" s="35" t="n"/>
      <c r="H970" s="37" t="n"/>
      <c r="I970" s="39">
        <f>IF(B970="","",G970*H970)</f>
        <v/>
      </c>
      <c r="J970" s="35" t="n"/>
      <c r="K970" s="35" t="n"/>
      <c r="L970" s="35" t="n"/>
      <c r="M970" s="9">
        <f>IF(B970="","",IF(COUNTIF(Jobs!$A$5:$A$44,B970)=0,"Unknown Job ID",IF(C970="","Missing cost code",IF(COUNTIF(Settings!$E$5:$E$28,C970)=0,"Unknown cost code",IF(A970="","Missing date",IF(OR(G970="",H970=""),"Missing qty or cost",""))))))</f>
        <v/>
      </c>
      <c r="N970" s="35" t="n"/>
    </row>
    <row r="971">
      <c r="A971" s="40" t="n"/>
      <c r="B971" s="35" t="n"/>
      <c r="C971" s="35" t="n"/>
      <c r="D971" s="9">
        <f>IF(C971="","",IFERROR(VLOOKUP(C971,Settings!$E$5:$G$28,3,FALSE),"Other"))</f>
        <v/>
      </c>
      <c r="E971" s="35" t="n"/>
      <c r="F971" s="35" t="n"/>
      <c r="G971" s="35" t="n"/>
      <c r="H971" s="37" t="n"/>
      <c r="I971" s="39">
        <f>IF(B971="","",G971*H971)</f>
        <v/>
      </c>
      <c r="J971" s="35" t="n"/>
      <c r="K971" s="35" t="n"/>
      <c r="L971" s="35" t="n"/>
      <c r="M971" s="9">
        <f>IF(B971="","",IF(COUNTIF(Jobs!$A$5:$A$44,B971)=0,"Unknown Job ID",IF(C971="","Missing cost code",IF(COUNTIF(Settings!$E$5:$E$28,C971)=0,"Unknown cost code",IF(A971="","Missing date",IF(OR(G971="",H971=""),"Missing qty or cost",""))))))</f>
        <v/>
      </c>
      <c r="N971" s="35" t="n"/>
    </row>
    <row r="972">
      <c r="A972" s="40" t="n"/>
      <c r="B972" s="35" t="n"/>
      <c r="C972" s="35" t="n"/>
      <c r="D972" s="9">
        <f>IF(C972="","",IFERROR(VLOOKUP(C972,Settings!$E$5:$G$28,3,FALSE),"Other"))</f>
        <v/>
      </c>
      <c r="E972" s="35" t="n"/>
      <c r="F972" s="35" t="n"/>
      <c r="G972" s="35" t="n"/>
      <c r="H972" s="37" t="n"/>
      <c r="I972" s="39">
        <f>IF(B972="","",G972*H972)</f>
        <v/>
      </c>
      <c r="J972" s="35" t="n"/>
      <c r="K972" s="35" t="n"/>
      <c r="L972" s="35" t="n"/>
      <c r="M972" s="9">
        <f>IF(B972="","",IF(COUNTIF(Jobs!$A$5:$A$44,B972)=0,"Unknown Job ID",IF(C972="","Missing cost code",IF(COUNTIF(Settings!$E$5:$E$28,C972)=0,"Unknown cost code",IF(A972="","Missing date",IF(OR(G972="",H972=""),"Missing qty or cost",""))))))</f>
        <v/>
      </c>
      <c r="N972" s="35" t="n"/>
    </row>
    <row r="973">
      <c r="A973" s="40" t="n"/>
      <c r="B973" s="35" t="n"/>
      <c r="C973" s="35" t="n"/>
      <c r="D973" s="9">
        <f>IF(C973="","",IFERROR(VLOOKUP(C973,Settings!$E$5:$G$28,3,FALSE),"Other"))</f>
        <v/>
      </c>
      <c r="E973" s="35" t="n"/>
      <c r="F973" s="35" t="n"/>
      <c r="G973" s="35" t="n"/>
      <c r="H973" s="37" t="n"/>
      <c r="I973" s="39">
        <f>IF(B973="","",G973*H973)</f>
        <v/>
      </c>
      <c r="J973" s="35" t="n"/>
      <c r="K973" s="35" t="n"/>
      <c r="L973" s="35" t="n"/>
      <c r="M973" s="9">
        <f>IF(B973="","",IF(COUNTIF(Jobs!$A$5:$A$44,B973)=0,"Unknown Job ID",IF(C973="","Missing cost code",IF(COUNTIF(Settings!$E$5:$E$28,C973)=0,"Unknown cost code",IF(A973="","Missing date",IF(OR(G973="",H973=""),"Missing qty or cost",""))))))</f>
        <v/>
      </c>
      <c r="N973" s="35" t="n"/>
    </row>
    <row r="974">
      <c r="A974" s="40" t="n"/>
      <c r="B974" s="35" t="n"/>
      <c r="C974" s="35" t="n"/>
      <c r="D974" s="9">
        <f>IF(C974="","",IFERROR(VLOOKUP(C974,Settings!$E$5:$G$28,3,FALSE),"Other"))</f>
        <v/>
      </c>
      <c r="E974" s="35" t="n"/>
      <c r="F974" s="35" t="n"/>
      <c r="G974" s="35" t="n"/>
      <c r="H974" s="37" t="n"/>
      <c r="I974" s="39">
        <f>IF(B974="","",G974*H974)</f>
        <v/>
      </c>
      <c r="J974" s="35" t="n"/>
      <c r="K974" s="35" t="n"/>
      <c r="L974" s="35" t="n"/>
      <c r="M974" s="9">
        <f>IF(B974="","",IF(COUNTIF(Jobs!$A$5:$A$44,B974)=0,"Unknown Job ID",IF(C974="","Missing cost code",IF(COUNTIF(Settings!$E$5:$E$28,C974)=0,"Unknown cost code",IF(A974="","Missing date",IF(OR(G974="",H974=""),"Missing qty or cost",""))))))</f>
        <v/>
      </c>
      <c r="N974" s="35" t="n"/>
    </row>
    <row r="975">
      <c r="A975" s="40" t="n"/>
      <c r="B975" s="35" t="n"/>
      <c r="C975" s="35" t="n"/>
      <c r="D975" s="9">
        <f>IF(C975="","",IFERROR(VLOOKUP(C975,Settings!$E$5:$G$28,3,FALSE),"Other"))</f>
        <v/>
      </c>
      <c r="E975" s="35" t="n"/>
      <c r="F975" s="35" t="n"/>
      <c r="G975" s="35" t="n"/>
      <c r="H975" s="37" t="n"/>
      <c r="I975" s="39">
        <f>IF(B975="","",G975*H975)</f>
        <v/>
      </c>
      <c r="J975" s="35" t="n"/>
      <c r="K975" s="35" t="n"/>
      <c r="L975" s="35" t="n"/>
      <c r="M975" s="9">
        <f>IF(B975="","",IF(COUNTIF(Jobs!$A$5:$A$44,B975)=0,"Unknown Job ID",IF(C975="","Missing cost code",IF(COUNTIF(Settings!$E$5:$E$28,C975)=0,"Unknown cost code",IF(A975="","Missing date",IF(OR(G975="",H975=""),"Missing qty or cost",""))))))</f>
        <v/>
      </c>
      <c r="N975" s="35" t="n"/>
    </row>
    <row r="976">
      <c r="A976" s="40" t="n"/>
      <c r="B976" s="35" t="n"/>
      <c r="C976" s="35" t="n"/>
      <c r="D976" s="9">
        <f>IF(C976="","",IFERROR(VLOOKUP(C976,Settings!$E$5:$G$28,3,FALSE),"Other"))</f>
        <v/>
      </c>
      <c r="E976" s="35" t="n"/>
      <c r="F976" s="35" t="n"/>
      <c r="G976" s="35" t="n"/>
      <c r="H976" s="37" t="n"/>
      <c r="I976" s="39">
        <f>IF(B976="","",G976*H976)</f>
        <v/>
      </c>
      <c r="J976" s="35" t="n"/>
      <c r="K976" s="35" t="n"/>
      <c r="L976" s="35" t="n"/>
      <c r="M976" s="9">
        <f>IF(B976="","",IF(COUNTIF(Jobs!$A$5:$A$44,B976)=0,"Unknown Job ID",IF(C976="","Missing cost code",IF(COUNTIF(Settings!$E$5:$E$28,C976)=0,"Unknown cost code",IF(A976="","Missing date",IF(OR(G976="",H976=""),"Missing qty or cost",""))))))</f>
        <v/>
      </c>
      <c r="N976" s="35" t="n"/>
    </row>
    <row r="977">
      <c r="A977" s="40" t="n"/>
      <c r="B977" s="35" t="n"/>
      <c r="C977" s="35" t="n"/>
      <c r="D977" s="9">
        <f>IF(C977="","",IFERROR(VLOOKUP(C977,Settings!$E$5:$G$28,3,FALSE),"Other"))</f>
        <v/>
      </c>
      <c r="E977" s="35" t="n"/>
      <c r="F977" s="35" t="n"/>
      <c r="G977" s="35" t="n"/>
      <c r="H977" s="37" t="n"/>
      <c r="I977" s="39">
        <f>IF(B977="","",G977*H977)</f>
        <v/>
      </c>
      <c r="J977" s="35" t="n"/>
      <c r="K977" s="35" t="n"/>
      <c r="L977" s="35" t="n"/>
      <c r="M977" s="9">
        <f>IF(B977="","",IF(COUNTIF(Jobs!$A$5:$A$44,B977)=0,"Unknown Job ID",IF(C977="","Missing cost code",IF(COUNTIF(Settings!$E$5:$E$28,C977)=0,"Unknown cost code",IF(A977="","Missing date",IF(OR(G977="",H977=""),"Missing qty or cost",""))))))</f>
        <v/>
      </c>
      <c r="N977" s="35" t="n"/>
    </row>
    <row r="978">
      <c r="A978" s="40" t="n"/>
      <c r="B978" s="35" t="n"/>
      <c r="C978" s="35" t="n"/>
      <c r="D978" s="9">
        <f>IF(C978="","",IFERROR(VLOOKUP(C978,Settings!$E$5:$G$28,3,FALSE),"Other"))</f>
        <v/>
      </c>
      <c r="E978" s="35" t="n"/>
      <c r="F978" s="35" t="n"/>
      <c r="G978" s="35" t="n"/>
      <c r="H978" s="37" t="n"/>
      <c r="I978" s="39">
        <f>IF(B978="","",G978*H978)</f>
        <v/>
      </c>
      <c r="J978" s="35" t="n"/>
      <c r="K978" s="35" t="n"/>
      <c r="L978" s="35" t="n"/>
      <c r="M978" s="9">
        <f>IF(B978="","",IF(COUNTIF(Jobs!$A$5:$A$44,B978)=0,"Unknown Job ID",IF(C978="","Missing cost code",IF(COUNTIF(Settings!$E$5:$E$28,C978)=0,"Unknown cost code",IF(A978="","Missing date",IF(OR(G978="",H978=""),"Missing qty or cost",""))))))</f>
        <v/>
      </c>
      <c r="N978" s="35" t="n"/>
    </row>
    <row r="979">
      <c r="A979" s="40" t="n"/>
      <c r="B979" s="35" t="n"/>
      <c r="C979" s="35" t="n"/>
      <c r="D979" s="9">
        <f>IF(C979="","",IFERROR(VLOOKUP(C979,Settings!$E$5:$G$28,3,FALSE),"Other"))</f>
        <v/>
      </c>
      <c r="E979" s="35" t="n"/>
      <c r="F979" s="35" t="n"/>
      <c r="G979" s="35" t="n"/>
      <c r="H979" s="37" t="n"/>
      <c r="I979" s="39">
        <f>IF(B979="","",G979*H979)</f>
        <v/>
      </c>
      <c r="J979" s="35" t="n"/>
      <c r="K979" s="35" t="n"/>
      <c r="L979" s="35" t="n"/>
      <c r="M979" s="9">
        <f>IF(B979="","",IF(COUNTIF(Jobs!$A$5:$A$44,B979)=0,"Unknown Job ID",IF(C979="","Missing cost code",IF(COUNTIF(Settings!$E$5:$E$28,C979)=0,"Unknown cost code",IF(A979="","Missing date",IF(OR(G979="",H979=""),"Missing qty or cost",""))))))</f>
        <v/>
      </c>
      <c r="N979" s="35" t="n"/>
    </row>
    <row r="980">
      <c r="A980" s="40" t="n"/>
      <c r="B980" s="35" t="n"/>
      <c r="C980" s="35" t="n"/>
      <c r="D980" s="9">
        <f>IF(C980="","",IFERROR(VLOOKUP(C980,Settings!$E$5:$G$28,3,FALSE),"Other"))</f>
        <v/>
      </c>
      <c r="E980" s="35" t="n"/>
      <c r="F980" s="35" t="n"/>
      <c r="G980" s="35" t="n"/>
      <c r="H980" s="37" t="n"/>
      <c r="I980" s="39">
        <f>IF(B980="","",G980*H980)</f>
        <v/>
      </c>
      <c r="J980" s="35" t="n"/>
      <c r="K980" s="35" t="n"/>
      <c r="L980" s="35" t="n"/>
      <c r="M980" s="9">
        <f>IF(B980="","",IF(COUNTIF(Jobs!$A$5:$A$44,B980)=0,"Unknown Job ID",IF(C980="","Missing cost code",IF(COUNTIF(Settings!$E$5:$E$28,C980)=0,"Unknown cost code",IF(A980="","Missing date",IF(OR(G980="",H980=""),"Missing qty or cost",""))))))</f>
        <v/>
      </c>
      <c r="N980" s="35" t="n"/>
    </row>
    <row r="981">
      <c r="A981" s="40" t="n"/>
      <c r="B981" s="35" t="n"/>
      <c r="C981" s="35" t="n"/>
      <c r="D981" s="9">
        <f>IF(C981="","",IFERROR(VLOOKUP(C981,Settings!$E$5:$G$28,3,FALSE),"Other"))</f>
        <v/>
      </c>
      <c r="E981" s="35" t="n"/>
      <c r="F981" s="35" t="n"/>
      <c r="G981" s="35" t="n"/>
      <c r="H981" s="37" t="n"/>
      <c r="I981" s="39">
        <f>IF(B981="","",G981*H981)</f>
        <v/>
      </c>
      <c r="J981" s="35" t="n"/>
      <c r="K981" s="35" t="n"/>
      <c r="L981" s="35" t="n"/>
      <c r="M981" s="9">
        <f>IF(B981="","",IF(COUNTIF(Jobs!$A$5:$A$44,B981)=0,"Unknown Job ID",IF(C981="","Missing cost code",IF(COUNTIF(Settings!$E$5:$E$28,C981)=0,"Unknown cost code",IF(A981="","Missing date",IF(OR(G981="",H981=""),"Missing qty or cost",""))))))</f>
        <v/>
      </c>
      <c r="N981" s="35" t="n"/>
    </row>
    <row r="982">
      <c r="A982" s="40" t="n"/>
      <c r="B982" s="35" t="n"/>
      <c r="C982" s="35" t="n"/>
      <c r="D982" s="9">
        <f>IF(C982="","",IFERROR(VLOOKUP(C982,Settings!$E$5:$G$28,3,FALSE),"Other"))</f>
        <v/>
      </c>
      <c r="E982" s="35" t="n"/>
      <c r="F982" s="35" t="n"/>
      <c r="G982" s="35" t="n"/>
      <c r="H982" s="37" t="n"/>
      <c r="I982" s="39">
        <f>IF(B982="","",G982*H982)</f>
        <v/>
      </c>
      <c r="J982" s="35" t="n"/>
      <c r="K982" s="35" t="n"/>
      <c r="L982" s="35" t="n"/>
      <c r="M982" s="9">
        <f>IF(B982="","",IF(COUNTIF(Jobs!$A$5:$A$44,B982)=0,"Unknown Job ID",IF(C982="","Missing cost code",IF(COUNTIF(Settings!$E$5:$E$28,C982)=0,"Unknown cost code",IF(A982="","Missing date",IF(OR(G982="",H982=""),"Missing qty or cost",""))))))</f>
        <v/>
      </c>
      <c r="N982" s="35" t="n"/>
    </row>
    <row r="983">
      <c r="A983" s="40" t="n"/>
      <c r="B983" s="35" t="n"/>
      <c r="C983" s="35" t="n"/>
      <c r="D983" s="9">
        <f>IF(C983="","",IFERROR(VLOOKUP(C983,Settings!$E$5:$G$28,3,FALSE),"Other"))</f>
        <v/>
      </c>
      <c r="E983" s="35" t="n"/>
      <c r="F983" s="35" t="n"/>
      <c r="G983" s="35" t="n"/>
      <c r="H983" s="37" t="n"/>
      <c r="I983" s="39">
        <f>IF(B983="","",G983*H983)</f>
        <v/>
      </c>
      <c r="J983" s="35" t="n"/>
      <c r="K983" s="35" t="n"/>
      <c r="L983" s="35" t="n"/>
      <c r="M983" s="9">
        <f>IF(B983="","",IF(COUNTIF(Jobs!$A$5:$A$44,B983)=0,"Unknown Job ID",IF(C983="","Missing cost code",IF(COUNTIF(Settings!$E$5:$E$28,C983)=0,"Unknown cost code",IF(A983="","Missing date",IF(OR(G983="",H983=""),"Missing qty or cost",""))))))</f>
        <v/>
      </c>
      <c r="N983" s="35" t="n"/>
    </row>
    <row r="984">
      <c r="A984" s="40" t="n"/>
      <c r="B984" s="35" t="n"/>
      <c r="C984" s="35" t="n"/>
      <c r="D984" s="9">
        <f>IF(C984="","",IFERROR(VLOOKUP(C984,Settings!$E$5:$G$28,3,FALSE),"Other"))</f>
        <v/>
      </c>
      <c r="E984" s="35" t="n"/>
      <c r="F984" s="35" t="n"/>
      <c r="G984" s="35" t="n"/>
      <c r="H984" s="37" t="n"/>
      <c r="I984" s="39">
        <f>IF(B984="","",G984*H984)</f>
        <v/>
      </c>
      <c r="J984" s="35" t="n"/>
      <c r="K984" s="35" t="n"/>
      <c r="L984" s="35" t="n"/>
      <c r="M984" s="9">
        <f>IF(B984="","",IF(COUNTIF(Jobs!$A$5:$A$44,B984)=0,"Unknown Job ID",IF(C984="","Missing cost code",IF(COUNTIF(Settings!$E$5:$E$28,C984)=0,"Unknown cost code",IF(A984="","Missing date",IF(OR(G984="",H984=""),"Missing qty or cost",""))))))</f>
        <v/>
      </c>
      <c r="N984" s="35" t="n"/>
    </row>
    <row r="985">
      <c r="A985" s="40" t="n"/>
      <c r="B985" s="35" t="n"/>
      <c r="C985" s="35" t="n"/>
      <c r="D985" s="9">
        <f>IF(C985="","",IFERROR(VLOOKUP(C985,Settings!$E$5:$G$28,3,FALSE),"Other"))</f>
        <v/>
      </c>
      <c r="E985" s="35" t="n"/>
      <c r="F985" s="35" t="n"/>
      <c r="G985" s="35" t="n"/>
      <c r="H985" s="37" t="n"/>
      <c r="I985" s="39">
        <f>IF(B985="","",G985*H985)</f>
        <v/>
      </c>
      <c r="J985" s="35" t="n"/>
      <c r="K985" s="35" t="n"/>
      <c r="L985" s="35" t="n"/>
      <c r="M985" s="9">
        <f>IF(B985="","",IF(COUNTIF(Jobs!$A$5:$A$44,B985)=0,"Unknown Job ID",IF(C985="","Missing cost code",IF(COUNTIF(Settings!$E$5:$E$28,C985)=0,"Unknown cost code",IF(A985="","Missing date",IF(OR(G985="",H985=""),"Missing qty or cost",""))))))</f>
        <v/>
      </c>
      <c r="N985" s="35" t="n"/>
    </row>
    <row r="986">
      <c r="A986" s="40" t="n"/>
      <c r="B986" s="35" t="n"/>
      <c r="C986" s="35" t="n"/>
      <c r="D986" s="9">
        <f>IF(C986="","",IFERROR(VLOOKUP(C986,Settings!$E$5:$G$28,3,FALSE),"Other"))</f>
        <v/>
      </c>
      <c r="E986" s="35" t="n"/>
      <c r="F986" s="35" t="n"/>
      <c r="G986" s="35" t="n"/>
      <c r="H986" s="37" t="n"/>
      <c r="I986" s="39">
        <f>IF(B986="","",G986*H986)</f>
        <v/>
      </c>
      <c r="J986" s="35" t="n"/>
      <c r="K986" s="35" t="n"/>
      <c r="L986" s="35" t="n"/>
      <c r="M986" s="9">
        <f>IF(B986="","",IF(COUNTIF(Jobs!$A$5:$A$44,B986)=0,"Unknown Job ID",IF(C986="","Missing cost code",IF(COUNTIF(Settings!$E$5:$E$28,C986)=0,"Unknown cost code",IF(A986="","Missing date",IF(OR(G986="",H986=""),"Missing qty or cost",""))))))</f>
        <v/>
      </c>
      <c r="N986" s="35" t="n"/>
    </row>
    <row r="987">
      <c r="A987" s="40" t="n"/>
      <c r="B987" s="35" t="n"/>
      <c r="C987" s="35" t="n"/>
      <c r="D987" s="9">
        <f>IF(C987="","",IFERROR(VLOOKUP(C987,Settings!$E$5:$G$28,3,FALSE),"Other"))</f>
        <v/>
      </c>
      <c r="E987" s="35" t="n"/>
      <c r="F987" s="35" t="n"/>
      <c r="G987" s="35" t="n"/>
      <c r="H987" s="37" t="n"/>
      <c r="I987" s="39">
        <f>IF(B987="","",G987*H987)</f>
        <v/>
      </c>
      <c r="J987" s="35" t="n"/>
      <c r="K987" s="35" t="n"/>
      <c r="L987" s="35" t="n"/>
      <c r="M987" s="9">
        <f>IF(B987="","",IF(COUNTIF(Jobs!$A$5:$A$44,B987)=0,"Unknown Job ID",IF(C987="","Missing cost code",IF(COUNTIF(Settings!$E$5:$E$28,C987)=0,"Unknown cost code",IF(A987="","Missing date",IF(OR(G987="",H987=""),"Missing qty or cost",""))))))</f>
        <v/>
      </c>
      <c r="N987" s="35" t="n"/>
    </row>
    <row r="988">
      <c r="A988" s="40" t="n"/>
      <c r="B988" s="35" t="n"/>
      <c r="C988" s="35" t="n"/>
      <c r="D988" s="9">
        <f>IF(C988="","",IFERROR(VLOOKUP(C988,Settings!$E$5:$G$28,3,FALSE),"Other"))</f>
        <v/>
      </c>
      <c r="E988" s="35" t="n"/>
      <c r="F988" s="35" t="n"/>
      <c r="G988" s="35" t="n"/>
      <c r="H988" s="37" t="n"/>
      <c r="I988" s="39">
        <f>IF(B988="","",G988*H988)</f>
        <v/>
      </c>
      <c r="J988" s="35" t="n"/>
      <c r="K988" s="35" t="n"/>
      <c r="L988" s="35" t="n"/>
      <c r="M988" s="9">
        <f>IF(B988="","",IF(COUNTIF(Jobs!$A$5:$A$44,B988)=0,"Unknown Job ID",IF(C988="","Missing cost code",IF(COUNTIF(Settings!$E$5:$E$28,C988)=0,"Unknown cost code",IF(A988="","Missing date",IF(OR(G988="",H988=""),"Missing qty or cost",""))))))</f>
        <v/>
      </c>
      <c r="N988" s="35" t="n"/>
    </row>
    <row r="989">
      <c r="A989" s="40" t="n"/>
      <c r="B989" s="35" t="n"/>
      <c r="C989" s="35" t="n"/>
      <c r="D989" s="9">
        <f>IF(C989="","",IFERROR(VLOOKUP(C989,Settings!$E$5:$G$28,3,FALSE),"Other"))</f>
        <v/>
      </c>
      <c r="E989" s="35" t="n"/>
      <c r="F989" s="35" t="n"/>
      <c r="G989" s="35" t="n"/>
      <c r="H989" s="37" t="n"/>
      <c r="I989" s="39">
        <f>IF(B989="","",G989*H989)</f>
        <v/>
      </c>
      <c r="J989" s="35" t="n"/>
      <c r="K989" s="35" t="n"/>
      <c r="L989" s="35" t="n"/>
      <c r="M989" s="9">
        <f>IF(B989="","",IF(COUNTIF(Jobs!$A$5:$A$44,B989)=0,"Unknown Job ID",IF(C989="","Missing cost code",IF(COUNTIF(Settings!$E$5:$E$28,C989)=0,"Unknown cost code",IF(A989="","Missing date",IF(OR(G989="",H989=""),"Missing qty or cost",""))))))</f>
        <v/>
      </c>
      <c r="N989" s="35" t="n"/>
    </row>
    <row r="990">
      <c r="A990" s="40" t="n"/>
      <c r="B990" s="35" t="n"/>
      <c r="C990" s="35" t="n"/>
      <c r="D990" s="9">
        <f>IF(C990="","",IFERROR(VLOOKUP(C990,Settings!$E$5:$G$28,3,FALSE),"Other"))</f>
        <v/>
      </c>
      <c r="E990" s="35" t="n"/>
      <c r="F990" s="35" t="n"/>
      <c r="G990" s="35" t="n"/>
      <c r="H990" s="37" t="n"/>
      <c r="I990" s="39">
        <f>IF(B990="","",G990*H990)</f>
        <v/>
      </c>
      <c r="J990" s="35" t="n"/>
      <c r="K990" s="35" t="n"/>
      <c r="L990" s="35" t="n"/>
      <c r="M990" s="9">
        <f>IF(B990="","",IF(COUNTIF(Jobs!$A$5:$A$44,B990)=0,"Unknown Job ID",IF(C990="","Missing cost code",IF(COUNTIF(Settings!$E$5:$E$28,C990)=0,"Unknown cost code",IF(A990="","Missing date",IF(OR(G990="",H990=""),"Missing qty or cost",""))))))</f>
        <v/>
      </c>
      <c r="N990" s="35" t="n"/>
    </row>
    <row r="991">
      <c r="A991" s="40" t="n"/>
      <c r="B991" s="35" t="n"/>
      <c r="C991" s="35" t="n"/>
      <c r="D991" s="9">
        <f>IF(C991="","",IFERROR(VLOOKUP(C991,Settings!$E$5:$G$28,3,FALSE),"Other"))</f>
        <v/>
      </c>
      <c r="E991" s="35" t="n"/>
      <c r="F991" s="35" t="n"/>
      <c r="G991" s="35" t="n"/>
      <c r="H991" s="37" t="n"/>
      <c r="I991" s="39">
        <f>IF(B991="","",G991*H991)</f>
        <v/>
      </c>
      <c r="J991" s="35" t="n"/>
      <c r="K991" s="35" t="n"/>
      <c r="L991" s="35" t="n"/>
      <c r="M991" s="9">
        <f>IF(B991="","",IF(COUNTIF(Jobs!$A$5:$A$44,B991)=0,"Unknown Job ID",IF(C991="","Missing cost code",IF(COUNTIF(Settings!$E$5:$E$28,C991)=0,"Unknown cost code",IF(A991="","Missing date",IF(OR(G991="",H991=""),"Missing qty or cost",""))))))</f>
        <v/>
      </c>
      <c r="N991" s="35" t="n"/>
    </row>
    <row r="992">
      <c r="A992" s="40" t="n"/>
      <c r="B992" s="35" t="n"/>
      <c r="C992" s="35" t="n"/>
      <c r="D992" s="9">
        <f>IF(C992="","",IFERROR(VLOOKUP(C992,Settings!$E$5:$G$28,3,FALSE),"Other"))</f>
        <v/>
      </c>
      <c r="E992" s="35" t="n"/>
      <c r="F992" s="35" t="n"/>
      <c r="G992" s="35" t="n"/>
      <c r="H992" s="37" t="n"/>
      <c r="I992" s="39">
        <f>IF(B992="","",G992*H992)</f>
        <v/>
      </c>
      <c r="J992" s="35" t="n"/>
      <c r="K992" s="35" t="n"/>
      <c r="L992" s="35" t="n"/>
      <c r="M992" s="9">
        <f>IF(B992="","",IF(COUNTIF(Jobs!$A$5:$A$44,B992)=0,"Unknown Job ID",IF(C992="","Missing cost code",IF(COUNTIF(Settings!$E$5:$E$28,C992)=0,"Unknown cost code",IF(A992="","Missing date",IF(OR(G992="",H992=""),"Missing qty or cost",""))))))</f>
        <v/>
      </c>
      <c r="N992" s="35" t="n"/>
    </row>
    <row r="993">
      <c r="A993" s="40" t="n"/>
      <c r="B993" s="35" t="n"/>
      <c r="C993" s="35" t="n"/>
      <c r="D993" s="9">
        <f>IF(C993="","",IFERROR(VLOOKUP(C993,Settings!$E$5:$G$28,3,FALSE),"Other"))</f>
        <v/>
      </c>
      <c r="E993" s="35" t="n"/>
      <c r="F993" s="35" t="n"/>
      <c r="G993" s="35" t="n"/>
      <c r="H993" s="37" t="n"/>
      <c r="I993" s="39">
        <f>IF(B993="","",G993*H993)</f>
        <v/>
      </c>
      <c r="J993" s="35" t="n"/>
      <c r="K993" s="35" t="n"/>
      <c r="L993" s="35" t="n"/>
      <c r="M993" s="9">
        <f>IF(B993="","",IF(COUNTIF(Jobs!$A$5:$A$44,B993)=0,"Unknown Job ID",IF(C993="","Missing cost code",IF(COUNTIF(Settings!$E$5:$E$28,C993)=0,"Unknown cost code",IF(A993="","Missing date",IF(OR(G993="",H993=""),"Missing qty or cost",""))))))</f>
        <v/>
      </c>
      <c r="N993" s="35" t="n"/>
    </row>
    <row r="994">
      <c r="A994" s="40" t="n"/>
      <c r="B994" s="35" t="n"/>
      <c r="C994" s="35" t="n"/>
      <c r="D994" s="9">
        <f>IF(C994="","",IFERROR(VLOOKUP(C994,Settings!$E$5:$G$28,3,FALSE),"Other"))</f>
        <v/>
      </c>
      <c r="E994" s="35" t="n"/>
      <c r="F994" s="35" t="n"/>
      <c r="G994" s="35" t="n"/>
      <c r="H994" s="37" t="n"/>
      <c r="I994" s="39">
        <f>IF(B994="","",G994*H994)</f>
        <v/>
      </c>
      <c r="J994" s="35" t="n"/>
      <c r="K994" s="35" t="n"/>
      <c r="L994" s="35" t="n"/>
      <c r="M994" s="9">
        <f>IF(B994="","",IF(COUNTIF(Jobs!$A$5:$A$44,B994)=0,"Unknown Job ID",IF(C994="","Missing cost code",IF(COUNTIF(Settings!$E$5:$E$28,C994)=0,"Unknown cost code",IF(A994="","Missing date",IF(OR(G994="",H994=""),"Missing qty or cost",""))))))</f>
        <v/>
      </c>
      <c r="N994" s="35" t="n"/>
    </row>
    <row r="995">
      <c r="A995" s="40" t="n"/>
      <c r="B995" s="35" t="n"/>
      <c r="C995" s="35" t="n"/>
      <c r="D995" s="9">
        <f>IF(C995="","",IFERROR(VLOOKUP(C995,Settings!$E$5:$G$28,3,FALSE),"Other"))</f>
        <v/>
      </c>
      <c r="E995" s="35" t="n"/>
      <c r="F995" s="35" t="n"/>
      <c r="G995" s="35" t="n"/>
      <c r="H995" s="37" t="n"/>
      <c r="I995" s="39">
        <f>IF(B995="","",G995*H995)</f>
        <v/>
      </c>
      <c r="J995" s="35" t="n"/>
      <c r="K995" s="35" t="n"/>
      <c r="L995" s="35" t="n"/>
      <c r="M995" s="9">
        <f>IF(B995="","",IF(COUNTIF(Jobs!$A$5:$A$44,B995)=0,"Unknown Job ID",IF(C995="","Missing cost code",IF(COUNTIF(Settings!$E$5:$E$28,C995)=0,"Unknown cost code",IF(A995="","Missing date",IF(OR(G995="",H995=""),"Missing qty or cost",""))))))</f>
        <v/>
      </c>
      <c r="N995" s="35" t="n"/>
    </row>
    <row r="996">
      <c r="A996" s="40" t="n"/>
      <c r="B996" s="35" t="n"/>
      <c r="C996" s="35" t="n"/>
      <c r="D996" s="9">
        <f>IF(C996="","",IFERROR(VLOOKUP(C996,Settings!$E$5:$G$28,3,FALSE),"Other"))</f>
        <v/>
      </c>
      <c r="E996" s="35" t="n"/>
      <c r="F996" s="35" t="n"/>
      <c r="G996" s="35" t="n"/>
      <c r="H996" s="37" t="n"/>
      <c r="I996" s="39">
        <f>IF(B996="","",G996*H996)</f>
        <v/>
      </c>
      <c r="J996" s="35" t="n"/>
      <c r="K996" s="35" t="n"/>
      <c r="L996" s="35" t="n"/>
      <c r="M996" s="9">
        <f>IF(B996="","",IF(COUNTIF(Jobs!$A$5:$A$44,B996)=0,"Unknown Job ID",IF(C996="","Missing cost code",IF(COUNTIF(Settings!$E$5:$E$28,C996)=0,"Unknown cost code",IF(A996="","Missing date",IF(OR(G996="",H996=""),"Missing qty or cost",""))))))</f>
        <v/>
      </c>
      <c r="N996" s="35" t="n"/>
    </row>
    <row r="997">
      <c r="A997" s="40" t="n"/>
      <c r="B997" s="35" t="n"/>
      <c r="C997" s="35" t="n"/>
      <c r="D997" s="9">
        <f>IF(C997="","",IFERROR(VLOOKUP(C997,Settings!$E$5:$G$28,3,FALSE),"Other"))</f>
        <v/>
      </c>
      <c r="E997" s="35" t="n"/>
      <c r="F997" s="35" t="n"/>
      <c r="G997" s="35" t="n"/>
      <c r="H997" s="37" t="n"/>
      <c r="I997" s="39">
        <f>IF(B997="","",G997*H997)</f>
        <v/>
      </c>
      <c r="J997" s="35" t="n"/>
      <c r="K997" s="35" t="n"/>
      <c r="L997" s="35" t="n"/>
      <c r="M997" s="9">
        <f>IF(B997="","",IF(COUNTIF(Jobs!$A$5:$A$44,B997)=0,"Unknown Job ID",IF(C997="","Missing cost code",IF(COUNTIF(Settings!$E$5:$E$28,C997)=0,"Unknown cost code",IF(A997="","Missing date",IF(OR(G997="",H997=""),"Missing qty or cost",""))))))</f>
        <v/>
      </c>
      <c r="N997" s="35" t="n"/>
    </row>
    <row r="998">
      <c r="A998" s="40" t="n"/>
      <c r="B998" s="35" t="n"/>
      <c r="C998" s="35" t="n"/>
      <c r="D998" s="9">
        <f>IF(C998="","",IFERROR(VLOOKUP(C998,Settings!$E$5:$G$28,3,FALSE),"Other"))</f>
        <v/>
      </c>
      <c r="E998" s="35" t="n"/>
      <c r="F998" s="35" t="n"/>
      <c r="G998" s="35" t="n"/>
      <c r="H998" s="37" t="n"/>
      <c r="I998" s="39">
        <f>IF(B998="","",G998*H998)</f>
        <v/>
      </c>
      <c r="J998" s="35" t="n"/>
      <c r="K998" s="35" t="n"/>
      <c r="L998" s="35" t="n"/>
      <c r="M998" s="9">
        <f>IF(B998="","",IF(COUNTIF(Jobs!$A$5:$A$44,B998)=0,"Unknown Job ID",IF(C998="","Missing cost code",IF(COUNTIF(Settings!$E$5:$E$28,C998)=0,"Unknown cost code",IF(A998="","Missing date",IF(OR(G998="",H998=""),"Missing qty or cost",""))))))</f>
        <v/>
      </c>
      <c r="N998" s="35" t="n"/>
    </row>
    <row r="999">
      <c r="A999" s="40" t="n"/>
      <c r="B999" s="35" t="n"/>
      <c r="C999" s="35" t="n"/>
      <c r="D999" s="9">
        <f>IF(C999="","",IFERROR(VLOOKUP(C999,Settings!$E$5:$G$28,3,FALSE),"Other"))</f>
        <v/>
      </c>
      <c r="E999" s="35" t="n"/>
      <c r="F999" s="35" t="n"/>
      <c r="G999" s="35" t="n"/>
      <c r="H999" s="37" t="n"/>
      <c r="I999" s="39">
        <f>IF(B999="","",G999*H999)</f>
        <v/>
      </c>
      <c r="J999" s="35" t="n"/>
      <c r="K999" s="35" t="n"/>
      <c r="L999" s="35" t="n"/>
      <c r="M999" s="9">
        <f>IF(B999="","",IF(COUNTIF(Jobs!$A$5:$A$44,B999)=0,"Unknown Job ID",IF(C999="","Missing cost code",IF(COUNTIF(Settings!$E$5:$E$28,C999)=0,"Unknown cost code",IF(A999="","Missing date",IF(OR(G999="",H999=""),"Missing qty or cost",""))))))</f>
        <v/>
      </c>
      <c r="N999" s="35" t="n"/>
    </row>
    <row r="1000">
      <c r="A1000" s="40" t="n"/>
      <c r="B1000" s="35" t="n"/>
      <c r="C1000" s="35" t="n"/>
      <c r="D1000" s="9">
        <f>IF(C1000="","",IFERROR(VLOOKUP(C1000,Settings!$E$5:$G$28,3,FALSE),"Other"))</f>
        <v/>
      </c>
      <c r="E1000" s="35" t="n"/>
      <c r="F1000" s="35" t="n"/>
      <c r="G1000" s="35" t="n"/>
      <c r="H1000" s="37" t="n"/>
      <c r="I1000" s="39">
        <f>IF(B1000="","",G1000*H1000)</f>
        <v/>
      </c>
      <c r="J1000" s="35" t="n"/>
      <c r="K1000" s="35" t="n"/>
      <c r="L1000" s="35" t="n"/>
      <c r="M1000" s="9">
        <f>IF(B1000="","",IF(COUNTIF(Jobs!$A$5:$A$44,B1000)=0,"Unknown Job ID",IF(C1000="","Missing cost code",IF(COUNTIF(Settings!$E$5:$E$28,C1000)=0,"Unknown cost code",IF(A1000="","Missing date",IF(OR(G1000="",H1000=""),"Missing qty or cost",""))))))</f>
        <v/>
      </c>
      <c r="N1000" s="35" t="n"/>
    </row>
    <row r="1001">
      <c r="A1001" s="40" t="n"/>
      <c r="B1001" s="35" t="n"/>
      <c r="C1001" s="35" t="n"/>
      <c r="D1001" s="9">
        <f>IF(C1001="","",IFERROR(VLOOKUP(C1001,Settings!$E$5:$G$28,3,FALSE),"Other"))</f>
        <v/>
      </c>
      <c r="E1001" s="35" t="n"/>
      <c r="F1001" s="35" t="n"/>
      <c r="G1001" s="35" t="n"/>
      <c r="H1001" s="37" t="n"/>
      <c r="I1001" s="39">
        <f>IF(B1001="","",G1001*H1001)</f>
        <v/>
      </c>
      <c r="J1001" s="35" t="n"/>
      <c r="K1001" s="35" t="n"/>
      <c r="L1001" s="35" t="n"/>
      <c r="M1001" s="9">
        <f>IF(B1001="","",IF(COUNTIF(Jobs!$A$5:$A$44,B1001)=0,"Unknown Job ID",IF(C1001="","Missing cost code",IF(COUNTIF(Settings!$E$5:$E$28,C1001)=0,"Unknown cost code",IF(A1001="","Missing date",IF(OR(G1001="",H1001=""),"Missing qty or cost",""))))))</f>
        <v/>
      </c>
      <c r="N1001" s="35" t="n"/>
    </row>
    <row r="1002">
      <c r="A1002" s="40" t="n"/>
      <c r="B1002" s="35" t="n"/>
      <c r="C1002" s="35" t="n"/>
      <c r="D1002" s="9">
        <f>IF(C1002="","",IFERROR(VLOOKUP(C1002,Settings!$E$5:$G$28,3,FALSE),"Other"))</f>
        <v/>
      </c>
      <c r="E1002" s="35" t="n"/>
      <c r="F1002" s="35" t="n"/>
      <c r="G1002" s="35" t="n"/>
      <c r="H1002" s="37" t="n"/>
      <c r="I1002" s="39">
        <f>IF(B1002="","",G1002*H1002)</f>
        <v/>
      </c>
      <c r="J1002" s="35" t="n"/>
      <c r="K1002" s="35" t="n"/>
      <c r="L1002" s="35" t="n"/>
      <c r="M1002" s="9">
        <f>IF(B1002="","",IF(COUNTIF(Jobs!$A$5:$A$44,B1002)=0,"Unknown Job ID",IF(C1002="","Missing cost code",IF(COUNTIF(Settings!$E$5:$E$28,C1002)=0,"Unknown cost code",IF(A1002="","Missing date",IF(OR(G1002="",H1002=""),"Missing qty or cost",""))))))</f>
        <v/>
      </c>
      <c r="N1002" s="35" t="n"/>
    </row>
    <row r="1003">
      <c r="A1003" s="40" t="n"/>
      <c r="B1003" s="35" t="n"/>
      <c r="C1003" s="35" t="n"/>
      <c r="D1003" s="9">
        <f>IF(C1003="","",IFERROR(VLOOKUP(C1003,Settings!$E$5:$G$28,3,FALSE),"Other"))</f>
        <v/>
      </c>
      <c r="E1003" s="35" t="n"/>
      <c r="F1003" s="35" t="n"/>
      <c r="G1003" s="35" t="n"/>
      <c r="H1003" s="37" t="n"/>
      <c r="I1003" s="39">
        <f>IF(B1003="","",G1003*H1003)</f>
        <v/>
      </c>
      <c r="J1003" s="35" t="n"/>
      <c r="K1003" s="35" t="n"/>
      <c r="L1003" s="35" t="n"/>
      <c r="M1003" s="9">
        <f>IF(B1003="","",IF(COUNTIF(Jobs!$A$5:$A$44,B1003)=0,"Unknown Job ID",IF(C1003="","Missing cost code",IF(COUNTIF(Settings!$E$5:$E$28,C1003)=0,"Unknown cost code",IF(A1003="","Missing date",IF(OR(G1003="",H1003=""),"Missing qty or cost",""))))))</f>
        <v/>
      </c>
      <c r="N1003" s="35" t="n"/>
    </row>
    <row r="1004">
      <c r="A1004" s="40" t="n"/>
      <c r="B1004" s="35" t="n"/>
      <c r="C1004" s="35" t="n"/>
      <c r="D1004" s="9">
        <f>IF(C1004="","",IFERROR(VLOOKUP(C1004,Settings!$E$5:$G$28,3,FALSE),"Other"))</f>
        <v/>
      </c>
      <c r="E1004" s="35" t="n"/>
      <c r="F1004" s="35" t="n"/>
      <c r="G1004" s="35" t="n"/>
      <c r="H1004" s="37" t="n"/>
      <c r="I1004" s="39">
        <f>IF(B1004="","",G1004*H1004)</f>
        <v/>
      </c>
      <c r="J1004" s="35" t="n"/>
      <c r="K1004" s="35" t="n"/>
      <c r="L1004" s="35" t="n"/>
      <c r="M1004" s="9">
        <f>IF(B1004="","",IF(COUNTIF(Jobs!$A$5:$A$44,B1004)=0,"Unknown Job ID",IF(C1004="","Missing cost code",IF(COUNTIF(Settings!$E$5:$E$28,C1004)=0,"Unknown cost code",IF(A1004="","Missing date",IF(OR(G1004="",H1004=""),"Missing qty or cost",""))))))</f>
        <v/>
      </c>
      <c r="N1004" s="35" t="n"/>
    </row>
    <row r="1005">
      <c r="A1005" s="31" t="n"/>
      <c r="B1005" s="31" t="n"/>
      <c r="C1005" s="31" t="n"/>
      <c r="D1005" s="31" t="n"/>
      <c r="E1005" s="31" t="n"/>
      <c r="F1005" s="31" t="inlineStr">
        <is>
          <t>TOTAL</t>
        </is>
      </c>
      <c r="G1005" s="31" t="n"/>
      <c r="H1005" s="31" t="n"/>
      <c r="I1005" s="41">
        <f>SUM(I5:I1004)</f>
        <v/>
      </c>
      <c r="J1005" s="31" t="n"/>
      <c r="K1005" s="31" t="n"/>
      <c r="L1005" s="31" t="n"/>
      <c r="M1005" s="31" t="n"/>
      <c r="N1005" s="31" t="n"/>
    </row>
  </sheetData>
  <conditionalFormatting sqref="J5:J1004">
    <cfRule type="cellIs" priority="1" operator="equal" dxfId="0">
      <formula>"No"</formula>
    </cfRule>
  </conditionalFormatting>
  <conditionalFormatting sqref="M5:M1004">
    <cfRule type="expression" priority="2" dxfId="1">
      <formula>M5&lt;&gt;""</formula>
    </cfRule>
  </conditionalFormatting>
  <dataValidations count="5">
    <dataValidation sqref="B5:B1004" showDropDown="0" showInputMessage="1" showErrorMessage="0" allowBlank="1" promptTitle="Pick from the list" prompt="Job IDs come from the Jobs sheet." type="list">
      <formula1>=Jobs!$A$5:$A$44</formula1>
    </dataValidation>
    <dataValidation sqref="C5:C1004" showDropDown="0" showInputMessage="1" showErrorMessage="0" allowBlank="1" promptTitle="Pick from the list" prompt="Cost code sets the category for Budget vs Actual." type="list">
      <formula1>=Settings!$E$5:$E$28</formula1>
    </dataValidation>
    <dataValidation sqref="E5:E1004" showDropDown="0" showInputMessage="1" showErrorMessage="0" allowBlank="1" promptTitle="Pick from the list" prompt="Vendors come from Vendors &amp; Crew (drives Paid YTD and 1099 flags)." type="list">
      <formula1>='Vendors &amp; Crew'!$A$41:$A$140</formula1>
    </dataValidation>
    <dataValidation sqref="J5:J1004" showDropDown="0" showInputMessage="0" showErrorMessage="0" allowBlank="1" type="list">
      <formula1>"Yes,No"</formula1>
    </dataValidation>
    <dataValidation sqref="K5:K1004" showDropDown="0" showInputMessage="0" showErrorMessage="0" allowBlank="1" type="list">
      <formula1>=Settings!$K$5:$K$10</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3.xml><?xml version="1.0" encoding="utf-8"?>
<worksheet xmlns="http://schemas.openxmlformats.org/spreadsheetml/2006/main">
  <sheetPr>
    <tabColor rgb="004A86C8"/>
    <outlinePr summaryBelow="1" summaryRight="1"/>
    <pageSetUpPr fitToPage="1"/>
  </sheetPr>
  <dimension ref="A1:L30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0" customWidth="1" min="3" max="3"/>
    <col width="24" customWidth="1" min="4" max="4"/>
    <col width="30" customWidth="1" min="5" max="5"/>
    <col width="26" customWidth="1" min="6" max="6"/>
    <col width="8" customWidth="1" min="7" max="7"/>
    <col width="10" customWidth="1" min="8" max="8"/>
    <col width="12" customWidth="1" min="9" max="9"/>
    <col width="12" customWidth="1" min="10" max="10"/>
    <col width="20" customWidth="1" min="11" max="11"/>
    <col width="24" customWidth="1" min="12" max="12"/>
  </cols>
  <sheetData>
    <row r="1">
      <c r="A1" s="13" t="inlineStr">
        <is>
          <t>Mileage log</t>
        </is>
      </c>
    </row>
    <row r="2">
      <c r="A2" s="14" t="inlineStr">
        <is>
          <t>Job-related driving. Rate comes from Settings. Amount counts toward the job's actual cost under the cost code you pick (default 22 Fuel &amp; mileage).</t>
        </is>
      </c>
    </row>
    <row r="4" ht="30" customHeight="1">
      <c r="A4" s="24" t="inlineStr">
        <is>
          <t>Date</t>
        </is>
      </c>
      <c r="B4" s="24" t="inlineStr">
        <is>
          <t>Job ID</t>
        </is>
      </c>
      <c r="C4" s="24" t="inlineStr">
        <is>
          <t>Cost Code</t>
        </is>
      </c>
      <c r="D4" s="24" t="inlineStr">
        <is>
          <t>From</t>
        </is>
      </c>
      <c r="E4" s="24" t="inlineStr">
        <is>
          <t>To</t>
        </is>
      </c>
      <c r="F4" s="24" t="inlineStr">
        <is>
          <t>Purpose</t>
        </is>
      </c>
      <c r="G4" s="24" t="inlineStr">
        <is>
          <t>Miles</t>
        </is>
      </c>
      <c r="H4" s="24" t="inlineStr">
        <is>
          <t>Rate</t>
        </is>
      </c>
      <c r="I4" s="24" t="inlineStr">
        <is>
          <t>Amount</t>
        </is>
      </c>
      <c r="J4" s="24" t="inlineStr">
        <is>
          <t>Category</t>
        </is>
      </c>
      <c r="K4" s="24" t="inlineStr">
        <is>
          <t>Check</t>
        </is>
      </c>
      <c r="L4" s="24" t="inlineStr">
        <is>
          <t>Notes</t>
        </is>
      </c>
    </row>
    <row r="5">
      <c r="A5" s="40" t="n"/>
      <c r="B5" s="35" t="n"/>
      <c r="C5" s="35" t="n"/>
      <c r="D5" s="35" t="n"/>
      <c r="E5" s="35" t="n"/>
      <c r="F5" s="35" t="n"/>
      <c r="G5" s="61" t="n"/>
      <c r="H5" s="39">
        <f>IF(B5="","",Settings!$B$15)</f>
        <v/>
      </c>
      <c r="I5" s="39">
        <f>IF(B5="","",G5*H5)</f>
        <v/>
      </c>
      <c r="J5" s="9">
        <f>IF(B5="","",IF(C5="","Other",IFERROR(VLOOKUP(C5,Settings!$E$5:$G$28,3,FALSE),"Other")))</f>
        <v/>
      </c>
      <c r="K5" s="9">
        <f>IF(B5="","",IF(COUNTIF(Jobs!$A$5:$A$44,B5)=0,"Unknown Job ID",IF(G5="","Missing miles",IF(A5="","Missing date",""))))</f>
        <v/>
      </c>
      <c r="L5" s="35" t="n"/>
    </row>
    <row r="6">
      <c r="A6" s="40" t="n"/>
      <c r="B6" s="35" t="n"/>
      <c r="C6" s="35" t="n"/>
      <c r="D6" s="35" t="n"/>
      <c r="E6" s="35" t="n"/>
      <c r="F6" s="35" t="n"/>
      <c r="G6" s="61" t="n"/>
      <c r="H6" s="39">
        <f>IF(B6="","",Settings!$B$15)</f>
        <v/>
      </c>
      <c r="I6" s="39">
        <f>IF(B6="","",G6*H6)</f>
        <v/>
      </c>
      <c r="J6" s="9">
        <f>IF(B6="","",IF(C6="","Other",IFERROR(VLOOKUP(C6,Settings!$E$5:$G$28,3,FALSE),"Other")))</f>
        <v/>
      </c>
      <c r="K6" s="9">
        <f>IF(B6="","",IF(COUNTIF(Jobs!$A$5:$A$44,B6)=0,"Unknown Job ID",IF(G6="","Missing miles",IF(A6="","Missing date",""))))</f>
        <v/>
      </c>
      <c r="L6" s="35" t="n"/>
    </row>
    <row r="7">
      <c r="A7" s="40" t="n"/>
      <c r="B7" s="35" t="n"/>
      <c r="C7" s="35" t="n"/>
      <c r="D7" s="35" t="n"/>
      <c r="E7" s="35" t="n"/>
      <c r="F7" s="35" t="n"/>
      <c r="G7" s="61" t="n"/>
      <c r="H7" s="39">
        <f>IF(B7="","",Settings!$B$15)</f>
        <v/>
      </c>
      <c r="I7" s="39">
        <f>IF(B7="","",G7*H7)</f>
        <v/>
      </c>
      <c r="J7" s="9">
        <f>IF(B7="","",IF(C7="","Other",IFERROR(VLOOKUP(C7,Settings!$E$5:$G$28,3,FALSE),"Other")))</f>
        <v/>
      </c>
      <c r="K7" s="9">
        <f>IF(B7="","",IF(COUNTIF(Jobs!$A$5:$A$44,B7)=0,"Unknown Job ID",IF(G7="","Missing miles",IF(A7="","Missing date",""))))</f>
        <v/>
      </c>
      <c r="L7" s="35" t="n"/>
    </row>
    <row r="8">
      <c r="A8" s="40" t="n"/>
      <c r="B8" s="35" t="n"/>
      <c r="C8" s="35" t="n"/>
      <c r="D8" s="35" t="n"/>
      <c r="E8" s="35" t="n"/>
      <c r="F8" s="35" t="n"/>
      <c r="G8" s="61" t="n"/>
      <c r="H8" s="39">
        <f>IF(B8="","",Settings!$B$15)</f>
        <v/>
      </c>
      <c r="I8" s="39">
        <f>IF(B8="","",G8*H8)</f>
        <v/>
      </c>
      <c r="J8" s="9">
        <f>IF(B8="","",IF(C8="","Other",IFERROR(VLOOKUP(C8,Settings!$E$5:$G$28,3,FALSE),"Other")))</f>
        <v/>
      </c>
      <c r="K8" s="9">
        <f>IF(B8="","",IF(COUNTIF(Jobs!$A$5:$A$44,B8)=0,"Unknown Job ID",IF(G8="","Missing miles",IF(A8="","Missing date",""))))</f>
        <v/>
      </c>
      <c r="L8" s="35" t="n"/>
    </row>
    <row r="9">
      <c r="A9" s="40" t="n"/>
      <c r="B9" s="35" t="n"/>
      <c r="C9" s="35" t="n"/>
      <c r="D9" s="35" t="n"/>
      <c r="E9" s="35" t="n"/>
      <c r="F9" s="35" t="n"/>
      <c r="G9" s="61" t="n"/>
      <c r="H9" s="39">
        <f>IF(B9="","",Settings!$B$15)</f>
        <v/>
      </c>
      <c r="I9" s="39">
        <f>IF(B9="","",G9*H9)</f>
        <v/>
      </c>
      <c r="J9" s="9">
        <f>IF(B9="","",IF(C9="","Other",IFERROR(VLOOKUP(C9,Settings!$E$5:$G$28,3,FALSE),"Other")))</f>
        <v/>
      </c>
      <c r="K9" s="9">
        <f>IF(B9="","",IF(COUNTIF(Jobs!$A$5:$A$44,B9)=0,"Unknown Job ID",IF(G9="","Missing miles",IF(A9="","Missing date",""))))</f>
        <v/>
      </c>
      <c r="L9" s="35" t="n"/>
    </row>
    <row r="10">
      <c r="A10" s="40" t="n"/>
      <c r="B10" s="35" t="n"/>
      <c r="C10" s="35" t="n"/>
      <c r="D10" s="35" t="n"/>
      <c r="E10" s="35" t="n"/>
      <c r="F10" s="35" t="n"/>
      <c r="G10" s="61" t="n"/>
      <c r="H10" s="39">
        <f>IF(B10="","",Settings!$B$15)</f>
        <v/>
      </c>
      <c r="I10" s="39">
        <f>IF(B10="","",G10*H10)</f>
        <v/>
      </c>
      <c r="J10" s="9">
        <f>IF(B10="","",IF(C10="","Other",IFERROR(VLOOKUP(C10,Settings!$E$5:$G$28,3,FALSE),"Other")))</f>
        <v/>
      </c>
      <c r="K10" s="9">
        <f>IF(B10="","",IF(COUNTIF(Jobs!$A$5:$A$44,B10)=0,"Unknown Job ID",IF(G10="","Missing miles",IF(A10="","Missing date",""))))</f>
        <v/>
      </c>
      <c r="L10" s="35" t="n"/>
    </row>
    <row r="11">
      <c r="A11" s="40" t="n"/>
      <c r="B11" s="35" t="n"/>
      <c r="C11" s="35" t="n"/>
      <c r="D11" s="35" t="n"/>
      <c r="E11" s="35" t="n"/>
      <c r="F11" s="35" t="n"/>
      <c r="G11" s="61" t="n"/>
      <c r="H11" s="39">
        <f>IF(B11="","",Settings!$B$15)</f>
        <v/>
      </c>
      <c r="I11" s="39">
        <f>IF(B11="","",G11*H11)</f>
        <v/>
      </c>
      <c r="J11" s="9">
        <f>IF(B11="","",IF(C11="","Other",IFERROR(VLOOKUP(C11,Settings!$E$5:$G$28,3,FALSE),"Other")))</f>
        <v/>
      </c>
      <c r="K11" s="9">
        <f>IF(B11="","",IF(COUNTIF(Jobs!$A$5:$A$44,B11)=0,"Unknown Job ID",IF(G11="","Missing miles",IF(A11="","Missing date",""))))</f>
        <v/>
      </c>
      <c r="L11" s="35" t="n"/>
    </row>
    <row r="12">
      <c r="A12" s="40" t="n"/>
      <c r="B12" s="35" t="n"/>
      <c r="C12" s="35" t="n"/>
      <c r="D12" s="35" t="n"/>
      <c r="E12" s="35" t="n"/>
      <c r="F12" s="35" t="n"/>
      <c r="G12" s="61" t="n"/>
      <c r="H12" s="39">
        <f>IF(B12="","",Settings!$B$15)</f>
        <v/>
      </c>
      <c r="I12" s="39">
        <f>IF(B12="","",G12*H12)</f>
        <v/>
      </c>
      <c r="J12" s="9">
        <f>IF(B12="","",IF(C12="","Other",IFERROR(VLOOKUP(C12,Settings!$E$5:$G$28,3,FALSE),"Other")))</f>
        <v/>
      </c>
      <c r="K12" s="9">
        <f>IF(B12="","",IF(COUNTIF(Jobs!$A$5:$A$44,B12)=0,"Unknown Job ID",IF(G12="","Missing miles",IF(A12="","Missing date",""))))</f>
        <v/>
      </c>
      <c r="L12" s="35" t="n"/>
    </row>
    <row r="13">
      <c r="A13" s="40" t="n"/>
      <c r="B13" s="35" t="n"/>
      <c r="C13" s="35" t="n"/>
      <c r="D13" s="35" t="n"/>
      <c r="E13" s="35" t="n"/>
      <c r="F13" s="35" t="n"/>
      <c r="G13" s="61" t="n"/>
      <c r="H13" s="39">
        <f>IF(B13="","",Settings!$B$15)</f>
        <v/>
      </c>
      <c r="I13" s="39">
        <f>IF(B13="","",G13*H13)</f>
        <v/>
      </c>
      <c r="J13" s="9">
        <f>IF(B13="","",IF(C13="","Other",IFERROR(VLOOKUP(C13,Settings!$E$5:$G$28,3,FALSE),"Other")))</f>
        <v/>
      </c>
      <c r="K13" s="9">
        <f>IF(B13="","",IF(COUNTIF(Jobs!$A$5:$A$44,B13)=0,"Unknown Job ID",IF(G13="","Missing miles",IF(A13="","Missing date",""))))</f>
        <v/>
      </c>
      <c r="L13" s="35" t="n"/>
    </row>
    <row r="14">
      <c r="A14" s="40" t="n"/>
      <c r="B14" s="35" t="n"/>
      <c r="C14" s="35" t="n"/>
      <c r="D14" s="35" t="n"/>
      <c r="E14" s="35" t="n"/>
      <c r="F14" s="35" t="n"/>
      <c r="G14" s="61" t="n"/>
      <c r="H14" s="39">
        <f>IF(B14="","",Settings!$B$15)</f>
        <v/>
      </c>
      <c r="I14" s="39">
        <f>IF(B14="","",G14*H14)</f>
        <v/>
      </c>
      <c r="J14" s="9">
        <f>IF(B14="","",IF(C14="","Other",IFERROR(VLOOKUP(C14,Settings!$E$5:$G$28,3,FALSE),"Other")))</f>
        <v/>
      </c>
      <c r="K14" s="9">
        <f>IF(B14="","",IF(COUNTIF(Jobs!$A$5:$A$44,B14)=0,"Unknown Job ID",IF(G14="","Missing miles",IF(A14="","Missing date",""))))</f>
        <v/>
      </c>
      <c r="L14" s="35" t="n"/>
    </row>
    <row r="15">
      <c r="A15" s="40" t="n"/>
      <c r="B15" s="35" t="n"/>
      <c r="C15" s="35" t="n"/>
      <c r="D15" s="35" t="n"/>
      <c r="E15" s="35" t="n"/>
      <c r="F15" s="35" t="n"/>
      <c r="G15" s="61" t="n"/>
      <c r="H15" s="39">
        <f>IF(B15="","",Settings!$B$15)</f>
        <v/>
      </c>
      <c r="I15" s="39">
        <f>IF(B15="","",G15*H15)</f>
        <v/>
      </c>
      <c r="J15" s="9">
        <f>IF(B15="","",IF(C15="","Other",IFERROR(VLOOKUP(C15,Settings!$E$5:$G$28,3,FALSE),"Other")))</f>
        <v/>
      </c>
      <c r="K15" s="9">
        <f>IF(B15="","",IF(COUNTIF(Jobs!$A$5:$A$44,B15)=0,"Unknown Job ID",IF(G15="","Missing miles",IF(A15="","Missing date",""))))</f>
        <v/>
      </c>
      <c r="L15" s="35" t="n"/>
    </row>
    <row r="16">
      <c r="A16" s="40" t="n"/>
      <c r="B16" s="35" t="n"/>
      <c r="C16" s="35" t="n"/>
      <c r="D16" s="35" t="n"/>
      <c r="E16" s="35" t="n"/>
      <c r="F16" s="35" t="n"/>
      <c r="G16" s="61" t="n"/>
      <c r="H16" s="39">
        <f>IF(B16="","",Settings!$B$15)</f>
        <v/>
      </c>
      <c r="I16" s="39">
        <f>IF(B16="","",G16*H16)</f>
        <v/>
      </c>
      <c r="J16" s="9">
        <f>IF(B16="","",IF(C16="","Other",IFERROR(VLOOKUP(C16,Settings!$E$5:$G$28,3,FALSE),"Other")))</f>
        <v/>
      </c>
      <c r="K16" s="9">
        <f>IF(B16="","",IF(COUNTIF(Jobs!$A$5:$A$44,B16)=0,"Unknown Job ID",IF(G16="","Missing miles",IF(A16="","Missing date",""))))</f>
        <v/>
      </c>
      <c r="L16" s="35" t="n"/>
    </row>
    <row r="17">
      <c r="A17" s="40" t="n"/>
      <c r="B17" s="35" t="n"/>
      <c r="C17" s="35" t="n"/>
      <c r="D17" s="35" t="n"/>
      <c r="E17" s="35" t="n"/>
      <c r="F17" s="35" t="n"/>
      <c r="G17" s="61" t="n"/>
      <c r="H17" s="39">
        <f>IF(B17="","",Settings!$B$15)</f>
        <v/>
      </c>
      <c r="I17" s="39">
        <f>IF(B17="","",G17*H17)</f>
        <v/>
      </c>
      <c r="J17" s="9">
        <f>IF(B17="","",IF(C17="","Other",IFERROR(VLOOKUP(C17,Settings!$E$5:$G$28,3,FALSE),"Other")))</f>
        <v/>
      </c>
      <c r="K17" s="9">
        <f>IF(B17="","",IF(COUNTIF(Jobs!$A$5:$A$44,B17)=0,"Unknown Job ID",IF(G17="","Missing miles",IF(A17="","Missing date",""))))</f>
        <v/>
      </c>
      <c r="L17" s="35" t="n"/>
    </row>
    <row r="18">
      <c r="A18" s="40" t="n"/>
      <c r="B18" s="35" t="n"/>
      <c r="C18" s="35" t="n"/>
      <c r="D18" s="35" t="n"/>
      <c r="E18" s="35" t="n"/>
      <c r="F18" s="35" t="n"/>
      <c r="G18" s="61" t="n"/>
      <c r="H18" s="39">
        <f>IF(B18="","",Settings!$B$15)</f>
        <v/>
      </c>
      <c r="I18" s="39">
        <f>IF(B18="","",G18*H18)</f>
        <v/>
      </c>
      <c r="J18" s="9">
        <f>IF(B18="","",IF(C18="","Other",IFERROR(VLOOKUP(C18,Settings!$E$5:$G$28,3,FALSE),"Other")))</f>
        <v/>
      </c>
      <c r="K18" s="9">
        <f>IF(B18="","",IF(COUNTIF(Jobs!$A$5:$A$44,B18)=0,"Unknown Job ID",IF(G18="","Missing miles",IF(A18="","Missing date",""))))</f>
        <v/>
      </c>
      <c r="L18" s="35" t="n"/>
    </row>
    <row r="19">
      <c r="A19" s="40" t="n"/>
      <c r="B19" s="35" t="n"/>
      <c r="C19" s="35" t="n"/>
      <c r="D19" s="35" t="n"/>
      <c r="E19" s="35" t="n"/>
      <c r="F19" s="35" t="n"/>
      <c r="G19" s="61" t="n"/>
      <c r="H19" s="39">
        <f>IF(B19="","",Settings!$B$15)</f>
        <v/>
      </c>
      <c r="I19" s="39">
        <f>IF(B19="","",G19*H19)</f>
        <v/>
      </c>
      <c r="J19" s="9">
        <f>IF(B19="","",IF(C19="","Other",IFERROR(VLOOKUP(C19,Settings!$E$5:$G$28,3,FALSE),"Other")))</f>
        <v/>
      </c>
      <c r="K19" s="9">
        <f>IF(B19="","",IF(COUNTIF(Jobs!$A$5:$A$44,B19)=0,"Unknown Job ID",IF(G19="","Missing miles",IF(A19="","Missing date",""))))</f>
        <v/>
      </c>
      <c r="L19" s="35" t="n"/>
    </row>
    <row r="20">
      <c r="A20" s="40" t="n"/>
      <c r="B20" s="35" t="n"/>
      <c r="C20" s="35" t="n"/>
      <c r="D20" s="35" t="n"/>
      <c r="E20" s="35" t="n"/>
      <c r="F20" s="35" t="n"/>
      <c r="G20" s="61" t="n"/>
      <c r="H20" s="39">
        <f>IF(B20="","",Settings!$B$15)</f>
        <v/>
      </c>
      <c r="I20" s="39">
        <f>IF(B20="","",G20*H20)</f>
        <v/>
      </c>
      <c r="J20" s="9">
        <f>IF(B20="","",IF(C20="","Other",IFERROR(VLOOKUP(C20,Settings!$E$5:$G$28,3,FALSE),"Other")))</f>
        <v/>
      </c>
      <c r="K20" s="9">
        <f>IF(B20="","",IF(COUNTIF(Jobs!$A$5:$A$44,B20)=0,"Unknown Job ID",IF(G20="","Missing miles",IF(A20="","Missing date",""))))</f>
        <v/>
      </c>
      <c r="L20" s="35" t="n"/>
    </row>
    <row r="21">
      <c r="A21" s="40" t="n"/>
      <c r="B21" s="35" t="n"/>
      <c r="C21" s="35" t="n"/>
      <c r="D21" s="35" t="n"/>
      <c r="E21" s="35" t="n"/>
      <c r="F21" s="35" t="n"/>
      <c r="G21" s="61" t="n"/>
      <c r="H21" s="39">
        <f>IF(B21="","",Settings!$B$15)</f>
        <v/>
      </c>
      <c r="I21" s="39">
        <f>IF(B21="","",G21*H21)</f>
        <v/>
      </c>
      <c r="J21" s="9">
        <f>IF(B21="","",IF(C21="","Other",IFERROR(VLOOKUP(C21,Settings!$E$5:$G$28,3,FALSE),"Other")))</f>
        <v/>
      </c>
      <c r="K21" s="9">
        <f>IF(B21="","",IF(COUNTIF(Jobs!$A$5:$A$44,B21)=0,"Unknown Job ID",IF(G21="","Missing miles",IF(A21="","Missing date",""))))</f>
        <v/>
      </c>
      <c r="L21" s="35" t="n"/>
    </row>
    <row r="22">
      <c r="A22" s="40" t="n"/>
      <c r="B22" s="35" t="n"/>
      <c r="C22" s="35" t="n"/>
      <c r="D22" s="35" t="n"/>
      <c r="E22" s="35" t="n"/>
      <c r="F22" s="35" t="n"/>
      <c r="G22" s="61" t="n"/>
      <c r="H22" s="39">
        <f>IF(B22="","",Settings!$B$15)</f>
        <v/>
      </c>
      <c r="I22" s="39">
        <f>IF(B22="","",G22*H22)</f>
        <v/>
      </c>
      <c r="J22" s="9">
        <f>IF(B22="","",IF(C22="","Other",IFERROR(VLOOKUP(C22,Settings!$E$5:$G$28,3,FALSE),"Other")))</f>
        <v/>
      </c>
      <c r="K22" s="9">
        <f>IF(B22="","",IF(COUNTIF(Jobs!$A$5:$A$44,B22)=0,"Unknown Job ID",IF(G22="","Missing miles",IF(A22="","Missing date",""))))</f>
        <v/>
      </c>
      <c r="L22" s="35" t="n"/>
    </row>
    <row r="23">
      <c r="A23" s="40" t="n"/>
      <c r="B23" s="35" t="n"/>
      <c r="C23" s="35" t="n"/>
      <c r="D23" s="35" t="n"/>
      <c r="E23" s="35" t="n"/>
      <c r="F23" s="35" t="n"/>
      <c r="G23" s="61" t="n"/>
      <c r="H23" s="39">
        <f>IF(B23="","",Settings!$B$15)</f>
        <v/>
      </c>
      <c r="I23" s="39">
        <f>IF(B23="","",G23*H23)</f>
        <v/>
      </c>
      <c r="J23" s="9">
        <f>IF(B23="","",IF(C23="","Other",IFERROR(VLOOKUP(C23,Settings!$E$5:$G$28,3,FALSE),"Other")))</f>
        <v/>
      </c>
      <c r="K23" s="9">
        <f>IF(B23="","",IF(COUNTIF(Jobs!$A$5:$A$44,B23)=0,"Unknown Job ID",IF(G23="","Missing miles",IF(A23="","Missing date",""))))</f>
        <v/>
      </c>
      <c r="L23" s="35" t="n"/>
    </row>
    <row r="24">
      <c r="A24" s="40" t="n"/>
      <c r="B24" s="35" t="n"/>
      <c r="C24" s="35" t="n"/>
      <c r="D24" s="35" t="n"/>
      <c r="E24" s="35" t="n"/>
      <c r="F24" s="35" t="n"/>
      <c r="G24" s="61" t="n"/>
      <c r="H24" s="39">
        <f>IF(B24="","",Settings!$B$15)</f>
        <v/>
      </c>
      <c r="I24" s="39">
        <f>IF(B24="","",G24*H24)</f>
        <v/>
      </c>
      <c r="J24" s="9">
        <f>IF(B24="","",IF(C24="","Other",IFERROR(VLOOKUP(C24,Settings!$E$5:$G$28,3,FALSE),"Other")))</f>
        <v/>
      </c>
      <c r="K24" s="9">
        <f>IF(B24="","",IF(COUNTIF(Jobs!$A$5:$A$44,B24)=0,"Unknown Job ID",IF(G24="","Missing miles",IF(A24="","Missing date",""))))</f>
        <v/>
      </c>
      <c r="L24" s="35" t="n"/>
    </row>
    <row r="25">
      <c r="A25" s="40" t="n"/>
      <c r="B25" s="35" t="n"/>
      <c r="C25" s="35" t="n"/>
      <c r="D25" s="35" t="n"/>
      <c r="E25" s="35" t="n"/>
      <c r="F25" s="35" t="n"/>
      <c r="G25" s="61" t="n"/>
      <c r="H25" s="39">
        <f>IF(B25="","",Settings!$B$15)</f>
        <v/>
      </c>
      <c r="I25" s="39">
        <f>IF(B25="","",G25*H25)</f>
        <v/>
      </c>
      <c r="J25" s="9">
        <f>IF(B25="","",IF(C25="","Other",IFERROR(VLOOKUP(C25,Settings!$E$5:$G$28,3,FALSE),"Other")))</f>
        <v/>
      </c>
      <c r="K25" s="9">
        <f>IF(B25="","",IF(COUNTIF(Jobs!$A$5:$A$44,B25)=0,"Unknown Job ID",IF(G25="","Missing miles",IF(A25="","Missing date",""))))</f>
        <v/>
      </c>
      <c r="L25" s="35" t="n"/>
    </row>
    <row r="26">
      <c r="A26" s="40" t="n"/>
      <c r="B26" s="35" t="n"/>
      <c r="C26" s="35" t="n"/>
      <c r="D26" s="35" t="n"/>
      <c r="E26" s="35" t="n"/>
      <c r="F26" s="35" t="n"/>
      <c r="G26" s="61" t="n"/>
      <c r="H26" s="39">
        <f>IF(B26="","",Settings!$B$15)</f>
        <v/>
      </c>
      <c r="I26" s="39">
        <f>IF(B26="","",G26*H26)</f>
        <v/>
      </c>
      <c r="J26" s="9">
        <f>IF(B26="","",IF(C26="","Other",IFERROR(VLOOKUP(C26,Settings!$E$5:$G$28,3,FALSE),"Other")))</f>
        <v/>
      </c>
      <c r="K26" s="9">
        <f>IF(B26="","",IF(COUNTIF(Jobs!$A$5:$A$44,B26)=0,"Unknown Job ID",IF(G26="","Missing miles",IF(A26="","Missing date",""))))</f>
        <v/>
      </c>
      <c r="L26" s="35" t="n"/>
    </row>
    <row r="27">
      <c r="A27" s="40" t="n"/>
      <c r="B27" s="35" t="n"/>
      <c r="C27" s="35" t="n"/>
      <c r="D27" s="35" t="n"/>
      <c r="E27" s="35" t="n"/>
      <c r="F27" s="35" t="n"/>
      <c r="G27" s="61" t="n"/>
      <c r="H27" s="39">
        <f>IF(B27="","",Settings!$B$15)</f>
        <v/>
      </c>
      <c r="I27" s="39">
        <f>IF(B27="","",G27*H27)</f>
        <v/>
      </c>
      <c r="J27" s="9">
        <f>IF(B27="","",IF(C27="","Other",IFERROR(VLOOKUP(C27,Settings!$E$5:$G$28,3,FALSE),"Other")))</f>
        <v/>
      </c>
      <c r="K27" s="9">
        <f>IF(B27="","",IF(COUNTIF(Jobs!$A$5:$A$44,B27)=0,"Unknown Job ID",IF(G27="","Missing miles",IF(A27="","Missing date",""))))</f>
        <v/>
      </c>
      <c r="L27" s="35" t="n"/>
    </row>
    <row r="28">
      <c r="A28" s="40" t="n"/>
      <c r="B28" s="35" t="n"/>
      <c r="C28" s="35" t="n"/>
      <c r="D28" s="35" t="n"/>
      <c r="E28" s="35" t="n"/>
      <c r="F28" s="35" t="n"/>
      <c r="G28" s="61" t="n"/>
      <c r="H28" s="39">
        <f>IF(B28="","",Settings!$B$15)</f>
        <v/>
      </c>
      <c r="I28" s="39">
        <f>IF(B28="","",G28*H28)</f>
        <v/>
      </c>
      <c r="J28" s="9">
        <f>IF(B28="","",IF(C28="","Other",IFERROR(VLOOKUP(C28,Settings!$E$5:$G$28,3,FALSE),"Other")))</f>
        <v/>
      </c>
      <c r="K28" s="9">
        <f>IF(B28="","",IF(COUNTIF(Jobs!$A$5:$A$44,B28)=0,"Unknown Job ID",IF(G28="","Missing miles",IF(A28="","Missing date",""))))</f>
        <v/>
      </c>
      <c r="L28" s="35" t="n"/>
    </row>
    <row r="29">
      <c r="A29" s="40" t="n"/>
      <c r="B29" s="35" t="n"/>
      <c r="C29" s="35" t="n"/>
      <c r="D29" s="35" t="n"/>
      <c r="E29" s="35" t="n"/>
      <c r="F29" s="35" t="n"/>
      <c r="G29" s="61" t="n"/>
      <c r="H29" s="39">
        <f>IF(B29="","",Settings!$B$15)</f>
        <v/>
      </c>
      <c r="I29" s="39">
        <f>IF(B29="","",G29*H29)</f>
        <v/>
      </c>
      <c r="J29" s="9">
        <f>IF(B29="","",IF(C29="","Other",IFERROR(VLOOKUP(C29,Settings!$E$5:$G$28,3,FALSE),"Other")))</f>
        <v/>
      </c>
      <c r="K29" s="9">
        <f>IF(B29="","",IF(COUNTIF(Jobs!$A$5:$A$44,B29)=0,"Unknown Job ID",IF(G29="","Missing miles",IF(A29="","Missing date",""))))</f>
        <v/>
      </c>
      <c r="L29" s="35" t="n"/>
    </row>
    <row r="30">
      <c r="A30" s="40" t="n"/>
      <c r="B30" s="35" t="n"/>
      <c r="C30" s="35" t="n"/>
      <c r="D30" s="35" t="n"/>
      <c r="E30" s="35" t="n"/>
      <c r="F30" s="35" t="n"/>
      <c r="G30" s="61" t="n"/>
      <c r="H30" s="39">
        <f>IF(B30="","",Settings!$B$15)</f>
        <v/>
      </c>
      <c r="I30" s="39">
        <f>IF(B30="","",G30*H30)</f>
        <v/>
      </c>
      <c r="J30" s="9">
        <f>IF(B30="","",IF(C30="","Other",IFERROR(VLOOKUP(C30,Settings!$E$5:$G$28,3,FALSE),"Other")))</f>
        <v/>
      </c>
      <c r="K30" s="9">
        <f>IF(B30="","",IF(COUNTIF(Jobs!$A$5:$A$44,B30)=0,"Unknown Job ID",IF(G30="","Missing miles",IF(A30="","Missing date",""))))</f>
        <v/>
      </c>
      <c r="L30" s="35" t="n"/>
    </row>
    <row r="31">
      <c r="A31" s="40" t="n"/>
      <c r="B31" s="35" t="n"/>
      <c r="C31" s="35" t="n"/>
      <c r="D31" s="35" t="n"/>
      <c r="E31" s="35" t="n"/>
      <c r="F31" s="35" t="n"/>
      <c r="G31" s="61" t="n"/>
      <c r="H31" s="39">
        <f>IF(B31="","",Settings!$B$15)</f>
        <v/>
      </c>
      <c r="I31" s="39">
        <f>IF(B31="","",G31*H31)</f>
        <v/>
      </c>
      <c r="J31" s="9">
        <f>IF(B31="","",IF(C31="","Other",IFERROR(VLOOKUP(C31,Settings!$E$5:$G$28,3,FALSE),"Other")))</f>
        <v/>
      </c>
      <c r="K31" s="9">
        <f>IF(B31="","",IF(COUNTIF(Jobs!$A$5:$A$44,B31)=0,"Unknown Job ID",IF(G31="","Missing miles",IF(A31="","Missing date",""))))</f>
        <v/>
      </c>
      <c r="L31" s="35" t="n"/>
    </row>
    <row r="32">
      <c r="A32" s="40" t="n"/>
      <c r="B32" s="35" t="n"/>
      <c r="C32" s="35" t="n"/>
      <c r="D32" s="35" t="n"/>
      <c r="E32" s="35" t="n"/>
      <c r="F32" s="35" t="n"/>
      <c r="G32" s="61" t="n"/>
      <c r="H32" s="39">
        <f>IF(B32="","",Settings!$B$15)</f>
        <v/>
      </c>
      <c r="I32" s="39">
        <f>IF(B32="","",G32*H32)</f>
        <v/>
      </c>
      <c r="J32" s="9">
        <f>IF(B32="","",IF(C32="","Other",IFERROR(VLOOKUP(C32,Settings!$E$5:$G$28,3,FALSE),"Other")))</f>
        <v/>
      </c>
      <c r="K32" s="9">
        <f>IF(B32="","",IF(COUNTIF(Jobs!$A$5:$A$44,B32)=0,"Unknown Job ID",IF(G32="","Missing miles",IF(A32="","Missing date",""))))</f>
        <v/>
      </c>
      <c r="L32" s="35" t="n"/>
    </row>
    <row r="33">
      <c r="A33" s="40" t="n"/>
      <c r="B33" s="35" t="n"/>
      <c r="C33" s="35" t="n"/>
      <c r="D33" s="35" t="n"/>
      <c r="E33" s="35" t="n"/>
      <c r="F33" s="35" t="n"/>
      <c r="G33" s="61" t="n"/>
      <c r="H33" s="39">
        <f>IF(B33="","",Settings!$B$15)</f>
        <v/>
      </c>
      <c r="I33" s="39">
        <f>IF(B33="","",G33*H33)</f>
        <v/>
      </c>
      <c r="J33" s="9">
        <f>IF(B33="","",IF(C33="","Other",IFERROR(VLOOKUP(C33,Settings!$E$5:$G$28,3,FALSE),"Other")))</f>
        <v/>
      </c>
      <c r="K33" s="9">
        <f>IF(B33="","",IF(COUNTIF(Jobs!$A$5:$A$44,B33)=0,"Unknown Job ID",IF(G33="","Missing miles",IF(A33="","Missing date",""))))</f>
        <v/>
      </c>
      <c r="L33" s="35" t="n"/>
    </row>
    <row r="34">
      <c r="A34" s="40" t="n"/>
      <c r="B34" s="35" t="n"/>
      <c r="C34" s="35" t="n"/>
      <c r="D34" s="35" t="n"/>
      <c r="E34" s="35" t="n"/>
      <c r="F34" s="35" t="n"/>
      <c r="G34" s="61" t="n"/>
      <c r="H34" s="39">
        <f>IF(B34="","",Settings!$B$15)</f>
        <v/>
      </c>
      <c r="I34" s="39">
        <f>IF(B34="","",G34*H34)</f>
        <v/>
      </c>
      <c r="J34" s="9">
        <f>IF(B34="","",IF(C34="","Other",IFERROR(VLOOKUP(C34,Settings!$E$5:$G$28,3,FALSE),"Other")))</f>
        <v/>
      </c>
      <c r="K34" s="9">
        <f>IF(B34="","",IF(COUNTIF(Jobs!$A$5:$A$44,B34)=0,"Unknown Job ID",IF(G34="","Missing miles",IF(A34="","Missing date",""))))</f>
        <v/>
      </c>
      <c r="L34" s="35" t="n"/>
    </row>
    <row r="35">
      <c r="A35" s="40" t="n"/>
      <c r="B35" s="35" t="n"/>
      <c r="C35" s="35" t="n"/>
      <c r="D35" s="35" t="n"/>
      <c r="E35" s="35" t="n"/>
      <c r="F35" s="35" t="n"/>
      <c r="G35" s="61" t="n"/>
      <c r="H35" s="39">
        <f>IF(B35="","",Settings!$B$15)</f>
        <v/>
      </c>
      <c r="I35" s="39">
        <f>IF(B35="","",G35*H35)</f>
        <v/>
      </c>
      <c r="J35" s="9">
        <f>IF(B35="","",IF(C35="","Other",IFERROR(VLOOKUP(C35,Settings!$E$5:$G$28,3,FALSE),"Other")))</f>
        <v/>
      </c>
      <c r="K35" s="9">
        <f>IF(B35="","",IF(COUNTIF(Jobs!$A$5:$A$44,B35)=0,"Unknown Job ID",IF(G35="","Missing miles",IF(A35="","Missing date",""))))</f>
        <v/>
      </c>
      <c r="L35" s="35" t="n"/>
    </row>
    <row r="36">
      <c r="A36" s="40" t="n"/>
      <c r="B36" s="35" t="n"/>
      <c r="C36" s="35" t="n"/>
      <c r="D36" s="35" t="n"/>
      <c r="E36" s="35" t="n"/>
      <c r="F36" s="35" t="n"/>
      <c r="G36" s="61" t="n"/>
      <c r="H36" s="39">
        <f>IF(B36="","",Settings!$B$15)</f>
        <v/>
      </c>
      <c r="I36" s="39">
        <f>IF(B36="","",G36*H36)</f>
        <v/>
      </c>
      <c r="J36" s="9">
        <f>IF(B36="","",IF(C36="","Other",IFERROR(VLOOKUP(C36,Settings!$E$5:$G$28,3,FALSE),"Other")))</f>
        <v/>
      </c>
      <c r="K36" s="9">
        <f>IF(B36="","",IF(COUNTIF(Jobs!$A$5:$A$44,B36)=0,"Unknown Job ID",IF(G36="","Missing miles",IF(A36="","Missing date",""))))</f>
        <v/>
      </c>
      <c r="L36" s="35" t="n"/>
    </row>
    <row r="37">
      <c r="A37" s="40" t="n"/>
      <c r="B37" s="35" t="n"/>
      <c r="C37" s="35" t="n"/>
      <c r="D37" s="35" t="n"/>
      <c r="E37" s="35" t="n"/>
      <c r="F37" s="35" t="n"/>
      <c r="G37" s="61" t="n"/>
      <c r="H37" s="39">
        <f>IF(B37="","",Settings!$B$15)</f>
        <v/>
      </c>
      <c r="I37" s="39">
        <f>IF(B37="","",G37*H37)</f>
        <v/>
      </c>
      <c r="J37" s="9">
        <f>IF(B37="","",IF(C37="","Other",IFERROR(VLOOKUP(C37,Settings!$E$5:$G$28,3,FALSE),"Other")))</f>
        <v/>
      </c>
      <c r="K37" s="9">
        <f>IF(B37="","",IF(COUNTIF(Jobs!$A$5:$A$44,B37)=0,"Unknown Job ID",IF(G37="","Missing miles",IF(A37="","Missing date",""))))</f>
        <v/>
      </c>
      <c r="L37" s="35" t="n"/>
    </row>
    <row r="38">
      <c r="A38" s="40" t="n"/>
      <c r="B38" s="35" t="n"/>
      <c r="C38" s="35" t="n"/>
      <c r="D38" s="35" t="n"/>
      <c r="E38" s="35" t="n"/>
      <c r="F38" s="35" t="n"/>
      <c r="G38" s="61" t="n"/>
      <c r="H38" s="39">
        <f>IF(B38="","",Settings!$B$15)</f>
        <v/>
      </c>
      <c r="I38" s="39">
        <f>IF(B38="","",G38*H38)</f>
        <v/>
      </c>
      <c r="J38" s="9">
        <f>IF(B38="","",IF(C38="","Other",IFERROR(VLOOKUP(C38,Settings!$E$5:$G$28,3,FALSE),"Other")))</f>
        <v/>
      </c>
      <c r="K38" s="9">
        <f>IF(B38="","",IF(COUNTIF(Jobs!$A$5:$A$44,B38)=0,"Unknown Job ID",IF(G38="","Missing miles",IF(A38="","Missing date",""))))</f>
        <v/>
      </c>
      <c r="L38" s="35" t="n"/>
    </row>
    <row r="39">
      <c r="A39" s="40" t="n"/>
      <c r="B39" s="35" t="n"/>
      <c r="C39" s="35" t="n"/>
      <c r="D39" s="35" t="n"/>
      <c r="E39" s="35" t="n"/>
      <c r="F39" s="35" t="n"/>
      <c r="G39" s="61" t="n"/>
      <c r="H39" s="39">
        <f>IF(B39="","",Settings!$B$15)</f>
        <v/>
      </c>
      <c r="I39" s="39">
        <f>IF(B39="","",G39*H39)</f>
        <v/>
      </c>
      <c r="J39" s="9">
        <f>IF(B39="","",IF(C39="","Other",IFERROR(VLOOKUP(C39,Settings!$E$5:$G$28,3,FALSE),"Other")))</f>
        <v/>
      </c>
      <c r="K39" s="9">
        <f>IF(B39="","",IF(COUNTIF(Jobs!$A$5:$A$44,B39)=0,"Unknown Job ID",IF(G39="","Missing miles",IF(A39="","Missing date",""))))</f>
        <v/>
      </c>
      <c r="L39" s="35" t="n"/>
    </row>
    <row r="40">
      <c r="A40" s="40" t="n"/>
      <c r="B40" s="35" t="n"/>
      <c r="C40" s="35" t="n"/>
      <c r="D40" s="35" t="n"/>
      <c r="E40" s="35" t="n"/>
      <c r="F40" s="35" t="n"/>
      <c r="G40" s="61" t="n"/>
      <c r="H40" s="39">
        <f>IF(B40="","",Settings!$B$15)</f>
        <v/>
      </c>
      <c r="I40" s="39">
        <f>IF(B40="","",G40*H40)</f>
        <v/>
      </c>
      <c r="J40" s="9">
        <f>IF(B40="","",IF(C40="","Other",IFERROR(VLOOKUP(C40,Settings!$E$5:$G$28,3,FALSE),"Other")))</f>
        <v/>
      </c>
      <c r="K40" s="9">
        <f>IF(B40="","",IF(COUNTIF(Jobs!$A$5:$A$44,B40)=0,"Unknown Job ID",IF(G40="","Missing miles",IF(A40="","Missing date",""))))</f>
        <v/>
      </c>
      <c r="L40" s="35" t="n"/>
    </row>
    <row r="41">
      <c r="A41" s="40" t="n"/>
      <c r="B41" s="35" t="n"/>
      <c r="C41" s="35" t="n"/>
      <c r="D41" s="35" t="n"/>
      <c r="E41" s="35" t="n"/>
      <c r="F41" s="35" t="n"/>
      <c r="G41" s="61" t="n"/>
      <c r="H41" s="39">
        <f>IF(B41="","",Settings!$B$15)</f>
        <v/>
      </c>
      <c r="I41" s="39">
        <f>IF(B41="","",G41*H41)</f>
        <v/>
      </c>
      <c r="J41" s="9">
        <f>IF(B41="","",IF(C41="","Other",IFERROR(VLOOKUP(C41,Settings!$E$5:$G$28,3,FALSE),"Other")))</f>
        <v/>
      </c>
      <c r="K41" s="9">
        <f>IF(B41="","",IF(COUNTIF(Jobs!$A$5:$A$44,B41)=0,"Unknown Job ID",IF(G41="","Missing miles",IF(A41="","Missing date",""))))</f>
        <v/>
      </c>
      <c r="L41" s="35" t="n"/>
    </row>
    <row r="42">
      <c r="A42" s="40" t="n"/>
      <c r="B42" s="35" t="n"/>
      <c r="C42" s="35" t="n"/>
      <c r="D42" s="35" t="n"/>
      <c r="E42" s="35" t="n"/>
      <c r="F42" s="35" t="n"/>
      <c r="G42" s="61" t="n"/>
      <c r="H42" s="39">
        <f>IF(B42="","",Settings!$B$15)</f>
        <v/>
      </c>
      <c r="I42" s="39">
        <f>IF(B42="","",G42*H42)</f>
        <v/>
      </c>
      <c r="J42" s="9">
        <f>IF(B42="","",IF(C42="","Other",IFERROR(VLOOKUP(C42,Settings!$E$5:$G$28,3,FALSE),"Other")))</f>
        <v/>
      </c>
      <c r="K42" s="9">
        <f>IF(B42="","",IF(COUNTIF(Jobs!$A$5:$A$44,B42)=0,"Unknown Job ID",IF(G42="","Missing miles",IF(A42="","Missing date",""))))</f>
        <v/>
      </c>
      <c r="L42" s="35" t="n"/>
    </row>
    <row r="43">
      <c r="A43" s="40" t="n"/>
      <c r="B43" s="35" t="n"/>
      <c r="C43" s="35" t="n"/>
      <c r="D43" s="35" t="n"/>
      <c r="E43" s="35" t="n"/>
      <c r="F43" s="35" t="n"/>
      <c r="G43" s="61" t="n"/>
      <c r="H43" s="39">
        <f>IF(B43="","",Settings!$B$15)</f>
        <v/>
      </c>
      <c r="I43" s="39">
        <f>IF(B43="","",G43*H43)</f>
        <v/>
      </c>
      <c r="J43" s="9">
        <f>IF(B43="","",IF(C43="","Other",IFERROR(VLOOKUP(C43,Settings!$E$5:$G$28,3,FALSE),"Other")))</f>
        <v/>
      </c>
      <c r="K43" s="9">
        <f>IF(B43="","",IF(COUNTIF(Jobs!$A$5:$A$44,B43)=0,"Unknown Job ID",IF(G43="","Missing miles",IF(A43="","Missing date",""))))</f>
        <v/>
      </c>
      <c r="L43" s="35" t="n"/>
    </row>
    <row r="44">
      <c r="A44" s="40" t="n"/>
      <c r="B44" s="35" t="n"/>
      <c r="C44" s="35" t="n"/>
      <c r="D44" s="35" t="n"/>
      <c r="E44" s="35" t="n"/>
      <c r="F44" s="35" t="n"/>
      <c r="G44" s="61" t="n"/>
      <c r="H44" s="39">
        <f>IF(B44="","",Settings!$B$15)</f>
        <v/>
      </c>
      <c r="I44" s="39">
        <f>IF(B44="","",G44*H44)</f>
        <v/>
      </c>
      <c r="J44" s="9">
        <f>IF(B44="","",IF(C44="","Other",IFERROR(VLOOKUP(C44,Settings!$E$5:$G$28,3,FALSE),"Other")))</f>
        <v/>
      </c>
      <c r="K44" s="9">
        <f>IF(B44="","",IF(COUNTIF(Jobs!$A$5:$A$44,B44)=0,"Unknown Job ID",IF(G44="","Missing miles",IF(A44="","Missing date",""))))</f>
        <v/>
      </c>
      <c r="L44" s="35" t="n"/>
    </row>
    <row r="45">
      <c r="A45" s="40" t="n"/>
      <c r="B45" s="35" t="n"/>
      <c r="C45" s="35" t="n"/>
      <c r="D45" s="35" t="n"/>
      <c r="E45" s="35" t="n"/>
      <c r="F45" s="35" t="n"/>
      <c r="G45" s="61" t="n"/>
      <c r="H45" s="39">
        <f>IF(B45="","",Settings!$B$15)</f>
        <v/>
      </c>
      <c r="I45" s="39">
        <f>IF(B45="","",G45*H45)</f>
        <v/>
      </c>
      <c r="J45" s="9">
        <f>IF(B45="","",IF(C45="","Other",IFERROR(VLOOKUP(C45,Settings!$E$5:$G$28,3,FALSE),"Other")))</f>
        <v/>
      </c>
      <c r="K45" s="9">
        <f>IF(B45="","",IF(COUNTIF(Jobs!$A$5:$A$44,B45)=0,"Unknown Job ID",IF(G45="","Missing miles",IF(A45="","Missing date",""))))</f>
        <v/>
      </c>
      <c r="L45" s="35" t="n"/>
    </row>
    <row r="46">
      <c r="A46" s="40" t="n"/>
      <c r="B46" s="35" t="n"/>
      <c r="C46" s="35" t="n"/>
      <c r="D46" s="35" t="n"/>
      <c r="E46" s="35" t="n"/>
      <c r="F46" s="35" t="n"/>
      <c r="G46" s="61" t="n"/>
      <c r="H46" s="39">
        <f>IF(B46="","",Settings!$B$15)</f>
        <v/>
      </c>
      <c r="I46" s="39">
        <f>IF(B46="","",G46*H46)</f>
        <v/>
      </c>
      <c r="J46" s="9">
        <f>IF(B46="","",IF(C46="","Other",IFERROR(VLOOKUP(C46,Settings!$E$5:$G$28,3,FALSE),"Other")))</f>
        <v/>
      </c>
      <c r="K46" s="9">
        <f>IF(B46="","",IF(COUNTIF(Jobs!$A$5:$A$44,B46)=0,"Unknown Job ID",IF(G46="","Missing miles",IF(A46="","Missing date",""))))</f>
        <v/>
      </c>
      <c r="L46" s="35" t="n"/>
    </row>
    <row r="47">
      <c r="A47" s="40" t="n"/>
      <c r="B47" s="35" t="n"/>
      <c r="C47" s="35" t="n"/>
      <c r="D47" s="35" t="n"/>
      <c r="E47" s="35" t="n"/>
      <c r="F47" s="35" t="n"/>
      <c r="G47" s="61" t="n"/>
      <c r="H47" s="39">
        <f>IF(B47="","",Settings!$B$15)</f>
        <v/>
      </c>
      <c r="I47" s="39">
        <f>IF(B47="","",G47*H47)</f>
        <v/>
      </c>
      <c r="J47" s="9">
        <f>IF(B47="","",IF(C47="","Other",IFERROR(VLOOKUP(C47,Settings!$E$5:$G$28,3,FALSE),"Other")))</f>
        <v/>
      </c>
      <c r="K47" s="9">
        <f>IF(B47="","",IF(COUNTIF(Jobs!$A$5:$A$44,B47)=0,"Unknown Job ID",IF(G47="","Missing miles",IF(A47="","Missing date",""))))</f>
        <v/>
      </c>
      <c r="L47" s="35" t="n"/>
    </row>
    <row r="48">
      <c r="A48" s="40" t="n"/>
      <c r="B48" s="35" t="n"/>
      <c r="C48" s="35" t="n"/>
      <c r="D48" s="35" t="n"/>
      <c r="E48" s="35" t="n"/>
      <c r="F48" s="35" t="n"/>
      <c r="G48" s="61" t="n"/>
      <c r="H48" s="39">
        <f>IF(B48="","",Settings!$B$15)</f>
        <v/>
      </c>
      <c r="I48" s="39">
        <f>IF(B48="","",G48*H48)</f>
        <v/>
      </c>
      <c r="J48" s="9">
        <f>IF(B48="","",IF(C48="","Other",IFERROR(VLOOKUP(C48,Settings!$E$5:$G$28,3,FALSE),"Other")))</f>
        <v/>
      </c>
      <c r="K48" s="9">
        <f>IF(B48="","",IF(COUNTIF(Jobs!$A$5:$A$44,B48)=0,"Unknown Job ID",IF(G48="","Missing miles",IF(A48="","Missing date",""))))</f>
        <v/>
      </c>
      <c r="L48" s="35" t="n"/>
    </row>
    <row r="49">
      <c r="A49" s="40" t="n"/>
      <c r="B49" s="35" t="n"/>
      <c r="C49" s="35" t="n"/>
      <c r="D49" s="35" t="n"/>
      <c r="E49" s="35" t="n"/>
      <c r="F49" s="35" t="n"/>
      <c r="G49" s="61" t="n"/>
      <c r="H49" s="39">
        <f>IF(B49="","",Settings!$B$15)</f>
        <v/>
      </c>
      <c r="I49" s="39">
        <f>IF(B49="","",G49*H49)</f>
        <v/>
      </c>
      <c r="J49" s="9">
        <f>IF(B49="","",IF(C49="","Other",IFERROR(VLOOKUP(C49,Settings!$E$5:$G$28,3,FALSE),"Other")))</f>
        <v/>
      </c>
      <c r="K49" s="9">
        <f>IF(B49="","",IF(COUNTIF(Jobs!$A$5:$A$44,B49)=0,"Unknown Job ID",IF(G49="","Missing miles",IF(A49="","Missing date",""))))</f>
        <v/>
      </c>
      <c r="L49" s="35" t="n"/>
    </row>
    <row r="50">
      <c r="A50" s="40" t="n"/>
      <c r="B50" s="35" t="n"/>
      <c r="C50" s="35" t="n"/>
      <c r="D50" s="35" t="n"/>
      <c r="E50" s="35" t="n"/>
      <c r="F50" s="35" t="n"/>
      <c r="G50" s="61" t="n"/>
      <c r="H50" s="39">
        <f>IF(B50="","",Settings!$B$15)</f>
        <v/>
      </c>
      <c r="I50" s="39">
        <f>IF(B50="","",G50*H50)</f>
        <v/>
      </c>
      <c r="J50" s="9">
        <f>IF(B50="","",IF(C50="","Other",IFERROR(VLOOKUP(C50,Settings!$E$5:$G$28,3,FALSE),"Other")))</f>
        <v/>
      </c>
      <c r="K50" s="9">
        <f>IF(B50="","",IF(COUNTIF(Jobs!$A$5:$A$44,B50)=0,"Unknown Job ID",IF(G50="","Missing miles",IF(A50="","Missing date",""))))</f>
        <v/>
      </c>
      <c r="L50" s="35" t="n"/>
    </row>
    <row r="51">
      <c r="A51" s="40" t="n"/>
      <c r="B51" s="35" t="n"/>
      <c r="C51" s="35" t="n"/>
      <c r="D51" s="35" t="n"/>
      <c r="E51" s="35" t="n"/>
      <c r="F51" s="35" t="n"/>
      <c r="G51" s="61" t="n"/>
      <c r="H51" s="39">
        <f>IF(B51="","",Settings!$B$15)</f>
        <v/>
      </c>
      <c r="I51" s="39">
        <f>IF(B51="","",G51*H51)</f>
        <v/>
      </c>
      <c r="J51" s="9">
        <f>IF(B51="","",IF(C51="","Other",IFERROR(VLOOKUP(C51,Settings!$E$5:$G$28,3,FALSE),"Other")))</f>
        <v/>
      </c>
      <c r="K51" s="9">
        <f>IF(B51="","",IF(COUNTIF(Jobs!$A$5:$A$44,B51)=0,"Unknown Job ID",IF(G51="","Missing miles",IF(A51="","Missing date",""))))</f>
        <v/>
      </c>
      <c r="L51" s="35" t="n"/>
    </row>
    <row r="52">
      <c r="A52" s="40" t="n"/>
      <c r="B52" s="35" t="n"/>
      <c r="C52" s="35" t="n"/>
      <c r="D52" s="35" t="n"/>
      <c r="E52" s="35" t="n"/>
      <c r="F52" s="35" t="n"/>
      <c r="G52" s="61" t="n"/>
      <c r="H52" s="39">
        <f>IF(B52="","",Settings!$B$15)</f>
        <v/>
      </c>
      <c r="I52" s="39">
        <f>IF(B52="","",G52*H52)</f>
        <v/>
      </c>
      <c r="J52" s="9">
        <f>IF(B52="","",IF(C52="","Other",IFERROR(VLOOKUP(C52,Settings!$E$5:$G$28,3,FALSE),"Other")))</f>
        <v/>
      </c>
      <c r="K52" s="9">
        <f>IF(B52="","",IF(COUNTIF(Jobs!$A$5:$A$44,B52)=0,"Unknown Job ID",IF(G52="","Missing miles",IF(A52="","Missing date",""))))</f>
        <v/>
      </c>
      <c r="L52" s="35" t="n"/>
    </row>
    <row r="53">
      <c r="A53" s="40" t="n"/>
      <c r="B53" s="35" t="n"/>
      <c r="C53" s="35" t="n"/>
      <c r="D53" s="35" t="n"/>
      <c r="E53" s="35" t="n"/>
      <c r="F53" s="35" t="n"/>
      <c r="G53" s="61" t="n"/>
      <c r="H53" s="39">
        <f>IF(B53="","",Settings!$B$15)</f>
        <v/>
      </c>
      <c r="I53" s="39">
        <f>IF(B53="","",G53*H53)</f>
        <v/>
      </c>
      <c r="J53" s="9">
        <f>IF(B53="","",IF(C53="","Other",IFERROR(VLOOKUP(C53,Settings!$E$5:$G$28,3,FALSE),"Other")))</f>
        <v/>
      </c>
      <c r="K53" s="9">
        <f>IF(B53="","",IF(COUNTIF(Jobs!$A$5:$A$44,B53)=0,"Unknown Job ID",IF(G53="","Missing miles",IF(A53="","Missing date",""))))</f>
        <v/>
      </c>
      <c r="L53" s="35" t="n"/>
    </row>
    <row r="54">
      <c r="A54" s="40" t="n"/>
      <c r="B54" s="35" t="n"/>
      <c r="C54" s="35" t="n"/>
      <c r="D54" s="35" t="n"/>
      <c r="E54" s="35" t="n"/>
      <c r="F54" s="35" t="n"/>
      <c r="G54" s="61" t="n"/>
      <c r="H54" s="39">
        <f>IF(B54="","",Settings!$B$15)</f>
        <v/>
      </c>
      <c r="I54" s="39">
        <f>IF(B54="","",G54*H54)</f>
        <v/>
      </c>
      <c r="J54" s="9">
        <f>IF(B54="","",IF(C54="","Other",IFERROR(VLOOKUP(C54,Settings!$E$5:$G$28,3,FALSE),"Other")))</f>
        <v/>
      </c>
      <c r="K54" s="9">
        <f>IF(B54="","",IF(COUNTIF(Jobs!$A$5:$A$44,B54)=0,"Unknown Job ID",IF(G54="","Missing miles",IF(A54="","Missing date",""))))</f>
        <v/>
      </c>
      <c r="L54" s="35" t="n"/>
    </row>
    <row r="55">
      <c r="A55" s="40" t="n"/>
      <c r="B55" s="35" t="n"/>
      <c r="C55" s="35" t="n"/>
      <c r="D55" s="35" t="n"/>
      <c r="E55" s="35" t="n"/>
      <c r="F55" s="35" t="n"/>
      <c r="G55" s="61" t="n"/>
      <c r="H55" s="39">
        <f>IF(B55="","",Settings!$B$15)</f>
        <v/>
      </c>
      <c r="I55" s="39">
        <f>IF(B55="","",G55*H55)</f>
        <v/>
      </c>
      <c r="J55" s="9">
        <f>IF(B55="","",IF(C55="","Other",IFERROR(VLOOKUP(C55,Settings!$E$5:$G$28,3,FALSE),"Other")))</f>
        <v/>
      </c>
      <c r="K55" s="9">
        <f>IF(B55="","",IF(COUNTIF(Jobs!$A$5:$A$44,B55)=0,"Unknown Job ID",IF(G55="","Missing miles",IF(A55="","Missing date",""))))</f>
        <v/>
      </c>
      <c r="L55" s="35" t="n"/>
    </row>
    <row r="56">
      <c r="A56" s="40" t="n"/>
      <c r="B56" s="35" t="n"/>
      <c r="C56" s="35" t="n"/>
      <c r="D56" s="35" t="n"/>
      <c r="E56" s="35" t="n"/>
      <c r="F56" s="35" t="n"/>
      <c r="G56" s="61" t="n"/>
      <c r="H56" s="39">
        <f>IF(B56="","",Settings!$B$15)</f>
        <v/>
      </c>
      <c r="I56" s="39">
        <f>IF(B56="","",G56*H56)</f>
        <v/>
      </c>
      <c r="J56" s="9">
        <f>IF(B56="","",IF(C56="","Other",IFERROR(VLOOKUP(C56,Settings!$E$5:$G$28,3,FALSE),"Other")))</f>
        <v/>
      </c>
      <c r="K56" s="9">
        <f>IF(B56="","",IF(COUNTIF(Jobs!$A$5:$A$44,B56)=0,"Unknown Job ID",IF(G56="","Missing miles",IF(A56="","Missing date",""))))</f>
        <v/>
      </c>
      <c r="L56" s="35" t="n"/>
    </row>
    <row r="57">
      <c r="A57" s="40" t="n"/>
      <c r="B57" s="35" t="n"/>
      <c r="C57" s="35" t="n"/>
      <c r="D57" s="35" t="n"/>
      <c r="E57" s="35" t="n"/>
      <c r="F57" s="35" t="n"/>
      <c r="G57" s="61" t="n"/>
      <c r="H57" s="39">
        <f>IF(B57="","",Settings!$B$15)</f>
        <v/>
      </c>
      <c r="I57" s="39">
        <f>IF(B57="","",G57*H57)</f>
        <v/>
      </c>
      <c r="J57" s="9">
        <f>IF(B57="","",IF(C57="","Other",IFERROR(VLOOKUP(C57,Settings!$E$5:$G$28,3,FALSE),"Other")))</f>
        <v/>
      </c>
      <c r="K57" s="9">
        <f>IF(B57="","",IF(COUNTIF(Jobs!$A$5:$A$44,B57)=0,"Unknown Job ID",IF(G57="","Missing miles",IF(A57="","Missing date",""))))</f>
        <v/>
      </c>
      <c r="L57" s="35" t="n"/>
    </row>
    <row r="58">
      <c r="A58" s="40" t="n"/>
      <c r="B58" s="35" t="n"/>
      <c r="C58" s="35" t="n"/>
      <c r="D58" s="35" t="n"/>
      <c r="E58" s="35" t="n"/>
      <c r="F58" s="35" t="n"/>
      <c r="G58" s="61" t="n"/>
      <c r="H58" s="39">
        <f>IF(B58="","",Settings!$B$15)</f>
        <v/>
      </c>
      <c r="I58" s="39">
        <f>IF(B58="","",G58*H58)</f>
        <v/>
      </c>
      <c r="J58" s="9">
        <f>IF(B58="","",IF(C58="","Other",IFERROR(VLOOKUP(C58,Settings!$E$5:$G$28,3,FALSE),"Other")))</f>
        <v/>
      </c>
      <c r="K58" s="9">
        <f>IF(B58="","",IF(COUNTIF(Jobs!$A$5:$A$44,B58)=0,"Unknown Job ID",IF(G58="","Missing miles",IF(A58="","Missing date",""))))</f>
        <v/>
      </c>
      <c r="L58" s="35" t="n"/>
    </row>
    <row r="59">
      <c r="A59" s="40" t="n"/>
      <c r="B59" s="35" t="n"/>
      <c r="C59" s="35" t="n"/>
      <c r="D59" s="35" t="n"/>
      <c r="E59" s="35" t="n"/>
      <c r="F59" s="35" t="n"/>
      <c r="G59" s="61" t="n"/>
      <c r="H59" s="39">
        <f>IF(B59="","",Settings!$B$15)</f>
        <v/>
      </c>
      <c r="I59" s="39">
        <f>IF(B59="","",G59*H59)</f>
        <v/>
      </c>
      <c r="J59" s="9">
        <f>IF(B59="","",IF(C59="","Other",IFERROR(VLOOKUP(C59,Settings!$E$5:$G$28,3,FALSE),"Other")))</f>
        <v/>
      </c>
      <c r="K59" s="9">
        <f>IF(B59="","",IF(COUNTIF(Jobs!$A$5:$A$44,B59)=0,"Unknown Job ID",IF(G59="","Missing miles",IF(A59="","Missing date",""))))</f>
        <v/>
      </c>
      <c r="L59" s="35" t="n"/>
    </row>
    <row r="60">
      <c r="A60" s="40" t="n"/>
      <c r="B60" s="35" t="n"/>
      <c r="C60" s="35" t="n"/>
      <c r="D60" s="35" t="n"/>
      <c r="E60" s="35" t="n"/>
      <c r="F60" s="35" t="n"/>
      <c r="G60" s="61" t="n"/>
      <c r="H60" s="39">
        <f>IF(B60="","",Settings!$B$15)</f>
        <v/>
      </c>
      <c r="I60" s="39">
        <f>IF(B60="","",G60*H60)</f>
        <v/>
      </c>
      <c r="J60" s="9">
        <f>IF(B60="","",IF(C60="","Other",IFERROR(VLOOKUP(C60,Settings!$E$5:$G$28,3,FALSE),"Other")))</f>
        <v/>
      </c>
      <c r="K60" s="9">
        <f>IF(B60="","",IF(COUNTIF(Jobs!$A$5:$A$44,B60)=0,"Unknown Job ID",IF(G60="","Missing miles",IF(A60="","Missing date",""))))</f>
        <v/>
      </c>
      <c r="L60" s="35" t="n"/>
    </row>
    <row r="61">
      <c r="A61" s="40" t="n"/>
      <c r="B61" s="35" t="n"/>
      <c r="C61" s="35" t="n"/>
      <c r="D61" s="35" t="n"/>
      <c r="E61" s="35" t="n"/>
      <c r="F61" s="35" t="n"/>
      <c r="G61" s="61" t="n"/>
      <c r="H61" s="39">
        <f>IF(B61="","",Settings!$B$15)</f>
        <v/>
      </c>
      <c r="I61" s="39">
        <f>IF(B61="","",G61*H61)</f>
        <v/>
      </c>
      <c r="J61" s="9">
        <f>IF(B61="","",IF(C61="","Other",IFERROR(VLOOKUP(C61,Settings!$E$5:$G$28,3,FALSE),"Other")))</f>
        <v/>
      </c>
      <c r="K61" s="9">
        <f>IF(B61="","",IF(COUNTIF(Jobs!$A$5:$A$44,B61)=0,"Unknown Job ID",IF(G61="","Missing miles",IF(A61="","Missing date",""))))</f>
        <v/>
      </c>
      <c r="L61" s="35" t="n"/>
    </row>
    <row r="62">
      <c r="A62" s="40" t="n"/>
      <c r="B62" s="35" t="n"/>
      <c r="C62" s="35" t="n"/>
      <c r="D62" s="35" t="n"/>
      <c r="E62" s="35" t="n"/>
      <c r="F62" s="35" t="n"/>
      <c r="G62" s="61" t="n"/>
      <c r="H62" s="39">
        <f>IF(B62="","",Settings!$B$15)</f>
        <v/>
      </c>
      <c r="I62" s="39">
        <f>IF(B62="","",G62*H62)</f>
        <v/>
      </c>
      <c r="J62" s="9">
        <f>IF(B62="","",IF(C62="","Other",IFERROR(VLOOKUP(C62,Settings!$E$5:$G$28,3,FALSE),"Other")))</f>
        <v/>
      </c>
      <c r="K62" s="9">
        <f>IF(B62="","",IF(COUNTIF(Jobs!$A$5:$A$44,B62)=0,"Unknown Job ID",IF(G62="","Missing miles",IF(A62="","Missing date",""))))</f>
        <v/>
      </c>
      <c r="L62" s="35" t="n"/>
    </row>
    <row r="63">
      <c r="A63" s="40" t="n"/>
      <c r="B63" s="35" t="n"/>
      <c r="C63" s="35" t="n"/>
      <c r="D63" s="35" t="n"/>
      <c r="E63" s="35" t="n"/>
      <c r="F63" s="35" t="n"/>
      <c r="G63" s="61" t="n"/>
      <c r="H63" s="39">
        <f>IF(B63="","",Settings!$B$15)</f>
        <v/>
      </c>
      <c r="I63" s="39">
        <f>IF(B63="","",G63*H63)</f>
        <v/>
      </c>
      <c r="J63" s="9">
        <f>IF(B63="","",IF(C63="","Other",IFERROR(VLOOKUP(C63,Settings!$E$5:$G$28,3,FALSE),"Other")))</f>
        <v/>
      </c>
      <c r="K63" s="9">
        <f>IF(B63="","",IF(COUNTIF(Jobs!$A$5:$A$44,B63)=0,"Unknown Job ID",IF(G63="","Missing miles",IF(A63="","Missing date",""))))</f>
        <v/>
      </c>
      <c r="L63" s="35" t="n"/>
    </row>
    <row r="64">
      <c r="A64" s="40" t="n"/>
      <c r="B64" s="35" t="n"/>
      <c r="C64" s="35" t="n"/>
      <c r="D64" s="35" t="n"/>
      <c r="E64" s="35" t="n"/>
      <c r="F64" s="35" t="n"/>
      <c r="G64" s="61" t="n"/>
      <c r="H64" s="39">
        <f>IF(B64="","",Settings!$B$15)</f>
        <v/>
      </c>
      <c r="I64" s="39">
        <f>IF(B64="","",G64*H64)</f>
        <v/>
      </c>
      <c r="J64" s="9">
        <f>IF(B64="","",IF(C64="","Other",IFERROR(VLOOKUP(C64,Settings!$E$5:$G$28,3,FALSE),"Other")))</f>
        <v/>
      </c>
      <c r="K64" s="9">
        <f>IF(B64="","",IF(COUNTIF(Jobs!$A$5:$A$44,B64)=0,"Unknown Job ID",IF(G64="","Missing miles",IF(A64="","Missing date",""))))</f>
        <v/>
      </c>
      <c r="L64" s="35" t="n"/>
    </row>
    <row r="65">
      <c r="A65" s="40" t="n"/>
      <c r="B65" s="35" t="n"/>
      <c r="C65" s="35" t="n"/>
      <c r="D65" s="35" t="n"/>
      <c r="E65" s="35" t="n"/>
      <c r="F65" s="35" t="n"/>
      <c r="G65" s="61" t="n"/>
      <c r="H65" s="39">
        <f>IF(B65="","",Settings!$B$15)</f>
        <v/>
      </c>
      <c r="I65" s="39">
        <f>IF(B65="","",G65*H65)</f>
        <v/>
      </c>
      <c r="J65" s="9">
        <f>IF(B65="","",IF(C65="","Other",IFERROR(VLOOKUP(C65,Settings!$E$5:$G$28,3,FALSE),"Other")))</f>
        <v/>
      </c>
      <c r="K65" s="9">
        <f>IF(B65="","",IF(COUNTIF(Jobs!$A$5:$A$44,B65)=0,"Unknown Job ID",IF(G65="","Missing miles",IF(A65="","Missing date",""))))</f>
        <v/>
      </c>
      <c r="L65" s="35" t="n"/>
    </row>
    <row r="66">
      <c r="A66" s="40" t="n"/>
      <c r="B66" s="35" t="n"/>
      <c r="C66" s="35" t="n"/>
      <c r="D66" s="35" t="n"/>
      <c r="E66" s="35" t="n"/>
      <c r="F66" s="35" t="n"/>
      <c r="G66" s="61" t="n"/>
      <c r="H66" s="39">
        <f>IF(B66="","",Settings!$B$15)</f>
        <v/>
      </c>
      <c r="I66" s="39">
        <f>IF(B66="","",G66*H66)</f>
        <v/>
      </c>
      <c r="J66" s="9">
        <f>IF(B66="","",IF(C66="","Other",IFERROR(VLOOKUP(C66,Settings!$E$5:$G$28,3,FALSE),"Other")))</f>
        <v/>
      </c>
      <c r="K66" s="9">
        <f>IF(B66="","",IF(COUNTIF(Jobs!$A$5:$A$44,B66)=0,"Unknown Job ID",IF(G66="","Missing miles",IF(A66="","Missing date",""))))</f>
        <v/>
      </c>
      <c r="L66" s="35" t="n"/>
    </row>
    <row r="67">
      <c r="A67" s="40" t="n"/>
      <c r="B67" s="35" t="n"/>
      <c r="C67" s="35" t="n"/>
      <c r="D67" s="35" t="n"/>
      <c r="E67" s="35" t="n"/>
      <c r="F67" s="35" t="n"/>
      <c r="G67" s="61" t="n"/>
      <c r="H67" s="39">
        <f>IF(B67="","",Settings!$B$15)</f>
        <v/>
      </c>
      <c r="I67" s="39">
        <f>IF(B67="","",G67*H67)</f>
        <v/>
      </c>
      <c r="J67" s="9">
        <f>IF(B67="","",IF(C67="","Other",IFERROR(VLOOKUP(C67,Settings!$E$5:$G$28,3,FALSE),"Other")))</f>
        <v/>
      </c>
      <c r="K67" s="9">
        <f>IF(B67="","",IF(COUNTIF(Jobs!$A$5:$A$44,B67)=0,"Unknown Job ID",IF(G67="","Missing miles",IF(A67="","Missing date",""))))</f>
        <v/>
      </c>
      <c r="L67" s="35" t="n"/>
    </row>
    <row r="68">
      <c r="A68" s="40" t="n"/>
      <c r="B68" s="35" t="n"/>
      <c r="C68" s="35" t="n"/>
      <c r="D68" s="35" t="n"/>
      <c r="E68" s="35" t="n"/>
      <c r="F68" s="35" t="n"/>
      <c r="G68" s="61" t="n"/>
      <c r="H68" s="39">
        <f>IF(B68="","",Settings!$B$15)</f>
        <v/>
      </c>
      <c r="I68" s="39">
        <f>IF(B68="","",G68*H68)</f>
        <v/>
      </c>
      <c r="J68" s="9">
        <f>IF(B68="","",IF(C68="","Other",IFERROR(VLOOKUP(C68,Settings!$E$5:$G$28,3,FALSE),"Other")))</f>
        <v/>
      </c>
      <c r="K68" s="9">
        <f>IF(B68="","",IF(COUNTIF(Jobs!$A$5:$A$44,B68)=0,"Unknown Job ID",IF(G68="","Missing miles",IF(A68="","Missing date",""))))</f>
        <v/>
      </c>
      <c r="L68" s="35" t="n"/>
    </row>
    <row r="69">
      <c r="A69" s="40" t="n"/>
      <c r="B69" s="35" t="n"/>
      <c r="C69" s="35" t="n"/>
      <c r="D69" s="35" t="n"/>
      <c r="E69" s="35" t="n"/>
      <c r="F69" s="35" t="n"/>
      <c r="G69" s="61" t="n"/>
      <c r="H69" s="39">
        <f>IF(B69="","",Settings!$B$15)</f>
        <v/>
      </c>
      <c r="I69" s="39">
        <f>IF(B69="","",G69*H69)</f>
        <v/>
      </c>
      <c r="J69" s="9">
        <f>IF(B69="","",IF(C69="","Other",IFERROR(VLOOKUP(C69,Settings!$E$5:$G$28,3,FALSE),"Other")))</f>
        <v/>
      </c>
      <c r="K69" s="9">
        <f>IF(B69="","",IF(COUNTIF(Jobs!$A$5:$A$44,B69)=0,"Unknown Job ID",IF(G69="","Missing miles",IF(A69="","Missing date",""))))</f>
        <v/>
      </c>
      <c r="L69" s="35" t="n"/>
    </row>
    <row r="70">
      <c r="A70" s="40" t="n"/>
      <c r="B70" s="35" t="n"/>
      <c r="C70" s="35" t="n"/>
      <c r="D70" s="35" t="n"/>
      <c r="E70" s="35" t="n"/>
      <c r="F70" s="35" t="n"/>
      <c r="G70" s="61" t="n"/>
      <c r="H70" s="39">
        <f>IF(B70="","",Settings!$B$15)</f>
        <v/>
      </c>
      <c r="I70" s="39">
        <f>IF(B70="","",G70*H70)</f>
        <v/>
      </c>
      <c r="J70" s="9">
        <f>IF(B70="","",IF(C70="","Other",IFERROR(VLOOKUP(C70,Settings!$E$5:$G$28,3,FALSE),"Other")))</f>
        <v/>
      </c>
      <c r="K70" s="9">
        <f>IF(B70="","",IF(COUNTIF(Jobs!$A$5:$A$44,B70)=0,"Unknown Job ID",IF(G70="","Missing miles",IF(A70="","Missing date",""))))</f>
        <v/>
      </c>
      <c r="L70" s="35" t="n"/>
    </row>
    <row r="71">
      <c r="A71" s="40" t="n"/>
      <c r="B71" s="35" t="n"/>
      <c r="C71" s="35" t="n"/>
      <c r="D71" s="35" t="n"/>
      <c r="E71" s="35" t="n"/>
      <c r="F71" s="35" t="n"/>
      <c r="G71" s="61" t="n"/>
      <c r="H71" s="39">
        <f>IF(B71="","",Settings!$B$15)</f>
        <v/>
      </c>
      <c r="I71" s="39">
        <f>IF(B71="","",G71*H71)</f>
        <v/>
      </c>
      <c r="J71" s="9">
        <f>IF(B71="","",IF(C71="","Other",IFERROR(VLOOKUP(C71,Settings!$E$5:$G$28,3,FALSE),"Other")))</f>
        <v/>
      </c>
      <c r="K71" s="9">
        <f>IF(B71="","",IF(COUNTIF(Jobs!$A$5:$A$44,B71)=0,"Unknown Job ID",IF(G71="","Missing miles",IF(A71="","Missing date",""))))</f>
        <v/>
      </c>
      <c r="L71" s="35" t="n"/>
    </row>
    <row r="72">
      <c r="A72" s="40" t="n"/>
      <c r="B72" s="35" t="n"/>
      <c r="C72" s="35" t="n"/>
      <c r="D72" s="35" t="n"/>
      <c r="E72" s="35" t="n"/>
      <c r="F72" s="35" t="n"/>
      <c r="G72" s="61" t="n"/>
      <c r="H72" s="39">
        <f>IF(B72="","",Settings!$B$15)</f>
        <v/>
      </c>
      <c r="I72" s="39">
        <f>IF(B72="","",G72*H72)</f>
        <v/>
      </c>
      <c r="J72" s="9">
        <f>IF(B72="","",IF(C72="","Other",IFERROR(VLOOKUP(C72,Settings!$E$5:$G$28,3,FALSE),"Other")))</f>
        <v/>
      </c>
      <c r="K72" s="9">
        <f>IF(B72="","",IF(COUNTIF(Jobs!$A$5:$A$44,B72)=0,"Unknown Job ID",IF(G72="","Missing miles",IF(A72="","Missing date",""))))</f>
        <v/>
      </c>
      <c r="L72" s="35" t="n"/>
    </row>
    <row r="73">
      <c r="A73" s="40" t="n"/>
      <c r="B73" s="35" t="n"/>
      <c r="C73" s="35" t="n"/>
      <c r="D73" s="35" t="n"/>
      <c r="E73" s="35" t="n"/>
      <c r="F73" s="35" t="n"/>
      <c r="G73" s="61" t="n"/>
      <c r="H73" s="39">
        <f>IF(B73="","",Settings!$B$15)</f>
        <v/>
      </c>
      <c r="I73" s="39">
        <f>IF(B73="","",G73*H73)</f>
        <v/>
      </c>
      <c r="J73" s="9">
        <f>IF(B73="","",IF(C73="","Other",IFERROR(VLOOKUP(C73,Settings!$E$5:$G$28,3,FALSE),"Other")))</f>
        <v/>
      </c>
      <c r="K73" s="9">
        <f>IF(B73="","",IF(COUNTIF(Jobs!$A$5:$A$44,B73)=0,"Unknown Job ID",IF(G73="","Missing miles",IF(A73="","Missing date",""))))</f>
        <v/>
      </c>
      <c r="L73" s="35" t="n"/>
    </row>
    <row r="74">
      <c r="A74" s="40" t="n"/>
      <c r="B74" s="35" t="n"/>
      <c r="C74" s="35" t="n"/>
      <c r="D74" s="35" t="n"/>
      <c r="E74" s="35" t="n"/>
      <c r="F74" s="35" t="n"/>
      <c r="G74" s="61" t="n"/>
      <c r="H74" s="39">
        <f>IF(B74="","",Settings!$B$15)</f>
        <v/>
      </c>
      <c r="I74" s="39">
        <f>IF(B74="","",G74*H74)</f>
        <v/>
      </c>
      <c r="J74" s="9">
        <f>IF(B74="","",IF(C74="","Other",IFERROR(VLOOKUP(C74,Settings!$E$5:$G$28,3,FALSE),"Other")))</f>
        <v/>
      </c>
      <c r="K74" s="9">
        <f>IF(B74="","",IF(COUNTIF(Jobs!$A$5:$A$44,B74)=0,"Unknown Job ID",IF(G74="","Missing miles",IF(A74="","Missing date",""))))</f>
        <v/>
      </c>
      <c r="L74" s="35" t="n"/>
    </row>
    <row r="75">
      <c r="A75" s="40" t="n"/>
      <c r="B75" s="35" t="n"/>
      <c r="C75" s="35" t="n"/>
      <c r="D75" s="35" t="n"/>
      <c r="E75" s="35" t="n"/>
      <c r="F75" s="35" t="n"/>
      <c r="G75" s="61" t="n"/>
      <c r="H75" s="39">
        <f>IF(B75="","",Settings!$B$15)</f>
        <v/>
      </c>
      <c r="I75" s="39">
        <f>IF(B75="","",G75*H75)</f>
        <v/>
      </c>
      <c r="J75" s="9">
        <f>IF(B75="","",IF(C75="","Other",IFERROR(VLOOKUP(C75,Settings!$E$5:$G$28,3,FALSE),"Other")))</f>
        <v/>
      </c>
      <c r="K75" s="9">
        <f>IF(B75="","",IF(COUNTIF(Jobs!$A$5:$A$44,B75)=0,"Unknown Job ID",IF(G75="","Missing miles",IF(A75="","Missing date",""))))</f>
        <v/>
      </c>
      <c r="L75" s="35" t="n"/>
    </row>
    <row r="76">
      <c r="A76" s="40" t="n"/>
      <c r="B76" s="35" t="n"/>
      <c r="C76" s="35" t="n"/>
      <c r="D76" s="35" t="n"/>
      <c r="E76" s="35" t="n"/>
      <c r="F76" s="35" t="n"/>
      <c r="G76" s="61" t="n"/>
      <c r="H76" s="39">
        <f>IF(B76="","",Settings!$B$15)</f>
        <v/>
      </c>
      <c r="I76" s="39">
        <f>IF(B76="","",G76*H76)</f>
        <v/>
      </c>
      <c r="J76" s="9">
        <f>IF(B76="","",IF(C76="","Other",IFERROR(VLOOKUP(C76,Settings!$E$5:$G$28,3,FALSE),"Other")))</f>
        <v/>
      </c>
      <c r="K76" s="9">
        <f>IF(B76="","",IF(COUNTIF(Jobs!$A$5:$A$44,B76)=0,"Unknown Job ID",IF(G76="","Missing miles",IF(A76="","Missing date",""))))</f>
        <v/>
      </c>
      <c r="L76" s="35" t="n"/>
    </row>
    <row r="77">
      <c r="A77" s="40" t="n"/>
      <c r="B77" s="35" t="n"/>
      <c r="C77" s="35" t="n"/>
      <c r="D77" s="35" t="n"/>
      <c r="E77" s="35" t="n"/>
      <c r="F77" s="35" t="n"/>
      <c r="G77" s="61" t="n"/>
      <c r="H77" s="39">
        <f>IF(B77="","",Settings!$B$15)</f>
        <v/>
      </c>
      <c r="I77" s="39">
        <f>IF(B77="","",G77*H77)</f>
        <v/>
      </c>
      <c r="J77" s="9">
        <f>IF(B77="","",IF(C77="","Other",IFERROR(VLOOKUP(C77,Settings!$E$5:$G$28,3,FALSE),"Other")))</f>
        <v/>
      </c>
      <c r="K77" s="9">
        <f>IF(B77="","",IF(COUNTIF(Jobs!$A$5:$A$44,B77)=0,"Unknown Job ID",IF(G77="","Missing miles",IF(A77="","Missing date",""))))</f>
        <v/>
      </c>
      <c r="L77" s="35" t="n"/>
    </row>
    <row r="78">
      <c r="A78" s="40" t="n"/>
      <c r="B78" s="35" t="n"/>
      <c r="C78" s="35" t="n"/>
      <c r="D78" s="35" t="n"/>
      <c r="E78" s="35" t="n"/>
      <c r="F78" s="35" t="n"/>
      <c r="G78" s="61" t="n"/>
      <c r="H78" s="39">
        <f>IF(B78="","",Settings!$B$15)</f>
        <v/>
      </c>
      <c r="I78" s="39">
        <f>IF(B78="","",G78*H78)</f>
        <v/>
      </c>
      <c r="J78" s="9">
        <f>IF(B78="","",IF(C78="","Other",IFERROR(VLOOKUP(C78,Settings!$E$5:$G$28,3,FALSE),"Other")))</f>
        <v/>
      </c>
      <c r="K78" s="9">
        <f>IF(B78="","",IF(COUNTIF(Jobs!$A$5:$A$44,B78)=0,"Unknown Job ID",IF(G78="","Missing miles",IF(A78="","Missing date",""))))</f>
        <v/>
      </c>
      <c r="L78" s="35" t="n"/>
    </row>
    <row r="79">
      <c r="A79" s="40" t="n"/>
      <c r="B79" s="35" t="n"/>
      <c r="C79" s="35" t="n"/>
      <c r="D79" s="35" t="n"/>
      <c r="E79" s="35" t="n"/>
      <c r="F79" s="35" t="n"/>
      <c r="G79" s="61" t="n"/>
      <c r="H79" s="39">
        <f>IF(B79="","",Settings!$B$15)</f>
        <v/>
      </c>
      <c r="I79" s="39">
        <f>IF(B79="","",G79*H79)</f>
        <v/>
      </c>
      <c r="J79" s="9">
        <f>IF(B79="","",IF(C79="","Other",IFERROR(VLOOKUP(C79,Settings!$E$5:$G$28,3,FALSE),"Other")))</f>
        <v/>
      </c>
      <c r="K79" s="9">
        <f>IF(B79="","",IF(COUNTIF(Jobs!$A$5:$A$44,B79)=0,"Unknown Job ID",IF(G79="","Missing miles",IF(A79="","Missing date",""))))</f>
        <v/>
      </c>
      <c r="L79" s="35" t="n"/>
    </row>
    <row r="80">
      <c r="A80" s="40" t="n"/>
      <c r="B80" s="35" t="n"/>
      <c r="C80" s="35" t="n"/>
      <c r="D80" s="35" t="n"/>
      <c r="E80" s="35" t="n"/>
      <c r="F80" s="35" t="n"/>
      <c r="G80" s="61" t="n"/>
      <c r="H80" s="39">
        <f>IF(B80="","",Settings!$B$15)</f>
        <v/>
      </c>
      <c r="I80" s="39">
        <f>IF(B80="","",G80*H80)</f>
        <v/>
      </c>
      <c r="J80" s="9">
        <f>IF(B80="","",IF(C80="","Other",IFERROR(VLOOKUP(C80,Settings!$E$5:$G$28,3,FALSE),"Other")))</f>
        <v/>
      </c>
      <c r="K80" s="9">
        <f>IF(B80="","",IF(COUNTIF(Jobs!$A$5:$A$44,B80)=0,"Unknown Job ID",IF(G80="","Missing miles",IF(A80="","Missing date",""))))</f>
        <v/>
      </c>
      <c r="L80" s="35" t="n"/>
    </row>
    <row r="81">
      <c r="A81" s="40" t="n"/>
      <c r="B81" s="35" t="n"/>
      <c r="C81" s="35" t="n"/>
      <c r="D81" s="35" t="n"/>
      <c r="E81" s="35" t="n"/>
      <c r="F81" s="35" t="n"/>
      <c r="G81" s="61" t="n"/>
      <c r="H81" s="39">
        <f>IF(B81="","",Settings!$B$15)</f>
        <v/>
      </c>
      <c r="I81" s="39">
        <f>IF(B81="","",G81*H81)</f>
        <v/>
      </c>
      <c r="J81" s="9">
        <f>IF(B81="","",IF(C81="","Other",IFERROR(VLOOKUP(C81,Settings!$E$5:$G$28,3,FALSE),"Other")))</f>
        <v/>
      </c>
      <c r="K81" s="9">
        <f>IF(B81="","",IF(COUNTIF(Jobs!$A$5:$A$44,B81)=0,"Unknown Job ID",IF(G81="","Missing miles",IF(A81="","Missing date",""))))</f>
        <v/>
      </c>
      <c r="L81" s="35" t="n"/>
    </row>
    <row r="82">
      <c r="A82" s="40" t="n"/>
      <c r="B82" s="35" t="n"/>
      <c r="C82" s="35" t="n"/>
      <c r="D82" s="35" t="n"/>
      <c r="E82" s="35" t="n"/>
      <c r="F82" s="35" t="n"/>
      <c r="G82" s="61" t="n"/>
      <c r="H82" s="39">
        <f>IF(B82="","",Settings!$B$15)</f>
        <v/>
      </c>
      <c r="I82" s="39">
        <f>IF(B82="","",G82*H82)</f>
        <v/>
      </c>
      <c r="J82" s="9">
        <f>IF(B82="","",IF(C82="","Other",IFERROR(VLOOKUP(C82,Settings!$E$5:$G$28,3,FALSE),"Other")))</f>
        <v/>
      </c>
      <c r="K82" s="9">
        <f>IF(B82="","",IF(COUNTIF(Jobs!$A$5:$A$44,B82)=0,"Unknown Job ID",IF(G82="","Missing miles",IF(A82="","Missing date",""))))</f>
        <v/>
      </c>
      <c r="L82" s="35" t="n"/>
    </row>
    <row r="83">
      <c r="A83" s="40" t="n"/>
      <c r="B83" s="35" t="n"/>
      <c r="C83" s="35" t="n"/>
      <c r="D83" s="35" t="n"/>
      <c r="E83" s="35" t="n"/>
      <c r="F83" s="35" t="n"/>
      <c r="G83" s="61" t="n"/>
      <c r="H83" s="39">
        <f>IF(B83="","",Settings!$B$15)</f>
        <v/>
      </c>
      <c r="I83" s="39">
        <f>IF(B83="","",G83*H83)</f>
        <v/>
      </c>
      <c r="J83" s="9">
        <f>IF(B83="","",IF(C83="","Other",IFERROR(VLOOKUP(C83,Settings!$E$5:$G$28,3,FALSE),"Other")))</f>
        <v/>
      </c>
      <c r="K83" s="9">
        <f>IF(B83="","",IF(COUNTIF(Jobs!$A$5:$A$44,B83)=0,"Unknown Job ID",IF(G83="","Missing miles",IF(A83="","Missing date",""))))</f>
        <v/>
      </c>
      <c r="L83" s="35" t="n"/>
    </row>
    <row r="84">
      <c r="A84" s="40" t="n"/>
      <c r="B84" s="35" t="n"/>
      <c r="C84" s="35" t="n"/>
      <c r="D84" s="35" t="n"/>
      <c r="E84" s="35" t="n"/>
      <c r="F84" s="35" t="n"/>
      <c r="G84" s="61" t="n"/>
      <c r="H84" s="39">
        <f>IF(B84="","",Settings!$B$15)</f>
        <v/>
      </c>
      <c r="I84" s="39">
        <f>IF(B84="","",G84*H84)</f>
        <v/>
      </c>
      <c r="J84" s="9">
        <f>IF(B84="","",IF(C84="","Other",IFERROR(VLOOKUP(C84,Settings!$E$5:$G$28,3,FALSE),"Other")))</f>
        <v/>
      </c>
      <c r="K84" s="9">
        <f>IF(B84="","",IF(COUNTIF(Jobs!$A$5:$A$44,B84)=0,"Unknown Job ID",IF(G84="","Missing miles",IF(A84="","Missing date",""))))</f>
        <v/>
      </c>
      <c r="L84" s="35" t="n"/>
    </row>
    <row r="85">
      <c r="A85" s="40" t="n"/>
      <c r="B85" s="35" t="n"/>
      <c r="C85" s="35" t="n"/>
      <c r="D85" s="35" t="n"/>
      <c r="E85" s="35" t="n"/>
      <c r="F85" s="35" t="n"/>
      <c r="G85" s="61" t="n"/>
      <c r="H85" s="39">
        <f>IF(B85="","",Settings!$B$15)</f>
        <v/>
      </c>
      <c r="I85" s="39">
        <f>IF(B85="","",G85*H85)</f>
        <v/>
      </c>
      <c r="J85" s="9">
        <f>IF(B85="","",IF(C85="","Other",IFERROR(VLOOKUP(C85,Settings!$E$5:$G$28,3,FALSE),"Other")))</f>
        <v/>
      </c>
      <c r="K85" s="9">
        <f>IF(B85="","",IF(COUNTIF(Jobs!$A$5:$A$44,B85)=0,"Unknown Job ID",IF(G85="","Missing miles",IF(A85="","Missing date",""))))</f>
        <v/>
      </c>
      <c r="L85" s="35" t="n"/>
    </row>
    <row r="86">
      <c r="A86" s="40" t="n"/>
      <c r="B86" s="35" t="n"/>
      <c r="C86" s="35" t="n"/>
      <c r="D86" s="35" t="n"/>
      <c r="E86" s="35" t="n"/>
      <c r="F86" s="35" t="n"/>
      <c r="G86" s="61" t="n"/>
      <c r="H86" s="39">
        <f>IF(B86="","",Settings!$B$15)</f>
        <v/>
      </c>
      <c r="I86" s="39">
        <f>IF(B86="","",G86*H86)</f>
        <v/>
      </c>
      <c r="J86" s="9">
        <f>IF(B86="","",IF(C86="","Other",IFERROR(VLOOKUP(C86,Settings!$E$5:$G$28,3,FALSE),"Other")))</f>
        <v/>
      </c>
      <c r="K86" s="9">
        <f>IF(B86="","",IF(COUNTIF(Jobs!$A$5:$A$44,B86)=0,"Unknown Job ID",IF(G86="","Missing miles",IF(A86="","Missing date",""))))</f>
        <v/>
      </c>
      <c r="L86" s="35" t="n"/>
    </row>
    <row r="87">
      <c r="A87" s="40" t="n"/>
      <c r="B87" s="35" t="n"/>
      <c r="C87" s="35" t="n"/>
      <c r="D87" s="35" t="n"/>
      <c r="E87" s="35" t="n"/>
      <c r="F87" s="35" t="n"/>
      <c r="G87" s="61" t="n"/>
      <c r="H87" s="39">
        <f>IF(B87="","",Settings!$B$15)</f>
        <v/>
      </c>
      <c r="I87" s="39">
        <f>IF(B87="","",G87*H87)</f>
        <v/>
      </c>
      <c r="J87" s="9">
        <f>IF(B87="","",IF(C87="","Other",IFERROR(VLOOKUP(C87,Settings!$E$5:$G$28,3,FALSE),"Other")))</f>
        <v/>
      </c>
      <c r="K87" s="9">
        <f>IF(B87="","",IF(COUNTIF(Jobs!$A$5:$A$44,B87)=0,"Unknown Job ID",IF(G87="","Missing miles",IF(A87="","Missing date",""))))</f>
        <v/>
      </c>
      <c r="L87" s="35" t="n"/>
    </row>
    <row r="88">
      <c r="A88" s="40" t="n"/>
      <c r="B88" s="35" t="n"/>
      <c r="C88" s="35" t="n"/>
      <c r="D88" s="35" t="n"/>
      <c r="E88" s="35" t="n"/>
      <c r="F88" s="35" t="n"/>
      <c r="G88" s="61" t="n"/>
      <c r="H88" s="39">
        <f>IF(B88="","",Settings!$B$15)</f>
        <v/>
      </c>
      <c r="I88" s="39">
        <f>IF(B88="","",G88*H88)</f>
        <v/>
      </c>
      <c r="J88" s="9">
        <f>IF(B88="","",IF(C88="","Other",IFERROR(VLOOKUP(C88,Settings!$E$5:$G$28,3,FALSE),"Other")))</f>
        <v/>
      </c>
      <c r="K88" s="9">
        <f>IF(B88="","",IF(COUNTIF(Jobs!$A$5:$A$44,B88)=0,"Unknown Job ID",IF(G88="","Missing miles",IF(A88="","Missing date",""))))</f>
        <v/>
      </c>
      <c r="L88" s="35" t="n"/>
    </row>
    <row r="89">
      <c r="A89" s="40" t="n"/>
      <c r="B89" s="35" t="n"/>
      <c r="C89" s="35" t="n"/>
      <c r="D89" s="35" t="n"/>
      <c r="E89" s="35" t="n"/>
      <c r="F89" s="35" t="n"/>
      <c r="G89" s="61" t="n"/>
      <c r="H89" s="39">
        <f>IF(B89="","",Settings!$B$15)</f>
        <v/>
      </c>
      <c r="I89" s="39">
        <f>IF(B89="","",G89*H89)</f>
        <v/>
      </c>
      <c r="J89" s="9">
        <f>IF(B89="","",IF(C89="","Other",IFERROR(VLOOKUP(C89,Settings!$E$5:$G$28,3,FALSE),"Other")))</f>
        <v/>
      </c>
      <c r="K89" s="9">
        <f>IF(B89="","",IF(COUNTIF(Jobs!$A$5:$A$44,B89)=0,"Unknown Job ID",IF(G89="","Missing miles",IF(A89="","Missing date",""))))</f>
        <v/>
      </c>
      <c r="L89" s="35" t="n"/>
    </row>
    <row r="90">
      <c r="A90" s="40" t="n"/>
      <c r="B90" s="35" t="n"/>
      <c r="C90" s="35" t="n"/>
      <c r="D90" s="35" t="n"/>
      <c r="E90" s="35" t="n"/>
      <c r="F90" s="35" t="n"/>
      <c r="G90" s="61" t="n"/>
      <c r="H90" s="39">
        <f>IF(B90="","",Settings!$B$15)</f>
        <v/>
      </c>
      <c r="I90" s="39">
        <f>IF(B90="","",G90*H90)</f>
        <v/>
      </c>
      <c r="J90" s="9">
        <f>IF(B90="","",IF(C90="","Other",IFERROR(VLOOKUP(C90,Settings!$E$5:$G$28,3,FALSE),"Other")))</f>
        <v/>
      </c>
      <c r="K90" s="9">
        <f>IF(B90="","",IF(COUNTIF(Jobs!$A$5:$A$44,B90)=0,"Unknown Job ID",IF(G90="","Missing miles",IF(A90="","Missing date",""))))</f>
        <v/>
      </c>
      <c r="L90" s="35" t="n"/>
    </row>
    <row r="91">
      <c r="A91" s="40" t="n"/>
      <c r="B91" s="35" t="n"/>
      <c r="C91" s="35" t="n"/>
      <c r="D91" s="35" t="n"/>
      <c r="E91" s="35" t="n"/>
      <c r="F91" s="35" t="n"/>
      <c r="G91" s="61" t="n"/>
      <c r="H91" s="39">
        <f>IF(B91="","",Settings!$B$15)</f>
        <v/>
      </c>
      <c r="I91" s="39">
        <f>IF(B91="","",G91*H91)</f>
        <v/>
      </c>
      <c r="J91" s="9">
        <f>IF(B91="","",IF(C91="","Other",IFERROR(VLOOKUP(C91,Settings!$E$5:$G$28,3,FALSE),"Other")))</f>
        <v/>
      </c>
      <c r="K91" s="9">
        <f>IF(B91="","",IF(COUNTIF(Jobs!$A$5:$A$44,B91)=0,"Unknown Job ID",IF(G91="","Missing miles",IF(A91="","Missing date",""))))</f>
        <v/>
      </c>
      <c r="L91" s="35" t="n"/>
    </row>
    <row r="92">
      <c r="A92" s="40" t="n"/>
      <c r="B92" s="35" t="n"/>
      <c r="C92" s="35" t="n"/>
      <c r="D92" s="35" t="n"/>
      <c r="E92" s="35" t="n"/>
      <c r="F92" s="35" t="n"/>
      <c r="G92" s="61" t="n"/>
      <c r="H92" s="39">
        <f>IF(B92="","",Settings!$B$15)</f>
        <v/>
      </c>
      <c r="I92" s="39">
        <f>IF(B92="","",G92*H92)</f>
        <v/>
      </c>
      <c r="J92" s="9">
        <f>IF(B92="","",IF(C92="","Other",IFERROR(VLOOKUP(C92,Settings!$E$5:$G$28,3,FALSE),"Other")))</f>
        <v/>
      </c>
      <c r="K92" s="9">
        <f>IF(B92="","",IF(COUNTIF(Jobs!$A$5:$A$44,B92)=0,"Unknown Job ID",IF(G92="","Missing miles",IF(A92="","Missing date",""))))</f>
        <v/>
      </c>
      <c r="L92" s="35" t="n"/>
    </row>
    <row r="93">
      <c r="A93" s="40" t="n"/>
      <c r="B93" s="35" t="n"/>
      <c r="C93" s="35" t="n"/>
      <c r="D93" s="35" t="n"/>
      <c r="E93" s="35" t="n"/>
      <c r="F93" s="35" t="n"/>
      <c r="G93" s="61" t="n"/>
      <c r="H93" s="39">
        <f>IF(B93="","",Settings!$B$15)</f>
        <v/>
      </c>
      <c r="I93" s="39">
        <f>IF(B93="","",G93*H93)</f>
        <v/>
      </c>
      <c r="J93" s="9">
        <f>IF(B93="","",IF(C93="","Other",IFERROR(VLOOKUP(C93,Settings!$E$5:$G$28,3,FALSE),"Other")))</f>
        <v/>
      </c>
      <c r="K93" s="9">
        <f>IF(B93="","",IF(COUNTIF(Jobs!$A$5:$A$44,B93)=0,"Unknown Job ID",IF(G93="","Missing miles",IF(A93="","Missing date",""))))</f>
        <v/>
      </c>
      <c r="L93" s="35" t="n"/>
    </row>
    <row r="94">
      <c r="A94" s="40" t="n"/>
      <c r="B94" s="35" t="n"/>
      <c r="C94" s="35" t="n"/>
      <c r="D94" s="35" t="n"/>
      <c r="E94" s="35" t="n"/>
      <c r="F94" s="35" t="n"/>
      <c r="G94" s="61" t="n"/>
      <c r="H94" s="39">
        <f>IF(B94="","",Settings!$B$15)</f>
        <v/>
      </c>
      <c r="I94" s="39">
        <f>IF(B94="","",G94*H94)</f>
        <v/>
      </c>
      <c r="J94" s="9">
        <f>IF(B94="","",IF(C94="","Other",IFERROR(VLOOKUP(C94,Settings!$E$5:$G$28,3,FALSE),"Other")))</f>
        <v/>
      </c>
      <c r="K94" s="9">
        <f>IF(B94="","",IF(COUNTIF(Jobs!$A$5:$A$44,B94)=0,"Unknown Job ID",IF(G94="","Missing miles",IF(A94="","Missing date",""))))</f>
        <v/>
      </c>
      <c r="L94" s="35" t="n"/>
    </row>
    <row r="95">
      <c r="A95" s="40" t="n"/>
      <c r="B95" s="35" t="n"/>
      <c r="C95" s="35" t="n"/>
      <c r="D95" s="35" t="n"/>
      <c r="E95" s="35" t="n"/>
      <c r="F95" s="35" t="n"/>
      <c r="G95" s="61" t="n"/>
      <c r="H95" s="39">
        <f>IF(B95="","",Settings!$B$15)</f>
        <v/>
      </c>
      <c r="I95" s="39">
        <f>IF(B95="","",G95*H95)</f>
        <v/>
      </c>
      <c r="J95" s="9">
        <f>IF(B95="","",IF(C95="","Other",IFERROR(VLOOKUP(C95,Settings!$E$5:$G$28,3,FALSE),"Other")))</f>
        <v/>
      </c>
      <c r="K95" s="9">
        <f>IF(B95="","",IF(COUNTIF(Jobs!$A$5:$A$44,B95)=0,"Unknown Job ID",IF(G95="","Missing miles",IF(A95="","Missing date",""))))</f>
        <v/>
      </c>
      <c r="L95" s="35" t="n"/>
    </row>
    <row r="96">
      <c r="A96" s="40" t="n"/>
      <c r="B96" s="35" t="n"/>
      <c r="C96" s="35" t="n"/>
      <c r="D96" s="35" t="n"/>
      <c r="E96" s="35" t="n"/>
      <c r="F96" s="35" t="n"/>
      <c r="G96" s="61" t="n"/>
      <c r="H96" s="39">
        <f>IF(B96="","",Settings!$B$15)</f>
        <v/>
      </c>
      <c r="I96" s="39">
        <f>IF(B96="","",G96*H96)</f>
        <v/>
      </c>
      <c r="J96" s="9">
        <f>IF(B96="","",IF(C96="","Other",IFERROR(VLOOKUP(C96,Settings!$E$5:$G$28,3,FALSE),"Other")))</f>
        <v/>
      </c>
      <c r="K96" s="9">
        <f>IF(B96="","",IF(COUNTIF(Jobs!$A$5:$A$44,B96)=0,"Unknown Job ID",IF(G96="","Missing miles",IF(A96="","Missing date",""))))</f>
        <v/>
      </c>
      <c r="L96" s="35" t="n"/>
    </row>
    <row r="97">
      <c r="A97" s="40" t="n"/>
      <c r="B97" s="35" t="n"/>
      <c r="C97" s="35" t="n"/>
      <c r="D97" s="35" t="n"/>
      <c r="E97" s="35" t="n"/>
      <c r="F97" s="35" t="n"/>
      <c r="G97" s="61" t="n"/>
      <c r="H97" s="39">
        <f>IF(B97="","",Settings!$B$15)</f>
        <v/>
      </c>
      <c r="I97" s="39">
        <f>IF(B97="","",G97*H97)</f>
        <v/>
      </c>
      <c r="J97" s="9">
        <f>IF(B97="","",IF(C97="","Other",IFERROR(VLOOKUP(C97,Settings!$E$5:$G$28,3,FALSE),"Other")))</f>
        <v/>
      </c>
      <c r="K97" s="9">
        <f>IF(B97="","",IF(COUNTIF(Jobs!$A$5:$A$44,B97)=0,"Unknown Job ID",IF(G97="","Missing miles",IF(A97="","Missing date",""))))</f>
        <v/>
      </c>
      <c r="L97" s="35" t="n"/>
    </row>
    <row r="98">
      <c r="A98" s="40" t="n"/>
      <c r="B98" s="35" t="n"/>
      <c r="C98" s="35" t="n"/>
      <c r="D98" s="35" t="n"/>
      <c r="E98" s="35" t="n"/>
      <c r="F98" s="35" t="n"/>
      <c r="G98" s="61" t="n"/>
      <c r="H98" s="39">
        <f>IF(B98="","",Settings!$B$15)</f>
        <v/>
      </c>
      <c r="I98" s="39">
        <f>IF(B98="","",G98*H98)</f>
        <v/>
      </c>
      <c r="J98" s="9">
        <f>IF(B98="","",IF(C98="","Other",IFERROR(VLOOKUP(C98,Settings!$E$5:$G$28,3,FALSE),"Other")))</f>
        <v/>
      </c>
      <c r="K98" s="9">
        <f>IF(B98="","",IF(COUNTIF(Jobs!$A$5:$A$44,B98)=0,"Unknown Job ID",IF(G98="","Missing miles",IF(A98="","Missing date",""))))</f>
        <v/>
      </c>
      <c r="L98" s="35" t="n"/>
    </row>
    <row r="99">
      <c r="A99" s="40" t="n"/>
      <c r="B99" s="35" t="n"/>
      <c r="C99" s="35" t="n"/>
      <c r="D99" s="35" t="n"/>
      <c r="E99" s="35" t="n"/>
      <c r="F99" s="35" t="n"/>
      <c r="G99" s="61" t="n"/>
      <c r="H99" s="39">
        <f>IF(B99="","",Settings!$B$15)</f>
        <v/>
      </c>
      <c r="I99" s="39">
        <f>IF(B99="","",G99*H99)</f>
        <v/>
      </c>
      <c r="J99" s="9">
        <f>IF(B99="","",IF(C99="","Other",IFERROR(VLOOKUP(C99,Settings!$E$5:$G$28,3,FALSE),"Other")))</f>
        <v/>
      </c>
      <c r="K99" s="9">
        <f>IF(B99="","",IF(COUNTIF(Jobs!$A$5:$A$44,B99)=0,"Unknown Job ID",IF(G99="","Missing miles",IF(A99="","Missing date",""))))</f>
        <v/>
      </c>
      <c r="L99" s="35" t="n"/>
    </row>
    <row r="100">
      <c r="A100" s="40" t="n"/>
      <c r="B100" s="35" t="n"/>
      <c r="C100" s="35" t="n"/>
      <c r="D100" s="35" t="n"/>
      <c r="E100" s="35" t="n"/>
      <c r="F100" s="35" t="n"/>
      <c r="G100" s="61" t="n"/>
      <c r="H100" s="39">
        <f>IF(B100="","",Settings!$B$15)</f>
        <v/>
      </c>
      <c r="I100" s="39">
        <f>IF(B100="","",G100*H100)</f>
        <v/>
      </c>
      <c r="J100" s="9">
        <f>IF(B100="","",IF(C100="","Other",IFERROR(VLOOKUP(C100,Settings!$E$5:$G$28,3,FALSE),"Other")))</f>
        <v/>
      </c>
      <c r="K100" s="9">
        <f>IF(B100="","",IF(COUNTIF(Jobs!$A$5:$A$44,B100)=0,"Unknown Job ID",IF(G100="","Missing miles",IF(A100="","Missing date",""))))</f>
        <v/>
      </c>
      <c r="L100" s="35" t="n"/>
    </row>
    <row r="101">
      <c r="A101" s="40" t="n"/>
      <c r="B101" s="35" t="n"/>
      <c r="C101" s="35" t="n"/>
      <c r="D101" s="35" t="n"/>
      <c r="E101" s="35" t="n"/>
      <c r="F101" s="35" t="n"/>
      <c r="G101" s="61" t="n"/>
      <c r="H101" s="39">
        <f>IF(B101="","",Settings!$B$15)</f>
        <v/>
      </c>
      <c r="I101" s="39">
        <f>IF(B101="","",G101*H101)</f>
        <v/>
      </c>
      <c r="J101" s="9">
        <f>IF(B101="","",IF(C101="","Other",IFERROR(VLOOKUP(C101,Settings!$E$5:$G$28,3,FALSE),"Other")))</f>
        <v/>
      </c>
      <c r="K101" s="9">
        <f>IF(B101="","",IF(COUNTIF(Jobs!$A$5:$A$44,B101)=0,"Unknown Job ID",IF(G101="","Missing miles",IF(A101="","Missing date",""))))</f>
        <v/>
      </c>
      <c r="L101" s="35" t="n"/>
    </row>
    <row r="102">
      <c r="A102" s="40" t="n"/>
      <c r="B102" s="35" t="n"/>
      <c r="C102" s="35" t="n"/>
      <c r="D102" s="35" t="n"/>
      <c r="E102" s="35" t="n"/>
      <c r="F102" s="35" t="n"/>
      <c r="G102" s="61" t="n"/>
      <c r="H102" s="39">
        <f>IF(B102="","",Settings!$B$15)</f>
        <v/>
      </c>
      <c r="I102" s="39">
        <f>IF(B102="","",G102*H102)</f>
        <v/>
      </c>
      <c r="J102" s="9">
        <f>IF(B102="","",IF(C102="","Other",IFERROR(VLOOKUP(C102,Settings!$E$5:$G$28,3,FALSE),"Other")))</f>
        <v/>
      </c>
      <c r="K102" s="9">
        <f>IF(B102="","",IF(COUNTIF(Jobs!$A$5:$A$44,B102)=0,"Unknown Job ID",IF(G102="","Missing miles",IF(A102="","Missing date",""))))</f>
        <v/>
      </c>
      <c r="L102" s="35" t="n"/>
    </row>
    <row r="103">
      <c r="A103" s="40" t="n"/>
      <c r="B103" s="35" t="n"/>
      <c r="C103" s="35" t="n"/>
      <c r="D103" s="35" t="n"/>
      <c r="E103" s="35" t="n"/>
      <c r="F103" s="35" t="n"/>
      <c r="G103" s="61" t="n"/>
      <c r="H103" s="39">
        <f>IF(B103="","",Settings!$B$15)</f>
        <v/>
      </c>
      <c r="I103" s="39">
        <f>IF(B103="","",G103*H103)</f>
        <v/>
      </c>
      <c r="J103" s="9">
        <f>IF(B103="","",IF(C103="","Other",IFERROR(VLOOKUP(C103,Settings!$E$5:$G$28,3,FALSE),"Other")))</f>
        <v/>
      </c>
      <c r="K103" s="9">
        <f>IF(B103="","",IF(COUNTIF(Jobs!$A$5:$A$44,B103)=0,"Unknown Job ID",IF(G103="","Missing miles",IF(A103="","Missing date",""))))</f>
        <v/>
      </c>
      <c r="L103" s="35" t="n"/>
    </row>
    <row r="104">
      <c r="A104" s="40" t="n"/>
      <c r="B104" s="35" t="n"/>
      <c r="C104" s="35" t="n"/>
      <c r="D104" s="35" t="n"/>
      <c r="E104" s="35" t="n"/>
      <c r="F104" s="35" t="n"/>
      <c r="G104" s="61" t="n"/>
      <c r="H104" s="39">
        <f>IF(B104="","",Settings!$B$15)</f>
        <v/>
      </c>
      <c r="I104" s="39">
        <f>IF(B104="","",G104*H104)</f>
        <v/>
      </c>
      <c r="J104" s="9">
        <f>IF(B104="","",IF(C104="","Other",IFERROR(VLOOKUP(C104,Settings!$E$5:$G$28,3,FALSE),"Other")))</f>
        <v/>
      </c>
      <c r="K104" s="9">
        <f>IF(B104="","",IF(COUNTIF(Jobs!$A$5:$A$44,B104)=0,"Unknown Job ID",IF(G104="","Missing miles",IF(A104="","Missing date",""))))</f>
        <v/>
      </c>
      <c r="L104" s="35" t="n"/>
    </row>
    <row r="105">
      <c r="A105" s="40" t="n"/>
      <c r="B105" s="35" t="n"/>
      <c r="C105" s="35" t="n"/>
      <c r="D105" s="35" t="n"/>
      <c r="E105" s="35" t="n"/>
      <c r="F105" s="35" t="n"/>
      <c r="G105" s="61" t="n"/>
      <c r="H105" s="39">
        <f>IF(B105="","",Settings!$B$15)</f>
        <v/>
      </c>
      <c r="I105" s="39">
        <f>IF(B105="","",G105*H105)</f>
        <v/>
      </c>
      <c r="J105" s="9">
        <f>IF(B105="","",IF(C105="","Other",IFERROR(VLOOKUP(C105,Settings!$E$5:$G$28,3,FALSE),"Other")))</f>
        <v/>
      </c>
      <c r="K105" s="9">
        <f>IF(B105="","",IF(COUNTIF(Jobs!$A$5:$A$44,B105)=0,"Unknown Job ID",IF(G105="","Missing miles",IF(A105="","Missing date",""))))</f>
        <v/>
      </c>
      <c r="L105" s="35" t="n"/>
    </row>
    <row r="106">
      <c r="A106" s="40" t="n"/>
      <c r="B106" s="35" t="n"/>
      <c r="C106" s="35" t="n"/>
      <c r="D106" s="35" t="n"/>
      <c r="E106" s="35" t="n"/>
      <c r="F106" s="35" t="n"/>
      <c r="G106" s="61" t="n"/>
      <c r="H106" s="39">
        <f>IF(B106="","",Settings!$B$15)</f>
        <v/>
      </c>
      <c r="I106" s="39">
        <f>IF(B106="","",G106*H106)</f>
        <v/>
      </c>
      <c r="J106" s="9">
        <f>IF(B106="","",IF(C106="","Other",IFERROR(VLOOKUP(C106,Settings!$E$5:$G$28,3,FALSE),"Other")))</f>
        <v/>
      </c>
      <c r="K106" s="9">
        <f>IF(B106="","",IF(COUNTIF(Jobs!$A$5:$A$44,B106)=0,"Unknown Job ID",IF(G106="","Missing miles",IF(A106="","Missing date",""))))</f>
        <v/>
      </c>
      <c r="L106" s="35" t="n"/>
    </row>
    <row r="107">
      <c r="A107" s="40" t="n"/>
      <c r="B107" s="35" t="n"/>
      <c r="C107" s="35" t="n"/>
      <c r="D107" s="35" t="n"/>
      <c r="E107" s="35" t="n"/>
      <c r="F107" s="35" t="n"/>
      <c r="G107" s="61" t="n"/>
      <c r="H107" s="39">
        <f>IF(B107="","",Settings!$B$15)</f>
        <v/>
      </c>
      <c r="I107" s="39">
        <f>IF(B107="","",G107*H107)</f>
        <v/>
      </c>
      <c r="J107" s="9">
        <f>IF(B107="","",IF(C107="","Other",IFERROR(VLOOKUP(C107,Settings!$E$5:$G$28,3,FALSE),"Other")))</f>
        <v/>
      </c>
      <c r="K107" s="9">
        <f>IF(B107="","",IF(COUNTIF(Jobs!$A$5:$A$44,B107)=0,"Unknown Job ID",IF(G107="","Missing miles",IF(A107="","Missing date",""))))</f>
        <v/>
      </c>
      <c r="L107" s="35" t="n"/>
    </row>
    <row r="108">
      <c r="A108" s="40" t="n"/>
      <c r="B108" s="35" t="n"/>
      <c r="C108" s="35" t="n"/>
      <c r="D108" s="35" t="n"/>
      <c r="E108" s="35" t="n"/>
      <c r="F108" s="35" t="n"/>
      <c r="G108" s="61" t="n"/>
      <c r="H108" s="39">
        <f>IF(B108="","",Settings!$B$15)</f>
        <v/>
      </c>
      <c r="I108" s="39">
        <f>IF(B108="","",G108*H108)</f>
        <v/>
      </c>
      <c r="J108" s="9">
        <f>IF(B108="","",IF(C108="","Other",IFERROR(VLOOKUP(C108,Settings!$E$5:$G$28,3,FALSE),"Other")))</f>
        <v/>
      </c>
      <c r="K108" s="9">
        <f>IF(B108="","",IF(COUNTIF(Jobs!$A$5:$A$44,B108)=0,"Unknown Job ID",IF(G108="","Missing miles",IF(A108="","Missing date",""))))</f>
        <v/>
      </c>
      <c r="L108" s="35" t="n"/>
    </row>
    <row r="109">
      <c r="A109" s="40" t="n"/>
      <c r="B109" s="35" t="n"/>
      <c r="C109" s="35" t="n"/>
      <c r="D109" s="35" t="n"/>
      <c r="E109" s="35" t="n"/>
      <c r="F109" s="35" t="n"/>
      <c r="G109" s="61" t="n"/>
      <c r="H109" s="39">
        <f>IF(B109="","",Settings!$B$15)</f>
        <v/>
      </c>
      <c r="I109" s="39">
        <f>IF(B109="","",G109*H109)</f>
        <v/>
      </c>
      <c r="J109" s="9">
        <f>IF(B109="","",IF(C109="","Other",IFERROR(VLOOKUP(C109,Settings!$E$5:$G$28,3,FALSE),"Other")))</f>
        <v/>
      </c>
      <c r="K109" s="9">
        <f>IF(B109="","",IF(COUNTIF(Jobs!$A$5:$A$44,B109)=0,"Unknown Job ID",IF(G109="","Missing miles",IF(A109="","Missing date",""))))</f>
        <v/>
      </c>
      <c r="L109" s="35" t="n"/>
    </row>
    <row r="110">
      <c r="A110" s="40" t="n"/>
      <c r="B110" s="35" t="n"/>
      <c r="C110" s="35" t="n"/>
      <c r="D110" s="35" t="n"/>
      <c r="E110" s="35" t="n"/>
      <c r="F110" s="35" t="n"/>
      <c r="G110" s="61" t="n"/>
      <c r="H110" s="39">
        <f>IF(B110="","",Settings!$B$15)</f>
        <v/>
      </c>
      <c r="I110" s="39">
        <f>IF(B110="","",G110*H110)</f>
        <v/>
      </c>
      <c r="J110" s="9">
        <f>IF(B110="","",IF(C110="","Other",IFERROR(VLOOKUP(C110,Settings!$E$5:$G$28,3,FALSE),"Other")))</f>
        <v/>
      </c>
      <c r="K110" s="9">
        <f>IF(B110="","",IF(COUNTIF(Jobs!$A$5:$A$44,B110)=0,"Unknown Job ID",IF(G110="","Missing miles",IF(A110="","Missing date",""))))</f>
        <v/>
      </c>
      <c r="L110" s="35" t="n"/>
    </row>
    <row r="111">
      <c r="A111" s="40" t="n"/>
      <c r="B111" s="35" t="n"/>
      <c r="C111" s="35" t="n"/>
      <c r="D111" s="35" t="n"/>
      <c r="E111" s="35" t="n"/>
      <c r="F111" s="35" t="n"/>
      <c r="G111" s="61" t="n"/>
      <c r="H111" s="39">
        <f>IF(B111="","",Settings!$B$15)</f>
        <v/>
      </c>
      <c r="I111" s="39">
        <f>IF(B111="","",G111*H111)</f>
        <v/>
      </c>
      <c r="J111" s="9">
        <f>IF(B111="","",IF(C111="","Other",IFERROR(VLOOKUP(C111,Settings!$E$5:$G$28,3,FALSE),"Other")))</f>
        <v/>
      </c>
      <c r="K111" s="9">
        <f>IF(B111="","",IF(COUNTIF(Jobs!$A$5:$A$44,B111)=0,"Unknown Job ID",IF(G111="","Missing miles",IF(A111="","Missing date",""))))</f>
        <v/>
      </c>
      <c r="L111" s="35" t="n"/>
    </row>
    <row r="112">
      <c r="A112" s="40" t="n"/>
      <c r="B112" s="35" t="n"/>
      <c r="C112" s="35" t="n"/>
      <c r="D112" s="35" t="n"/>
      <c r="E112" s="35" t="n"/>
      <c r="F112" s="35" t="n"/>
      <c r="G112" s="61" t="n"/>
      <c r="H112" s="39">
        <f>IF(B112="","",Settings!$B$15)</f>
        <v/>
      </c>
      <c r="I112" s="39">
        <f>IF(B112="","",G112*H112)</f>
        <v/>
      </c>
      <c r="J112" s="9">
        <f>IF(B112="","",IF(C112="","Other",IFERROR(VLOOKUP(C112,Settings!$E$5:$G$28,3,FALSE),"Other")))</f>
        <v/>
      </c>
      <c r="K112" s="9">
        <f>IF(B112="","",IF(COUNTIF(Jobs!$A$5:$A$44,B112)=0,"Unknown Job ID",IF(G112="","Missing miles",IF(A112="","Missing date",""))))</f>
        <v/>
      </c>
      <c r="L112" s="35" t="n"/>
    </row>
    <row r="113">
      <c r="A113" s="40" t="n"/>
      <c r="B113" s="35" t="n"/>
      <c r="C113" s="35" t="n"/>
      <c r="D113" s="35" t="n"/>
      <c r="E113" s="35" t="n"/>
      <c r="F113" s="35" t="n"/>
      <c r="G113" s="61" t="n"/>
      <c r="H113" s="39">
        <f>IF(B113="","",Settings!$B$15)</f>
        <v/>
      </c>
      <c r="I113" s="39">
        <f>IF(B113="","",G113*H113)</f>
        <v/>
      </c>
      <c r="J113" s="9">
        <f>IF(B113="","",IF(C113="","Other",IFERROR(VLOOKUP(C113,Settings!$E$5:$G$28,3,FALSE),"Other")))</f>
        <v/>
      </c>
      <c r="K113" s="9">
        <f>IF(B113="","",IF(COUNTIF(Jobs!$A$5:$A$44,B113)=0,"Unknown Job ID",IF(G113="","Missing miles",IF(A113="","Missing date",""))))</f>
        <v/>
      </c>
      <c r="L113" s="35" t="n"/>
    </row>
    <row r="114">
      <c r="A114" s="40" t="n"/>
      <c r="B114" s="35" t="n"/>
      <c r="C114" s="35" t="n"/>
      <c r="D114" s="35" t="n"/>
      <c r="E114" s="35" t="n"/>
      <c r="F114" s="35" t="n"/>
      <c r="G114" s="61" t="n"/>
      <c r="H114" s="39">
        <f>IF(B114="","",Settings!$B$15)</f>
        <v/>
      </c>
      <c r="I114" s="39">
        <f>IF(B114="","",G114*H114)</f>
        <v/>
      </c>
      <c r="J114" s="9">
        <f>IF(B114="","",IF(C114="","Other",IFERROR(VLOOKUP(C114,Settings!$E$5:$G$28,3,FALSE),"Other")))</f>
        <v/>
      </c>
      <c r="K114" s="9">
        <f>IF(B114="","",IF(COUNTIF(Jobs!$A$5:$A$44,B114)=0,"Unknown Job ID",IF(G114="","Missing miles",IF(A114="","Missing date",""))))</f>
        <v/>
      </c>
      <c r="L114" s="35" t="n"/>
    </row>
    <row r="115">
      <c r="A115" s="40" t="n"/>
      <c r="B115" s="35" t="n"/>
      <c r="C115" s="35" t="n"/>
      <c r="D115" s="35" t="n"/>
      <c r="E115" s="35" t="n"/>
      <c r="F115" s="35" t="n"/>
      <c r="G115" s="61" t="n"/>
      <c r="H115" s="39">
        <f>IF(B115="","",Settings!$B$15)</f>
        <v/>
      </c>
      <c r="I115" s="39">
        <f>IF(B115="","",G115*H115)</f>
        <v/>
      </c>
      <c r="J115" s="9">
        <f>IF(B115="","",IF(C115="","Other",IFERROR(VLOOKUP(C115,Settings!$E$5:$G$28,3,FALSE),"Other")))</f>
        <v/>
      </c>
      <c r="K115" s="9">
        <f>IF(B115="","",IF(COUNTIF(Jobs!$A$5:$A$44,B115)=0,"Unknown Job ID",IF(G115="","Missing miles",IF(A115="","Missing date",""))))</f>
        <v/>
      </c>
      <c r="L115" s="35" t="n"/>
    </row>
    <row r="116">
      <c r="A116" s="40" t="n"/>
      <c r="B116" s="35" t="n"/>
      <c r="C116" s="35" t="n"/>
      <c r="D116" s="35" t="n"/>
      <c r="E116" s="35" t="n"/>
      <c r="F116" s="35" t="n"/>
      <c r="G116" s="61" t="n"/>
      <c r="H116" s="39">
        <f>IF(B116="","",Settings!$B$15)</f>
        <v/>
      </c>
      <c r="I116" s="39">
        <f>IF(B116="","",G116*H116)</f>
        <v/>
      </c>
      <c r="J116" s="9">
        <f>IF(B116="","",IF(C116="","Other",IFERROR(VLOOKUP(C116,Settings!$E$5:$G$28,3,FALSE),"Other")))</f>
        <v/>
      </c>
      <c r="K116" s="9">
        <f>IF(B116="","",IF(COUNTIF(Jobs!$A$5:$A$44,B116)=0,"Unknown Job ID",IF(G116="","Missing miles",IF(A116="","Missing date",""))))</f>
        <v/>
      </c>
      <c r="L116" s="35" t="n"/>
    </row>
    <row r="117">
      <c r="A117" s="40" t="n"/>
      <c r="B117" s="35" t="n"/>
      <c r="C117" s="35" t="n"/>
      <c r="D117" s="35" t="n"/>
      <c r="E117" s="35" t="n"/>
      <c r="F117" s="35" t="n"/>
      <c r="G117" s="61" t="n"/>
      <c r="H117" s="39">
        <f>IF(B117="","",Settings!$B$15)</f>
        <v/>
      </c>
      <c r="I117" s="39">
        <f>IF(B117="","",G117*H117)</f>
        <v/>
      </c>
      <c r="J117" s="9">
        <f>IF(B117="","",IF(C117="","Other",IFERROR(VLOOKUP(C117,Settings!$E$5:$G$28,3,FALSE),"Other")))</f>
        <v/>
      </c>
      <c r="K117" s="9">
        <f>IF(B117="","",IF(COUNTIF(Jobs!$A$5:$A$44,B117)=0,"Unknown Job ID",IF(G117="","Missing miles",IF(A117="","Missing date",""))))</f>
        <v/>
      </c>
      <c r="L117" s="35" t="n"/>
    </row>
    <row r="118">
      <c r="A118" s="40" t="n"/>
      <c r="B118" s="35" t="n"/>
      <c r="C118" s="35" t="n"/>
      <c r="D118" s="35" t="n"/>
      <c r="E118" s="35" t="n"/>
      <c r="F118" s="35" t="n"/>
      <c r="G118" s="61" t="n"/>
      <c r="H118" s="39">
        <f>IF(B118="","",Settings!$B$15)</f>
        <v/>
      </c>
      <c r="I118" s="39">
        <f>IF(B118="","",G118*H118)</f>
        <v/>
      </c>
      <c r="J118" s="9">
        <f>IF(B118="","",IF(C118="","Other",IFERROR(VLOOKUP(C118,Settings!$E$5:$G$28,3,FALSE),"Other")))</f>
        <v/>
      </c>
      <c r="K118" s="9">
        <f>IF(B118="","",IF(COUNTIF(Jobs!$A$5:$A$44,B118)=0,"Unknown Job ID",IF(G118="","Missing miles",IF(A118="","Missing date",""))))</f>
        <v/>
      </c>
      <c r="L118" s="35" t="n"/>
    </row>
    <row r="119">
      <c r="A119" s="40" t="n"/>
      <c r="B119" s="35" t="n"/>
      <c r="C119" s="35" t="n"/>
      <c r="D119" s="35" t="n"/>
      <c r="E119" s="35" t="n"/>
      <c r="F119" s="35" t="n"/>
      <c r="G119" s="61" t="n"/>
      <c r="H119" s="39">
        <f>IF(B119="","",Settings!$B$15)</f>
        <v/>
      </c>
      <c r="I119" s="39">
        <f>IF(B119="","",G119*H119)</f>
        <v/>
      </c>
      <c r="J119" s="9">
        <f>IF(B119="","",IF(C119="","Other",IFERROR(VLOOKUP(C119,Settings!$E$5:$G$28,3,FALSE),"Other")))</f>
        <v/>
      </c>
      <c r="K119" s="9">
        <f>IF(B119="","",IF(COUNTIF(Jobs!$A$5:$A$44,B119)=0,"Unknown Job ID",IF(G119="","Missing miles",IF(A119="","Missing date",""))))</f>
        <v/>
      </c>
      <c r="L119" s="35" t="n"/>
    </row>
    <row r="120">
      <c r="A120" s="40" t="n"/>
      <c r="B120" s="35" t="n"/>
      <c r="C120" s="35" t="n"/>
      <c r="D120" s="35" t="n"/>
      <c r="E120" s="35" t="n"/>
      <c r="F120" s="35" t="n"/>
      <c r="G120" s="61" t="n"/>
      <c r="H120" s="39">
        <f>IF(B120="","",Settings!$B$15)</f>
        <v/>
      </c>
      <c r="I120" s="39">
        <f>IF(B120="","",G120*H120)</f>
        <v/>
      </c>
      <c r="J120" s="9">
        <f>IF(B120="","",IF(C120="","Other",IFERROR(VLOOKUP(C120,Settings!$E$5:$G$28,3,FALSE),"Other")))</f>
        <v/>
      </c>
      <c r="K120" s="9">
        <f>IF(B120="","",IF(COUNTIF(Jobs!$A$5:$A$44,B120)=0,"Unknown Job ID",IF(G120="","Missing miles",IF(A120="","Missing date",""))))</f>
        <v/>
      </c>
      <c r="L120" s="35" t="n"/>
    </row>
    <row r="121">
      <c r="A121" s="40" t="n"/>
      <c r="B121" s="35" t="n"/>
      <c r="C121" s="35" t="n"/>
      <c r="D121" s="35" t="n"/>
      <c r="E121" s="35" t="n"/>
      <c r="F121" s="35" t="n"/>
      <c r="G121" s="61" t="n"/>
      <c r="H121" s="39">
        <f>IF(B121="","",Settings!$B$15)</f>
        <v/>
      </c>
      <c r="I121" s="39">
        <f>IF(B121="","",G121*H121)</f>
        <v/>
      </c>
      <c r="J121" s="9">
        <f>IF(B121="","",IF(C121="","Other",IFERROR(VLOOKUP(C121,Settings!$E$5:$G$28,3,FALSE),"Other")))</f>
        <v/>
      </c>
      <c r="K121" s="9">
        <f>IF(B121="","",IF(COUNTIF(Jobs!$A$5:$A$44,B121)=0,"Unknown Job ID",IF(G121="","Missing miles",IF(A121="","Missing date",""))))</f>
        <v/>
      </c>
      <c r="L121" s="35" t="n"/>
    </row>
    <row r="122">
      <c r="A122" s="40" t="n"/>
      <c r="B122" s="35" t="n"/>
      <c r="C122" s="35" t="n"/>
      <c r="D122" s="35" t="n"/>
      <c r="E122" s="35" t="n"/>
      <c r="F122" s="35" t="n"/>
      <c r="G122" s="61" t="n"/>
      <c r="H122" s="39">
        <f>IF(B122="","",Settings!$B$15)</f>
        <v/>
      </c>
      <c r="I122" s="39">
        <f>IF(B122="","",G122*H122)</f>
        <v/>
      </c>
      <c r="J122" s="9">
        <f>IF(B122="","",IF(C122="","Other",IFERROR(VLOOKUP(C122,Settings!$E$5:$G$28,3,FALSE),"Other")))</f>
        <v/>
      </c>
      <c r="K122" s="9">
        <f>IF(B122="","",IF(COUNTIF(Jobs!$A$5:$A$44,B122)=0,"Unknown Job ID",IF(G122="","Missing miles",IF(A122="","Missing date",""))))</f>
        <v/>
      </c>
      <c r="L122" s="35" t="n"/>
    </row>
    <row r="123">
      <c r="A123" s="40" t="n"/>
      <c r="B123" s="35" t="n"/>
      <c r="C123" s="35" t="n"/>
      <c r="D123" s="35" t="n"/>
      <c r="E123" s="35" t="n"/>
      <c r="F123" s="35" t="n"/>
      <c r="G123" s="61" t="n"/>
      <c r="H123" s="39">
        <f>IF(B123="","",Settings!$B$15)</f>
        <v/>
      </c>
      <c r="I123" s="39">
        <f>IF(B123="","",G123*H123)</f>
        <v/>
      </c>
      <c r="J123" s="9">
        <f>IF(B123="","",IF(C123="","Other",IFERROR(VLOOKUP(C123,Settings!$E$5:$G$28,3,FALSE),"Other")))</f>
        <v/>
      </c>
      <c r="K123" s="9">
        <f>IF(B123="","",IF(COUNTIF(Jobs!$A$5:$A$44,B123)=0,"Unknown Job ID",IF(G123="","Missing miles",IF(A123="","Missing date",""))))</f>
        <v/>
      </c>
      <c r="L123" s="35" t="n"/>
    </row>
    <row r="124">
      <c r="A124" s="40" t="n"/>
      <c r="B124" s="35" t="n"/>
      <c r="C124" s="35" t="n"/>
      <c r="D124" s="35" t="n"/>
      <c r="E124" s="35" t="n"/>
      <c r="F124" s="35" t="n"/>
      <c r="G124" s="61" t="n"/>
      <c r="H124" s="39">
        <f>IF(B124="","",Settings!$B$15)</f>
        <v/>
      </c>
      <c r="I124" s="39">
        <f>IF(B124="","",G124*H124)</f>
        <v/>
      </c>
      <c r="J124" s="9">
        <f>IF(B124="","",IF(C124="","Other",IFERROR(VLOOKUP(C124,Settings!$E$5:$G$28,3,FALSE),"Other")))</f>
        <v/>
      </c>
      <c r="K124" s="9">
        <f>IF(B124="","",IF(COUNTIF(Jobs!$A$5:$A$44,B124)=0,"Unknown Job ID",IF(G124="","Missing miles",IF(A124="","Missing date",""))))</f>
        <v/>
      </c>
      <c r="L124" s="35" t="n"/>
    </row>
    <row r="125">
      <c r="A125" s="40" t="n"/>
      <c r="B125" s="35" t="n"/>
      <c r="C125" s="35" t="n"/>
      <c r="D125" s="35" t="n"/>
      <c r="E125" s="35" t="n"/>
      <c r="F125" s="35" t="n"/>
      <c r="G125" s="61" t="n"/>
      <c r="H125" s="39">
        <f>IF(B125="","",Settings!$B$15)</f>
        <v/>
      </c>
      <c r="I125" s="39">
        <f>IF(B125="","",G125*H125)</f>
        <v/>
      </c>
      <c r="J125" s="9">
        <f>IF(B125="","",IF(C125="","Other",IFERROR(VLOOKUP(C125,Settings!$E$5:$G$28,3,FALSE),"Other")))</f>
        <v/>
      </c>
      <c r="K125" s="9">
        <f>IF(B125="","",IF(COUNTIF(Jobs!$A$5:$A$44,B125)=0,"Unknown Job ID",IF(G125="","Missing miles",IF(A125="","Missing date",""))))</f>
        <v/>
      </c>
      <c r="L125" s="35" t="n"/>
    </row>
    <row r="126">
      <c r="A126" s="40" t="n"/>
      <c r="B126" s="35" t="n"/>
      <c r="C126" s="35" t="n"/>
      <c r="D126" s="35" t="n"/>
      <c r="E126" s="35" t="n"/>
      <c r="F126" s="35" t="n"/>
      <c r="G126" s="61" t="n"/>
      <c r="H126" s="39">
        <f>IF(B126="","",Settings!$B$15)</f>
        <v/>
      </c>
      <c r="I126" s="39">
        <f>IF(B126="","",G126*H126)</f>
        <v/>
      </c>
      <c r="J126" s="9">
        <f>IF(B126="","",IF(C126="","Other",IFERROR(VLOOKUP(C126,Settings!$E$5:$G$28,3,FALSE),"Other")))</f>
        <v/>
      </c>
      <c r="K126" s="9">
        <f>IF(B126="","",IF(COUNTIF(Jobs!$A$5:$A$44,B126)=0,"Unknown Job ID",IF(G126="","Missing miles",IF(A126="","Missing date",""))))</f>
        <v/>
      </c>
      <c r="L126" s="35" t="n"/>
    </row>
    <row r="127">
      <c r="A127" s="40" t="n"/>
      <c r="B127" s="35" t="n"/>
      <c r="C127" s="35" t="n"/>
      <c r="D127" s="35" t="n"/>
      <c r="E127" s="35" t="n"/>
      <c r="F127" s="35" t="n"/>
      <c r="G127" s="61" t="n"/>
      <c r="H127" s="39">
        <f>IF(B127="","",Settings!$B$15)</f>
        <v/>
      </c>
      <c r="I127" s="39">
        <f>IF(B127="","",G127*H127)</f>
        <v/>
      </c>
      <c r="J127" s="9">
        <f>IF(B127="","",IF(C127="","Other",IFERROR(VLOOKUP(C127,Settings!$E$5:$G$28,3,FALSE),"Other")))</f>
        <v/>
      </c>
      <c r="K127" s="9">
        <f>IF(B127="","",IF(COUNTIF(Jobs!$A$5:$A$44,B127)=0,"Unknown Job ID",IF(G127="","Missing miles",IF(A127="","Missing date",""))))</f>
        <v/>
      </c>
      <c r="L127" s="35" t="n"/>
    </row>
    <row r="128">
      <c r="A128" s="40" t="n"/>
      <c r="B128" s="35" t="n"/>
      <c r="C128" s="35" t="n"/>
      <c r="D128" s="35" t="n"/>
      <c r="E128" s="35" t="n"/>
      <c r="F128" s="35" t="n"/>
      <c r="G128" s="61" t="n"/>
      <c r="H128" s="39">
        <f>IF(B128="","",Settings!$B$15)</f>
        <v/>
      </c>
      <c r="I128" s="39">
        <f>IF(B128="","",G128*H128)</f>
        <v/>
      </c>
      <c r="J128" s="9">
        <f>IF(B128="","",IF(C128="","Other",IFERROR(VLOOKUP(C128,Settings!$E$5:$G$28,3,FALSE),"Other")))</f>
        <v/>
      </c>
      <c r="K128" s="9">
        <f>IF(B128="","",IF(COUNTIF(Jobs!$A$5:$A$44,B128)=0,"Unknown Job ID",IF(G128="","Missing miles",IF(A128="","Missing date",""))))</f>
        <v/>
      </c>
      <c r="L128" s="35" t="n"/>
    </row>
    <row r="129">
      <c r="A129" s="40" t="n"/>
      <c r="B129" s="35" t="n"/>
      <c r="C129" s="35" t="n"/>
      <c r="D129" s="35" t="n"/>
      <c r="E129" s="35" t="n"/>
      <c r="F129" s="35" t="n"/>
      <c r="G129" s="61" t="n"/>
      <c r="H129" s="39">
        <f>IF(B129="","",Settings!$B$15)</f>
        <v/>
      </c>
      <c r="I129" s="39">
        <f>IF(B129="","",G129*H129)</f>
        <v/>
      </c>
      <c r="J129" s="9">
        <f>IF(B129="","",IF(C129="","Other",IFERROR(VLOOKUP(C129,Settings!$E$5:$G$28,3,FALSE),"Other")))</f>
        <v/>
      </c>
      <c r="K129" s="9">
        <f>IF(B129="","",IF(COUNTIF(Jobs!$A$5:$A$44,B129)=0,"Unknown Job ID",IF(G129="","Missing miles",IF(A129="","Missing date",""))))</f>
        <v/>
      </c>
      <c r="L129" s="35" t="n"/>
    </row>
    <row r="130">
      <c r="A130" s="40" t="n"/>
      <c r="B130" s="35" t="n"/>
      <c r="C130" s="35" t="n"/>
      <c r="D130" s="35" t="n"/>
      <c r="E130" s="35" t="n"/>
      <c r="F130" s="35" t="n"/>
      <c r="G130" s="61" t="n"/>
      <c r="H130" s="39">
        <f>IF(B130="","",Settings!$B$15)</f>
        <v/>
      </c>
      <c r="I130" s="39">
        <f>IF(B130="","",G130*H130)</f>
        <v/>
      </c>
      <c r="J130" s="9">
        <f>IF(B130="","",IF(C130="","Other",IFERROR(VLOOKUP(C130,Settings!$E$5:$G$28,3,FALSE),"Other")))</f>
        <v/>
      </c>
      <c r="K130" s="9">
        <f>IF(B130="","",IF(COUNTIF(Jobs!$A$5:$A$44,B130)=0,"Unknown Job ID",IF(G130="","Missing miles",IF(A130="","Missing date",""))))</f>
        <v/>
      </c>
      <c r="L130" s="35" t="n"/>
    </row>
    <row r="131">
      <c r="A131" s="40" t="n"/>
      <c r="B131" s="35" t="n"/>
      <c r="C131" s="35" t="n"/>
      <c r="D131" s="35" t="n"/>
      <c r="E131" s="35" t="n"/>
      <c r="F131" s="35" t="n"/>
      <c r="G131" s="61" t="n"/>
      <c r="H131" s="39">
        <f>IF(B131="","",Settings!$B$15)</f>
        <v/>
      </c>
      <c r="I131" s="39">
        <f>IF(B131="","",G131*H131)</f>
        <v/>
      </c>
      <c r="J131" s="9">
        <f>IF(B131="","",IF(C131="","Other",IFERROR(VLOOKUP(C131,Settings!$E$5:$G$28,3,FALSE),"Other")))</f>
        <v/>
      </c>
      <c r="K131" s="9">
        <f>IF(B131="","",IF(COUNTIF(Jobs!$A$5:$A$44,B131)=0,"Unknown Job ID",IF(G131="","Missing miles",IF(A131="","Missing date",""))))</f>
        <v/>
      </c>
      <c r="L131" s="35" t="n"/>
    </row>
    <row r="132">
      <c r="A132" s="40" t="n"/>
      <c r="B132" s="35" t="n"/>
      <c r="C132" s="35" t="n"/>
      <c r="D132" s="35" t="n"/>
      <c r="E132" s="35" t="n"/>
      <c r="F132" s="35" t="n"/>
      <c r="G132" s="61" t="n"/>
      <c r="H132" s="39">
        <f>IF(B132="","",Settings!$B$15)</f>
        <v/>
      </c>
      <c r="I132" s="39">
        <f>IF(B132="","",G132*H132)</f>
        <v/>
      </c>
      <c r="J132" s="9">
        <f>IF(B132="","",IF(C132="","Other",IFERROR(VLOOKUP(C132,Settings!$E$5:$G$28,3,FALSE),"Other")))</f>
        <v/>
      </c>
      <c r="K132" s="9">
        <f>IF(B132="","",IF(COUNTIF(Jobs!$A$5:$A$44,B132)=0,"Unknown Job ID",IF(G132="","Missing miles",IF(A132="","Missing date",""))))</f>
        <v/>
      </c>
      <c r="L132" s="35" t="n"/>
    </row>
    <row r="133">
      <c r="A133" s="40" t="n"/>
      <c r="B133" s="35" t="n"/>
      <c r="C133" s="35" t="n"/>
      <c r="D133" s="35" t="n"/>
      <c r="E133" s="35" t="n"/>
      <c r="F133" s="35" t="n"/>
      <c r="G133" s="61" t="n"/>
      <c r="H133" s="39">
        <f>IF(B133="","",Settings!$B$15)</f>
        <v/>
      </c>
      <c r="I133" s="39">
        <f>IF(B133="","",G133*H133)</f>
        <v/>
      </c>
      <c r="J133" s="9">
        <f>IF(B133="","",IF(C133="","Other",IFERROR(VLOOKUP(C133,Settings!$E$5:$G$28,3,FALSE),"Other")))</f>
        <v/>
      </c>
      <c r="K133" s="9">
        <f>IF(B133="","",IF(COUNTIF(Jobs!$A$5:$A$44,B133)=0,"Unknown Job ID",IF(G133="","Missing miles",IF(A133="","Missing date",""))))</f>
        <v/>
      </c>
      <c r="L133" s="35" t="n"/>
    </row>
    <row r="134">
      <c r="A134" s="40" t="n"/>
      <c r="B134" s="35" t="n"/>
      <c r="C134" s="35" t="n"/>
      <c r="D134" s="35" t="n"/>
      <c r="E134" s="35" t="n"/>
      <c r="F134" s="35" t="n"/>
      <c r="G134" s="61" t="n"/>
      <c r="H134" s="39">
        <f>IF(B134="","",Settings!$B$15)</f>
        <v/>
      </c>
      <c r="I134" s="39">
        <f>IF(B134="","",G134*H134)</f>
        <v/>
      </c>
      <c r="J134" s="9">
        <f>IF(B134="","",IF(C134="","Other",IFERROR(VLOOKUP(C134,Settings!$E$5:$G$28,3,FALSE),"Other")))</f>
        <v/>
      </c>
      <c r="K134" s="9">
        <f>IF(B134="","",IF(COUNTIF(Jobs!$A$5:$A$44,B134)=0,"Unknown Job ID",IF(G134="","Missing miles",IF(A134="","Missing date",""))))</f>
        <v/>
      </c>
      <c r="L134" s="35" t="n"/>
    </row>
    <row r="135">
      <c r="A135" s="40" t="n"/>
      <c r="B135" s="35" t="n"/>
      <c r="C135" s="35" t="n"/>
      <c r="D135" s="35" t="n"/>
      <c r="E135" s="35" t="n"/>
      <c r="F135" s="35" t="n"/>
      <c r="G135" s="61" t="n"/>
      <c r="H135" s="39">
        <f>IF(B135="","",Settings!$B$15)</f>
        <v/>
      </c>
      <c r="I135" s="39">
        <f>IF(B135="","",G135*H135)</f>
        <v/>
      </c>
      <c r="J135" s="9">
        <f>IF(B135="","",IF(C135="","Other",IFERROR(VLOOKUP(C135,Settings!$E$5:$G$28,3,FALSE),"Other")))</f>
        <v/>
      </c>
      <c r="K135" s="9">
        <f>IF(B135="","",IF(COUNTIF(Jobs!$A$5:$A$44,B135)=0,"Unknown Job ID",IF(G135="","Missing miles",IF(A135="","Missing date",""))))</f>
        <v/>
      </c>
      <c r="L135" s="35" t="n"/>
    </row>
    <row r="136">
      <c r="A136" s="40" t="n"/>
      <c r="B136" s="35" t="n"/>
      <c r="C136" s="35" t="n"/>
      <c r="D136" s="35" t="n"/>
      <c r="E136" s="35" t="n"/>
      <c r="F136" s="35" t="n"/>
      <c r="G136" s="61" t="n"/>
      <c r="H136" s="39">
        <f>IF(B136="","",Settings!$B$15)</f>
        <v/>
      </c>
      <c r="I136" s="39">
        <f>IF(B136="","",G136*H136)</f>
        <v/>
      </c>
      <c r="J136" s="9">
        <f>IF(B136="","",IF(C136="","Other",IFERROR(VLOOKUP(C136,Settings!$E$5:$G$28,3,FALSE),"Other")))</f>
        <v/>
      </c>
      <c r="K136" s="9">
        <f>IF(B136="","",IF(COUNTIF(Jobs!$A$5:$A$44,B136)=0,"Unknown Job ID",IF(G136="","Missing miles",IF(A136="","Missing date",""))))</f>
        <v/>
      </c>
      <c r="L136" s="35" t="n"/>
    </row>
    <row r="137">
      <c r="A137" s="40" t="n"/>
      <c r="B137" s="35" t="n"/>
      <c r="C137" s="35" t="n"/>
      <c r="D137" s="35" t="n"/>
      <c r="E137" s="35" t="n"/>
      <c r="F137" s="35" t="n"/>
      <c r="G137" s="61" t="n"/>
      <c r="H137" s="39">
        <f>IF(B137="","",Settings!$B$15)</f>
        <v/>
      </c>
      <c r="I137" s="39">
        <f>IF(B137="","",G137*H137)</f>
        <v/>
      </c>
      <c r="J137" s="9">
        <f>IF(B137="","",IF(C137="","Other",IFERROR(VLOOKUP(C137,Settings!$E$5:$G$28,3,FALSE),"Other")))</f>
        <v/>
      </c>
      <c r="K137" s="9">
        <f>IF(B137="","",IF(COUNTIF(Jobs!$A$5:$A$44,B137)=0,"Unknown Job ID",IF(G137="","Missing miles",IF(A137="","Missing date",""))))</f>
        <v/>
      </c>
      <c r="L137" s="35" t="n"/>
    </row>
    <row r="138">
      <c r="A138" s="40" t="n"/>
      <c r="B138" s="35" t="n"/>
      <c r="C138" s="35" t="n"/>
      <c r="D138" s="35" t="n"/>
      <c r="E138" s="35" t="n"/>
      <c r="F138" s="35" t="n"/>
      <c r="G138" s="61" t="n"/>
      <c r="H138" s="39">
        <f>IF(B138="","",Settings!$B$15)</f>
        <v/>
      </c>
      <c r="I138" s="39">
        <f>IF(B138="","",G138*H138)</f>
        <v/>
      </c>
      <c r="J138" s="9">
        <f>IF(B138="","",IF(C138="","Other",IFERROR(VLOOKUP(C138,Settings!$E$5:$G$28,3,FALSE),"Other")))</f>
        <v/>
      </c>
      <c r="K138" s="9">
        <f>IF(B138="","",IF(COUNTIF(Jobs!$A$5:$A$44,B138)=0,"Unknown Job ID",IF(G138="","Missing miles",IF(A138="","Missing date",""))))</f>
        <v/>
      </c>
      <c r="L138" s="35" t="n"/>
    </row>
    <row r="139">
      <c r="A139" s="40" t="n"/>
      <c r="B139" s="35" t="n"/>
      <c r="C139" s="35" t="n"/>
      <c r="D139" s="35" t="n"/>
      <c r="E139" s="35" t="n"/>
      <c r="F139" s="35" t="n"/>
      <c r="G139" s="61" t="n"/>
      <c r="H139" s="39">
        <f>IF(B139="","",Settings!$B$15)</f>
        <v/>
      </c>
      <c r="I139" s="39">
        <f>IF(B139="","",G139*H139)</f>
        <v/>
      </c>
      <c r="J139" s="9">
        <f>IF(B139="","",IF(C139="","Other",IFERROR(VLOOKUP(C139,Settings!$E$5:$G$28,3,FALSE),"Other")))</f>
        <v/>
      </c>
      <c r="K139" s="9">
        <f>IF(B139="","",IF(COUNTIF(Jobs!$A$5:$A$44,B139)=0,"Unknown Job ID",IF(G139="","Missing miles",IF(A139="","Missing date",""))))</f>
        <v/>
      </c>
      <c r="L139" s="35" t="n"/>
    </row>
    <row r="140">
      <c r="A140" s="40" t="n"/>
      <c r="B140" s="35" t="n"/>
      <c r="C140" s="35" t="n"/>
      <c r="D140" s="35" t="n"/>
      <c r="E140" s="35" t="n"/>
      <c r="F140" s="35" t="n"/>
      <c r="G140" s="61" t="n"/>
      <c r="H140" s="39">
        <f>IF(B140="","",Settings!$B$15)</f>
        <v/>
      </c>
      <c r="I140" s="39">
        <f>IF(B140="","",G140*H140)</f>
        <v/>
      </c>
      <c r="J140" s="9">
        <f>IF(B140="","",IF(C140="","Other",IFERROR(VLOOKUP(C140,Settings!$E$5:$G$28,3,FALSE),"Other")))</f>
        <v/>
      </c>
      <c r="K140" s="9">
        <f>IF(B140="","",IF(COUNTIF(Jobs!$A$5:$A$44,B140)=0,"Unknown Job ID",IF(G140="","Missing miles",IF(A140="","Missing date",""))))</f>
        <v/>
      </c>
      <c r="L140" s="35" t="n"/>
    </row>
    <row r="141">
      <c r="A141" s="40" t="n"/>
      <c r="B141" s="35" t="n"/>
      <c r="C141" s="35" t="n"/>
      <c r="D141" s="35" t="n"/>
      <c r="E141" s="35" t="n"/>
      <c r="F141" s="35" t="n"/>
      <c r="G141" s="61" t="n"/>
      <c r="H141" s="39">
        <f>IF(B141="","",Settings!$B$15)</f>
        <v/>
      </c>
      <c r="I141" s="39">
        <f>IF(B141="","",G141*H141)</f>
        <v/>
      </c>
      <c r="J141" s="9">
        <f>IF(B141="","",IF(C141="","Other",IFERROR(VLOOKUP(C141,Settings!$E$5:$G$28,3,FALSE),"Other")))</f>
        <v/>
      </c>
      <c r="K141" s="9">
        <f>IF(B141="","",IF(COUNTIF(Jobs!$A$5:$A$44,B141)=0,"Unknown Job ID",IF(G141="","Missing miles",IF(A141="","Missing date",""))))</f>
        <v/>
      </c>
      <c r="L141" s="35" t="n"/>
    </row>
    <row r="142">
      <c r="A142" s="40" t="n"/>
      <c r="B142" s="35" t="n"/>
      <c r="C142" s="35" t="n"/>
      <c r="D142" s="35" t="n"/>
      <c r="E142" s="35" t="n"/>
      <c r="F142" s="35" t="n"/>
      <c r="G142" s="61" t="n"/>
      <c r="H142" s="39">
        <f>IF(B142="","",Settings!$B$15)</f>
        <v/>
      </c>
      <c r="I142" s="39">
        <f>IF(B142="","",G142*H142)</f>
        <v/>
      </c>
      <c r="J142" s="9">
        <f>IF(B142="","",IF(C142="","Other",IFERROR(VLOOKUP(C142,Settings!$E$5:$G$28,3,FALSE),"Other")))</f>
        <v/>
      </c>
      <c r="K142" s="9">
        <f>IF(B142="","",IF(COUNTIF(Jobs!$A$5:$A$44,B142)=0,"Unknown Job ID",IF(G142="","Missing miles",IF(A142="","Missing date",""))))</f>
        <v/>
      </c>
      <c r="L142" s="35" t="n"/>
    </row>
    <row r="143">
      <c r="A143" s="40" t="n"/>
      <c r="B143" s="35" t="n"/>
      <c r="C143" s="35" t="n"/>
      <c r="D143" s="35" t="n"/>
      <c r="E143" s="35" t="n"/>
      <c r="F143" s="35" t="n"/>
      <c r="G143" s="61" t="n"/>
      <c r="H143" s="39">
        <f>IF(B143="","",Settings!$B$15)</f>
        <v/>
      </c>
      <c r="I143" s="39">
        <f>IF(B143="","",G143*H143)</f>
        <v/>
      </c>
      <c r="J143" s="9">
        <f>IF(B143="","",IF(C143="","Other",IFERROR(VLOOKUP(C143,Settings!$E$5:$G$28,3,FALSE),"Other")))</f>
        <v/>
      </c>
      <c r="K143" s="9">
        <f>IF(B143="","",IF(COUNTIF(Jobs!$A$5:$A$44,B143)=0,"Unknown Job ID",IF(G143="","Missing miles",IF(A143="","Missing date",""))))</f>
        <v/>
      </c>
      <c r="L143" s="35" t="n"/>
    </row>
    <row r="144">
      <c r="A144" s="40" t="n"/>
      <c r="B144" s="35" t="n"/>
      <c r="C144" s="35" t="n"/>
      <c r="D144" s="35" t="n"/>
      <c r="E144" s="35" t="n"/>
      <c r="F144" s="35" t="n"/>
      <c r="G144" s="61" t="n"/>
      <c r="H144" s="39">
        <f>IF(B144="","",Settings!$B$15)</f>
        <v/>
      </c>
      <c r="I144" s="39">
        <f>IF(B144="","",G144*H144)</f>
        <v/>
      </c>
      <c r="J144" s="9">
        <f>IF(B144="","",IF(C144="","Other",IFERROR(VLOOKUP(C144,Settings!$E$5:$G$28,3,FALSE),"Other")))</f>
        <v/>
      </c>
      <c r="K144" s="9">
        <f>IF(B144="","",IF(COUNTIF(Jobs!$A$5:$A$44,B144)=0,"Unknown Job ID",IF(G144="","Missing miles",IF(A144="","Missing date",""))))</f>
        <v/>
      </c>
      <c r="L144" s="35" t="n"/>
    </row>
    <row r="145">
      <c r="A145" s="40" t="n"/>
      <c r="B145" s="35" t="n"/>
      <c r="C145" s="35" t="n"/>
      <c r="D145" s="35" t="n"/>
      <c r="E145" s="35" t="n"/>
      <c r="F145" s="35" t="n"/>
      <c r="G145" s="61" t="n"/>
      <c r="H145" s="39">
        <f>IF(B145="","",Settings!$B$15)</f>
        <v/>
      </c>
      <c r="I145" s="39">
        <f>IF(B145="","",G145*H145)</f>
        <v/>
      </c>
      <c r="J145" s="9">
        <f>IF(B145="","",IF(C145="","Other",IFERROR(VLOOKUP(C145,Settings!$E$5:$G$28,3,FALSE),"Other")))</f>
        <v/>
      </c>
      <c r="K145" s="9">
        <f>IF(B145="","",IF(COUNTIF(Jobs!$A$5:$A$44,B145)=0,"Unknown Job ID",IF(G145="","Missing miles",IF(A145="","Missing date",""))))</f>
        <v/>
      </c>
      <c r="L145" s="35" t="n"/>
    </row>
    <row r="146">
      <c r="A146" s="40" t="n"/>
      <c r="B146" s="35" t="n"/>
      <c r="C146" s="35" t="n"/>
      <c r="D146" s="35" t="n"/>
      <c r="E146" s="35" t="n"/>
      <c r="F146" s="35" t="n"/>
      <c r="G146" s="61" t="n"/>
      <c r="H146" s="39">
        <f>IF(B146="","",Settings!$B$15)</f>
        <v/>
      </c>
      <c r="I146" s="39">
        <f>IF(B146="","",G146*H146)</f>
        <v/>
      </c>
      <c r="J146" s="9">
        <f>IF(B146="","",IF(C146="","Other",IFERROR(VLOOKUP(C146,Settings!$E$5:$G$28,3,FALSE),"Other")))</f>
        <v/>
      </c>
      <c r="K146" s="9">
        <f>IF(B146="","",IF(COUNTIF(Jobs!$A$5:$A$44,B146)=0,"Unknown Job ID",IF(G146="","Missing miles",IF(A146="","Missing date",""))))</f>
        <v/>
      </c>
      <c r="L146" s="35" t="n"/>
    </row>
    <row r="147">
      <c r="A147" s="40" t="n"/>
      <c r="B147" s="35" t="n"/>
      <c r="C147" s="35" t="n"/>
      <c r="D147" s="35" t="n"/>
      <c r="E147" s="35" t="n"/>
      <c r="F147" s="35" t="n"/>
      <c r="G147" s="61" t="n"/>
      <c r="H147" s="39">
        <f>IF(B147="","",Settings!$B$15)</f>
        <v/>
      </c>
      <c r="I147" s="39">
        <f>IF(B147="","",G147*H147)</f>
        <v/>
      </c>
      <c r="J147" s="9">
        <f>IF(B147="","",IF(C147="","Other",IFERROR(VLOOKUP(C147,Settings!$E$5:$G$28,3,FALSE),"Other")))</f>
        <v/>
      </c>
      <c r="K147" s="9">
        <f>IF(B147="","",IF(COUNTIF(Jobs!$A$5:$A$44,B147)=0,"Unknown Job ID",IF(G147="","Missing miles",IF(A147="","Missing date",""))))</f>
        <v/>
      </c>
      <c r="L147" s="35" t="n"/>
    </row>
    <row r="148">
      <c r="A148" s="40" t="n"/>
      <c r="B148" s="35" t="n"/>
      <c r="C148" s="35" t="n"/>
      <c r="D148" s="35" t="n"/>
      <c r="E148" s="35" t="n"/>
      <c r="F148" s="35" t="n"/>
      <c r="G148" s="61" t="n"/>
      <c r="H148" s="39">
        <f>IF(B148="","",Settings!$B$15)</f>
        <v/>
      </c>
      <c r="I148" s="39">
        <f>IF(B148="","",G148*H148)</f>
        <v/>
      </c>
      <c r="J148" s="9">
        <f>IF(B148="","",IF(C148="","Other",IFERROR(VLOOKUP(C148,Settings!$E$5:$G$28,3,FALSE),"Other")))</f>
        <v/>
      </c>
      <c r="K148" s="9">
        <f>IF(B148="","",IF(COUNTIF(Jobs!$A$5:$A$44,B148)=0,"Unknown Job ID",IF(G148="","Missing miles",IF(A148="","Missing date",""))))</f>
        <v/>
      </c>
      <c r="L148" s="35" t="n"/>
    </row>
    <row r="149">
      <c r="A149" s="40" t="n"/>
      <c r="B149" s="35" t="n"/>
      <c r="C149" s="35" t="n"/>
      <c r="D149" s="35" t="n"/>
      <c r="E149" s="35" t="n"/>
      <c r="F149" s="35" t="n"/>
      <c r="G149" s="61" t="n"/>
      <c r="H149" s="39">
        <f>IF(B149="","",Settings!$B$15)</f>
        <v/>
      </c>
      <c r="I149" s="39">
        <f>IF(B149="","",G149*H149)</f>
        <v/>
      </c>
      <c r="J149" s="9">
        <f>IF(B149="","",IF(C149="","Other",IFERROR(VLOOKUP(C149,Settings!$E$5:$G$28,3,FALSE),"Other")))</f>
        <v/>
      </c>
      <c r="K149" s="9">
        <f>IF(B149="","",IF(COUNTIF(Jobs!$A$5:$A$44,B149)=0,"Unknown Job ID",IF(G149="","Missing miles",IF(A149="","Missing date",""))))</f>
        <v/>
      </c>
      <c r="L149" s="35" t="n"/>
    </row>
    <row r="150">
      <c r="A150" s="40" t="n"/>
      <c r="B150" s="35" t="n"/>
      <c r="C150" s="35" t="n"/>
      <c r="D150" s="35" t="n"/>
      <c r="E150" s="35" t="n"/>
      <c r="F150" s="35" t="n"/>
      <c r="G150" s="61" t="n"/>
      <c r="H150" s="39">
        <f>IF(B150="","",Settings!$B$15)</f>
        <v/>
      </c>
      <c r="I150" s="39">
        <f>IF(B150="","",G150*H150)</f>
        <v/>
      </c>
      <c r="J150" s="9">
        <f>IF(B150="","",IF(C150="","Other",IFERROR(VLOOKUP(C150,Settings!$E$5:$G$28,3,FALSE),"Other")))</f>
        <v/>
      </c>
      <c r="K150" s="9">
        <f>IF(B150="","",IF(COUNTIF(Jobs!$A$5:$A$44,B150)=0,"Unknown Job ID",IF(G150="","Missing miles",IF(A150="","Missing date",""))))</f>
        <v/>
      </c>
      <c r="L150" s="35" t="n"/>
    </row>
    <row r="151">
      <c r="A151" s="40" t="n"/>
      <c r="B151" s="35" t="n"/>
      <c r="C151" s="35" t="n"/>
      <c r="D151" s="35" t="n"/>
      <c r="E151" s="35" t="n"/>
      <c r="F151" s="35" t="n"/>
      <c r="G151" s="61" t="n"/>
      <c r="H151" s="39">
        <f>IF(B151="","",Settings!$B$15)</f>
        <v/>
      </c>
      <c r="I151" s="39">
        <f>IF(B151="","",G151*H151)</f>
        <v/>
      </c>
      <c r="J151" s="9">
        <f>IF(B151="","",IF(C151="","Other",IFERROR(VLOOKUP(C151,Settings!$E$5:$G$28,3,FALSE),"Other")))</f>
        <v/>
      </c>
      <c r="K151" s="9">
        <f>IF(B151="","",IF(COUNTIF(Jobs!$A$5:$A$44,B151)=0,"Unknown Job ID",IF(G151="","Missing miles",IF(A151="","Missing date",""))))</f>
        <v/>
      </c>
      <c r="L151" s="35" t="n"/>
    </row>
    <row r="152">
      <c r="A152" s="40" t="n"/>
      <c r="B152" s="35" t="n"/>
      <c r="C152" s="35" t="n"/>
      <c r="D152" s="35" t="n"/>
      <c r="E152" s="35" t="n"/>
      <c r="F152" s="35" t="n"/>
      <c r="G152" s="61" t="n"/>
      <c r="H152" s="39">
        <f>IF(B152="","",Settings!$B$15)</f>
        <v/>
      </c>
      <c r="I152" s="39">
        <f>IF(B152="","",G152*H152)</f>
        <v/>
      </c>
      <c r="J152" s="9">
        <f>IF(B152="","",IF(C152="","Other",IFERROR(VLOOKUP(C152,Settings!$E$5:$G$28,3,FALSE),"Other")))</f>
        <v/>
      </c>
      <c r="K152" s="9">
        <f>IF(B152="","",IF(COUNTIF(Jobs!$A$5:$A$44,B152)=0,"Unknown Job ID",IF(G152="","Missing miles",IF(A152="","Missing date",""))))</f>
        <v/>
      </c>
      <c r="L152" s="35" t="n"/>
    </row>
    <row r="153">
      <c r="A153" s="40" t="n"/>
      <c r="B153" s="35" t="n"/>
      <c r="C153" s="35" t="n"/>
      <c r="D153" s="35" t="n"/>
      <c r="E153" s="35" t="n"/>
      <c r="F153" s="35" t="n"/>
      <c r="G153" s="61" t="n"/>
      <c r="H153" s="39">
        <f>IF(B153="","",Settings!$B$15)</f>
        <v/>
      </c>
      <c r="I153" s="39">
        <f>IF(B153="","",G153*H153)</f>
        <v/>
      </c>
      <c r="J153" s="9">
        <f>IF(B153="","",IF(C153="","Other",IFERROR(VLOOKUP(C153,Settings!$E$5:$G$28,3,FALSE),"Other")))</f>
        <v/>
      </c>
      <c r="K153" s="9">
        <f>IF(B153="","",IF(COUNTIF(Jobs!$A$5:$A$44,B153)=0,"Unknown Job ID",IF(G153="","Missing miles",IF(A153="","Missing date",""))))</f>
        <v/>
      </c>
      <c r="L153" s="35" t="n"/>
    </row>
    <row r="154">
      <c r="A154" s="40" t="n"/>
      <c r="B154" s="35" t="n"/>
      <c r="C154" s="35" t="n"/>
      <c r="D154" s="35" t="n"/>
      <c r="E154" s="35" t="n"/>
      <c r="F154" s="35" t="n"/>
      <c r="G154" s="61" t="n"/>
      <c r="H154" s="39">
        <f>IF(B154="","",Settings!$B$15)</f>
        <v/>
      </c>
      <c r="I154" s="39">
        <f>IF(B154="","",G154*H154)</f>
        <v/>
      </c>
      <c r="J154" s="9">
        <f>IF(B154="","",IF(C154="","Other",IFERROR(VLOOKUP(C154,Settings!$E$5:$G$28,3,FALSE),"Other")))</f>
        <v/>
      </c>
      <c r="K154" s="9">
        <f>IF(B154="","",IF(COUNTIF(Jobs!$A$5:$A$44,B154)=0,"Unknown Job ID",IF(G154="","Missing miles",IF(A154="","Missing date",""))))</f>
        <v/>
      </c>
      <c r="L154" s="35" t="n"/>
    </row>
    <row r="155">
      <c r="A155" s="40" t="n"/>
      <c r="B155" s="35" t="n"/>
      <c r="C155" s="35" t="n"/>
      <c r="D155" s="35" t="n"/>
      <c r="E155" s="35" t="n"/>
      <c r="F155" s="35" t="n"/>
      <c r="G155" s="61" t="n"/>
      <c r="H155" s="39">
        <f>IF(B155="","",Settings!$B$15)</f>
        <v/>
      </c>
      <c r="I155" s="39">
        <f>IF(B155="","",G155*H155)</f>
        <v/>
      </c>
      <c r="J155" s="9">
        <f>IF(B155="","",IF(C155="","Other",IFERROR(VLOOKUP(C155,Settings!$E$5:$G$28,3,FALSE),"Other")))</f>
        <v/>
      </c>
      <c r="K155" s="9">
        <f>IF(B155="","",IF(COUNTIF(Jobs!$A$5:$A$44,B155)=0,"Unknown Job ID",IF(G155="","Missing miles",IF(A155="","Missing date",""))))</f>
        <v/>
      </c>
      <c r="L155" s="35" t="n"/>
    </row>
    <row r="156">
      <c r="A156" s="40" t="n"/>
      <c r="B156" s="35" t="n"/>
      <c r="C156" s="35" t="n"/>
      <c r="D156" s="35" t="n"/>
      <c r="E156" s="35" t="n"/>
      <c r="F156" s="35" t="n"/>
      <c r="G156" s="61" t="n"/>
      <c r="H156" s="39">
        <f>IF(B156="","",Settings!$B$15)</f>
        <v/>
      </c>
      <c r="I156" s="39">
        <f>IF(B156="","",G156*H156)</f>
        <v/>
      </c>
      <c r="J156" s="9">
        <f>IF(B156="","",IF(C156="","Other",IFERROR(VLOOKUP(C156,Settings!$E$5:$G$28,3,FALSE),"Other")))</f>
        <v/>
      </c>
      <c r="K156" s="9">
        <f>IF(B156="","",IF(COUNTIF(Jobs!$A$5:$A$44,B156)=0,"Unknown Job ID",IF(G156="","Missing miles",IF(A156="","Missing date",""))))</f>
        <v/>
      </c>
      <c r="L156" s="35" t="n"/>
    </row>
    <row r="157">
      <c r="A157" s="40" t="n"/>
      <c r="B157" s="35" t="n"/>
      <c r="C157" s="35" t="n"/>
      <c r="D157" s="35" t="n"/>
      <c r="E157" s="35" t="n"/>
      <c r="F157" s="35" t="n"/>
      <c r="G157" s="61" t="n"/>
      <c r="H157" s="39">
        <f>IF(B157="","",Settings!$B$15)</f>
        <v/>
      </c>
      <c r="I157" s="39">
        <f>IF(B157="","",G157*H157)</f>
        <v/>
      </c>
      <c r="J157" s="9">
        <f>IF(B157="","",IF(C157="","Other",IFERROR(VLOOKUP(C157,Settings!$E$5:$G$28,3,FALSE),"Other")))</f>
        <v/>
      </c>
      <c r="K157" s="9">
        <f>IF(B157="","",IF(COUNTIF(Jobs!$A$5:$A$44,B157)=0,"Unknown Job ID",IF(G157="","Missing miles",IF(A157="","Missing date",""))))</f>
        <v/>
      </c>
      <c r="L157" s="35" t="n"/>
    </row>
    <row r="158">
      <c r="A158" s="40" t="n"/>
      <c r="B158" s="35" t="n"/>
      <c r="C158" s="35" t="n"/>
      <c r="D158" s="35" t="n"/>
      <c r="E158" s="35" t="n"/>
      <c r="F158" s="35" t="n"/>
      <c r="G158" s="61" t="n"/>
      <c r="H158" s="39">
        <f>IF(B158="","",Settings!$B$15)</f>
        <v/>
      </c>
      <c r="I158" s="39">
        <f>IF(B158="","",G158*H158)</f>
        <v/>
      </c>
      <c r="J158" s="9">
        <f>IF(B158="","",IF(C158="","Other",IFERROR(VLOOKUP(C158,Settings!$E$5:$G$28,3,FALSE),"Other")))</f>
        <v/>
      </c>
      <c r="K158" s="9">
        <f>IF(B158="","",IF(COUNTIF(Jobs!$A$5:$A$44,B158)=0,"Unknown Job ID",IF(G158="","Missing miles",IF(A158="","Missing date",""))))</f>
        <v/>
      </c>
      <c r="L158" s="35" t="n"/>
    </row>
    <row r="159">
      <c r="A159" s="40" t="n"/>
      <c r="B159" s="35" t="n"/>
      <c r="C159" s="35" t="n"/>
      <c r="D159" s="35" t="n"/>
      <c r="E159" s="35" t="n"/>
      <c r="F159" s="35" t="n"/>
      <c r="G159" s="61" t="n"/>
      <c r="H159" s="39">
        <f>IF(B159="","",Settings!$B$15)</f>
        <v/>
      </c>
      <c r="I159" s="39">
        <f>IF(B159="","",G159*H159)</f>
        <v/>
      </c>
      <c r="J159" s="9">
        <f>IF(B159="","",IF(C159="","Other",IFERROR(VLOOKUP(C159,Settings!$E$5:$G$28,3,FALSE),"Other")))</f>
        <v/>
      </c>
      <c r="K159" s="9">
        <f>IF(B159="","",IF(COUNTIF(Jobs!$A$5:$A$44,B159)=0,"Unknown Job ID",IF(G159="","Missing miles",IF(A159="","Missing date",""))))</f>
        <v/>
      </c>
      <c r="L159" s="35" t="n"/>
    </row>
    <row r="160">
      <c r="A160" s="40" t="n"/>
      <c r="B160" s="35" t="n"/>
      <c r="C160" s="35" t="n"/>
      <c r="D160" s="35" t="n"/>
      <c r="E160" s="35" t="n"/>
      <c r="F160" s="35" t="n"/>
      <c r="G160" s="61" t="n"/>
      <c r="H160" s="39">
        <f>IF(B160="","",Settings!$B$15)</f>
        <v/>
      </c>
      <c r="I160" s="39">
        <f>IF(B160="","",G160*H160)</f>
        <v/>
      </c>
      <c r="J160" s="9">
        <f>IF(B160="","",IF(C160="","Other",IFERROR(VLOOKUP(C160,Settings!$E$5:$G$28,3,FALSE),"Other")))</f>
        <v/>
      </c>
      <c r="K160" s="9">
        <f>IF(B160="","",IF(COUNTIF(Jobs!$A$5:$A$44,B160)=0,"Unknown Job ID",IF(G160="","Missing miles",IF(A160="","Missing date",""))))</f>
        <v/>
      </c>
      <c r="L160" s="35" t="n"/>
    </row>
    <row r="161">
      <c r="A161" s="40" t="n"/>
      <c r="B161" s="35" t="n"/>
      <c r="C161" s="35" t="n"/>
      <c r="D161" s="35" t="n"/>
      <c r="E161" s="35" t="n"/>
      <c r="F161" s="35" t="n"/>
      <c r="G161" s="61" t="n"/>
      <c r="H161" s="39">
        <f>IF(B161="","",Settings!$B$15)</f>
        <v/>
      </c>
      <c r="I161" s="39">
        <f>IF(B161="","",G161*H161)</f>
        <v/>
      </c>
      <c r="J161" s="9">
        <f>IF(B161="","",IF(C161="","Other",IFERROR(VLOOKUP(C161,Settings!$E$5:$G$28,3,FALSE),"Other")))</f>
        <v/>
      </c>
      <c r="K161" s="9">
        <f>IF(B161="","",IF(COUNTIF(Jobs!$A$5:$A$44,B161)=0,"Unknown Job ID",IF(G161="","Missing miles",IF(A161="","Missing date",""))))</f>
        <v/>
      </c>
      <c r="L161" s="35" t="n"/>
    </row>
    <row r="162">
      <c r="A162" s="40" t="n"/>
      <c r="B162" s="35" t="n"/>
      <c r="C162" s="35" t="n"/>
      <c r="D162" s="35" t="n"/>
      <c r="E162" s="35" t="n"/>
      <c r="F162" s="35" t="n"/>
      <c r="G162" s="61" t="n"/>
      <c r="H162" s="39">
        <f>IF(B162="","",Settings!$B$15)</f>
        <v/>
      </c>
      <c r="I162" s="39">
        <f>IF(B162="","",G162*H162)</f>
        <v/>
      </c>
      <c r="J162" s="9">
        <f>IF(B162="","",IF(C162="","Other",IFERROR(VLOOKUP(C162,Settings!$E$5:$G$28,3,FALSE),"Other")))</f>
        <v/>
      </c>
      <c r="K162" s="9">
        <f>IF(B162="","",IF(COUNTIF(Jobs!$A$5:$A$44,B162)=0,"Unknown Job ID",IF(G162="","Missing miles",IF(A162="","Missing date",""))))</f>
        <v/>
      </c>
      <c r="L162" s="35" t="n"/>
    </row>
    <row r="163">
      <c r="A163" s="40" t="n"/>
      <c r="B163" s="35" t="n"/>
      <c r="C163" s="35" t="n"/>
      <c r="D163" s="35" t="n"/>
      <c r="E163" s="35" t="n"/>
      <c r="F163" s="35" t="n"/>
      <c r="G163" s="61" t="n"/>
      <c r="H163" s="39">
        <f>IF(B163="","",Settings!$B$15)</f>
        <v/>
      </c>
      <c r="I163" s="39">
        <f>IF(B163="","",G163*H163)</f>
        <v/>
      </c>
      <c r="J163" s="9">
        <f>IF(B163="","",IF(C163="","Other",IFERROR(VLOOKUP(C163,Settings!$E$5:$G$28,3,FALSE),"Other")))</f>
        <v/>
      </c>
      <c r="K163" s="9">
        <f>IF(B163="","",IF(COUNTIF(Jobs!$A$5:$A$44,B163)=0,"Unknown Job ID",IF(G163="","Missing miles",IF(A163="","Missing date",""))))</f>
        <v/>
      </c>
      <c r="L163" s="35" t="n"/>
    </row>
    <row r="164">
      <c r="A164" s="40" t="n"/>
      <c r="B164" s="35" t="n"/>
      <c r="C164" s="35" t="n"/>
      <c r="D164" s="35" t="n"/>
      <c r="E164" s="35" t="n"/>
      <c r="F164" s="35" t="n"/>
      <c r="G164" s="61" t="n"/>
      <c r="H164" s="39">
        <f>IF(B164="","",Settings!$B$15)</f>
        <v/>
      </c>
      <c r="I164" s="39">
        <f>IF(B164="","",G164*H164)</f>
        <v/>
      </c>
      <c r="J164" s="9">
        <f>IF(B164="","",IF(C164="","Other",IFERROR(VLOOKUP(C164,Settings!$E$5:$G$28,3,FALSE),"Other")))</f>
        <v/>
      </c>
      <c r="K164" s="9">
        <f>IF(B164="","",IF(COUNTIF(Jobs!$A$5:$A$44,B164)=0,"Unknown Job ID",IF(G164="","Missing miles",IF(A164="","Missing date",""))))</f>
        <v/>
      </c>
      <c r="L164" s="35" t="n"/>
    </row>
    <row r="165">
      <c r="A165" s="40" t="n"/>
      <c r="B165" s="35" t="n"/>
      <c r="C165" s="35" t="n"/>
      <c r="D165" s="35" t="n"/>
      <c r="E165" s="35" t="n"/>
      <c r="F165" s="35" t="n"/>
      <c r="G165" s="61" t="n"/>
      <c r="H165" s="39">
        <f>IF(B165="","",Settings!$B$15)</f>
        <v/>
      </c>
      <c r="I165" s="39">
        <f>IF(B165="","",G165*H165)</f>
        <v/>
      </c>
      <c r="J165" s="9">
        <f>IF(B165="","",IF(C165="","Other",IFERROR(VLOOKUP(C165,Settings!$E$5:$G$28,3,FALSE),"Other")))</f>
        <v/>
      </c>
      <c r="K165" s="9">
        <f>IF(B165="","",IF(COUNTIF(Jobs!$A$5:$A$44,B165)=0,"Unknown Job ID",IF(G165="","Missing miles",IF(A165="","Missing date",""))))</f>
        <v/>
      </c>
      <c r="L165" s="35" t="n"/>
    </row>
    <row r="166">
      <c r="A166" s="40" t="n"/>
      <c r="B166" s="35" t="n"/>
      <c r="C166" s="35" t="n"/>
      <c r="D166" s="35" t="n"/>
      <c r="E166" s="35" t="n"/>
      <c r="F166" s="35" t="n"/>
      <c r="G166" s="61" t="n"/>
      <c r="H166" s="39">
        <f>IF(B166="","",Settings!$B$15)</f>
        <v/>
      </c>
      <c r="I166" s="39">
        <f>IF(B166="","",G166*H166)</f>
        <v/>
      </c>
      <c r="J166" s="9">
        <f>IF(B166="","",IF(C166="","Other",IFERROR(VLOOKUP(C166,Settings!$E$5:$G$28,3,FALSE),"Other")))</f>
        <v/>
      </c>
      <c r="K166" s="9">
        <f>IF(B166="","",IF(COUNTIF(Jobs!$A$5:$A$44,B166)=0,"Unknown Job ID",IF(G166="","Missing miles",IF(A166="","Missing date",""))))</f>
        <v/>
      </c>
      <c r="L166" s="35" t="n"/>
    </row>
    <row r="167">
      <c r="A167" s="40" t="n"/>
      <c r="B167" s="35" t="n"/>
      <c r="C167" s="35" t="n"/>
      <c r="D167" s="35" t="n"/>
      <c r="E167" s="35" t="n"/>
      <c r="F167" s="35" t="n"/>
      <c r="G167" s="61" t="n"/>
      <c r="H167" s="39">
        <f>IF(B167="","",Settings!$B$15)</f>
        <v/>
      </c>
      <c r="I167" s="39">
        <f>IF(B167="","",G167*H167)</f>
        <v/>
      </c>
      <c r="J167" s="9">
        <f>IF(B167="","",IF(C167="","Other",IFERROR(VLOOKUP(C167,Settings!$E$5:$G$28,3,FALSE),"Other")))</f>
        <v/>
      </c>
      <c r="K167" s="9">
        <f>IF(B167="","",IF(COUNTIF(Jobs!$A$5:$A$44,B167)=0,"Unknown Job ID",IF(G167="","Missing miles",IF(A167="","Missing date",""))))</f>
        <v/>
      </c>
      <c r="L167" s="35" t="n"/>
    </row>
    <row r="168">
      <c r="A168" s="40" t="n"/>
      <c r="B168" s="35" t="n"/>
      <c r="C168" s="35" t="n"/>
      <c r="D168" s="35" t="n"/>
      <c r="E168" s="35" t="n"/>
      <c r="F168" s="35" t="n"/>
      <c r="G168" s="61" t="n"/>
      <c r="H168" s="39">
        <f>IF(B168="","",Settings!$B$15)</f>
        <v/>
      </c>
      <c r="I168" s="39">
        <f>IF(B168="","",G168*H168)</f>
        <v/>
      </c>
      <c r="J168" s="9">
        <f>IF(B168="","",IF(C168="","Other",IFERROR(VLOOKUP(C168,Settings!$E$5:$G$28,3,FALSE),"Other")))</f>
        <v/>
      </c>
      <c r="K168" s="9">
        <f>IF(B168="","",IF(COUNTIF(Jobs!$A$5:$A$44,B168)=0,"Unknown Job ID",IF(G168="","Missing miles",IF(A168="","Missing date",""))))</f>
        <v/>
      </c>
      <c r="L168" s="35" t="n"/>
    </row>
    <row r="169">
      <c r="A169" s="40" t="n"/>
      <c r="B169" s="35" t="n"/>
      <c r="C169" s="35" t="n"/>
      <c r="D169" s="35" t="n"/>
      <c r="E169" s="35" t="n"/>
      <c r="F169" s="35" t="n"/>
      <c r="G169" s="61" t="n"/>
      <c r="H169" s="39">
        <f>IF(B169="","",Settings!$B$15)</f>
        <v/>
      </c>
      <c r="I169" s="39">
        <f>IF(B169="","",G169*H169)</f>
        <v/>
      </c>
      <c r="J169" s="9">
        <f>IF(B169="","",IF(C169="","Other",IFERROR(VLOOKUP(C169,Settings!$E$5:$G$28,3,FALSE),"Other")))</f>
        <v/>
      </c>
      <c r="K169" s="9">
        <f>IF(B169="","",IF(COUNTIF(Jobs!$A$5:$A$44,B169)=0,"Unknown Job ID",IF(G169="","Missing miles",IF(A169="","Missing date",""))))</f>
        <v/>
      </c>
      <c r="L169" s="35" t="n"/>
    </row>
    <row r="170">
      <c r="A170" s="40" t="n"/>
      <c r="B170" s="35" t="n"/>
      <c r="C170" s="35" t="n"/>
      <c r="D170" s="35" t="n"/>
      <c r="E170" s="35" t="n"/>
      <c r="F170" s="35" t="n"/>
      <c r="G170" s="61" t="n"/>
      <c r="H170" s="39">
        <f>IF(B170="","",Settings!$B$15)</f>
        <v/>
      </c>
      <c r="I170" s="39">
        <f>IF(B170="","",G170*H170)</f>
        <v/>
      </c>
      <c r="J170" s="9">
        <f>IF(B170="","",IF(C170="","Other",IFERROR(VLOOKUP(C170,Settings!$E$5:$G$28,3,FALSE),"Other")))</f>
        <v/>
      </c>
      <c r="K170" s="9">
        <f>IF(B170="","",IF(COUNTIF(Jobs!$A$5:$A$44,B170)=0,"Unknown Job ID",IF(G170="","Missing miles",IF(A170="","Missing date",""))))</f>
        <v/>
      </c>
      <c r="L170" s="35" t="n"/>
    </row>
    <row r="171">
      <c r="A171" s="40" t="n"/>
      <c r="B171" s="35" t="n"/>
      <c r="C171" s="35" t="n"/>
      <c r="D171" s="35" t="n"/>
      <c r="E171" s="35" t="n"/>
      <c r="F171" s="35" t="n"/>
      <c r="G171" s="61" t="n"/>
      <c r="H171" s="39">
        <f>IF(B171="","",Settings!$B$15)</f>
        <v/>
      </c>
      <c r="I171" s="39">
        <f>IF(B171="","",G171*H171)</f>
        <v/>
      </c>
      <c r="J171" s="9">
        <f>IF(B171="","",IF(C171="","Other",IFERROR(VLOOKUP(C171,Settings!$E$5:$G$28,3,FALSE),"Other")))</f>
        <v/>
      </c>
      <c r="K171" s="9">
        <f>IF(B171="","",IF(COUNTIF(Jobs!$A$5:$A$44,B171)=0,"Unknown Job ID",IF(G171="","Missing miles",IF(A171="","Missing date",""))))</f>
        <v/>
      </c>
      <c r="L171" s="35" t="n"/>
    </row>
    <row r="172">
      <c r="A172" s="40" t="n"/>
      <c r="B172" s="35" t="n"/>
      <c r="C172" s="35" t="n"/>
      <c r="D172" s="35" t="n"/>
      <c r="E172" s="35" t="n"/>
      <c r="F172" s="35" t="n"/>
      <c r="G172" s="61" t="n"/>
      <c r="H172" s="39">
        <f>IF(B172="","",Settings!$B$15)</f>
        <v/>
      </c>
      <c r="I172" s="39">
        <f>IF(B172="","",G172*H172)</f>
        <v/>
      </c>
      <c r="J172" s="9">
        <f>IF(B172="","",IF(C172="","Other",IFERROR(VLOOKUP(C172,Settings!$E$5:$G$28,3,FALSE),"Other")))</f>
        <v/>
      </c>
      <c r="K172" s="9">
        <f>IF(B172="","",IF(COUNTIF(Jobs!$A$5:$A$44,B172)=0,"Unknown Job ID",IF(G172="","Missing miles",IF(A172="","Missing date",""))))</f>
        <v/>
      </c>
      <c r="L172" s="35" t="n"/>
    </row>
    <row r="173">
      <c r="A173" s="40" t="n"/>
      <c r="B173" s="35" t="n"/>
      <c r="C173" s="35" t="n"/>
      <c r="D173" s="35" t="n"/>
      <c r="E173" s="35" t="n"/>
      <c r="F173" s="35" t="n"/>
      <c r="G173" s="61" t="n"/>
      <c r="H173" s="39">
        <f>IF(B173="","",Settings!$B$15)</f>
        <v/>
      </c>
      <c r="I173" s="39">
        <f>IF(B173="","",G173*H173)</f>
        <v/>
      </c>
      <c r="J173" s="9">
        <f>IF(B173="","",IF(C173="","Other",IFERROR(VLOOKUP(C173,Settings!$E$5:$G$28,3,FALSE),"Other")))</f>
        <v/>
      </c>
      <c r="K173" s="9">
        <f>IF(B173="","",IF(COUNTIF(Jobs!$A$5:$A$44,B173)=0,"Unknown Job ID",IF(G173="","Missing miles",IF(A173="","Missing date",""))))</f>
        <v/>
      </c>
      <c r="L173" s="35" t="n"/>
    </row>
    <row r="174">
      <c r="A174" s="40" t="n"/>
      <c r="B174" s="35" t="n"/>
      <c r="C174" s="35" t="n"/>
      <c r="D174" s="35" t="n"/>
      <c r="E174" s="35" t="n"/>
      <c r="F174" s="35" t="n"/>
      <c r="G174" s="61" t="n"/>
      <c r="H174" s="39">
        <f>IF(B174="","",Settings!$B$15)</f>
        <v/>
      </c>
      <c r="I174" s="39">
        <f>IF(B174="","",G174*H174)</f>
        <v/>
      </c>
      <c r="J174" s="9">
        <f>IF(B174="","",IF(C174="","Other",IFERROR(VLOOKUP(C174,Settings!$E$5:$G$28,3,FALSE),"Other")))</f>
        <v/>
      </c>
      <c r="K174" s="9">
        <f>IF(B174="","",IF(COUNTIF(Jobs!$A$5:$A$44,B174)=0,"Unknown Job ID",IF(G174="","Missing miles",IF(A174="","Missing date",""))))</f>
        <v/>
      </c>
      <c r="L174" s="35" t="n"/>
    </row>
    <row r="175">
      <c r="A175" s="40" t="n"/>
      <c r="B175" s="35" t="n"/>
      <c r="C175" s="35" t="n"/>
      <c r="D175" s="35" t="n"/>
      <c r="E175" s="35" t="n"/>
      <c r="F175" s="35" t="n"/>
      <c r="G175" s="61" t="n"/>
      <c r="H175" s="39">
        <f>IF(B175="","",Settings!$B$15)</f>
        <v/>
      </c>
      <c r="I175" s="39">
        <f>IF(B175="","",G175*H175)</f>
        <v/>
      </c>
      <c r="J175" s="9">
        <f>IF(B175="","",IF(C175="","Other",IFERROR(VLOOKUP(C175,Settings!$E$5:$G$28,3,FALSE),"Other")))</f>
        <v/>
      </c>
      <c r="K175" s="9">
        <f>IF(B175="","",IF(COUNTIF(Jobs!$A$5:$A$44,B175)=0,"Unknown Job ID",IF(G175="","Missing miles",IF(A175="","Missing date",""))))</f>
        <v/>
      </c>
      <c r="L175" s="35" t="n"/>
    </row>
    <row r="176">
      <c r="A176" s="40" t="n"/>
      <c r="B176" s="35" t="n"/>
      <c r="C176" s="35" t="n"/>
      <c r="D176" s="35" t="n"/>
      <c r="E176" s="35" t="n"/>
      <c r="F176" s="35" t="n"/>
      <c r="G176" s="61" t="n"/>
      <c r="H176" s="39">
        <f>IF(B176="","",Settings!$B$15)</f>
        <v/>
      </c>
      <c r="I176" s="39">
        <f>IF(B176="","",G176*H176)</f>
        <v/>
      </c>
      <c r="J176" s="9">
        <f>IF(B176="","",IF(C176="","Other",IFERROR(VLOOKUP(C176,Settings!$E$5:$G$28,3,FALSE),"Other")))</f>
        <v/>
      </c>
      <c r="K176" s="9">
        <f>IF(B176="","",IF(COUNTIF(Jobs!$A$5:$A$44,B176)=0,"Unknown Job ID",IF(G176="","Missing miles",IF(A176="","Missing date",""))))</f>
        <v/>
      </c>
      <c r="L176" s="35" t="n"/>
    </row>
    <row r="177">
      <c r="A177" s="40" t="n"/>
      <c r="B177" s="35" t="n"/>
      <c r="C177" s="35" t="n"/>
      <c r="D177" s="35" t="n"/>
      <c r="E177" s="35" t="n"/>
      <c r="F177" s="35" t="n"/>
      <c r="G177" s="61" t="n"/>
      <c r="H177" s="39">
        <f>IF(B177="","",Settings!$B$15)</f>
        <v/>
      </c>
      <c r="I177" s="39">
        <f>IF(B177="","",G177*H177)</f>
        <v/>
      </c>
      <c r="J177" s="9">
        <f>IF(B177="","",IF(C177="","Other",IFERROR(VLOOKUP(C177,Settings!$E$5:$G$28,3,FALSE),"Other")))</f>
        <v/>
      </c>
      <c r="K177" s="9">
        <f>IF(B177="","",IF(COUNTIF(Jobs!$A$5:$A$44,B177)=0,"Unknown Job ID",IF(G177="","Missing miles",IF(A177="","Missing date",""))))</f>
        <v/>
      </c>
      <c r="L177" s="35" t="n"/>
    </row>
    <row r="178">
      <c r="A178" s="40" t="n"/>
      <c r="B178" s="35" t="n"/>
      <c r="C178" s="35" t="n"/>
      <c r="D178" s="35" t="n"/>
      <c r="E178" s="35" t="n"/>
      <c r="F178" s="35" t="n"/>
      <c r="G178" s="61" t="n"/>
      <c r="H178" s="39">
        <f>IF(B178="","",Settings!$B$15)</f>
        <v/>
      </c>
      <c r="I178" s="39">
        <f>IF(B178="","",G178*H178)</f>
        <v/>
      </c>
      <c r="J178" s="9">
        <f>IF(B178="","",IF(C178="","Other",IFERROR(VLOOKUP(C178,Settings!$E$5:$G$28,3,FALSE),"Other")))</f>
        <v/>
      </c>
      <c r="K178" s="9">
        <f>IF(B178="","",IF(COUNTIF(Jobs!$A$5:$A$44,B178)=0,"Unknown Job ID",IF(G178="","Missing miles",IF(A178="","Missing date",""))))</f>
        <v/>
      </c>
      <c r="L178" s="35" t="n"/>
    </row>
    <row r="179">
      <c r="A179" s="40" t="n"/>
      <c r="B179" s="35" t="n"/>
      <c r="C179" s="35" t="n"/>
      <c r="D179" s="35" t="n"/>
      <c r="E179" s="35" t="n"/>
      <c r="F179" s="35" t="n"/>
      <c r="G179" s="61" t="n"/>
      <c r="H179" s="39">
        <f>IF(B179="","",Settings!$B$15)</f>
        <v/>
      </c>
      <c r="I179" s="39">
        <f>IF(B179="","",G179*H179)</f>
        <v/>
      </c>
      <c r="J179" s="9">
        <f>IF(B179="","",IF(C179="","Other",IFERROR(VLOOKUP(C179,Settings!$E$5:$G$28,3,FALSE),"Other")))</f>
        <v/>
      </c>
      <c r="K179" s="9">
        <f>IF(B179="","",IF(COUNTIF(Jobs!$A$5:$A$44,B179)=0,"Unknown Job ID",IF(G179="","Missing miles",IF(A179="","Missing date",""))))</f>
        <v/>
      </c>
      <c r="L179" s="35" t="n"/>
    </row>
    <row r="180">
      <c r="A180" s="40" t="n"/>
      <c r="B180" s="35" t="n"/>
      <c r="C180" s="35" t="n"/>
      <c r="D180" s="35" t="n"/>
      <c r="E180" s="35" t="n"/>
      <c r="F180" s="35" t="n"/>
      <c r="G180" s="61" t="n"/>
      <c r="H180" s="39">
        <f>IF(B180="","",Settings!$B$15)</f>
        <v/>
      </c>
      <c r="I180" s="39">
        <f>IF(B180="","",G180*H180)</f>
        <v/>
      </c>
      <c r="J180" s="9">
        <f>IF(B180="","",IF(C180="","Other",IFERROR(VLOOKUP(C180,Settings!$E$5:$G$28,3,FALSE),"Other")))</f>
        <v/>
      </c>
      <c r="K180" s="9">
        <f>IF(B180="","",IF(COUNTIF(Jobs!$A$5:$A$44,B180)=0,"Unknown Job ID",IF(G180="","Missing miles",IF(A180="","Missing date",""))))</f>
        <v/>
      </c>
      <c r="L180" s="35" t="n"/>
    </row>
    <row r="181">
      <c r="A181" s="40" t="n"/>
      <c r="B181" s="35" t="n"/>
      <c r="C181" s="35" t="n"/>
      <c r="D181" s="35" t="n"/>
      <c r="E181" s="35" t="n"/>
      <c r="F181" s="35" t="n"/>
      <c r="G181" s="61" t="n"/>
      <c r="H181" s="39">
        <f>IF(B181="","",Settings!$B$15)</f>
        <v/>
      </c>
      <c r="I181" s="39">
        <f>IF(B181="","",G181*H181)</f>
        <v/>
      </c>
      <c r="J181" s="9">
        <f>IF(B181="","",IF(C181="","Other",IFERROR(VLOOKUP(C181,Settings!$E$5:$G$28,3,FALSE),"Other")))</f>
        <v/>
      </c>
      <c r="K181" s="9">
        <f>IF(B181="","",IF(COUNTIF(Jobs!$A$5:$A$44,B181)=0,"Unknown Job ID",IF(G181="","Missing miles",IF(A181="","Missing date",""))))</f>
        <v/>
      </c>
      <c r="L181" s="35" t="n"/>
    </row>
    <row r="182">
      <c r="A182" s="40" t="n"/>
      <c r="B182" s="35" t="n"/>
      <c r="C182" s="35" t="n"/>
      <c r="D182" s="35" t="n"/>
      <c r="E182" s="35" t="n"/>
      <c r="F182" s="35" t="n"/>
      <c r="G182" s="61" t="n"/>
      <c r="H182" s="39">
        <f>IF(B182="","",Settings!$B$15)</f>
        <v/>
      </c>
      <c r="I182" s="39">
        <f>IF(B182="","",G182*H182)</f>
        <v/>
      </c>
      <c r="J182" s="9">
        <f>IF(B182="","",IF(C182="","Other",IFERROR(VLOOKUP(C182,Settings!$E$5:$G$28,3,FALSE),"Other")))</f>
        <v/>
      </c>
      <c r="K182" s="9">
        <f>IF(B182="","",IF(COUNTIF(Jobs!$A$5:$A$44,B182)=0,"Unknown Job ID",IF(G182="","Missing miles",IF(A182="","Missing date",""))))</f>
        <v/>
      </c>
      <c r="L182" s="35" t="n"/>
    </row>
    <row r="183">
      <c r="A183" s="40" t="n"/>
      <c r="B183" s="35" t="n"/>
      <c r="C183" s="35" t="n"/>
      <c r="D183" s="35" t="n"/>
      <c r="E183" s="35" t="n"/>
      <c r="F183" s="35" t="n"/>
      <c r="G183" s="61" t="n"/>
      <c r="H183" s="39">
        <f>IF(B183="","",Settings!$B$15)</f>
        <v/>
      </c>
      <c r="I183" s="39">
        <f>IF(B183="","",G183*H183)</f>
        <v/>
      </c>
      <c r="J183" s="9">
        <f>IF(B183="","",IF(C183="","Other",IFERROR(VLOOKUP(C183,Settings!$E$5:$G$28,3,FALSE),"Other")))</f>
        <v/>
      </c>
      <c r="K183" s="9">
        <f>IF(B183="","",IF(COUNTIF(Jobs!$A$5:$A$44,B183)=0,"Unknown Job ID",IF(G183="","Missing miles",IF(A183="","Missing date",""))))</f>
        <v/>
      </c>
      <c r="L183" s="35" t="n"/>
    </row>
    <row r="184">
      <c r="A184" s="40" t="n"/>
      <c r="B184" s="35" t="n"/>
      <c r="C184" s="35" t="n"/>
      <c r="D184" s="35" t="n"/>
      <c r="E184" s="35" t="n"/>
      <c r="F184" s="35" t="n"/>
      <c r="G184" s="61" t="n"/>
      <c r="H184" s="39">
        <f>IF(B184="","",Settings!$B$15)</f>
        <v/>
      </c>
      <c r="I184" s="39">
        <f>IF(B184="","",G184*H184)</f>
        <v/>
      </c>
      <c r="J184" s="9">
        <f>IF(B184="","",IF(C184="","Other",IFERROR(VLOOKUP(C184,Settings!$E$5:$G$28,3,FALSE),"Other")))</f>
        <v/>
      </c>
      <c r="K184" s="9">
        <f>IF(B184="","",IF(COUNTIF(Jobs!$A$5:$A$44,B184)=0,"Unknown Job ID",IF(G184="","Missing miles",IF(A184="","Missing date",""))))</f>
        <v/>
      </c>
      <c r="L184" s="35" t="n"/>
    </row>
    <row r="185">
      <c r="A185" s="40" t="n"/>
      <c r="B185" s="35" t="n"/>
      <c r="C185" s="35" t="n"/>
      <c r="D185" s="35" t="n"/>
      <c r="E185" s="35" t="n"/>
      <c r="F185" s="35" t="n"/>
      <c r="G185" s="61" t="n"/>
      <c r="H185" s="39">
        <f>IF(B185="","",Settings!$B$15)</f>
        <v/>
      </c>
      <c r="I185" s="39">
        <f>IF(B185="","",G185*H185)</f>
        <v/>
      </c>
      <c r="J185" s="9">
        <f>IF(B185="","",IF(C185="","Other",IFERROR(VLOOKUP(C185,Settings!$E$5:$G$28,3,FALSE),"Other")))</f>
        <v/>
      </c>
      <c r="K185" s="9">
        <f>IF(B185="","",IF(COUNTIF(Jobs!$A$5:$A$44,B185)=0,"Unknown Job ID",IF(G185="","Missing miles",IF(A185="","Missing date",""))))</f>
        <v/>
      </c>
      <c r="L185" s="35" t="n"/>
    </row>
    <row r="186">
      <c r="A186" s="40" t="n"/>
      <c r="B186" s="35" t="n"/>
      <c r="C186" s="35" t="n"/>
      <c r="D186" s="35" t="n"/>
      <c r="E186" s="35" t="n"/>
      <c r="F186" s="35" t="n"/>
      <c r="G186" s="61" t="n"/>
      <c r="H186" s="39">
        <f>IF(B186="","",Settings!$B$15)</f>
        <v/>
      </c>
      <c r="I186" s="39">
        <f>IF(B186="","",G186*H186)</f>
        <v/>
      </c>
      <c r="J186" s="9">
        <f>IF(B186="","",IF(C186="","Other",IFERROR(VLOOKUP(C186,Settings!$E$5:$G$28,3,FALSE),"Other")))</f>
        <v/>
      </c>
      <c r="K186" s="9">
        <f>IF(B186="","",IF(COUNTIF(Jobs!$A$5:$A$44,B186)=0,"Unknown Job ID",IF(G186="","Missing miles",IF(A186="","Missing date",""))))</f>
        <v/>
      </c>
      <c r="L186" s="35" t="n"/>
    </row>
    <row r="187">
      <c r="A187" s="40" t="n"/>
      <c r="B187" s="35" t="n"/>
      <c r="C187" s="35" t="n"/>
      <c r="D187" s="35" t="n"/>
      <c r="E187" s="35" t="n"/>
      <c r="F187" s="35" t="n"/>
      <c r="G187" s="61" t="n"/>
      <c r="H187" s="39">
        <f>IF(B187="","",Settings!$B$15)</f>
        <v/>
      </c>
      <c r="I187" s="39">
        <f>IF(B187="","",G187*H187)</f>
        <v/>
      </c>
      <c r="J187" s="9">
        <f>IF(B187="","",IF(C187="","Other",IFERROR(VLOOKUP(C187,Settings!$E$5:$G$28,3,FALSE),"Other")))</f>
        <v/>
      </c>
      <c r="K187" s="9">
        <f>IF(B187="","",IF(COUNTIF(Jobs!$A$5:$A$44,B187)=0,"Unknown Job ID",IF(G187="","Missing miles",IF(A187="","Missing date",""))))</f>
        <v/>
      </c>
      <c r="L187" s="35" t="n"/>
    </row>
    <row r="188">
      <c r="A188" s="40" t="n"/>
      <c r="B188" s="35" t="n"/>
      <c r="C188" s="35" t="n"/>
      <c r="D188" s="35" t="n"/>
      <c r="E188" s="35" t="n"/>
      <c r="F188" s="35" t="n"/>
      <c r="G188" s="61" t="n"/>
      <c r="H188" s="39">
        <f>IF(B188="","",Settings!$B$15)</f>
        <v/>
      </c>
      <c r="I188" s="39">
        <f>IF(B188="","",G188*H188)</f>
        <v/>
      </c>
      <c r="J188" s="9">
        <f>IF(B188="","",IF(C188="","Other",IFERROR(VLOOKUP(C188,Settings!$E$5:$G$28,3,FALSE),"Other")))</f>
        <v/>
      </c>
      <c r="K188" s="9">
        <f>IF(B188="","",IF(COUNTIF(Jobs!$A$5:$A$44,B188)=0,"Unknown Job ID",IF(G188="","Missing miles",IF(A188="","Missing date",""))))</f>
        <v/>
      </c>
      <c r="L188" s="35" t="n"/>
    </row>
    <row r="189">
      <c r="A189" s="40" t="n"/>
      <c r="B189" s="35" t="n"/>
      <c r="C189" s="35" t="n"/>
      <c r="D189" s="35" t="n"/>
      <c r="E189" s="35" t="n"/>
      <c r="F189" s="35" t="n"/>
      <c r="G189" s="61" t="n"/>
      <c r="H189" s="39">
        <f>IF(B189="","",Settings!$B$15)</f>
        <v/>
      </c>
      <c r="I189" s="39">
        <f>IF(B189="","",G189*H189)</f>
        <v/>
      </c>
      <c r="J189" s="9">
        <f>IF(B189="","",IF(C189="","Other",IFERROR(VLOOKUP(C189,Settings!$E$5:$G$28,3,FALSE),"Other")))</f>
        <v/>
      </c>
      <c r="K189" s="9">
        <f>IF(B189="","",IF(COUNTIF(Jobs!$A$5:$A$44,B189)=0,"Unknown Job ID",IF(G189="","Missing miles",IF(A189="","Missing date",""))))</f>
        <v/>
      </c>
      <c r="L189" s="35" t="n"/>
    </row>
    <row r="190">
      <c r="A190" s="40" t="n"/>
      <c r="B190" s="35" t="n"/>
      <c r="C190" s="35" t="n"/>
      <c r="D190" s="35" t="n"/>
      <c r="E190" s="35" t="n"/>
      <c r="F190" s="35" t="n"/>
      <c r="G190" s="61" t="n"/>
      <c r="H190" s="39">
        <f>IF(B190="","",Settings!$B$15)</f>
        <v/>
      </c>
      <c r="I190" s="39">
        <f>IF(B190="","",G190*H190)</f>
        <v/>
      </c>
      <c r="J190" s="9">
        <f>IF(B190="","",IF(C190="","Other",IFERROR(VLOOKUP(C190,Settings!$E$5:$G$28,3,FALSE),"Other")))</f>
        <v/>
      </c>
      <c r="K190" s="9">
        <f>IF(B190="","",IF(COUNTIF(Jobs!$A$5:$A$44,B190)=0,"Unknown Job ID",IF(G190="","Missing miles",IF(A190="","Missing date",""))))</f>
        <v/>
      </c>
      <c r="L190" s="35" t="n"/>
    </row>
    <row r="191">
      <c r="A191" s="40" t="n"/>
      <c r="B191" s="35" t="n"/>
      <c r="C191" s="35" t="n"/>
      <c r="D191" s="35" t="n"/>
      <c r="E191" s="35" t="n"/>
      <c r="F191" s="35" t="n"/>
      <c r="G191" s="61" t="n"/>
      <c r="H191" s="39">
        <f>IF(B191="","",Settings!$B$15)</f>
        <v/>
      </c>
      <c r="I191" s="39">
        <f>IF(B191="","",G191*H191)</f>
        <v/>
      </c>
      <c r="J191" s="9">
        <f>IF(B191="","",IF(C191="","Other",IFERROR(VLOOKUP(C191,Settings!$E$5:$G$28,3,FALSE),"Other")))</f>
        <v/>
      </c>
      <c r="K191" s="9">
        <f>IF(B191="","",IF(COUNTIF(Jobs!$A$5:$A$44,B191)=0,"Unknown Job ID",IF(G191="","Missing miles",IF(A191="","Missing date",""))))</f>
        <v/>
      </c>
      <c r="L191" s="35" t="n"/>
    </row>
    <row r="192">
      <c r="A192" s="40" t="n"/>
      <c r="B192" s="35" t="n"/>
      <c r="C192" s="35" t="n"/>
      <c r="D192" s="35" t="n"/>
      <c r="E192" s="35" t="n"/>
      <c r="F192" s="35" t="n"/>
      <c r="G192" s="61" t="n"/>
      <c r="H192" s="39">
        <f>IF(B192="","",Settings!$B$15)</f>
        <v/>
      </c>
      <c r="I192" s="39">
        <f>IF(B192="","",G192*H192)</f>
        <v/>
      </c>
      <c r="J192" s="9">
        <f>IF(B192="","",IF(C192="","Other",IFERROR(VLOOKUP(C192,Settings!$E$5:$G$28,3,FALSE),"Other")))</f>
        <v/>
      </c>
      <c r="K192" s="9">
        <f>IF(B192="","",IF(COUNTIF(Jobs!$A$5:$A$44,B192)=0,"Unknown Job ID",IF(G192="","Missing miles",IF(A192="","Missing date",""))))</f>
        <v/>
      </c>
      <c r="L192" s="35" t="n"/>
    </row>
    <row r="193">
      <c r="A193" s="40" t="n"/>
      <c r="B193" s="35" t="n"/>
      <c r="C193" s="35" t="n"/>
      <c r="D193" s="35" t="n"/>
      <c r="E193" s="35" t="n"/>
      <c r="F193" s="35" t="n"/>
      <c r="G193" s="61" t="n"/>
      <c r="H193" s="39">
        <f>IF(B193="","",Settings!$B$15)</f>
        <v/>
      </c>
      <c r="I193" s="39">
        <f>IF(B193="","",G193*H193)</f>
        <v/>
      </c>
      <c r="J193" s="9">
        <f>IF(B193="","",IF(C193="","Other",IFERROR(VLOOKUP(C193,Settings!$E$5:$G$28,3,FALSE),"Other")))</f>
        <v/>
      </c>
      <c r="K193" s="9">
        <f>IF(B193="","",IF(COUNTIF(Jobs!$A$5:$A$44,B193)=0,"Unknown Job ID",IF(G193="","Missing miles",IF(A193="","Missing date",""))))</f>
        <v/>
      </c>
      <c r="L193" s="35" t="n"/>
    </row>
    <row r="194">
      <c r="A194" s="40" t="n"/>
      <c r="B194" s="35" t="n"/>
      <c r="C194" s="35" t="n"/>
      <c r="D194" s="35" t="n"/>
      <c r="E194" s="35" t="n"/>
      <c r="F194" s="35" t="n"/>
      <c r="G194" s="61" t="n"/>
      <c r="H194" s="39">
        <f>IF(B194="","",Settings!$B$15)</f>
        <v/>
      </c>
      <c r="I194" s="39">
        <f>IF(B194="","",G194*H194)</f>
        <v/>
      </c>
      <c r="J194" s="9">
        <f>IF(B194="","",IF(C194="","Other",IFERROR(VLOOKUP(C194,Settings!$E$5:$G$28,3,FALSE),"Other")))</f>
        <v/>
      </c>
      <c r="K194" s="9">
        <f>IF(B194="","",IF(COUNTIF(Jobs!$A$5:$A$44,B194)=0,"Unknown Job ID",IF(G194="","Missing miles",IF(A194="","Missing date",""))))</f>
        <v/>
      </c>
      <c r="L194" s="35" t="n"/>
    </row>
    <row r="195">
      <c r="A195" s="40" t="n"/>
      <c r="B195" s="35" t="n"/>
      <c r="C195" s="35" t="n"/>
      <c r="D195" s="35" t="n"/>
      <c r="E195" s="35" t="n"/>
      <c r="F195" s="35" t="n"/>
      <c r="G195" s="61" t="n"/>
      <c r="H195" s="39">
        <f>IF(B195="","",Settings!$B$15)</f>
        <v/>
      </c>
      <c r="I195" s="39">
        <f>IF(B195="","",G195*H195)</f>
        <v/>
      </c>
      <c r="J195" s="9">
        <f>IF(B195="","",IF(C195="","Other",IFERROR(VLOOKUP(C195,Settings!$E$5:$G$28,3,FALSE),"Other")))</f>
        <v/>
      </c>
      <c r="K195" s="9">
        <f>IF(B195="","",IF(COUNTIF(Jobs!$A$5:$A$44,B195)=0,"Unknown Job ID",IF(G195="","Missing miles",IF(A195="","Missing date",""))))</f>
        <v/>
      </c>
      <c r="L195" s="35" t="n"/>
    </row>
    <row r="196">
      <c r="A196" s="40" t="n"/>
      <c r="B196" s="35" t="n"/>
      <c r="C196" s="35" t="n"/>
      <c r="D196" s="35" t="n"/>
      <c r="E196" s="35" t="n"/>
      <c r="F196" s="35" t="n"/>
      <c r="G196" s="61" t="n"/>
      <c r="H196" s="39">
        <f>IF(B196="","",Settings!$B$15)</f>
        <v/>
      </c>
      <c r="I196" s="39">
        <f>IF(B196="","",G196*H196)</f>
        <v/>
      </c>
      <c r="J196" s="9">
        <f>IF(B196="","",IF(C196="","Other",IFERROR(VLOOKUP(C196,Settings!$E$5:$G$28,3,FALSE),"Other")))</f>
        <v/>
      </c>
      <c r="K196" s="9">
        <f>IF(B196="","",IF(COUNTIF(Jobs!$A$5:$A$44,B196)=0,"Unknown Job ID",IF(G196="","Missing miles",IF(A196="","Missing date",""))))</f>
        <v/>
      </c>
      <c r="L196" s="35" t="n"/>
    </row>
    <row r="197">
      <c r="A197" s="40" t="n"/>
      <c r="B197" s="35" t="n"/>
      <c r="C197" s="35" t="n"/>
      <c r="D197" s="35" t="n"/>
      <c r="E197" s="35" t="n"/>
      <c r="F197" s="35" t="n"/>
      <c r="G197" s="61" t="n"/>
      <c r="H197" s="39">
        <f>IF(B197="","",Settings!$B$15)</f>
        <v/>
      </c>
      <c r="I197" s="39">
        <f>IF(B197="","",G197*H197)</f>
        <v/>
      </c>
      <c r="J197" s="9">
        <f>IF(B197="","",IF(C197="","Other",IFERROR(VLOOKUP(C197,Settings!$E$5:$G$28,3,FALSE),"Other")))</f>
        <v/>
      </c>
      <c r="K197" s="9">
        <f>IF(B197="","",IF(COUNTIF(Jobs!$A$5:$A$44,B197)=0,"Unknown Job ID",IF(G197="","Missing miles",IF(A197="","Missing date",""))))</f>
        <v/>
      </c>
      <c r="L197" s="35" t="n"/>
    </row>
    <row r="198">
      <c r="A198" s="40" t="n"/>
      <c r="B198" s="35" t="n"/>
      <c r="C198" s="35" t="n"/>
      <c r="D198" s="35" t="n"/>
      <c r="E198" s="35" t="n"/>
      <c r="F198" s="35" t="n"/>
      <c r="G198" s="61" t="n"/>
      <c r="H198" s="39">
        <f>IF(B198="","",Settings!$B$15)</f>
        <v/>
      </c>
      <c r="I198" s="39">
        <f>IF(B198="","",G198*H198)</f>
        <v/>
      </c>
      <c r="J198" s="9">
        <f>IF(B198="","",IF(C198="","Other",IFERROR(VLOOKUP(C198,Settings!$E$5:$G$28,3,FALSE),"Other")))</f>
        <v/>
      </c>
      <c r="K198" s="9">
        <f>IF(B198="","",IF(COUNTIF(Jobs!$A$5:$A$44,B198)=0,"Unknown Job ID",IF(G198="","Missing miles",IF(A198="","Missing date",""))))</f>
        <v/>
      </c>
      <c r="L198" s="35" t="n"/>
    </row>
    <row r="199">
      <c r="A199" s="40" t="n"/>
      <c r="B199" s="35" t="n"/>
      <c r="C199" s="35" t="n"/>
      <c r="D199" s="35" t="n"/>
      <c r="E199" s="35" t="n"/>
      <c r="F199" s="35" t="n"/>
      <c r="G199" s="61" t="n"/>
      <c r="H199" s="39">
        <f>IF(B199="","",Settings!$B$15)</f>
        <v/>
      </c>
      <c r="I199" s="39">
        <f>IF(B199="","",G199*H199)</f>
        <v/>
      </c>
      <c r="J199" s="9">
        <f>IF(B199="","",IF(C199="","Other",IFERROR(VLOOKUP(C199,Settings!$E$5:$G$28,3,FALSE),"Other")))</f>
        <v/>
      </c>
      <c r="K199" s="9">
        <f>IF(B199="","",IF(COUNTIF(Jobs!$A$5:$A$44,B199)=0,"Unknown Job ID",IF(G199="","Missing miles",IF(A199="","Missing date",""))))</f>
        <v/>
      </c>
      <c r="L199" s="35" t="n"/>
    </row>
    <row r="200">
      <c r="A200" s="40" t="n"/>
      <c r="B200" s="35" t="n"/>
      <c r="C200" s="35" t="n"/>
      <c r="D200" s="35" t="n"/>
      <c r="E200" s="35" t="n"/>
      <c r="F200" s="35" t="n"/>
      <c r="G200" s="61" t="n"/>
      <c r="H200" s="39">
        <f>IF(B200="","",Settings!$B$15)</f>
        <v/>
      </c>
      <c r="I200" s="39">
        <f>IF(B200="","",G200*H200)</f>
        <v/>
      </c>
      <c r="J200" s="9">
        <f>IF(B200="","",IF(C200="","Other",IFERROR(VLOOKUP(C200,Settings!$E$5:$G$28,3,FALSE),"Other")))</f>
        <v/>
      </c>
      <c r="K200" s="9">
        <f>IF(B200="","",IF(COUNTIF(Jobs!$A$5:$A$44,B200)=0,"Unknown Job ID",IF(G200="","Missing miles",IF(A200="","Missing date",""))))</f>
        <v/>
      </c>
      <c r="L200" s="35" t="n"/>
    </row>
    <row r="201">
      <c r="A201" s="40" t="n"/>
      <c r="B201" s="35" t="n"/>
      <c r="C201" s="35" t="n"/>
      <c r="D201" s="35" t="n"/>
      <c r="E201" s="35" t="n"/>
      <c r="F201" s="35" t="n"/>
      <c r="G201" s="61" t="n"/>
      <c r="H201" s="39">
        <f>IF(B201="","",Settings!$B$15)</f>
        <v/>
      </c>
      <c r="I201" s="39">
        <f>IF(B201="","",G201*H201)</f>
        <v/>
      </c>
      <c r="J201" s="9">
        <f>IF(B201="","",IF(C201="","Other",IFERROR(VLOOKUP(C201,Settings!$E$5:$G$28,3,FALSE),"Other")))</f>
        <v/>
      </c>
      <c r="K201" s="9">
        <f>IF(B201="","",IF(COUNTIF(Jobs!$A$5:$A$44,B201)=0,"Unknown Job ID",IF(G201="","Missing miles",IF(A201="","Missing date",""))))</f>
        <v/>
      </c>
      <c r="L201" s="35" t="n"/>
    </row>
    <row r="202">
      <c r="A202" s="40" t="n"/>
      <c r="B202" s="35" t="n"/>
      <c r="C202" s="35" t="n"/>
      <c r="D202" s="35" t="n"/>
      <c r="E202" s="35" t="n"/>
      <c r="F202" s="35" t="n"/>
      <c r="G202" s="61" t="n"/>
      <c r="H202" s="39">
        <f>IF(B202="","",Settings!$B$15)</f>
        <v/>
      </c>
      <c r="I202" s="39">
        <f>IF(B202="","",G202*H202)</f>
        <v/>
      </c>
      <c r="J202" s="9">
        <f>IF(B202="","",IF(C202="","Other",IFERROR(VLOOKUP(C202,Settings!$E$5:$G$28,3,FALSE),"Other")))</f>
        <v/>
      </c>
      <c r="K202" s="9">
        <f>IF(B202="","",IF(COUNTIF(Jobs!$A$5:$A$44,B202)=0,"Unknown Job ID",IF(G202="","Missing miles",IF(A202="","Missing date",""))))</f>
        <v/>
      </c>
      <c r="L202" s="35" t="n"/>
    </row>
    <row r="203">
      <c r="A203" s="40" t="n"/>
      <c r="B203" s="35" t="n"/>
      <c r="C203" s="35" t="n"/>
      <c r="D203" s="35" t="n"/>
      <c r="E203" s="35" t="n"/>
      <c r="F203" s="35" t="n"/>
      <c r="G203" s="61" t="n"/>
      <c r="H203" s="39">
        <f>IF(B203="","",Settings!$B$15)</f>
        <v/>
      </c>
      <c r="I203" s="39">
        <f>IF(B203="","",G203*H203)</f>
        <v/>
      </c>
      <c r="J203" s="9">
        <f>IF(B203="","",IF(C203="","Other",IFERROR(VLOOKUP(C203,Settings!$E$5:$G$28,3,FALSE),"Other")))</f>
        <v/>
      </c>
      <c r="K203" s="9">
        <f>IF(B203="","",IF(COUNTIF(Jobs!$A$5:$A$44,B203)=0,"Unknown Job ID",IF(G203="","Missing miles",IF(A203="","Missing date",""))))</f>
        <v/>
      </c>
      <c r="L203" s="35" t="n"/>
    </row>
    <row r="204">
      <c r="A204" s="40" t="n"/>
      <c r="B204" s="35" t="n"/>
      <c r="C204" s="35" t="n"/>
      <c r="D204" s="35" t="n"/>
      <c r="E204" s="35" t="n"/>
      <c r="F204" s="35" t="n"/>
      <c r="G204" s="61" t="n"/>
      <c r="H204" s="39">
        <f>IF(B204="","",Settings!$B$15)</f>
        <v/>
      </c>
      <c r="I204" s="39">
        <f>IF(B204="","",G204*H204)</f>
        <v/>
      </c>
      <c r="J204" s="9">
        <f>IF(B204="","",IF(C204="","Other",IFERROR(VLOOKUP(C204,Settings!$E$5:$G$28,3,FALSE),"Other")))</f>
        <v/>
      </c>
      <c r="K204" s="9">
        <f>IF(B204="","",IF(COUNTIF(Jobs!$A$5:$A$44,B204)=0,"Unknown Job ID",IF(G204="","Missing miles",IF(A204="","Missing date",""))))</f>
        <v/>
      </c>
      <c r="L204" s="35" t="n"/>
    </row>
    <row r="205">
      <c r="A205" s="40" t="n"/>
      <c r="B205" s="35" t="n"/>
      <c r="C205" s="35" t="n"/>
      <c r="D205" s="35" t="n"/>
      <c r="E205" s="35" t="n"/>
      <c r="F205" s="35" t="n"/>
      <c r="G205" s="61" t="n"/>
      <c r="H205" s="39">
        <f>IF(B205="","",Settings!$B$15)</f>
        <v/>
      </c>
      <c r="I205" s="39">
        <f>IF(B205="","",G205*H205)</f>
        <v/>
      </c>
      <c r="J205" s="9">
        <f>IF(B205="","",IF(C205="","Other",IFERROR(VLOOKUP(C205,Settings!$E$5:$G$28,3,FALSE),"Other")))</f>
        <v/>
      </c>
      <c r="K205" s="9">
        <f>IF(B205="","",IF(COUNTIF(Jobs!$A$5:$A$44,B205)=0,"Unknown Job ID",IF(G205="","Missing miles",IF(A205="","Missing date",""))))</f>
        <v/>
      </c>
      <c r="L205" s="35" t="n"/>
    </row>
    <row r="206">
      <c r="A206" s="40" t="n"/>
      <c r="B206" s="35" t="n"/>
      <c r="C206" s="35" t="n"/>
      <c r="D206" s="35" t="n"/>
      <c r="E206" s="35" t="n"/>
      <c r="F206" s="35" t="n"/>
      <c r="G206" s="61" t="n"/>
      <c r="H206" s="39">
        <f>IF(B206="","",Settings!$B$15)</f>
        <v/>
      </c>
      <c r="I206" s="39">
        <f>IF(B206="","",G206*H206)</f>
        <v/>
      </c>
      <c r="J206" s="9">
        <f>IF(B206="","",IF(C206="","Other",IFERROR(VLOOKUP(C206,Settings!$E$5:$G$28,3,FALSE),"Other")))</f>
        <v/>
      </c>
      <c r="K206" s="9">
        <f>IF(B206="","",IF(COUNTIF(Jobs!$A$5:$A$44,B206)=0,"Unknown Job ID",IF(G206="","Missing miles",IF(A206="","Missing date",""))))</f>
        <v/>
      </c>
      <c r="L206" s="35" t="n"/>
    </row>
    <row r="207">
      <c r="A207" s="40" t="n"/>
      <c r="B207" s="35" t="n"/>
      <c r="C207" s="35" t="n"/>
      <c r="D207" s="35" t="n"/>
      <c r="E207" s="35" t="n"/>
      <c r="F207" s="35" t="n"/>
      <c r="G207" s="61" t="n"/>
      <c r="H207" s="39">
        <f>IF(B207="","",Settings!$B$15)</f>
        <v/>
      </c>
      <c r="I207" s="39">
        <f>IF(B207="","",G207*H207)</f>
        <v/>
      </c>
      <c r="J207" s="9">
        <f>IF(B207="","",IF(C207="","Other",IFERROR(VLOOKUP(C207,Settings!$E$5:$G$28,3,FALSE),"Other")))</f>
        <v/>
      </c>
      <c r="K207" s="9">
        <f>IF(B207="","",IF(COUNTIF(Jobs!$A$5:$A$44,B207)=0,"Unknown Job ID",IF(G207="","Missing miles",IF(A207="","Missing date",""))))</f>
        <v/>
      </c>
      <c r="L207" s="35" t="n"/>
    </row>
    <row r="208">
      <c r="A208" s="40" t="n"/>
      <c r="B208" s="35" t="n"/>
      <c r="C208" s="35" t="n"/>
      <c r="D208" s="35" t="n"/>
      <c r="E208" s="35" t="n"/>
      <c r="F208" s="35" t="n"/>
      <c r="G208" s="61" t="n"/>
      <c r="H208" s="39">
        <f>IF(B208="","",Settings!$B$15)</f>
        <v/>
      </c>
      <c r="I208" s="39">
        <f>IF(B208="","",G208*H208)</f>
        <v/>
      </c>
      <c r="J208" s="9">
        <f>IF(B208="","",IF(C208="","Other",IFERROR(VLOOKUP(C208,Settings!$E$5:$G$28,3,FALSE),"Other")))</f>
        <v/>
      </c>
      <c r="K208" s="9">
        <f>IF(B208="","",IF(COUNTIF(Jobs!$A$5:$A$44,B208)=0,"Unknown Job ID",IF(G208="","Missing miles",IF(A208="","Missing date",""))))</f>
        <v/>
      </c>
      <c r="L208" s="35" t="n"/>
    </row>
    <row r="209">
      <c r="A209" s="40" t="n"/>
      <c r="B209" s="35" t="n"/>
      <c r="C209" s="35" t="n"/>
      <c r="D209" s="35" t="n"/>
      <c r="E209" s="35" t="n"/>
      <c r="F209" s="35" t="n"/>
      <c r="G209" s="61" t="n"/>
      <c r="H209" s="39">
        <f>IF(B209="","",Settings!$B$15)</f>
        <v/>
      </c>
      <c r="I209" s="39">
        <f>IF(B209="","",G209*H209)</f>
        <v/>
      </c>
      <c r="J209" s="9">
        <f>IF(B209="","",IF(C209="","Other",IFERROR(VLOOKUP(C209,Settings!$E$5:$G$28,3,FALSE),"Other")))</f>
        <v/>
      </c>
      <c r="K209" s="9">
        <f>IF(B209="","",IF(COUNTIF(Jobs!$A$5:$A$44,B209)=0,"Unknown Job ID",IF(G209="","Missing miles",IF(A209="","Missing date",""))))</f>
        <v/>
      </c>
      <c r="L209" s="35" t="n"/>
    </row>
    <row r="210">
      <c r="A210" s="40" t="n"/>
      <c r="B210" s="35" t="n"/>
      <c r="C210" s="35" t="n"/>
      <c r="D210" s="35" t="n"/>
      <c r="E210" s="35" t="n"/>
      <c r="F210" s="35" t="n"/>
      <c r="G210" s="61" t="n"/>
      <c r="H210" s="39">
        <f>IF(B210="","",Settings!$B$15)</f>
        <v/>
      </c>
      <c r="I210" s="39">
        <f>IF(B210="","",G210*H210)</f>
        <v/>
      </c>
      <c r="J210" s="9">
        <f>IF(B210="","",IF(C210="","Other",IFERROR(VLOOKUP(C210,Settings!$E$5:$G$28,3,FALSE),"Other")))</f>
        <v/>
      </c>
      <c r="K210" s="9">
        <f>IF(B210="","",IF(COUNTIF(Jobs!$A$5:$A$44,B210)=0,"Unknown Job ID",IF(G210="","Missing miles",IF(A210="","Missing date",""))))</f>
        <v/>
      </c>
      <c r="L210" s="35" t="n"/>
    </row>
    <row r="211">
      <c r="A211" s="40" t="n"/>
      <c r="B211" s="35" t="n"/>
      <c r="C211" s="35" t="n"/>
      <c r="D211" s="35" t="n"/>
      <c r="E211" s="35" t="n"/>
      <c r="F211" s="35" t="n"/>
      <c r="G211" s="61" t="n"/>
      <c r="H211" s="39">
        <f>IF(B211="","",Settings!$B$15)</f>
        <v/>
      </c>
      <c r="I211" s="39">
        <f>IF(B211="","",G211*H211)</f>
        <v/>
      </c>
      <c r="J211" s="9">
        <f>IF(B211="","",IF(C211="","Other",IFERROR(VLOOKUP(C211,Settings!$E$5:$G$28,3,FALSE),"Other")))</f>
        <v/>
      </c>
      <c r="K211" s="9">
        <f>IF(B211="","",IF(COUNTIF(Jobs!$A$5:$A$44,B211)=0,"Unknown Job ID",IF(G211="","Missing miles",IF(A211="","Missing date",""))))</f>
        <v/>
      </c>
      <c r="L211" s="35" t="n"/>
    </row>
    <row r="212">
      <c r="A212" s="40" t="n"/>
      <c r="B212" s="35" t="n"/>
      <c r="C212" s="35" t="n"/>
      <c r="D212" s="35" t="n"/>
      <c r="E212" s="35" t="n"/>
      <c r="F212" s="35" t="n"/>
      <c r="G212" s="61" t="n"/>
      <c r="H212" s="39">
        <f>IF(B212="","",Settings!$B$15)</f>
        <v/>
      </c>
      <c r="I212" s="39">
        <f>IF(B212="","",G212*H212)</f>
        <v/>
      </c>
      <c r="J212" s="9">
        <f>IF(B212="","",IF(C212="","Other",IFERROR(VLOOKUP(C212,Settings!$E$5:$G$28,3,FALSE),"Other")))</f>
        <v/>
      </c>
      <c r="K212" s="9">
        <f>IF(B212="","",IF(COUNTIF(Jobs!$A$5:$A$44,B212)=0,"Unknown Job ID",IF(G212="","Missing miles",IF(A212="","Missing date",""))))</f>
        <v/>
      </c>
      <c r="L212" s="35" t="n"/>
    </row>
    <row r="213">
      <c r="A213" s="40" t="n"/>
      <c r="B213" s="35" t="n"/>
      <c r="C213" s="35" t="n"/>
      <c r="D213" s="35" t="n"/>
      <c r="E213" s="35" t="n"/>
      <c r="F213" s="35" t="n"/>
      <c r="G213" s="61" t="n"/>
      <c r="H213" s="39">
        <f>IF(B213="","",Settings!$B$15)</f>
        <v/>
      </c>
      <c r="I213" s="39">
        <f>IF(B213="","",G213*H213)</f>
        <v/>
      </c>
      <c r="J213" s="9">
        <f>IF(B213="","",IF(C213="","Other",IFERROR(VLOOKUP(C213,Settings!$E$5:$G$28,3,FALSE),"Other")))</f>
        <v/>
      </c>
      <c r="K213" s="9">
        <f>IF(B213="","",IF(COUNTIF(Jobs!$A$5:$A$44,B213)=0,"Unknown Job ID",IF(G213="","Missing miles",IF(A213="","Missing date",""))))</f>
        <v/>
      </c>
      <c r="L213" s="35" t="n"/>
    </row>
    <row r="214">
      <c r="A214" s="40" t="n"/>
      <c r="B214" s="35" t="n"/>
      <c r="C214" s="35" t="n"/>
      <c r="D214" s="35" t="n"/>
      <c r="E214" s="35" t="n"/>
      <c r="F214" s="35" t="n"/>
      <c r="G214" s="61" t="n"/>
      <c r="H214" s="39">
        <f>IF(B214="","",Settings!$B$15)</f>
        <v/>
      </c>
      <c r="I214" s="39">
        <f>IF(B214="","",G214*H214)</f>
        <v/>
      </c>
      <c r="J214" s="9">
        <f>IF(B214="","",IF(C214="","Other",IFERROR(VLOOKUP(C214,Settings!$E$5:$G$28,3,FALSE),"Other")))</f>
        <v/>
      </c>
      <c r="K214" s="9">
        <f>IF(B214="","",IF(COUNTIF(Jobs!$A$5:$A$44,B214)=0,"Unknown Job ID",IF(G214="","Missing miles",IF(A214="","Missing date",""))))</f>
        <v/>
      </c>
      <c r="L214" s="35" t="n"/>
    </row>
    <row r="215">
      <c r="A215" s="40" t="n"/>
      <c r="B215" s="35" t="n"/>
      <c r="C215" s="35" t="n"/>
      <c r="D215" s="35" t="n"/>
      <c r="E215" s="35" t="n"/>
      <c r="F215" s="35" t="n"/>
      <c r="G215" s="61" t="n"/>
      <c r="H215" s="39">
        <f>IF(B215="","",Settings!$B$15)</f>
        <v/>
      </c>
      <c r="I215" s="39">
        <f>IF(B215="","",G215*H215)</f>
        <v/>
      </c>
      <c r="J215" s="9">
        <f>IF(B215="","",IF(C215="","Other",IFERROR(VLOOKUP(C215,Settings!$E$5:$G$28,3,FALSE),"Other")))</f>
        <v/>
      </c>
      <c r="K215" s="9">
        <f>IF(B215="","",IF(COUNTIF(Jobs!$A$5:$A$44,B215)=0,"Unknown Job ID",IF(G215="","Missing miles",IF(A215="","Missing date",""))))</f>
        <v/>
      </c>
      <c r="L215" s="35" t="n"/>
    </row>
    <row r="216">
      <c r="A216" s="40" t="n"/>
      <c r="B216" s="35" t="n"/>
      <c r="C216" s="35" t="n"/>
      <c r="D216" s="35" t="n"/>
      <c r="E216" s="35" t="n"/>
      <c r="F216" s="35" t="n"/>
      <c r="G216" s="61" t="n"/>
      <c r="H216" s="39">
        <f>IF(B216="","",Settings!$B$15)</f>
        <v/>
      </c>
      <c r="I216" s="39">
        <f>IF(B216="","",G216*H216)</f>
        <v/>
      </c>
      <c r="J216" s="9">
        <f>IF(B216="","",IF(C216="","Other",IFERROR(VLOOKUP(C216,Settings!$E$5:$G$28,3,FALSE),"Other")))</f>
        <v/>
      </c>
      <c r="K216" s="9">
        <f>IF(B216="","",IF(COUNTIF(Jobs!$A$5:$A$44,B216)=0,"Unknown Job ID",IF(G216="","Missing miles",IF(A216="","Missing date",""))))</f>
        <v/>
      </c>
      <c r="L216" s="35" t="n"/>
    </row>
    <row r="217">
      <c r="A217" s="40" t="n"/>
      <c r="B217" s="35" t="n"/>
      <c r="C217" s="35" t="n"/>
      <c r="D217" s="35" t="n"/>
      <c r="E217" s="35" t="n"/>
      <c r="F217" s="35" t="n"/>
      <c r="G217" s="61" t="n"/>
      <c r="H217" s="39">
        <f>IF(B217="","",Settings!$B$15)</f>
        <v/>
      </c>
      <c r="I217" s="39">
        <f>IF(B217="","",G217*H217)</f>
        <v/>
      </c>
      <c r="J217" s="9">
        <f>IF(B217="","",IF(C217="","Other",IFERROR(VLOOKUP(C217,Settings!$E$5:$G$28,3,FALSE),"Other")))</f>
        <v/>
      </c>
      <c r="K217" s="9">
        <f>IF(B217="","",IF(COUNTIF(Jobs!$A$5:$A$44,B217)=0,"Unknown Job ID",IF(G217="","Missing miles",IF(A217="","Missing date",""))))</f>
        <v/>
      </c>
      <c r="L217" s="35" t="n"/>
    </row>
    <row r="218">
      <c r="A218" s="40" t="n"/>
      <c r="B218" s="35" t="n"/>
      <c r="C218" s="35" t="n"/>
      <c r="D218" s="35" t="n"/>
      <c r="E218" s="35" t="n"/>
      <c r="F218" s="35" t="n"/>
      <c r="G218" s="61" t="n"/>
      <c r="H218" s="39">
        <f>IF(B218="","",Settings!$B$15)</f>
        <v/>
      </c>
      <c r="I218" s="39">
        <f>IF(B218="","",G218*H218)</f>
        <v/>
      </c>
      <c r="J218" s="9">
        <f>IF(B218="","",IF(C218="","Other",IFERROR(VLOOKUP(C218,Settings!$E$5:$G$28,3,FALSE),"Other")))</f>
        <v/>
      </c>
      <c r="K218" s="9">
        <f>IF(B218="","",IF(COUNTIF(Jobs!$A$5:$A$44,B218)=0,"Unknown Job ID",IF(G218="","Missing miles",IF(A218="","Missing date",""))))</f>
        <v/>
      </c>
      <c r="L218" s="35" t="n"/>
    </row>
    <row r="219">
      <c r="A219" s="40" t="n"/>
      <c r="B219" s="35" t="n"/>
      <c r="C219" s="35" t="n"/>
      <c r="D219" s="35" t="n"/>
      <c r="E219" s="35" t="n"/>
      <c r="F219" s="35" t="n"/>
      <c r="G219" s="61" t="n"/>
      <c r="H219" s="39">
        <f>IF(B219="","",Settings!$B$15)</f>
        <v/>
      </c>
      <c r="I219" s="39">
        <f>IF(B219="","",G219*H219)</f>
        <v/>
      </c>
      <c r="J219" s="9">
        <f>IF(B219="","",IF(C219="","Other",IFERROR(VLOOKUP(C219,Settings!$E$5:$G$28,3,FALSE),"Other")))</f>
        <v/>
      </c>
      <c r="K219" s="9">
        <f>IF(B219="","",IF(COUNTIF(Jobs!$A$5:$A$44,B219)=0,"Unknown Job ID",IF(G219="","Missing miles",IF(A219="","Missing date",""))))</f>
        <v/>
      </c>
      <c r="L219" s="35" t="n"/>
    </row>
    <row r="220">
      <c r="A220" s="40" t="n"/>
      <c r="B220" s="35" t="n"/>
      <c r="C220" s="35" t="n"/>
      <c r="D220" s="35" t="n"/>
      <c r="E220" s="35" t="n"/>
      <c r="F220" s="35" t="n"/>
      <c r="G220" s="61" t="n"/>
      <c r="H220" s="39">
        <f>IF(B220="","",Settings!$B$15)</f>
        <v/>
      </c>
      <c r="I220" s="39">
        <f>IF(B220="","",G220*H220)</f>
        <v/>
      </c>
      <c r="J220" s="9">
        <f>IF(B220="","",IF(C220="","Other",IFERROR(VLOOKUP(C220,Settings!$E$5:$G$28,3,FALSE),"Other")))</f>
        <v/>
      </c>
      <c r="K220" s="9">
        <f>IF(B220="","",IF(COUNTIF(Jobs!$A$5:$A$44,B220)=0,"Unknown Job ID",IF(G220="","Missing miles",IF(A220="","Missing date",""))))</f>
        <v/>
      </c>
      <c r="L220" s="35" t="n"/>
    </row>
    <row r="221">
      <c r="A221" s="40" t="n"/>
      <c r="B221" s="35" t="n"/>
      <c r="C221" s="35" t="n"/>
      <c r="D221" s="35" t="n"/>
      <c r="E221" s="35" t="n"/>
      <c r="F221" s="35" t="n"/>
      <c r="G221" s="61" t="n"/>
      <c r="H221" s="39">
        <f>IF(B221="","",Settings!$B$15)</f>
        <v/>
      </c>
      <c r="I221" s="39">
        <f>IF(B221="","",G221*H221)</f>
        <v/>
      </c>
      <c r="J221" s="9">
        <f>IF(B221="","",IF(C221="","Other",IFERROR(VLOOKUP(C221,Settings!$E$5:$G$28,3,FALSE),"Other")))</f>
        <v/>
      </c>
      <c r="K221" s="9">
        <f>IF(B221="","",IF(COUNTIF(Jobs!$A$5:$A$44,B221)=0,"Unknown Job ID",IF(G221="","Missing miles",IF(A221="","Missing date",""))))</f>
        <v/>
      </c>
      <c r="L221" s="35" t="n"/>
    </row>
    <row r="222">
      <c r="A222" s="40" t="n"/>
      <c r="B222" s="35" t="n"/>
      <c r="C222" s="35" t="n"/>
      <c r="D222" s="35" t="n"/>
      <c r="E222" s="35" t="n"/>
      <c r="F222" s="35" t="n"/>
      <c r="G222" s="61" t="n"/>
      <c r="H222" s="39">
        <f>IF(B222="","",Settings!$B$15)</f>
        <v/>
      </c>
      <c r="I222" s="39">
        <f>IF(B222="","",G222*H222)</f>
        <v/>
      </c>
      <c r="J222" s="9">
        <f>IF(B222="","",IF(C222="","Other",IFERROR(VLOOKUP(C222,Settings!$E$5:$G$28,3,FALSE),"Other")))</f>
        <v/>
      </c>
      <c r="K222" s="9">
        <f>IF(B222="","",IF(COUNTIF(Jobs!$A$5:$A$44,B222)=0,"Unknown Job ID",IF(G222="","Missing miles",IF(A222="","Missing date",""))))</f>
        <v/>
      </c>
      <c r="L222" s="35" t="n"/>
    </row>
    <row r="223">
      <c r="A223" s="40" t="n"/>
      <c r="B223" s="35" t="n"/>
      <c r="C223" s="35" t="n"/>
      <c r="D223" s="35" t="n"/>
      <c r="E223" s="35" t="n"/>
      <c r="F223" s="35" t="n"/>
      <c r="G223" s="61" t="n"/>
      <c r="H223" s="39">
        <f>IF(B223="","",Settings!$B$15)</f>
        <v/>
      </c>
      <c r="I223" s="39">
        <f>IF(B223="","",G223*H223)</f>
        <v/>
      </c>
      <c r="J223" s="9">
        <f>IF(B223="","",IF(C223="","Other",IFERROR(VLOOKUP(C223,Settings!$E$5:$G$28,3,FALSE),"Other")))</f>
        <v/>
      </c>
      <c r="K223" s="9">
        <f>IF(B223="","",IF(COUNTIF(Jobs!$A$5:$A$44,B223)=0,"Unknown Job ID",IF(G223="","Missing miles",IF(A223="","Missing date",""))))</f>
        <v/>
      </c>
      <c r="L223" s="35" t="n"/>
    </row>
    <row r="224">
      <c r="A224" s="40" t="n"/>
      <c r="B224" s="35" t="n"/>
      <c r="C224" s="35" t="n"/>
      <c r="D224" s="35" t="n"/>
      <c r="E224" s="35" t="n"/>
      <c r="F224" s="35" t="n"/>
      <c r="G224" s="61" t="n"/>
      <c r="H224" s="39">
        <f>IF(B224="","",Settings!$B$15)</f>
        <v/>
      </c>
      <c r="I224" s="39">
        <f>IF(B224="","",G224*H224)</f>
        <v/>
      </c>
      <c r="J224" s="9">
        <f>IF(B224="","",IF(C224="","Other",IFERROR(VLOOKUP(C224,Settings!$E$5:$G$28,3,FALSE),"Other")))</f>
        <v/>
      </c>
      <c r="K224" s="9">
        <f>IF(B224="","",IF(COUNTIF(Jobs!$A$5:$A$44,B224)=0,"Unknown Job ID",IF(G224="","Missing miles",IF(A224="","Missing date",""))))</f>
        <v/>
      </c>
      <c r="L224" s="35" t="n"/>
    </row>
    <row r="225">
      <c r="A225" s="40" t="n"/>
      <c r="B225" s="35" t="n"/>
      <c r="C225" s="35" t="n"/>
      <c r="D225" s="35" t="n"/>
      <c r="E225" s="35" t="n"/>
      <c r="F225" s="35" t="n"/>
      <c r="G225" s="61" t="n"/>
      <c r="H225" s="39">
        <f>IF(B225="","",Settings!$B$15)</f>
        <v/>
      </c>
      <c r="I225" s="39">
        <f>IF(B225="","",G225*H225)</f>
        <v/>
      </c>
      <c r="J225" s="9">
        <f>IF(B225="","",IF(C225="","Other",IFERROR(VLOOKUP(C225,Settings!$E$5:$G$28,3,FALSE),"Other")))</f>
        <v/>
      </c>
      <c r="K225" s="9">
        <f>IF(B225="","",IF(COUNTIF(Jobs!$A$5:$A$44,B225)=0,"Unknown Job ID",IF(G225="","Missing miles",IF(A225="","Missing date",""))))</f>
        <v/>
      </c>
      <c r="L225" s="35" t="n"/>
    </row>
    <row r="226">
      <c r="A226" s="40" t="n"/>
      <c r="B226" s="35" t="n"/>
      <c r="C226" s="35" t="n"/>
      <c r="D226" s="35" t="n"/>
      <c r="E226" s="35" t="n"/>
      <c r="F226" s="35" t="n"/>
      <c r="G226" s="61" t="n"/>
      <c r="H226" s="39">
        <f>IF(B226="","",Settings!$B$15)</f>
        <v/>
      </c>
      <c r="I226" s="39">
        <f>IF(B226="","",G226*H226)</f>
        <v/>
      </c>
      <c r="J226" s="9">
        <f>IF(B226="","",IF(C226="","Other",IFERROR(VLOOKUP(C226,Settings!$E$5:$G$28,3,FALSE),"Other")))</f>
        <v/>
      </c>
      <c r="K226" s="9">
        <f>IF(B226="","",IF(COUNTIF(Jobs!$A$5:$A$44,B226)=0,"Unknown Job ID",IF(G226="","Missing miles",IF(A226="","Missing date",""))))</f>
        <v/>
      </c>
      <c r="L226" s="35" t="n"/>
    </row>
    <row r="227">
      <c r="A227" s="40" t="n"/>
      <c r="B227" s="35" t="n"/>
      <c r="C227" s="35" t="n"/>
      <c r="D227" s="35" t="n"/>
      <c r="E227" s="35" t="n"/>
      <c r="F227" s="35" t="n"/>
      <c r="G227" s="61" t="n"/>
      <c r="H227" s="39">
        <f>IF(B227="","",Settings!$B$15)</f>
        <v/>
      </c>
      <c r="I227" s="39">
        <f>IF(B227="","",G227*H227)</f>
        <v/>
      </c>
      <c r="J227" s="9">
        <f>IF(B227="","",IF(C227="","Other",IFERROR(VLOOKUP(C227,Settings!$E$5:$G$28,3,FALSE),"Other")))</f>
        <v/>
      </c>
      <c r="K227" s="9">
        <f>IF(B227="","",IF(COUNTIF(Jobs!$A$5:$A$44,B227)=0,"Unknown Job ID",IF(G227="","Missing miles",IF(A227="","Missing date",""))))</f>
        <v/>
      </c>
      <c r="L227" s="35" t="n"/>
    </row>
    <row r="228">
      <c r="A228" s="40" t="n"/>
      <c r="B228" s="35" t="n"/>
      <c r="C228" s="35" t="n"/>
      <c r="D228" s="35" t="n"/>
      <c r="E228" s="35" t="n"/>
      <c r="F228" s="35" t="n"/>
      <c r="G228" s="61" t="n"/>
      <c r="H228" s="39">
        <f>IF(B228="","",Settings!$B$15)</f>
        <v/>
      </c>
      <c r="I228" s="39">
        <f>IF(B228="","",G228*H228)</f>
        <v/>
      </c>
      <c r="J228" s="9">
        <f>IF(B228="","",IF(C228="","Other",IFERROR(VLOOKUP(C228,Settings!$E$5:$G$28,3,FALSE),"Other")))</f>
        <v/>
      </c>
      <c r="K228" s="9">
        <f>IF(B228="","",IF(COUNTIF(Jobs!$A$5:$A$44,B228)=0,"Unknown Job ID",IF(G228="","Missing miles",IF(A228="","Missing date",""))))</f>
        <v/>
      </c>
      <c r="L228" s="35" t="n"/>
    </row>
    <row r="229">
      <c r="A229" s="40" t="n"/>
      <c r="B229" s="35" t="n"/>
      <c r="C229" s="35" t="n"/>
      <c r="D229" s="35" t="n"/>
      <c r="E229" s="35" t="n"/>
      <c r="F229" s="35" t="n"/>
      <c r="G229" s="61" t="n"/>
      <c r="H229" s="39">
        <f>IF(B229="","",Settings!$B$15)</f>
        <v/>
      </c>
      <c r="I229" s="39">
        <f>IF(B229="","",G229*H229)</f>
        <v/>
      </c>
      <c r="J229" s="9">
        <f>IF(B229="","",IF(C229="","Other",IFERROR(VLOOKUP(C229,Settings!$E$5:$G$28,3,FALSE),"Other")))</f>
        <v/>
      </c>
      <c r="K229" s="9">
        <f>IF(B229="","",IF(COUNTIF(Jobs!$A$5:$A$44,B229)=0,"Unknown Job ID",IF(G229="","Missing miles",IF(A229="","Missing date",""))))</f>
        <v/>
      </c>
      <c r="L229" s="35" t="n"/>
    </row>
    <row r="230">
      <c r="A230" s="40" t="n"/>
      <c r="B230" s="35" t="n"/>
      <c r="C230" s="35" t="n"/>
      <c r="D230" s="35" t="n"/>
      <c r="E230" s="35" t="n"/>
      <c r="F230" s="35" t="n"/>
      <c r="G230" s="61" t="n"/>
      <c r="H230" s="39">
        <f>IF(B230="","",Settings!$B$15)</f>
        <v/>
      </c>
      <c r="I230" s="39">
        <f>IF(B230="","",G230*H230)</f>
        <v/>
      </c>
      <c r="J230" s="9">
        <f>IF(B230="","",IF(C230="","Other",IFERROR(VLOOKUP(C230,Settings!$E$5:$G$28,3,FALSE),"Other")))</f>
        <v/>
      </c>
      <c r="K230" s="9">
        <f>IF(B230="","",IF(COUNTIF(Jobs!$A$5:$A$44,B230)=0,"Unknown Job ID",IF(G230="","Missing miles",IF(A230="","Missing date",""))))</f>
        <v/>
      </c>
      <c r="L230" s="35" t="n"/>
    </row>
    <row r="231">
      <c r="A231" s="40" t="n"/>
      <c r="B231" s="35" t="n"/>
      <c r="C231" s="35" t="n"/>
      <c r="D231" s="35" t="n"/>
      <c r="E231" s="35" t="n"/>
      <c r="F231" s="35" t="n"/>
      <c r="G231" s="61" t="n"/>
      <c r="H231" s="39">
        <f>IF(B231="","",Settings!$B$15)</f>
        <v/>
      </c>
      <c r="I231" s="39">
        <f>IF(B231="","",G231*H231)</f>
        <v/>
      </c>
      <c r="J231" s="9">
        <f>IF(B231="","",IF(C231="","Other",IFERROR(VLOOKUP(C231,Settings!$E$5:$G$28,3,FALSE),"Other")))</f>
        <v/>
      </c>
      <c r="K231" s="9">
        <f>IF(B231="","",IF(COUNTIF(Jobs!$A$5:$A$44,B231)=0,"Unknown Job ID",IF(G231="","Missing miles",IF(A231="","Missing date",""))))</f>
        <v/>
      </c>
      <c r="L231" s="35" t="n"/>
    </row>
    <row r="232">
      <c r="A232" s="40" t="n"/>
      <c r="B232" s="35" t="n"/>
      <c r="C232" s="35" t="n"/>
      <c r="D232" s="35" t="n"/>
      <c r="E232" s="35" t="n"/>
      <c r="F232" s="35" t="n"/>
      <c r="G232" s="61" t="n"/>
      <c r="H232" s="39">
        <f>IF(B232="","",Settings!$B$15)</f>
        <v/>
      </c>
      <c r="I232" s="39">
        <f>IF(B232="","",G232*H232)</f>
        <v/>
      </c>
      <c r="J232" s="9">
        <f>IF(B232="","",IF(C232="","Other",IFERROR(VLOOKUP(C232,Settings!$E$5:$G$28,3,FALSE),"Other")))</f>
        <v/>
      </c>
      <c r="K232" s="9">
        <f>IF(B232="","",IF(COUNTIF(Jobs!$A$5:$A$44,B232)=0,"Unknown Job ID",IF(G232="","Missing miles",IF(A232="","Missing date",""))))</f>
        <v/>
      </c>
      <c r="L232" s="35" t="n"/>
    </row>
    <row r="233">
      <c r="A233" s="40" t="n"/>
      <c r="B233" s="35" t="n"/>
      <c r="C233" s="35" t="n"/>
      <c r="D233" s="35" t="n"/>
      <c r="E233" s="35" t="n"/>
      <c r="F233" s="35" t="n"/>
      <c r="G233" s="61" t="n"/>
      <c r="H233" s="39">
        <f>IF(B233="","",Settings!$B$15)</f>
        <v/>
      </c>
      <c r="I233" s="39">
        <f>IF(B233="","",G233*H233)</f>
        <v/>
      </c>
      <c r="J233" s="9">
        <f>IF(B233="","",IF(C233="","Other",IFERROR(VLOOKUP(C233,Settings!$E$5:$G$28,3,FALSE),"Other")))</f>
        <v/>
      </c>
      <c r="K233" s="9">
        <f>IF(B233="","",IF(COUNTIF(Jobs!$A$5:$A$44,B233)=0,"Unknown Job ID",IF(G233="","Missing miles",IF(A233="","Missing date",""))))</f>
        <v/>
      </c>
      <c r="L233" s="35" t="n"/>
    </row>
    <row r="234">
      <c r="A234" s="40" t="n"/>
      <c r="B234" s="35" t="n"/>
      <c r="C234" s="35" t="n"/>
      <c r="D234" s="35" t="n"/>
      <c r="E234" s="35" t="n"/>
      <c r="F234" s="35" t="n"/>
      <c r="G234" s="61" t="n"/>
      <c r="H234" s="39">
        <f>IF(B234="","",Settings!$B$15)</f>
        <v/>
      </c>
      <c r="I234" s="39">
        <f>IF(B234="","",G234*H234)</f>
        <v/>
      </c>
      <c r="J234" s="9">
        <f>IF(B234="","",IF(C234="","Other",IFERROR(VLOOKUP(C234,Settings!$E$5:$G$28,3,FALSE),"Other")))</f>
        <v/>
      </c>
      <c r="K234" s="9">
        <f>IF(B234="","",IF(COUNTIF(Jobs!$A$5:$A$44,B234)=0,"Unknown Job ID",IF(G234="","Missing miles",IF(A234="","Missing date",""))))</f>
        <v/>
      </c>
      <c r="L234" s="35" t="n"/>
    </row>
    <row r="235">
      <c r="A235" s="40" t="n"/>
      <c r="B235" s="35" t="n"/>
      <c r="C235" s="35" t="n"/>
      <c r="D235" s="35" t="n"/>
      <c r="E235" s="35" t="n"/>
      <c r="F235" s="35" t="n"/>
      <c r="G235" s="61" t="n"/>
      <c r="H235" s="39">
        <f>IF(B235="","",Settings!$B$15)</f>
        <v/>
      </c>
      <c r="I235" s="39">
        <f>IF(B235="","",G235*H235)</f>
        <v/>
      </c>
      <c r="J235" s="9">
        <f>IF(B235="","",IF(C235="","Other",IFERROR(VLOOKUP(C235,Settings!$E$5:$G$28,3,FALSE),"Other")))</f>
        <v/>
      </c>
      <c r="K235" s="9">
        <f>IF(B235="","",IF(COUNTIF(Jobs!$A$5:$A$44,B235)=0,"Unknown Job ID",IF(G235="","Missing miles",IF(A235="","Missing date",""))))</f>
        <v/>
      </c>
      <c r="L235" s="35" t="n"/>
    </row>
    <row r="236">
      <c r="A236" s="40" t="n"/>
      <c r="B236" s="35" t="n"/>
      <c r="C236" s="35" t="n"/>
      <c r="D236" s="35" t="n"/>
      <c r="E236" s="35" t="n"/>
      <c r="F236" s="35" t="n"/>
      <c r="G236" s="61" t="n"/>
      <c r="H236" s="39">
        <f>IF(B236="","",Settings!$B$15)</f>
        <v/>
      </c>
      <c r="I236" s="39">
        <f>IF(B236="","",G236*H236)</f>
        <v/>
      </c>
      <c r="J236" s="9">
        <f>IF(B236="","",IF(C236="","Other",IFERROR(VLOOKUP(C236,Settings!$E$5:$G$28,3,FALSE),"Other")))</f>
        <v/>
      </c>
      <c r="K236" s="9">
        <f>IF(B236="","",IF(COUNTIF(Jobs!$A$5:$A$44,B236)=0,"Unknown Job ID",IF(G236="","Missing miles",IF(A236="","Missing date",""))))</f>
        <v/>
      </c>
      <c r="L236" s="35" t="n"/>
    </row>
    <row r="237">
      <c r="A237" s="40" t="n"/>
      <c r="B237" s="35" t="n"/>
      <c r="C237" s="35" t="n"/>
      <c r="D237" s="35" t="n"/>
      <c r="E237" s="35" t="n"/>
      <c r="F237" s="35" t="n"/>
      <c r="G237" s="61" t="n"/>
      <c r="H237" s="39">
        <f>IF(B237="","",Settings!$B$15)</f>
        <v/>
      </c>
      <c r="I237" s="39">
        <f>IF(B237="","",G237*H237)</f>
        <v/>
      </c>
      <c r="J237" s="9">
        <f>IF(B237="","",IF(C237="","Other",IFERROR(VLOOKUP(C237,Settings!$E$5:$G$28,3,FALSE),"Other")))</f>
        <v/>
      </c>
      <c r="K237" s="9">
        <f>IF(B237="","",IF(COUNTIF(Jobs!$A$5:$A$44,B237)=0,"Unknown Job ID",IF(G237="","Missing miles",IF(A237="","Missing date",""))))</f>
        <v/>
      </c>
      <c r="L237" s="35" t="n"/>
    </row>
    <row r="238">
      <c r="A238" s="40" t="n"/>
      <c r="B238" s="35" t="n"/>
      <c r="C238" s="35" t="n"/>
      <c r="D238" s="35" t="n"/>
      <c r="E238" s="35" t="n"/>
      <c r="F238" s="35" t="n"/>
      <c r="G238" s="61" t="n"/>
      <c r="H238" s="39">
        <f>IF(B238="","",Settings!$B$15)</f>
        <v/>
      </c>
      <c r="I238" s="39">
        <f>IF(B238="","",G238*H238)</f>
        <v/>
      </c>
      <c r="J238" s="9">
        <f>IF(B238="","",IF(C238="","Other",IFERROR(VLOOKUP(C238,Settings!$E$5:$G$28,3,FALSE),"Other")))</f>
        <v/>
      </c>
      <c r="K238" s="9">
        <f>IF(B238="","",IF(COUNTIF(Jobs!$A$5:$A$44,B238)=0,"Unknown Job ID",IF(G238="","Missing miles",IF(A238="","Missing date",""))))</f>
        <v/>
      </c>
      <c r="L238" s="35" t="n"/>
    </row>
    <row r="239">
      <c r="A239" s="40" t="n"/>
      <c r="B239" s="35" t="n"/>
      <c r="C239" s="35" t="n"/>
      <c r="D239" s="35" t="n"/>
      <c r="E239" s="35" t="n"/>
      <c r="F239" s="35" t="n"/>
      <c r="G239" s="61" t="n"/>
      <c r="H239" s="39">
        <f>IF(B239="","",Settings!$B$15)</f>
        <v/>
      </c>
      <c r="I239" s="39">
        <f>IF(B239="","",G239*H239)</f>
        <v/>
      </c>
      <c r="J239" s="9">
        <f>IF(B239="","",IF(C239="","Other",IFERROR(VLOOKUP(C239,Settings!$E$5:$G$28,3,FALSE),"Other")))</f>
        <v/>
      </c>
      <c r="K239" s="9">
        <f>IF(B239="","",IF(COUNTIF(Jobs!$A$5:$A$44,B239)=0,"Unknown Job ID",IF(G239="","Missing miles",IF(A239="","Missing date",""))))</f>
        <v/>
      </c>
      <c r="L239" s="35" t="n"/>
    </row>
    <row r="240">
      <c r="A240" s="40" t="n"/>
      <c r="B240" s="35" t="n"/>
      <c r="C240" s="35" t="n"/>
      <c r="D240" s="35" t="n"/>
      <c r="E240" s="35" t="n"/>
      <c r="F240" s="35" t="n"/>
      <c r="G240" s="61" t="n"/>
      <c r="H240" s="39">
        <f>IF(B240="","",Settings!$B$15)</f>
        <v/>
      </c>
      <c r="I240" s="39">
        <f>IF(B240="","",G240*H240)</f>
        <v/>
      </c>
      <c r="J240" s="9">
        <f>IF(B240="","",IF(C240="","Other",IFERROR(VLOOKUP(C240,Settings!$E$5:$G$28,3,FALSE),"Other")))</f>
        <v/>
      </c>
      <c r="K240" s="9">
        <f>IF(B240="","",IF(COUNTIF(Jobs!$A$5:$A$44,B240)=0,"Unknown Job ID",IF(G240="","Missing miles",IF(A240="","Missing date",""))))</f>
        <v/>
      </c>
      <c r="L240" s="35" t="n"/>
    </row>
    <row r="241">
      <c r="A241" s="40" t="n"/>
      <c r="B241" s="35" t="n"/>
      <c r="C241" s="35" t="n"/>
      <c r="D241" s="35" t="n"/>
      <c r="E241" s="35" t="n"/>
      <c r="F241" s="35" t="n"/>
      <c r="G241" s="61" t="n"/>
      <c r="H241" s="39">
        <f>IF(B241="","",Settings!$B$15)</f>
        <v/>
      </c>
      <c r="I241" s="39">
        <f>IF(B241="","",G241*H241)</f>
        <v/>
      </c>
      <c r="J241" s="9">
        <f>IF(B241="","",IF(C241="","Other",IFERROR(VLOOKUP(C241,Settings!$E$5:$G$28,3,FALSE),"Other")))</f>
        <v/>
      </c>
      <c r="K241" s="9">
        <f>IF(B241="","",IF(COUNTIF(Jobs!$A$5:$A$44,B241)=0,"Unknown Job ID",IF(G241="","Missing miles",IF(A241="","Missing date",""))))</f>
        <v/>
      </c>
      <c r="L241" s="35" t="n"/>
    </row>
    <row r="242">
      <c r="A242" s="40" t="n"/>
      <c r="B242" s="35" t="n"/>
      <c r="C242" s="35" t="n"/>
      <c r="D242" s="35" t="n"/>
      <c r="E242" s="35" t="n"/>
      <c r="F242" s="35" t="n"/>
      <c r="G242" s="61" t="n"/>
      <c r="H242" s="39">
        <f>IF(B242="","",Settings!$B$15)</f>
        <v/>
      </c>
      <c r="I242" s="39">
        <f>IF(B242="","",G242*H242)</f>
        <v/>
      </c>
      <c r="J242" s="9">
        <f>IF(B242="","",IF(C242="","Other",IFERROR(VLOOKUP(C242,Settings!$E$5:$G$28,3,FALSE),"Other")))</f>
        <v/>
      </c>
      <c r="K242" s="9">
        <f>IF(B242="","",IF(COUNTIF(Jobs!$A$5:$A$44,B242)=0,"Unknown Job ID",IF(G242="","Missing miles",IF(A242="","Missing date",""))))</f>
        <v/>
      </c>
      <c r="L242" s="35" t="n"/>
    </row>
    <row r="243">
      <c r="A243" s="40" t="n"/>
      <c r="B243" s="35" t="n"/>
      <c r="C243" s="35" t="n"/>
      <c r="D243" s="35" t="n"/>
      <c r="E243" s="35" t="n"/>
      <c r="F243" s="35" t="n"/>
      <c r="G243" s="61" t="n"/>
      <c r="H243" s="39">
        <f>IF(B243="","",Settings!$B$15)</f>
        <v/>
      </c>
      <c r="I243" s="39">
        <f>IF(B243="","",G243*H243)</f>
        <v/>
      </c>
      <c r="J243" s="9">
        <f>IF(B243="","",IF(C243="","Other",IFERROR(VLOOKUP(C243,Settings!$E$5:$G$28,3,FALSE),"Other")))</f>
        <v/>
      </c>
      <c r="K243" s="9">
        <f>IF(B243="","",IF(COUNTIF(Jobs!$A$5:$A$44,B243)=0,"Unknown Job ID",IF(G243="","Missing miles",IF(A243="","Missing date",""))))</f>
        <v/>
      </c>
      <c r="L243" s="35" t="n"/>
    </row>
    <row r="244">
      <c r="A244" s="40" t="n"/>
      <c r="B244" s="35" t="n"/>
      <c r="C244" s="35" t="n"/>
      <c r="D244" s="35" t="n"/>
      <c r="E244" s="35" t="n"/>
      <c r="F244" s="35" t="n"/>
      <c r="G244" s="61" t="n"/>
      <c r="H244" s="39">
        <f>IF(B244="","",Settings!$B$15)</f>
        <v/>
      </c>
      <c r="I244" s="39">
        <f>IF(B244="","",G244*H244)</f>
        <v/>
      </c>
      <c r="J244" s="9">
        <f>IF(B244="","",IF(C244="","Other",IFERROR(VLOOKUP(C244,Settings!$E$5:$G$28,3,FALSE),"Other")))</f>
        <v/>
      </c>
      <c r="K244" s="9">
        <f>IF(B244="","",IF(COUNTIF(Jobs!$A$5:$A$44,B244)=0,"Unknown Job ID",IF(G244="","Missing miles",IF(A244="","Missing date",""))))</f>
        <v/>
      </c>
      <c r="L244" s="35" t="n"/>
    </row>
    <row r="245">
      <c r="A245" s="40" t="n"/>
      <c r="B245" s="35" t="n"/>
      <c r="C245" s="35" t="n"/>
      <c r="D245" s="35" t="n"/>
      <c r="E245" s="35" t="n"/>
      <c r="F245" s="35" t="n"/>
      <c r="G245" s="61" t="n"/>
      <c r="H245" s="39">
        <f>IF(B245="","",Settings!$B$15)</f>
        <v/>
      </c>
      <c r="I245" s="39">
        <f>IF(B245="","",G245*H245)</f>
        <v/>
      </c>
      <c r="J245" s="9">
        <f>IF(B245="","",IF(C245="","Other",IFERROR(VLOOKUP(C245,Settings!$E$5:$G$28,3,FALSE),"Other")))</f>
        <v/>
      </c>
      <c r="K245" s="9">
        <f>IF(B245="","",IF(COUNTIF(Jobs!$A$5:$A$44,B245)=0,"Unknown Job ID",IF(G245="","Missing miles",IF(A245="","Missing date",""))))</f>
        <v/>
      </c>
      <c r="L245" s="35" t="n"/>
    </row>
    <row r="246">
      <c r="A246" s="40" t="n"/>
      <c r="B246" s="35" t="n"/>
      <c r="C246" s="35" t="n"/>
      <c r="D246" s="35" t="n"/>
      <c r="E246" s="35" t="n"/>
      <c r="F246" s="35" t="n"/>
      <c r="G246" s="61" t="n"/>
      <c r="H246" s="39">
        <f>IF(B246="","",Settings!$B$15)</f>
        <v/>
      </c>
      <c r="I246" s="39">
        <f>IF(B246="","",G246*H246)</f>
        <v/>
      </c>
      <c r="J246" s="9">
        <f>IF(B246="","",IF(C246="","Other",IFERROR(VLOOKUP(C246,Settings!$E$5:$G$28,3,FALSE),"Other")))</f>
        <v/>
      </c>
      <c r="K246" s="9">
        <f>IF(B246="","",IF(COUNTIF(Jobs!$A$5:$A$44,B246)=0,"Unknown Job ID",IF(G246="","Missing miles",IF(A246="","Missing date",""))))</f>
        <v/>
      </c>
      <c r="L246" s="35" t="n"/>
    </row>
    <row r="247">
      <c r="A247" s="40" t="n"/>
      <c r="B247" s="35" t="n"/>
      <c r="C247" s="35" t="n"/>
      <c r="D247" s="35" t="n"/>
      <c r="E247" s="35" t="n"/>
      <c r="F247" s="35" t="n"/>
      <c r="G247" s="61" t="n"/>
      <c r="H247" s="39">
        <f>IF(B247="","",Settings!$B$15)</f>
        <v/>
      </c>
      <c r="I247" s="39">
        <f>IF(B247="","",G247*H247)</f>
        <v/>
      </c>
      <c r="J247" s="9">
        <f>IF(B247="","",IF(C247="","Other",IFERROR(VLOOKUP(C247,Settings!$E$5:$G$28,3,FALSE),"Other")))</f>
        <v/>
      </c>
      <c r="K247" s="9">
        <f>IF(B247="","",IF(COUNTIF(Jobs!$A$5:$A$44,B247)=0,"Unknown Job ID",IF(G247="","Missing miles",IF(A247="","Missing date",""))))</f>
        <v/>
      </c>
      <c r="L247" s="35" t="n"/>
    </row>
    <row r="248">
      <c r="A248" s="40" t="n"/>
      <c r="B248" s="35" t="n"/>
      <c r="C248" s="35" t="n"/>
      <c r="D248" s="35" t="n"/>
      <c r="E248" s="35" t="n"/>
      <c r="F248" s="35" t="n"/>
      <c r="G248" s="61" t="n"/>
      <c r="H248" s="39">
        <f>IF(B248="","",Settings!$B$15)</f>
        <v/>
      </c>
      <c r="I248" s="39">
        <f>IF(B248="","",G248*H248)</f>
        <v/>
      </c>
      <c r="J248" s="9">
        <f>IF(B248="","",IF(C248="","Other",IFERROR(VLOOKUP(C248,Settings!$E$5:$G$28,3,FALSE),"Other")))</f>
        <v/>
      </c>
      <c r="K248" s="9">
        <f>IF(B248="","",IF(COUNTIF(Jobs!$A$5:$A$44,B248)=0,"Unknown Job ID",IF(G248="","Missing miles",IF(A248="","Missing date",""))))</f>
        <v/>
      </c>
      <c r="L248" s="35" t="n"/>
    </row>
    <row r="249">
      <c r="A249" s="40" t="n"/>
      <c r="B249" s="35" t="n"/>
      <c r="C249" s="35" t="n"/>
      <c r="D249" s="35" t="n"/>
      <c r="E249" s="35" t="n"/>
      <c r="F249" s="35" t="n"/>
      <c r="G249" s="61" t="n"/>
      <c r="H249" s="39">
        <f>IF(B249="","",Settings!$B$15)</f>
        <v/>
      </c>
      <c r="I249" s="39">
        <f>IF(B249="","",G249*H249)</f>
        <v/>
      </c>
      <c r="J249" s="9">
        <f>IF(B249="","",IF(C249="","Other",IFERROR(VLOOKUP(C249,Settings!$E$5:$G$28,3,FALSE),"Other")))</f>
        <v/>
      </c>
      <c r="K249" s="9">
        <f>IF(B249="","",IF(COUNTIF(Jobs!$A$5:$A$44,B249)=0,"Unknown Job ID",IF(G249="","Missing miles",IF(A249="","Missing date",""))))</f>
        <v/>
      </c>
      <c r="L249" s="35" t="n"/>
    </row>
    <row r="250">
      <c r="A250" s="40" t="n"/>
      <c r="B250" s="35" t="n"/>
      <c r="C250" s="35" t="n"/>
      <c r="D250" s="35" t="n"/>
      <c r="E250" s="35" t="n"/>
      <c r="F250" s="35" t="n"/>
      <c r="G250" s="61" t="n"/>
      <c r="H250" s="39">
        <f>IF(B250="","",Settings!$B$15)</f>
        <v/>
      </c>
      <c r="I250" s="39">
        <f>IF(B250="","",G250*H250)</f>
        <v/>
      </c>
      <c r="J250" s="9">
        <f>IF(B250="","",IF(C250="","Other",IFERROR(VLOOKUP(C250,Settings!$E$5:$G$28,3,FALSE),"Other")))</f>
        <v/>
      </c>
      <c r="K250" s="9">
        <f>IF(B250="","",IF(COUNTIF(Jobs!$A$5:$A$44,B250)=0,"Unknown Job ID",IF(G250="","Missing miles",IF(A250="","Missing date",""))))</f>
        <v/>
      </c>
      <c r="L250" s="35" t="n"/>
    </row>
    <row r="251">
      <c r="A251" s="40" t="n"/>
      <c r="B251" s="35" t="n"/>
      <c r="C251" s="35" t="n"/>
      <c r="D251" s="35" t="n"/>
      <c r="E251" s="35" t="n"/>
      <c r="F251" s="35" t="n"/>
      <c r="G251" s="61" t="n"/>
      <c r="H251" s="39">
        <f>IF(B251="","",Settings!$B$15)</f>
        <v/>
      </c>
      <c r="I251" s="39">
        <f>IF(B251="","",G251*H251)</f>
        <v/>
      </c>
      <c r="J251" s="9">
        <f>IF(B251="","",IF(C251="","Other",IFERROR(VLOOKUP(C251,Settings!$E$5:$G$28,3,FALSE),"Other")))</f>
        <v/>
      </c>
      <c r="K251" s="9">
        <f>IF(B251="","",IF(COUNTIF(Jobs!$A$5:$A$44,B251)=0,"Unknown Job ID",IF(G251="","Missing miles",IF(A251="","Missing date",""))))</f>
        <v/>
      </c>
      <c r="L251" s="35" t="n"/>
    </row>
    <row r="252">
      <c r="A252" s="40" t="n"/>
      <c r="B252" s="35" t="n"/>
      <c r="C252" s="35" t="n"/>
      <c r="D252" s="35" t="n"/>
      <c r="E252" s="35" t="n"/>
      <c r="F252" s="35" t="n"/>
      <c r="G252" s="61" t="n"/>
      <c r="H252" s="39">
        <f>IF(B252="","",Settings!$B$15)</f>
        <v/>
      </c>
      <c r="I252" s="39">
        <f>IF(B252="","",G252*H252)</f>
        <v/>
      </c>
      <c r="J252" s="9">
        <f>IF(B252="","",IF(C252="","Other",IFERROR(VLOOKUP(C252,Settings!$E$5:$G$28,3,FALSE),"Other")))</f>
        <v/>
      </c>
      <c r="K252" s="9">
        <f>IF(B252="","",IF(COUNTIF(Jobs!$A$5:$A$44,B252)=0,"Unknown Job ID",IF(G252="","Missing miles",IF(A252="","Missing date",""))))</f>
        <v/>
      </c>
      <c r="L252" s="35" t="n"/>
    </row>
    <row r="253">
      <c r="A253" s="40" t="n"/>
      <c r="B253" s="35" t="n"/>
      <c r="C253" s="35" t="n"/>
      <c r="D253" s="35" t="n"/>
      <c r="E253" s="35" t="n"/>
      <c r="F253" s="35" t="n"/>
      <c r="G253" s="61" t="n"/>
      <c r="H253" s="39">
        <f>IF(B253="","",Settings!$B$15)</f>
        <v/>
      </c>
      <c r="I253" s="39">
        <f>IF(B253="","",G253*H253)</f>
        <v/>
      </c>
      <c r="J253" s="9">
        <f>IF(B253="","",IF(C253="","Other",IFERROR(VLOOKUP(C253,Settings!$E$5:$G$28,3,FALSE),"Other")))</f>
        <v/>
      </c>
      <c r="K253" s="9">
        <f>IF(B253="","",IF(COUNTIF(Jobs!$A$5:$A$44,B253)=0,"Unknown Job ID",IF(G253="","Missing miles",IF(A253="","Missing date",""))))</f>
        <v/>
      </c>
      <c r="L253" s="35" t="n"/>
    </row>
    <row r="254">
      <c r="A254" s="40" t="n"/>
      <c r="B254" s="35" t="n"/>
      <c r="C254" s="35" t="n"/>
      <c r="D254" s="35" t="n"/>
      <c r="E254" s="35" t="n"/>
      <c r="F254" s="35" t="n"/>
      <c r="G254" s="61" t="n"/>
      <c r="H254" s="39">
        <f>IF(B254="","",Settings!$B$15)</f>
        <v/>
      </c>
      <c r="I254" s="39">
        <f>IF(B254="","",G254*H254)</f>
        <v/>
      </c>
      <c r="J254" s="9">
        <f>IF(B254="","",IF(C254="","Other",IFERROR(VLOOKUP(C254,Settings!$E$5:$G$28,3,FALSE),"Other")))</f>
        <v/>
      </c>
      <c r="K254" s="9">
        <f>IF(B254="","",IF(COUNTIF(Jobs!$A$5:$A$44,B254)=0,"Unknown Job ID",IF(G254="","Missing miles",IF(A254="","Missing date",""))))</f>
        <v/>
      </c>
      <c r="L254" s="35" t="n"/>
    </row>
    <row r="255">
      <c r="A255" s="40" t="n"/>
      <c r="B255" s="35" t="n"/>
      <c r="C255" s="35" t="n"/>
      <c r="D255" s="35" t="n"/>
      <c r="E255" s="35" t="n"/>
      <c r="F255" s="35" t="n"/>
      <c r="G255" s="61" t="n"/>
      <c r="H255" s="39">
        <f>IF(B255="","",Settings!$B$15)</f>
        <v/>
      </c>
      <c r="I255" s="39">
        <f>IF(B255="","",G255*H255)</f>
        <v/>
      </c>
      <c r="J255" s="9">
        <f>IF(B255="","",IF(C255="","Other",IFERROR(VLOOKUP(C255,Settings!$E$5:$G$28,3,FALSE),"Other")))</f>
        <v/>
      </c>
      <c r="K255" s="9">
        <f>IF(B255="","",IF(COUNTIF(Jobs!$A$5:$A$44,B255)=0,"Unknown Job ID",IF(G255="","Missing miles",IF(A255="","Missing date",""))))</f>
        <v/>
      </c>
      <c r="L255" s="35" t="n"/>
    </row>
    <row r="256">
      <c r="A256" s="40" t="n"/>
      <c r="B256" s="35" t="n"/>
      <c r="C256" s="35" t="n"/>
      <c r="D256" s="35" t="n"/>
      <c r="E256" s="35" t="n"/>
      <c r="F256" s="35" t="n"/>
      <c r="G256" s="61" t="n"/>
      <c r="H256" s="39">
        <f>IF(B256="","",Settings!$B$15)</f>
        <v/>
      </c>
      <c r="I256" s="39">
        <f>IF(B256="","",G256*H256)</f>
        <v/>
      </c>
      <c r="J256" s="9">
        <f>IF(B256="","",IF(C256="","Other",IFERROR(VLOOKUP(C256,Settings!$E$5:$G$28,3,FALSE),"Other")))</f>
        <v/>
      </c>
      <c r="K256" s="9">
        <f>IF(B256="","",IF(COUNTIF(Jobs!$A$5:$A$44,B256)=0,"Unknown Job ID",IF(G256="","Missing miles",IF(A256="","Missing date",""))))</f>
        <v/>
      </c>
      <c r="L256" s="35" t="n"/>
    </row>
    <row r="257">
      <c r="A257" s="40" t="n"/>
      <c r="B257" s="35" t="n"/>
      <c r="C257" s="35" t="n"/>
      <c r="D257" s="35" t="n"/>
      <c r="E257" s="35" t="n"/>
      <c r="F257" s="35" t="n"/>
      <c r="G257" s="61" t="n"/>
      <c r="H257" s="39">
        <f>IF(B257="","",Settings!$B$15)</f>
        <v/>
      </c>
      <c r="I257" s="39">
        <f>IF(B257="","",G257*H257)</f>
        <v/>
      </c>
      <c r="J257" s="9">
        <f>IF(B257="","",IF(C257="","Other",IFERROR(VLOOKUP(C257,Settings!$E$5:$G$28,3,FALSE),"Other")))</f>
        <v/>
      </c>
      <c r="K257" s="9">
        <f>IF(B257="","",IF(COUNTIF(Jobs!$A$5:$A$44,B257)=0,"Unknown Job ID",IF(G257="","Missing miles",IF(A257="","Missing date",""))))</f>
        <v/>
      </c>
      <c r="L257" s="35" t="n"/>
    </row>
    <row r="258">
      <c r="A258" s="40" t="n"/>
      <c r="B258" s="35" t="n"/>
      <c r="C258" s="35" t="n"/>
      <c r="D258" s="35" t="n"/>
      <c r="E258" s="35" t="n"/>
      <c r="F258" s="35" t="n"/>
      <c r="G258" s="61" t="n"/>
      <c r="H258" s="39">
        <f>IF(B258="","",Settings!$B$15)</f>
        <v/>
      </c>
      <c r="I258" s="39">
        <f>IF(B258="","",G258*H258)</f>
        <v/>
      </c>
      <c r="J258" s="9">
        <f>IF(B258="","",IF(C258="","Other",IFERROR(VLOOKUP(C258,Settings!$E$5:$G$28,3,FALSE),"Other")))</f>
        <v/>
      </c>
      <c r="K258" s="9">
        <f>IF(B258="","",IF(COUNTIF(Jobs!$A$5:$A$44,B258)=0,"Unknown Job ID",IF(G258="","Missing miles",IF(A258="","Missing date",""))))</f>
        <v/>
      </c>
      <c r="L258" s="35" t="n"/>
    </row>
    <row r="259">
      <c r="A259" s="40" t="n"/>
      <c r="B259" s="35" t="n"/>
      <c r="C259" s="35" t="n"/>
      <c r="D259" s="35" t="n"/>
      <c r="E259" s="35" t="n"/>
      <c r="F259" s="35" t="n"/>
      <c r="G259" s="61" t="n"/>
      <c r="H259" s="39">
        <f>IF(B259="","",Settings!$B$15)</f>
        <v/>
      </c>
      <c r="I259" s="39">
        <f>IF(B259="","",G259*H259)</f>
        <v/>
      </c>
      <c r="J259" s="9">
        <f>IF(B259="","",IF(C259="","Other",IFERROR(VLOOKUP(C259,Settings!$E$5:$G$28,3,FALSE),"Other")))</f>
        <v/>
      </c>
      <c r="K259" s="9">
        <f>IF(B259="","",IF(COUNTIF(Jobs!$A$5:$A$44,B259)=0,"Unknown Job ID",IF(G259="","Missing miles",IF(A259="","Missing date",""))))</f>
        <v/>
      </c>
      <c r="L259" s="35" t="n"/>
    </row>
    <row r="260">
      <c r="A260" s="40" t="n"/>
      <c r="B260" s="35" t="n"/>
      <c r="C260" s="35" t="n"/>
      <c r="D260" s="35" t="n"/>
      <c r="E260" s="35" t="n"/>
      <c r="F260" s="35" t="n"/>
      <c r="G260" s="61" t="n"/>
      <c r="H260" s="39">
        <f>IF(B260="","",Settings!$B$15)</f>
        <v/>
      </c>
      <c r="I260" s="39">
        <f>IF(B260="","",G260*H260)</f>
        <v/>
      </c>
      <c r="J260" s="9">
        <f>IF(B260="","",IF(C260="","Other",IFERROR(VLOOKUP(C260,Settings!$E$5:$G$28,3,FALSE),"Other")))</f>
        <v/>
      </c>
      <c r="K260" s="9">
        <f>IF(B260="","",IF(COUNTIF(Jobs!$A$5:$A$44,B260)=0,"Unknown Job ID",IF(G260="","Missing miles",IF(A260="","Missing date",""))))</f>
        <v/>
      </c>
      <c r="L260" s="35" t="n"/>
    </row>
    <row r="261">
      <c r="A261" s="40" t="n"/>
      <c r="B261" s="35" t="n"/>
      <c r="C261" s="35" t="n"/>
      <c r="D261" s="35" t="n"/>
      <c r="E261" s="35" t="n"/>
      <c r="F261" s="35" t="n"/>
      <c r="G261" s="61" t="n"/>
      <c r="H261" s="39">
        <f>IF(B261="","",Settings!$B$15)</f>
        <v/>
      </c>
      <c r="I261" s="39">
        <f>IF(B261="","",G261*H261)</f>
        <v/>
      </c>
      <c r="J261" s="9">
        <f>IF(B261="","",IF(C261="","Other",IFERROR(VLOOKUP(C261,Settings!$E$5:$G$28,3,FALSE),"Other")))</f>
        <v/>
      </c>
      <c r="K261" s="9">
        <f>IF(B261="","",IF(COUNTIF(Jobs!$A$5:$A$44,B261)=0,"Unknown Job ID",IF(G261="","Missing miles",IF(A261="","Missing date",""))))</f>
        <v/>
      </c>
      <c r="L261" s="35" t="n"/>
    </row>
    <row r="262">
      <c r="A262" s="40" t="n"/>
      <c r="B262" s="35" t="n"/>
      <c r="C262" s="35" t="n"/>
      <c r="D262" s="35" t="n"/>
      <c r="E262" s="35" t="n"/>
      <c r="F262" s="35" t="n"/>
      <c r="G262" s="61" t="n"/>
      <c r="H262" s="39">
        <f>IF(B262="","",Settings!$B$15)</f>
        <v/>
      </c>
      <c r="I262" s="39">
        <f>IF(B262="","",G262*H262)</f>
        <v/>
      </c>
      <c r="J262" s="9">
        <f>IF(B262="","",IF(C262="","Other",IFERROR(VLOOKUP(C262,Settings!$E$5:$G$28,3,FALSE),"Other")))</f>
        <v/>
      </c>
      <c r="K262" s="9">
        <f>IF(B262="","",IF(COUNTIF(Jobs!$A$5:$A$44,B262)=0,"Unknown Job ID",IF(G262="","Missing miles",IF(A262="","Missing date",""))))</f>
        <v/>
      </c>
      <c r="L262" s="35" t="n"/>
    </row>
    <row r="263">
      <c r="A263" s="40" t="n"/>
      <c r="B263" s="35" t="n"/>
      <c r="C263" s="35" t="n"/>
      <c r="D263" s="35" t="n"/>
      <c r="E263" s="35" t="n"/>
      <c r="F263" s="35" t="n"/>
      <c r="G263" s="61" t="n"/>
      <c r="H263" s="39">
        <f>IF(B263="","",Settings!$B$15)</f>
        <v/>
      </c>
      <c r="I263" s="39">
        <f>IF(B263="","",G263*H263)</f>
        <v/>
      </c>
      <c r="J263" s="9">
        <f>IF(B263="","",IF(C263="","Other",IFERROR(VLOOKUP(C263,Settings!$E$5:$G$28,3,FALSE),"Other")))</f>
        <v/>
      </c>
      <c r="K263" s="9">
        <f>IF(B263="","",IF(COUNTIF(Jobs!$A$5:$A$44,B263)=0,"Unknown Job ID",IF(G263="","Missing miles",IF(A263="","Missing date",""))))</f>
        <v/>
      </c>
      <c r="L263" s="35" t="n"/>
    </row>
    <row r="264">
      <c r="A264" s="40" t="n"/>
      <c r="B264" s="35" t="n"/>
      <c r="C264" s="35" t="n"/>
      <c r="D264" s="35" t="n"/>
      <c r="E264" s="35" t="n"/>
      <c r="F264" s="35" t="n"/>
      <c r="G264" s="61" t="n"/>
      <c r="H264" s="39">
        <f>IF(B264="","",Settings!$B$15)</f>
        <v/>
      </c>
      <c r="I264" s="39">
        <f>IF(B264="","",G264*H264)</f>
        <v/>
      </c>
      <c r="J264" s="9">
        <f>IF(B264="","",IF(C264="","Other",IFERROR(VLOOKUP(C264,Settings!$E$5:$G$28,3,FALSE),"Other")))</f>
        <v/>
      </c>
      <c r="K264" s="9">
        <f>IF(B264="","",IF(COUNTIF(Jobs!$A$5:$A$44,B264)=0,"Unknown Job ID",IF(G264="","Missing miles",IF(A264="","Missing date",""))))</f>
        <v/>
      </c>
      <c r="L264" s="35" t="n"/>
    </row>
    <row r="265">
      <c r="A265" s="40" t="n"/>
      <c r="B265" s="35" t="n"/>
      <c r="C265" s="35" t="n"/>
      <c r="D265" s="35" t="n"/>
      <c r="E265" s="35" t="n"/>
      <c r="F265" s="35" t="n"/>
      <c r="G265" s="61" t="n"/>
      <c r="H265" s="39">
        <f>IF(B265="","",Settings!$B$15)</f>
        <v/>
      </c>
      <c r="I265" s="39">
        <f>IF(B265="","",G265*H265)</f>
        <v/>
      </c>
      <c r="J265" s="9">
        <f>IF(B265="","",IF(C265="","Other",IFERROR(VLOOKUP(C265,Settings!$E$5:$G$28,3,FALSE),"Other")))</f>
        <v/>
      </c>
      <c r="K265" s="9">
        <f>IF(B265="","",IF(COUNTIF(Jobs!$A$5:$A$44,B265)=0,"Unknown Job ID",IF(G265="","Missing miles",IF(A265="","Missing date",""))))</f>
        <v/>
      </c>
      <c r="L265" s="35" t="n"/>
    </row>
    <row r="266">
      <c r="A266" s="40" t="n"/>
      <c r="B266" s="35" t="n"/>
      <c r="C266" s="35" t="n"/>
      <c r="D266" s="35" t="n"/>
      <c r="E266" s="35" t="n"/>
      <c r="F266" s="35" t="n"/>
      <c r="G266" s="61" t="n"/>
      <c r="H266" s="39">
        <f>IF(B266="","",Settings!$B$15)</f>
        <v/>
      </c>
      <c r="I266" s="39">
        <f>IF(B266="","",G266*H266)</f>
        <v/>
      </c>
      <c r="J266" s="9">
        <f>IF(B266="","",IF(C266="","Other",IFERROR(VLOOKUP(C266,Settings!$E$5:$G$28,3,FALSE),"Other")))</f>
        <v/>
      </c>
      <c r="K266" s="9">
        <f>IF(B266="","",IF(COUNTIF(Jobs!$A$5:$A$44,B266)=0,"Unknown Job ID",IF(G266="","Missing miles",IF(A266="","Missing date",""))))</f>
        <v/>
      </c>
      <c r="L266" s="35" t="n"/>
    </row>
    <row r="267">
      <c r="A267" s="40" t="n"/>
      <c r="B267" s="35" t="n"/>
      <c r="C267" s="35" t="n"/>
      <c r="D267" s="35" t="n"/>
      <c r="E267" s="35" t="n"/>
      <c r="F267" s="35" t="n"/>
      <c r="G267" s="61" t="n"/>
      <c r="H267" s="39">
        <f>IF(B267="","",Settings!$B$15)</f>
        <v/>
      </c>
      <c r="I267" s="39">
        <f>IF(B267="","",G267*H267)</f>
        <v/>
      </c>
      <c r="J267" s="9">
        <f>IF(B267="","",IF(C267="","Other",IFERROR(VLOOKUP(C267,Settings!$E$5:$G$28,3,FALSE),"Other")))</f>
        <v/>
      </c>
      <c r="K267" s="9">
        <f>IF(B267="","",IF(COUNTIF(Jobs!$A$5:$A$44,B267)=0,"Unknown Job ID",IF(G267="","Missing miles",IF(A267="","Missing date",""))))</f>
        <v/>
      </c>
      <c r="L267" s="35" t="n"/>
    </row>
    <row r="268">
      <c r="A268" s="40" t="n"/>
      <c r="B268" s="35" t="n"/>
      <c r="C268" s="35" t="n"/>
      <c r="D268" s="35" t="n"/>
      <c r="E268" s="35" t="n"/>
      <c r="F268" s="35" t="n"/>
      <c r="G268" s="61" t="n"/>
      <c r="H268" s="39">
        <f>IF(B268="","",Settings!$B$15)</f>
        <v/>
      </c>
      <c r="I268" s="39">
        <f>IF(B268="","",G268*H268)</f>
        <v/>
      </c>
      <c r="J268" s="9">
        <f>IF(B268="","",IF(C268="","Other",IFERROR(VLOOKUP(C268,Settings!$E$5:$G$28,3,FALSE),"Other")))</f>
        <v/>
      </c>
      <c r="K268" s="9">
        <f>IF(B268="","",IF(COUNTIF(Jobs!$A$5:$A$44,B268)=0,"Unknown Job ID",IF(G268="","Missing miles",IF(A268="","Missing date",""))))</f>
        <v/>
      </c>
      <c r="L268" s="35" t="n"/>
    </row>
    <row r="269">
      <c r="A269" s="40" t="n"/>
      <c r="B269" s="35" t="n"/>
      <c r="C269" s="35" t="n"/>
      <c r="D269" s="35" t="n"/>
      <c r="E269" s="35" t="n"/>
      <c r="F269" s="35" t="n"/>
      <c r="G269" s="61" t="n"/>
      <c r="H269" s="39">
        <f>IF(B269="","",Settings!$B$15)</f>
        <v/>
      </c>
      <c r="I269" s="39">
        <f>IF(B269="","",G269*H269)</f>
        <v/>
      </c>
      <c r="J269" s="9">
        <f>IF(B269="","",IF(C269="","Other",IFERROR(VLOOKUP(C269,Settings!$E$5:$G$28,3,FALSE),"Other")))</f>
        <v/>
      </c>
      <c r="K269" s="9">
        <f>IF(B269="","",IF(COUNTIF(Jobs!$A$5:$A$44,B269)=0,"Unknown Job ID",IF(G269="","Missing miles",IF(A269="","Missing date",""))))</f>
        <v/>
      </c>
      <c r="L269" s="35" t="n"/>
    </row>
    <row r="270">
      <c r="A270" s="40" t="n"/>
      <c r="B270" s="35" t="n"/>
      <c r="C270" s="35" t="n"/>
      <c r="D270" s="35" t="n"/>
      <c r="E270" s="35" t="n"/>
      <c r="F270" s="35" t="n"/>
      <c r="G270" s="61" t="n"/>
      <c r="H270" s="39">
        <f>IF(B270="","",Settings!$B$15)</f>
        <v/>
      </c>
      <c r="I270" s="39">
        <f>IF(B270="","",G270*H270)</f>
        <v/>
      </c>
      <c r="J270" s="9">
        <f>IF(B270="","",IF(C270="","Other",IFERROR(VLOOKUP(C270,Settings!$E$5:$G$28,3,FALSE),"Other")))</f>
        <v/>
      </c>
      <c r="K270" s="9">
        <f>IF(B270="","",IF(COUNTIF(Jobs!$A$5:$A$44,B270)=0,"Unknown Job ID",IF(G270="","Missing miles",IF(A270="","Missing date",""))))</f>
        <v/>
      </c>
      <c r="L270" s="35" t="n"/>
    </row>
    <row r="271">
      <c r="A271" s="40" t="n"/>
      <c r="B271" s="35" t="n"/>
      <c r="C271" s="35" t="n"/>
      <c r="D271" s="35" t="n"/>
      <c r="E271" s="35" t="n"/>
      <c r="F271" s="35" t="n"/>
      <c r="G271" s="61" t="n"/>
      <c r="H271" s="39">
        <f>IF(B271="","",Settings!$B$15)</f>
        <v/>
      </c>
      <c r="I271" s="39">
        <f>IF(B271="","",G271*H271)</f>
        <v/>
      </c>
      <c r="J271" s="9">
        <f>IF(B271="","",IF(C271="","Other",IFERROR(VLOOKUP(C271,Settings!$E$5:$G$28,3,FALSE),"Other")))</f>
        <v/>
      </c>
      <c r="K271" s="9">
        <f>IF(B271="","",IF(COUNTIF(Jobs!$A$5:$A$44,B271)=0,"Unknown Job ID",IF(G271="","Missing miles",IF(A271="","Missing date",""))))</f>
        <v/>
      </c>
      <c r="L271" s="35" t="n"/>
    </row>
    <row r="272">
      <c r="A272" s="40" t="n"/>
      <c r="B272" s="35" t="n"/>
      <c r="C272" s="35" t="n"/>
      <c r="D272" s="35" t="n"/>
      <c r="E272" s="35" t="n"/>
      <c r="F272" s="35" t="n"/>
      <c r="G272" s="61" t="n"/>
      <c r="H272" s="39">
        <f>IF(B272="","",Settings!$B$15)</f>
        <v/>
      </c>
      <c r="I272" s="39">
        <f>IF(B272="","",G272*H272)</f>
        <v/>
      </c>
      <c r="J272" s="9">
        <f>IF(B272="","",IF(C272="","Other",IFERROR(VLOOKUP(C272,Settings!$E$5:$G$28,3,FALSE),"Other")))</f>
        <v/>
      </c>
      <c r="K272" s="9">
        <f>IF(B272="","",IF(COUNTIF(Jobs!$A$5:$A$44,B272)=0,"Unknown Job ID",IF(G272="","Missing miles",IF(A272="","Missing date",""))))</f>
        <v/>
      </c>
      <c r="L272" s="35" t="n"/>
    </row>
    <row r="273">
      <c r="A273" s="40" t="n"/>
      <c r="B273" s="35" t="n"/>
      <c r="C273" s="35" t="n"/>
      <c r="D273" s="35" t="n"/>
      <c r="E273" s="35" t="n"/>
      <c r="F273" s="35" t="n"/>
      <c r="G273" s="61" t="n"/>
      <c r="H273" s="39">
        <f>IF(B273="","",Settings!$B$15)</f>
        <v/>
      </c>
      <c r="I273" s="39">
        <f>IF(B273="","",G273*H273)</f>
        <v/>
      </c>
      <c r="J273" s="9">
        <f>IF(B273="","",IF(C273="","Other",IFERROR(VLOOKUP(C273,Settings!$E$5:$G$28,3,FALSE),"Other")))</f>
        <v/>
      </c>
      <c r="K273" s="9">
        <f>IF(B273="","",IF(COUNTIF(Jobs!$A$5:$A$44,B273)=0,"Unknown Job ID",IF(G273="","Missing miles",IF(A273="","Missing date",""))))</f>
        <v/>
      </c>
      <c r="L273" s="35" t="n"/>
    </row>
    <row r="274">
      <c r="A274" s="40" t="n"/>
      <c r="B274" s="35" t="n"/>
      <c r="C274" s="35" t="n"/>
      <c r="D274" s="35" t="n"/>
      <c r="E274" s="35" t="n"/>
      <c r="F274" s="35" t="n"/>
      <c r="G274" s="61" t="n"/>
      <c r="H274" s="39">
        <f>IF(B274="","",Settings!$B$15)</f>
        <v/>
      </c>
      <c r="I274" s="39">
        <f>IF(B274="","",G274*H274)</f>
        <v/>
      </c>
      <c r="J274" s="9">
        <f>IF(B274="","",IF(C274="","Other",IFERROR(VLOOKUP(C274,Settings!$E$5:$G$28,3,FALSE),"Other")))</f>
        <v/>
      </c>
      <c r="K274" s="9">
        <f>IF(B274="","",IF(COUNTIF(Jobs!$A$5:$A$44,B274)=0,"Unknown Job ID",IF(G274="","Missing miles",IF(A274="","Missing date",""))))</f>
        <v/>
      </c>
      <c r="L274" s="35" t="n"/>
    </row>
    <row r="275">
      <c r="A275" s="40" t="n"/>
      <c r="B275" s="35" t="n"/>
      <c r="C275" s="35" t="n"/>
      <c r="D275" s="35" t="n"/>
      <c r="E275" s="35" t="n"/>
      <c r="F275" s="35" t="n"/>
      <c r="G275" s="61" t="n"/>
      <c r="H275" s="39">
        <f>IF(B275="","",Settings!$B$15)</f>
        <v/>
      </c>
      <c r="I275" s="39">
        <f>IF(B275="","",G275*H275)</f>
        <v/>
      </c>
      <c r="J275" s="9">
        <f>IF(B275="","",IF(C275="","Other",IFERROR(VLOOKUP(C275,Settings!$E$5:$G$28,3,FALSE),"Other")))</f>
        <v/>
      </c>
      <c r="K275" s="9">
        <f>IF(B275="","",IF(COUNTIF(Jobs!$A$5:$A$44,B275)=0,"Unknown Job ID",IF(G275="","Missing miles",IF(A275="","Missing date",""))))</f>
        <v/>
      </c>
      <c r="L275" s="35" t="n"/>
    </row>
    <row r="276">
      <c r="A276" s="40" t="n"/>
      <c r="B276" s="35" t="n"/>
      <c r="C276" s="35" t="n"/>
      <c r="D276" s="35" t="n"/>
      <c r="E276" s="35" t="n"/>
      <c r="F276" s="35" t="n"/>
      <c r="G276" s="61" t="n"/>
      <c r="H276" s="39">
        <f>IF(B276="","",Settings!$B$15)</f>
        <v/>
      </c>
      <c r="I276" s="39">
        <f>IF(B276="","",G276*H276)</f>
        <v/>
      </c>
      <c r="J276" s="9">
        <f>IF(B276="","",IF(C276="","Other",IFERROR(VLOOKUP(C276,Settings!$E$5:$G$28,3,FALSE),"Other")))</f>
        <v/>
      </c>
      <c r="K276" s="9">
        <f>IF(B276="","",IF(COUNTIF(Jobs!$A$5:$A$44,B276)=0,"Unknown Job ID",IF(G276="","Missing miles",IF(A276="","Missing date",""))))</f>
        <v/>
      </c>
      <c r="L276" s="35" t="n"/>
    </row>
    <row r="277">
      <c r="A277" s="40" t="n"/>
      <c r="B277" s="35" t="n"/>
      <c r="C277" s="35" t="n"/>
      <c r="D277" s="35" t="n"/>
      <c r="E277" s="35" t="n"/>
      <c r="F277" s="35" t="n"/>
      <c r="G277" s="61" t="n"/>
      <c r="H277" s="39">
        <f>IF(B277="","",Settings!$B$15)</f>
        <v/>
      </c>
      <c r="I277" s="39">
        <f>IF(B277="","",G277*H277)</f>
        <v/>
      </c>
      <c r="J277" s="9">
        <f>IF(B277="","",IF(C277="","Other",IFERROR(VLOOKUP(C277,Settings!$E$5:$G$28,3,FALSE),"Other")))</f>
        <v/>
      </c>
      <c r="K277" s="9">
        <f>IF(B277="","",IF(COUNTIF(Jobs!$A$5:$A$44,B277)=0,"Unknown Job ID",IF(G277="","Missing miles",IF(A277="","Missing date",""))))</f>
        <v/>
      </c>
      <c r="L277" s="35" t="n"/>
    </row>
    <row r="278">
      <c r="A278" s="40" t="n"/>
      <c r="B278" s="35" t="n"/>
      <c r="C278" s="35" t="n"/>
      <c r="D278" s="35" t="n"/>
      <c r="E278" s="35" t="n"/>
      <c r="F278" s="35" t="n"/>
      <c r="G278" s="61" t="n"/>
      <c r="H278" s="39">
        <f>IF(B278="","",Settings!$B$15)</f>
        <v/>
      </c>
      <c r="I278" s="39">
        <f>IF(B278="","",G278*H278)</f>
        <v/>
      </c>
      <c r="J278" s="9">
        <f>IF(B278="","",IF(C278="","Other",IFERROR(VLOOKUP(C278,Settings!$E$5:$G$28,3,FALSE),"Other")))</f>
        <v/>
      </c>
      <c r="K278" s="9">
        <f>IF(B278="","",IF(COUNTIF(Jobs!$A$5:$A$44,B278)=0,"Unknown Job ID",IF(G278="","Missing miles",IF(A278="","Missing date",""))))</f>
        <v/>
      </c>
      <c r="L278" s="35" t="n"/>
    </row>
    <row r="279">
      <c r="A279" s="40" t="n"/>
      <c r="B279" s="35" t="n"/>
      <c r="C279" s="35" t="n"/>
      <c r="D279" s="35" t="n"/>
      <c r="E279" s="35" t="n"/>
      <c r="F279" s="35" t="n"/>
      <c r="G279" s="61" t="n"/>
      <c r="H279" s="39">
        <f>IF(B279="","",Settings!$B$15)</f>
        <v/>
      </c>
      <c r="I279" s="39">
        <f>IF(B279="","",G279*H279)</f>
        <v/>
      </c>
      <c r="J279" s="9">
        <f>IF(B279="","",IF(C279="","Other",IFERROR(VLOOKUP(C279,Settings!$E$5:$G$28,3,FALSE),"Other")))</f>
        <v/>
      </c>
      <c r="K279" s="9">
        <f>IF(B279="","",IF(COUNTIF(Jobs!$A$5:$A$44,B279)=0,"Unknown Job ID",IF(G279="","Missing miles",IF(A279="","Missing date",""))))</f>
        <v/>
      </c>
      <c r="L279" s="35" t="n"/>
    </row>
    <row r="280">
      <c r="A280" s="40" t="n"/>
      <c r="B280" s="35" t="n"/>
      <c r="C280" s="35" t="n"/>
      <c r="D280" s="35" t="n"/>
      <c r="E280" s="35" t="n"/>
      <c r="F280" s="35" t="n"/>
      <c r="G280" s="61" t="n"/>
      <c r="H280" s="39">
        <f>IF(B280="","",Settings!$B$15)</f>
        <v/>
      </c>
      <c r="I280" s="39">
        <f>IF(B280="","",G280*H280)</f>
        <v/>
      </c>
      <c r="J280" s="9">
        <f>IF(B280="","",IF(C280="","Other",IFERROR(VLOOKUP(C280,Settings!$E$5:$G$28,3,FALSE),"Other")))</f>
        <v/>
      </c>
      <c r="K280" s="9">
        <f>IF(B280="","",IF(COUNTIF(Jobs!$A$5:$A$44,B280)=0,"Unknown Job ID",IF(G280="","Missing miles",IF(A280="","Missing date",""))))</f>
        <v/>
      </c>
      <c r="L280" s="35" t="n"/>
    </row>
    <row r="281">
      <c r="A281" s="40" t="n"/>
      <c r="B281" s="35" t="n"/>
      <c r="C281" s="35" t="n"/>
      <c r="D281" s="35" t="n"/>
      <c r="E281" s="35" t="n"/>
      <c r="F281" s="35" t="n"/>
      <c r="G281" s="61" t="n"/>
      <c r="H281" s="39">
        <f>IF(B281="","",Settings!$B$15)</f>
        <v/>
      </c>
      <c r="I281" s="39">
        <f>IF(B281="","",G281*H281)</f>
        <v/>
      </c>
      <c r="J281" s="9">
        <f>IF(B281="","",IF(C281="","Other",IFERROR(VLOOKUP(C281,Settings!$E$5:$G$28,3,FALSE),"Other")))</f>
        <v/>
      </c>
      <c r="K281" s="9">
        <f>IF(B281="","",IF(COUNTIF(Jobs!$A$5:$A$44,B281)=0,"Unknown Job ID",IF(G281="","Missing miles",IF(A281="","Missing date",""))))</f>
        <v/>
      </c>
      <c r="L281" s="35" t="n"/>
    </row>
    <row r="282">
      <c r="A282" s="40" t="n"/>
      <c r="B282" s="35" t="n"/>
      <c r="C282" s="35" t="n"/>
      <c r="D282" s="35" t="n"/>
      <c r="E282" s="35" t="n"/>
      <c r="F282" s="35" t="n"/>
      <c r="G282" s="61" t="n"/>
      <c r="H282" s="39">
        <f>IF(B282="","",Settings!$B$15)</f>
        <v/>
      </c>
      <c r="I282" s="39">
        <f>IF(B282="","",G282*H282)</f>
        <v/>
      </c>
      <c r="J282" s="9">
        <f>IF(B282="","",IF(C282="","Other",IFERROR(VLOOKUP(C282,Settings!$E$5:$G$28,3,FALSE),"Other")))</f>
        <v/>
      </c>
      <c r="K282" s="9">
        <f>IF(B282="","",IF(COUNTIF(Jobs!$A$5:$A$44,B282)=0,"Unknown Job ID",IF(G282="","Missing miles",IF(A282="","Missing date",""))))</f>
        <v/>
      </c>
      <c r="L282" s="35" t="n"/>
    </row>
    <row r="283">
      <c r="A283" s="40" t="n"/>
      <c r="B283" s="35" t="n"/>
      <c r="C283" s="35" t="n"/>
      <c r="D283" s="35" t="n"/>
      <c r="E283" s="35" t="n"/>
      <c r="F283" s="35" t="n"/>
      <c r="G283" s="61" t="n"/>
      <c r="H283" s="39">
        <f>IF(B283="","",Settings!$B$15)</f>
        <v/>
      </c>
      <c r="I283" s="39">
        <f>IF(B283="","",G283*H283)</f>
        <v/>
      </c>
      <c r="J283" s="9">
        <f>IF(B283="","",IF(C283="","Other",IFERROR(VLOOKUP(C283,Settings!$E$5:$G$28,3,FALSE),"Other")))</f>
        <v/>
      </c>
      <c r="K283" s="9">
        <f>IF(B283="","",IF(COUNTIF(Jobs!$A$5:$A$44,B283)=0,"Unknown Job ID",IF(G283="","Missing miles",IF(A283="","Missing date",""))))</f>
        <v/>
      </c>
      <c r="L283" s="35" t="n"/>
    </row>
    <row r="284">
      <c r="A284" s="40" t="n"/>
      <c r="B284" s="35" t="n"/>
      <c r="C284" s="35" t="n"/>
      <c r="D284" s="35" t="n"/>
      <c r="E284" s="35" t="n"/>
      <c r="F284" s="35" t="n"/>
      <c r="G284" s="61" t="n"/>
      <c r="H284" s="39">
        <f>IF(B284="","",Settings!$B$15)</f>
        <v/>
      </c>
      <c r="I284" s="39">
        <f>IF(B284="","",G284*H284)</f>
        <v/>
      </c>
      <c r="J284" s="9">
        <f>IF(B284="","",IF(C284="","Other",IFERROR(VLOOKUP(C284,Settings!$E$5:$G$28,3,FALSE),"Other")))</f>
        <v/>
      </c>
      <c r="K284" s="9">
        <f>IF(B284="","",IF(COUNTIF(Jobs!$A$5:$A$44,B284)=0,"Unknown Job ID",IF(G284="","Missing miles",IF(A284="","Missing date",""))))</f>
        <v/>
      </c>
      <c r="L284" s="35" t="n"/>
    </row>
    <row r="285">
      <c r="A285" s="40" t="n"/>
      <c r="B285" s="35" t="n"/>
      <c r="C285" s="35" t="n"/>
      <c r="D285" s="35" t="n"/>
      <c r="E285" s="35" t="n"/>
      <c r="F285" s="35" t="n"/>
      <c r="G285" s="61" t="n"/>
      <c r="H285" s="39">
        <f>IF(B285="","",Settings!$B$15)</f>
        <v/>
      </c>
      <c r="I285" s="39">
        <f>IF(B285="","",G285*H285)</f>
        <v/>
      </c>
      <c r="J285" s="9">
        <f>IF(B285="","",IF(C285="","Other",IFERROR(VLOOKUP(C285,Settings!$E$5:$G$28,3,FALSE),"Other")))</f>
        <v/>
      </c>
      <c r="K285" s="9">
        <f>IF(B285="","",IF(COUNTIF(Jobs!$A$5:$A$44,B285)=0,"Unknown Job ID",IF(G285="","Missing miles",IF(A285="","Missing date",""))))</f>
        <v/>
      </c>
      <c r="L285" s="35" t="n"/>
    </row>
    <row r="286">
      <c r="A286" s="40" t="n"/>
      <c r="B286" s="35" t="n"/>
      <c r="C286" s="35" t="n"/>
      <c r="D286" s="35" t="n"/>
      <c r="E286" s="35" t="n"/>
      <c r="F286" s="35" t="n"/>
      <c r="G286" s="61" t="n"/>
      <c r="H286" s="39">
        <f>IF(B286="","",Settings!$B$15)</f>
        <v/>
      </c>
      <c r="I286" s="39">
        <f>IF(B286="","",G286*H286)</f>
        <v/>
      </c>
      <c r="J286" s="9">
        <f>IF(B286="","",IF(C286="","Other",IFERROR(VLOOKUP(C286,Settings!$E$5:$G$28,3,FALSE),"Other")))</f>
        <v/>
      </c>
      <c r="K286" s="9">
        <f>IF(B286="","",IF(COUNTIF(Jobs!$A$5:$A$44,B286)=0,"Unknown Job ID",IF(G286="","Missing miles",IF(A286="","Missing date",""))))</f>
        <v/>
      </c>
      <c r="L286" s="35" t="n"/>
    </row>
    <row r="287">
      <c r="A287" s="40" t="n"/>
      <c r="B287" s="35" t="n"/>
      <c r="C287" s="35" t="n"/>
      <c r="D287" s="35" t="n"/>
      <c r="E287" s="35" t="n"/>
      <c r="F287" s="35" t="n"/>
      <c r="G287" s="61" t="n"/>
      <c r="H287" s="39">
        <f>IF(B287="","",Settings!$B$15)</f>
        <v/>
      </c>
      <c r="I287" s="39">
        <f>IF(B287="","",G287*H287)</f>
        <v/>
      </c>
      <c r="J287" s="9">
        <f>IF(B287="","",IF(C287="","Other",IFERROR(VLOOKUP(C287,Settings!$E$5:$G$28,3,FALSE),"Other")))</f>
        <v/>
      </c>
      <c r="K287" s="9">
        <f>IF(B287="","",IF(COUNTIF(Jobs!$A$5:$A$44,B287)=0,"Unknown Job ID",IF(G287="","Missing miles",IF(A287="","Missing date",""))))</f>
        <v/>
      </c>
      <c r="L287" s="35" t="n"/>
    </row>
    <row r="288">
      <c r="A288" s="40" t="n"/>
      <c r="B288" s="35" t="n"/>
      <c r="C288" s="35" t="n"/>
      <c r="D288" s="35" t="n"/>
      <c r="E288" s="35" t="n"/>
      <c r="F288" s="35" t="n"/>
      <c r="G288" s="61" t="n"/>
      <c r="H288" s="39">
        <f>IF(B288="","",Settings!$B$15)</f>
        <v/>
      </c>
      <c r="I288" s="39">
        <f>IF(B288="","",G288*H288)</f>
        <v/>
      </c>
      <c r="J288" s="9">
        <f>IF(B288="","",IF(C288="","Other",IFERROR(VLOOKUP(C288,Settings!$E$5:$G$28,3,FALSE),"Other")))</f>
        <v/>
      </c>
      <c r="K288" s="9">
        <f>IF(B288="","",IF(COUNTIF(Jobs!$A$5:$A$44,B288)=0,"Unknown Job ID",IF(G288="","Missing miles",IF(A288="","Missing date",""))))</f>
        <v/>
      </c>
      <c r="L288" s="35" t="n"/>
    </row>
    <row r="289">
      <c r="A289" s="40" t="n"/>
      <c r="B289" s="35" t="n"/>
      <c r="C289" s="35" t="n"/>
      <c r="D289" s="35" t="n"/>
      <c r="E289" s="35" t="n"/>
      <c r="F289" s="35" t="n"/>
      <c r="G289" s="61" t="n"/>
      <c r="H289" s="39">
        <f>IF(B289="","",Settings!$B$15)</f>
        <v/>
      </c>
      <c r="I289" s="39">
        <f>IF(B289="","",G289*H289)</f>
        <v/>
      </c>
      <c r="J289" s="9">
        <f>IF(B289="","",IF(C289="","Other",IFERROR(VLOOKUP(C289,Settings!$E$5:$G$28,3,FALSE),"Other")))</f>
        <v/>
      </c>
      <c r="K289" s="9">
        <f>IF(B289="","",IF(COUNTIF(Jobs!$A$5:$A$44,B289)=0,"Unknown Job ID",IF(G289="","Missing miles",IF(A289="","Missing date",""))))</f>
        <v/>
      </c>
      <c r="L289" s="35" t="n"/>
    </row>
    <row r="290">
      <c r="A290" s="40" t="n"/>
      <c r="B290" s="35" t="n"/>
      <c r="C290" s="35" t="n"/>
      <c r="D290" s="35" t="n"/>
      <c r="E290" s="35" t="n"/>
      <c r="F290" s="35" t="n"/>
      <c r="G290" s="61" t="n"/>
      <c r="H290" s="39">
        <f>IF(B290="","",Settings!$B$15)</f>
        <v/>
      </c>
      <c r="I290" s="39">
        <f>IF(B290="","",G290*H290)</f>
        <v/>
      </c>
      <c r="J290" s="9">
        <f>IF(B290="","",IF(C290="","Other",IFERROR(VLOOKUP(C290,Settings!$E$5:$G$28,3,FALSE),"Other")))</f>
        <v/>
      </c>
      <c r="K290" s="9">
        <f>IF(B290="","",IF(COUNTIF(Jobs!$A$5:$A$44,B290)=0,"Unknown Job ID",IF(G290="","Missing miles",IF(A290="","Missing date",""))))</f>
        <v/>
      </c>
      <c r="L290" s="35" t="n"/>
    </row>
    <row r="291">
      <c r="A291" s="40" t="n"/>
      <c r="B291" s="35" t="n"/>
      <c r="C291" s="35" t="n"/>
      <c r="D291" s="35" t="n"/>
      <c r="E291" s="35" t="n"/>
      <c r="F291" s="35" t="n"/>
      <c r="G291" s="61" t="n"/>
      <c r="H291" s="39">
        <f>IF(B291="","",Settings!$B$15)</f>
        <v/>
      </c>
      <c r="I291" s="39">
        <f>IF(B291="","",G291*H291)</f>
        <v/>
      </c>
      <c r="J291" s="9">
        <f>IF(B291="","",IF(C291="","Other",IFERROR(VLOOKUP(C291,Settings!$E$5:$G$28,3,FALSE),"Other")))</f>
        <v/>
      </c>
      <c r="K291" s="9">
        <f>IF(B291="","",IF(COUNTIF(Jobs!$A$5:$A$44,B291)=0,"Unknown Job ID",IF(G291="","Missing miles",IF(A291="","Missing date",""))))</f>
        <v/>
      </c>
      <c r="L291" s="35" t="n"/>
    </row>
    <row r="292">
      <c r="A292" s="40" t="n"/>
      <c r="B292" s="35" t="n"/>
      <c r="C292" s="35" t="n"/>
      <c r="D292" s="35" t="n"/>
      <c r="E292" s="35" t="n"/>
      <c r="F292" s="35" t="n"/>
      <c r="G292" s="61" t="n"/>
      <c r="H292" s="39">
        <f>IF(B292="","",Settings!$B$15)</f>
        <v/>
      </c>
      <c r="I292" s="39">
        <f>IF(B292="","",G292*H292)</f>
        <v/>
      </c>
      <c r="J292" s="9">
        <f>IF(B292="","",IF(C292="","Other",IFERROR(VLOOKUP(C292,Settings!$E$5:$G$28,3,FALSE),"Other")))</f>
        <v/>
      </c>
      <c r="K292" s="9">
        <f>IF(B292="","",IF(COUNTIF(Jobs!$A$5:$A$44,B292)=0,"Unknown Job ID",IF(G292="","Missing miles",IF(A292="","Missing date",""))))</f>
        <v/>
      </c>
      <c r="L292" s="35" t="n"/>
    </row>
    <row r="293">
      <c r="A293" s="40" t="n"/>
      <c r="B293" s="35" t="n"/>
      <c r="C293" s="35" t="n"/>
      <c r="D293" s="35" t="n"/>
      <c r="E293" s="35" t="n"/>
      <c r="F293" s="35" t="n"/>
      <c r="G293" s="61" t="n"/>
      <c r="H293" s="39">
        <f>IF(B293="","",Settings!$B$15)</f>
        <v/>
      </c>
      <c r="I293" s="39">
        <f>IF(B293="","",G293*H293)</f>
        <v/>
      </c>
      <c r="J293" s="9">
        <f>IF(B293="","",IF(C293="","Other",IFERROR(VLOOKUP(C293,Settings!$E$5:$G$28,3,FALSE),"Other")))</f>
        <v/>
      </c>
      <c r="K293" s="9">
        <f>IF(B293="","",IF(COUNTIF(Jobs!$A$5:$A$44,B293)=0,"Unknown Job ID",IF(G293="","Missing miles",IF(A293="","Missing date",""))))</f>
        <v/>
      </c>
      <c r="L293" s="35" t="n"/>
    </row>
    <row r="294">
      <c r="A294" s="40" t="n"/>
      <c r="B294" s="35" t="n"/>
      <c r="C294" s="35" t="n"/>
      <c r="D294" s="35" t="n"/>
      <c r="E294" s="35" t="n"/>
      <c r="F294" s="35" t="n"/>
      <c r="G294" s="61" t="n"/>
      <c r="H294" s="39">
        <f>IF(B294="","",Settings!$B$15)</f>
        <v/>
      </c>
      <c r="I294" s="39">
        <f>IF(B294="","",G294*H294)</f>
        <v/>
      </c>
      <c r="J294" s="9">
        <f>IF(B294="","",IF(C294="","Other",IFERROR(VLOOKUP(C294,Settings!$E$5:$G$28,3,FALSE),"Other")))</f>
        <v/>
      </c>
      <c r="K294" s="9">
        <f>IF(B294="","",IF(COUNTIF(Jobs!$A$5:$A$44,B294)=0,"Unknown Job ID",IF(G294="","Missing miles",IF(A294="","Missing date",""))))</f>
        <v/>
      </c>
      <c r="L294" s="35" t="n"/>
    </row>
    <row r="295">
      <c r="A295" s="40" t="n"/>
      <c r="B295" s="35" t="n"/>
      <c r="C295" s="35" t="n"/>
      <c r="D295" s="35" t="n"/>
      <c r="E295" s="35" t="n"/>
      <c r="F295" s="35" t="n"/>
      <c r="G295" s="61" t="n"/>
      <c r="H295" s="39">
        <f>IF(B295="","",Settings!$B$15)</f>
        <v/>
      </c>
      <c r="I295" s="39">
        <f>IF(B295="","",G295*H295)</f>
        <v/>
      </c>
      <c r="J295" s="9">
        <f>IF(B295="","",IF(C295="","Other",IFERROR(VLOOKUP(C295,Settings!$E$5:$G$28,3,FALSE),"Other")))</f>
        <v/>
      </c>
      <c r="K295" s="9">
        <f>IF(B295="","",IF(COUNTIF(Jobs!$A$5:$A$44,B295)=0,"Unknown Job ID",IF(G295="","Missing miles",IF(A295="","Missing date",""))))</f>
        <v/>
      </c>
      <c r="L295" s="35" t="n"/>
    </row>
    <row r="296">
      <c r="A296" s="40" t="n"/>
      <c r="B296" s="35" t="n"/>
      <c r="C296" s="35" t="n"/>
      <c r="D296" s="35" t="n"/>
      <c r="E296" s="35" t="n"/>
      <c r="F296" s="35" t="n"/>
      <c r="G296" s="61" t="n"/>
      <c r="H296" s="39">
        <f>IF(B296="","",Settings!$B$15)</f>
        <v/>
      </c>
      <c r="I296" s="39">
        <f>IF(B296="","",G296*H296)</f>
        <v/>
      </c>
      <c r="J296" s="9">
        <f>IF(B296="","",IF(C296="","Other",IFERROR(VLOOKUP(C296,Settings!$E$5:$G$28,3,FALSE),"Other")))</f>
        <v/>
      </c>
      <c r="K296" s="9">
        <f>IF(B296="","",IF(COUNTIF(Jobs!$A$5:$A$44,B296)=0,"Unknown Job ID",IF(G296="","Missing miles",IF(A296="","Missing date",""))))</f>
        <v/>
      </c>
      <c r="L296" s="35" t="n"/>
    </row>
    <row r="297">
      <c r="A297" s="40" t="n"/>
      <c r="B297" s="35" t="n"/>
      <c r="C297" s="35" t="n"/>
      <c r="D297" s="35" t="n"/>
      <c r="E297" s="35" t="n"/>
      <c r="F297" s="35" t="n"/>
      <c r="G297" s="61" t="n"/>
      <c r="H297" s="39">
        <f>IF(B297="","",Settings!$B$15)</f>
        <v/>
      </c>
      <c r="I297" s="39">
        <f>IF(B297="","",G297*H297)</f>
        <v/>
      </c>
      <c r="J297" s="9">
        <f>IF(B297="","",IF(C297="","Other",IFERROR(VLOOKUP(C297,Settings!$E$5:$G$28,3,FALSE),"Other")))</f>
        <v/>
      </c>
      <c r="K297" s="9">
        <f>IF(B297="","",IF(COUNTIF(Jobs!$A$5:$A$44,B297)=0,"Unknown Job ID",IF(G297="","Missing miles",IF(A297="","Missing date",""))))</f>
        <v/>
      </c>
      <c r="L297" s="35" t="n"/>
    </row>
    <row r="298">
      <c r="A298" s="40" t="n"/>
      <c r="B298" s="35" t="n"/>
      <c r="C298" s="35" t="n"/>
      <c r="D298" s="35" t="n"/>
      <c r="E298" s="35" t="n"/>
      <c r="F298" s="35" t="n"/>
      <c r="G298" s="61" t="n"/>
      <c r="H298" s="39">
        <f>IF(B298="","",Settings!$B$15)</f>
        <v/>
      </c>
      <c r="I298" s="39">
        <f>IF(B298="","",G298*H298)</f>
        <v/>
      </c>
      <c r="J298" s="9">
        <f>IF(B298="","",IF(C298="","Other",IFERROR(VLOOKUP(C298,Settings!$E$5:$G$28,3,FALSE),"Other")))</f>
        <v/>
      </c>
      <c r="K298" s="9">
        <f>IF(B298="","",IF(COUNTIF(Jobs!$A$5:$A$44,B298)=0,"Unknown Job ID",IF(G298="","Missing miles",IF(A298="","Missing date",""))))</f>
        <v/>
      </c>
      <c r="L298" s="35" t="n"/>
    </row>
    <row r="299">
      <c r="A299" s="40" t="n"/>
      <c r="B299" s="35" t="n"/>
      <c r="C299" s="35" t="n"/>
      <c r="D299" s="35" t="n"/>
      <c r="E299" s="35" t="n"/>
      <c r="F299" s="35" t="n"/>
      <c r="G299" s="61" t="n"/>
      <c r="H299" s="39">
        <f>IF(B299="","",Settings!$B$15)</f>
        <v/>
      </c>
      <c r="I299" s="39">
        <f>IF(B299="","",G299*H299)</f>
        <v/>
      </c>
      <c r="J299" s="9">
        <f>IF(B299="","",IF(C299="","Other",IFERROR(VLOOKUP(C299,Settings!$E$5:$G$28,3,FALSE),"Other")))</f>
        <v/>
      </c>
      <c r="K299" s="9">
        <f>IF(B299="","",IF(COUNTIF(Jobs!$A$5:$A$44,B299)=0,"Unknown Job ID",IF(G299="","Missing miles",IF(A299="","Missing date",""))))</f>
        <v/>
      </c>
      <c r="L299" s="35" t="n"/>
    </row>
    <row r="300">
      <c r="A300" s="40" t="n"/>
      <c r="B300" s="35" t="n"/>
      <c r="C300" s="35" t="n"/>
      <c r="D300" s="35" t="n"/>
      <c r="E300" s="35" t="n"/>
      <c r="F300" s="35" t="n"/>
      <c r="G300" s="61" t="n"/>
      <c r="H300" s="39">
        <f>IF(B300="","",Settings!$B$15)</f>
        <v/>
      </c>
      <c r="I300" s="39">
        <f>IF(B300="","",G300*H300)</f>
        <v/>
      </c>
      <c r="J300" s="9">
        <f>IF(B300="","",IF(C300="","Other",IFERROR(VLOOKUP(C300,Settings!$E$5:$G$28,3,FALSE),"Other")))</f>
        <v/>
      </c>
      <c r="K300" s="9">
        <f>IF(B300="","",IF(COUNTIF(Jobs!$A$5:$A$44,B300)=0,"Unknown Job ID",IF(G300="","Missing miles",IF(A300="","Missing date",""))))</f>
        <v/>
      </c>
      <c r="L300" s="35" t="n"/>
    </row>
    <row r="301">
      <c r="A301" s="40" t="n"/>
      <c r="B301" s="35" t="n"/>
      <c r="C301" s="35" t="n"/>
      <c r="D301" s="35" t="n"/>
      <c r="E301" s="35" t="n"/>
      <c r="F301" s="35" t="n"/>
      <c r="G301" s="61" t="n"/>
      <c r="H301" s="39">
        <f>IF(B301="","",Settings!$B$15)</f>
        <v/>
      </c>
      <c r="I301" s="39">
        <f>IF(B301="","",G301*H301)</f>
        <v/>
      </c>
      <c r="J301" s="9">
        <f>IF(B301="","",IF(C301="","Other",IFERROR(VLOOKUP(C301,Settings!$E$5:$G$28,3,FALSE),"Other")))</f>
        <v/>
      </c>
      <c r="K301" s="9">
        <f>IF(B301="","",IF(COUNTIF(Jobs!$A$5:$A$44,B301)=0,"Unknown Job ID",IF(G301="","Missing miles",IF(A301="","Missing date",""))))</f>
        <v/>
      </c>
      <c r="L301" s="35" t="n"/>
    </row>
    <row r="302">
      <c r="A302" s="40" t="n"/>
      <c r="B302" s="35" t="n"/>
      <c r="C302" s="35" t="n"/>
      <c r="D302" s="35" t="n"/>
      <c r="E302" s="35" t="n"/>
      <c r="F302" s="35" t="n"/>
      <c r="G302" s="61" t="n"/>
      <c r="H302" s="39">
        <f>IF(B302="","",Settings!$B$15)</f>
        <v/>
      </c>
      <c r="I302" s="39">
        <f>IF(B302="","",G302*H302)</f>
        <v/>
      </c>
      <c r="J302" s="9">
        <f>IF(B302="","",IF(C302="","Other",IFERROR(VLOOKUP(C302,Settings!$E$5:$G$28,3,FALSE),"Other")))</f>
        <v/>
      </c>
      <c r="K302" s="9">
        <f>IF(B302="","",IF(COUNTIF(Jobs!$A$5:$A$44,B302)=0,"Unknown Job ID",IF(G302="","Missing miles",IF(A302="","Missing date",""))))</f>
        <v/>
      </c>
      <c r="L302" s="35" t="n"/>
    </row>
    <row r="303">
      <c r="A303" s="40" t="n"/>
      <c r="B303" s="35" t="n"/>
      <c r="C303" s="35" t="n"/>
      <c r="D303" s="35" t="n"/>
      <c r="E303" s="35" t="n"/>
      <c r="F303" s="35" t="n"/>
      <c r="G303" s="61" t="n"/>
      <c r="H303" s="39">
        <f>IF(B303="","",Settings!$B$15)</f>
        <v/>
      </c>
      <c r="I303" s="39">
        <f>IF(B303="","",G303*H303)</f>
        <v/>
      </c>
      <c r="J303" s="9">
        <f>IF(B303="","",IF(C303="","Other",IFERROR(VLOOKUP(C303,Settings!$E$5:$G$28,3,FALSE),"Other")))</f>
        <v/>
      </c>
      <c r="K303" s="9">
        <f>IF(B303="","",IF(COUNTIF(Jobs!$A$5:$A$44,B303)=0,"Unknown Job ID",IF(G303="","Missing miles",IF(A303="","Missing date",""))))</f>
        <v/>
      </c>
      <c r="L303" s="35" t="n"/>
    </row>
    <row r="304">
      <c r="A304" s="40" t="n"/>
      <c r="B304" s="35" t="n"/>
      <c r="C304" s="35" t="n"/>
      <c r="D304" s="35" t="n"/>
      <c r="E304" s="35" t="n"/>
      <c r="F304" s="35" t="n"/>
      <c r="G304" s="61" t="n"/>
      <c r="H304" s="39">
        <f>IF(B304="","",Settings!$B$15)</f>
        <v/>
      </c>
      <c r="I304" s="39">
        <f>IF(B304="","",G304*H304)</f>
        <v/>
      </c>
      <c r="J304" s="9">
        <f>IF(B304="","",IF(C304="","Other",IFERROR(VLOOKUP(C304,Settings!$E$5:$G$28,3,FALSE),"Other")))</f>
        <v/>
      </c>
      <c r="K304" s="9">
        <f>IF(B304="","",IF(COUNTIF(Jobs!$A$5:$A$44,B304)=0,"Unknown Job ID",IF(G304="","Missing miles",IF(A304="","Missing date",""))))</f>
        <v/>
      </c>
      <c r="L304" s="35" t="n"/>
    </row>
    <row r="305">
      <c r="A305" s="31" t="inlineStr">
        <is>
          <t>TOTAL</t>
        </is>
      </c>
      <c r="B305" s="31" t="n"/>
      <c r="C305" s="31" t="n"/>
      <c r="D305" s="31" t="n"/>
      <c r="E305" s="31" t="n"/>
      <c r="F305" s="31" t="n"/>
      <c r="G305" s="33">
        <f>SUM(G5:G304)</f>
        <v/>
      </c>
      <c r="H305" s="31" t="n"/>
      <c r="I305" s="41">
        <f>SUM(I5:I304)</f>
        <v/>
      </c>
      <c r="J305" s="31" t="n"/>
      <c r="K305" s="31" t="n"/>
      <c r="L305" s="31" t="n"/>
    </row>
  </sheetData>
  <conditionalFormatting sqref="K5:K304">
    <cfRule type="expression" priority="1" dxfId="1">
      <formula>K5&lt;&gt;""</formula>
    </cfRule>
  </conditionalFormatting>
  <dataValidations count="2">
    <dataValidation sqref="B5:B304" showDropDown="0" showInputMessage="0" showErrorMessage="0" allowBlank="1" type="list">
      <formula1>=Jobs!$A$5:$A$44</formula1>
    </dataValidation>
    <dataValidation sqref="C5:C304" showDropDown="0" showInputMessage="0" showErrorMessage="0" allowBlank="1" type="list">
      <formula1>=Settings!$E$5:$E$28</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4.xml><?xml version="1.0" encoding="utf-8"?>
<worksheet xmlns="http://schemas.openxmlformats.org/spreadsheetml/2006/main">
  <sheetPr>
    <tabColor rgb="004A86C8"/>
    <outlinePr summaryBelow="1" summaryRight="1"/>
    <pageSetUpPr fitToPage="1"/>
  </sheetPr>
  <dimension ref="A1:I304"/>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4" customWidth="1" min="3" max="3"/>
    <col width="10" customWidth="1" min="4" max="4"/>
    <col width="12" customWidth="1" min="5" max="5"/>
    <col width="44" customWidth="1" min="6" max="6"/>
    <col width="34" customWidth="1" min="7" max="7"/>
    <col width="26" customWidth="1" min="8" max="8"/>
    <col width="20" customWidth="1" min="9" max="9"/>
  </cols>
  <sheetData>
    <row r="1">
      <c r="A1" s="13" t="inlineStr">
        <is>
          <t>Daily Log</t>
        </is>
      </c>
    </row>
    <row r="2">
      <c r="A2" s="14" t="inlineStr">
        <is>
          <t>A dated record per job: weather, crew, work done, problems, inspections. Hours pull from the Timesheet for that date and job. Useful for change-order and delay disputes.</t>
        </is>
      </c>
    </row>
    <row r="4" ht="30" customHeight="1">
      <c r="A4" s="24" t="inlineStr">
        <is>
          <t>Date</t>
        </is>
      </c>
      <c r="B4" s="24" t="inlineStr">
        <is>
          <t>Job ID</t>
        </is>
      </c>
      <c r="C4" s="24" t="inlineStr">
        <is>
          <t>Weather</t>
        </is>
      </c>
      <c r="D4" s="24" t="inlineStr">
        <is>
          <t>Crew on site</t>
        </is>
      </c>
      <c r="E4" s="24" t="inlineStr">
        <is>
          <t>Hours logged (Timesheet)</t>
        </is>
      </c>
      <c r="F4" s="24" t="inlineStr">
        <is>
          <t>Work performed</t>
        </is>
      </c>
      <c r="G4" s="24" t="inlineStr">
        <is>
          <t>Issues / delays</t>
        </is>
      </c>
      <c r="H4" s="24" t="inlineStr">
        <is>
          <t>Inspections / visitors</t>
        </is>
      </c>
      <c r="I4" s="24" t="inlineStr">
        <is>
          <t>Check</t>
        </is>
      </c>
    </row>
    <row r="5">
      <c r="A5" s="62" t="n"/>
      <c r="B5" s="38" t="n"/>
      <c r="C5" s="38" t="n"/>
      <c r="D5" s="38" t="n"/>
      <c r="E5" s="63">
        <f>IF(OR(B5="",A5=""),"",SUMIFS(Timesheet!$E$5:$E$1004,Timesheet!$C$5:$C$1004,B5,Timesheet!$A$5:$A$1004,A5))</f>
        <v/>
      </c>
      <c r="F5" s="38" t="n"/>
      <c r="G5" s="38" t="n"/>
      <c r="H5" s="38" t="n"/>
      <c r="I5" s="64">
        <f>IF(B5="","",IF(COUNTIF(Jobs!$A$5:$A$44,B5)=0,"Unknown Job ID",IF(A5="","Missing date","")))</f>
        <v/>
      </c>
    </row>
    <row r="6">
      <c r="A6" s="62" t="n"/>
      <c r="B6" s="38" t="n"/>
      <c r="C6" s="38" t="n"/>
      <c r="D6" s="38" t="n"/>
      <c r="E6" s="63">
        <f>IF(OR(B6="",A6=""),"",SUMIFS(Timesheet!$E$5:$E$1004,Timesheet!$C$5:$C$1004,B6,Timesheet!$A$5:$A$1004,A6))</f>
        <v/>
      </c>
      <c r="F6" s="38" t="n"/>
      <c r="G6" s="38" t="n"/>
      <c r="H6" s="38" t="n"/>
      <c r="I6" s="64">
        <f>IF(B6="","",IF(COUNTIF(Jobs!$A$5:$A$44,B6)=0,"Unknown Job ID",IF(A6="","Missing date","")))</f>
        <v/>
      </c>
    </row>
    <row r="7">
      <c r="A7" s="62" t="n"/>
      <c r="B7" s="38" t="n"/>
      <c r="C7" s="38" t="n"/>
      <c r="D7" s="38" t="n"/>
      <c r="E7" s="63">
        <f>IF(OR(B7="",A7=""),"",SUMIFS(Timesheet!$E$5:$E$1004,Timesheet!$C$5:$C$1004,B7,Timesheet!$A$5:$A$1004,A7))</f>
        <v/>
      </c>
      <c r="F7" s="38" t="n"/>
      <c r="G7" s="38" t="n"/>
      <c r="H7" s="38" t="n"/>
      <c r="I7" s="64">
        <f>IF(B7="","",IF(COUNTIF(Jobs!$A$5:$A$44,B7)=0,"Unknown Job ID",IF(A7="","Missing date","")))</f>
        <v/>
      </c>
    </row>
    <row r="8">
      <c r="A8" s="62" t="n"/>
      <c r="B8" s="38" t="n"/>
      <c r="C8" s="38" t="n"/>
      <c r="D8" s="38" t="n"/>
      <c r="E8" s="63">
        <f>IF(OR(B8="",A8=""),"",SUMIFS(Timesheet!$E$5:$E$1004,Timesheet!$C$5:$C$1004,B8,Timesheet!$A$5:$A$1004,A8))</f>
        <v/>
      </c>
      <c r="F8" s="38" t="n"/>
      <c r="G8" s="38" t="n"/>
      <c r="H8" s="38" t="n"/>
      <c r="I8" s="64">
        <f>IF(B8="","",IF(COUNTIF(Jobs!$A$5:$A$44,B8)=0,"Unknown Job ID",IF(A8="","Missing date","")))</f>
        <v/>
      </c>
    </row>
    <row r="9">
      <c r="A9" s="62" t="n"/>
      <c r="B9" s="38" t="n"/>
      <c r="C9" s="38" t="n"/>
      <c r="D9" s="38" t="n"/>
      <c r="E9" s="63">
        <f>IF(OR(B9="",A9=""),"",SUMIFS(Timesheet!$E$5:$E$1004,Timesheet!$C$5:$C$1004,B9,Timesheet!$A$5:$A$1004,A9))</f>
        <v/>
      </c>
      <c r="F9" s="38" t="n"/>
      <c r="G9" s="38" t="n"/>
      <c r="H9" s="38" t="n"/>
      <c r="I9" s="64">
        <f>IF(B9="","",IF(COUNTIF(Jobs!$A$5:$A$44,B9)=0,"Unknown Job ID",IF(A9="","Missing date","")))</f>
        <v/>
      </c>
    </row>
    <row r="10">
      <c r="A10" s="62" t="n"/>
      <c r="B10" s="38" t="n"/>
      <c r="C10" s="38" t="n"/>
      <c r="D10" s="38" t="n"/>
      <c r="E10" s="63">
        <f>IF(OR(B10="",A10=""),"",SUMIFS(Timesheet!$E$5:$E$1004,Timesheet!$C$5:$C$1004,B10,Timesheet!$A$5:$A$1004,A10))</f>
        <v/>
      </c>
      <c r="F10" s="38" t="n"/>
      <c r="G10" s="38" t="n"/>
      <c r="H10" s="38" t="n"/>
      <c r="I10" s="64">
        <f>IF(B10="","",IF(COUNTIF(Jobs!$A$5:$A$44,B10)=0,"Unknown Job ID",IF(A10="","Missing date","")))</f>
        <v/>
      </c>
    </row>
    <row r="11">
      <c r="A11" s="62" t="n"/>
      <c r="B11" s="38" t="n"/>
      <c r="C11" s="38" t="n"/>
      <c r="D11" s="38" t="n"/>
      <c r="E11" s="63">
        <f>IF(OR(B11="",A11=""),"",SUMIFS(Timesheet!$E$5:$E$1004,Timesheet!$C$5:$C$1004,B11,Timesheet!$A$5:$A$1004,A11))</f>
        <v/>
      </c>
      <c r="F11" s="38" t="n"/>
      <c r="G11" s="38" t="n"/>
      <c r="H11" s="38" t="n"/>
      <c r="I11" s="64">
        <f>IF(B11="","",IF(COUNTIF(Jobs!$A$5:$A$44,B11)=0,"Unknown Job ID",IF(A11="","Missing date","")))</f>
        <v/>
      </c>
    </row>
    <row r="12">
      <c r="A12" s="62" t="n"/>
      <c r="B12" s="38" t="n"/>
      <c r="C12" s="38" t="n"/>
      <c r="D12" s="38" t="n"/>
      <c r="E12" s="63">
        <f>IF(OR(B12="",A12=""),"",SUMIFS(Timesheet!$E$5:$E$1004,Timesheet!$C$5:$C$1004,B12,Timesheet!$A$5:$A$1004,A12))</f>
        <v/>
      </c>
      <c r="F12" s="38" t="n"/>
      <c r="G12" s="38" t="n"/>
      <c r="H12" s="38" t="n"/>
      <c r="I12" s="64">
        <f>IF(B12="","",IF(COUNTIF(Jobs!$A$5:$A$44,B12)=0,"Unknown Job ID",IF(A12="","Missing date","")))</f>
        <v/>
      </c>
    </row>
    <row r="13">
      <c r="A13" s="62" t="n"/>
      <c r="B13" s="38" t="n"/>
      <c r="C13" s="38" t="n"/>
      <c r="D13" s="38" t="n"/>
      <c r="E13" s="63">
        <f>IF(OR(B13="",A13=""),"",SUMIFS(Timesheet!$E$5:$E$1004,Timesheet!$C$5:$C$1004,B13,Timesheet!$A$5:$A$1004,A13))</f>
        <v/>
      </c>
      <c r="F13" s="38" t="n"/>
      <c r="G13" s="38" t="n"/>
      <c r="H13" s="38" t="n"/>
      <c r="I13" s="64">
        <f>IF(B13="","",IF(COUNTIF(Jobs!$A$5:$A$44,B13)=0,"Unknown Job ID",IF(A13="","Missing date","")))</f>
        <v/>
      </c>
    </row>
    <row r="14">
      <c r="A14" s="62" t="n"/>
      <c r="B14" s="38" t="n"/>
      <c r="C14" s="38" t="n"/>
      <c r="D14" s="38" t="n"/>
      <c r="E14" s="63">
        <f>IF(OR(B14="",A14=""),"",SUMIFS(Timesheet!$E$5:$E$1004,Timesheet!$C$5:$C$1004,B14,Timesheet!$A$5:$A$1004,A14))</f>
        <v/>
      </c>
      <c r="F14" s="38" t="n"/>
      <c r="G14" s="38" t="n"/>
      <c r="H14" s="38" t="n"/>
      <c r="I14" s="64">
        <f>IF(B14="","",IF(COUNTIF(Jobs!$A$5:$A$44,B14)=0,"Unknown Job ID",IF(A14="","Missing date","")))</f>
        <v/>
      </c>
    </row>
    <row r="15">
      <c r="A15" s="62" t="n"/>
      <c r="B15" s="38" t="n"/>
      <c r="C15" s="38" t="n"/>
      <c r="D15" s="38" t="n"/>
      <c r="E15" s="63">
        <f>IF(OR(B15="",A15=""),"",SUMIFS(Timesheet!$E$5:$E$1004,Timesheet!$C$5:$C$1004,B15,Timesheet!$A$5:$A$1004,A15))</f>
        <v/>
      </c>
      <c r="F15" s="38" t="n"/>
      <c r="G15" s="38" t="n"/>
      <c r="H15" s="38" t="n"/>
      <c r="I15" s="64">
        <f>IF(B15="","",IF(COUNTIF(Jobs!$A$5:$A$44,B15)=0,"Unknown Job ID",IF(A15="","Missing date","")))</f>
        <v/>
      </c>
    </row>
    <row r="16">
      <c r="A16" s="62" t="n"/>
      <c r="B16" s="38" t="n"/>
      <c r="C16" s="38" t="n"/>
      <c r="D16" s="38" t="n"/>
      <c r="E16" s="63">
        <f>IF(OR(B16="",A16=""),"",SUMIFS(Timesheet!$E$5:$E$1004,Timesheet!$C$5:$C$1004,B16,Timesheet!$A$5:$A$1004,A16))</f>
        <v/>
      </c>
      <c r="F16" s="38" t="n"/>
      <c r="G16" s="38" t="n"/>
      <c r="H16" s="38" t="n"/>
      <c r="I16" s="64">
        <f>IF(B16="","",IF(COUNTIF(Jobs!$A$5:$A$44,B16)=0,"Unknown Job ID",IF(A16="","Missing date","")))</f>
        <v/>
      </c>
    </row>
    <row r="17">
      <c r="A17" s="62" t="n"/>
      <c r="B17" s="38" t="n"/>
      <c r="C17" s="38" t="n"/>
      <c r="D17" s="38" t="n"/>
      <c r="E17" s="63">
        <f>IF(OR(B17="",A17=""),"",SUMIFS(Timesheet!$E$5:$E$1004,Timesheet!$C$5:$C$1004,B17,Timesheet!$A$5:$A$1004,A17))</f>
        <v/>
      </c>
      <c r="F17" s="38" t="n"/>
      <c r="G17" s="38" t="n"/>
      <c r="H17" s="38" t="n"/>
      <c r="I17" s="64">
        <f>IF(B17="","",IF(COUNTIF(Jobs!$A$5:$A$44,B17)=0,"Unknown Job ID",IF(A17="","Missing date","")))</f>
        <v/>
      </c>
    </row>
    <row r="18">
      <c r="A18" s="62" t="n"/>
      <c r="B18" s="38" t="n"/>
      <c r="C18" s="38" t="n"/>
      <c r="D18" s="38" t="n"/>
      <c r="E18" s="63">
        <f>IF(OR(B18="",A18=""),"",SUMIFS(Timesheet!$E$5:$E$1004,Timesheet!$C$5:$C$1004,B18,Timesheet!$A$5:$A$1004,A18))</f>
        <v/>
      </c>
      <c r="F18" s="38" t="n"/>
      <c r="G18" s="38" t="n"/>
      <c r="H18" s="38" t="n"/>
      <c r="I18" s="64">
        <f>IF(B18="","",IF(COUNTIF(Jobs!$A$5:$A$44,B18)=0,"Unknown Job ID",IF(A18="","Missing date","")))</f>
        <v/>
      </c>
    </row>
    <row r="19">
      <c r="A19" s="62" t="n"/>
      <c r="B19" s="38" t="n"/>
      <c r="C19" s="38" t="n"/>
      <c r="D19" s="38" t="n"/>
      <c r="E19" s="63">
        <f>IF(OR(B19="",A19=""),"",SUMIFS(Timesheet!$E$5:$E$1004,Timesheet!$C$5:$C$1004,B19,Timesheet!$A$5:$A$1004,A19))</f>
        <v/>
      </c>
      <c r="F19" s="38" t="n"/>
      <c r="G19" s="38" t="n"/>
      <c r="H19" s="38" t="n"/>
      <c r="I19" s="64">
        <f>IF(B19="","",IF(COUNTIF(Jobs!$A$5:$A$44,B19)=0,"Unknown Job ID",IF(A19="","Missing date","")))</f>
        <v/>
      </c>
    </row>
    <row r="20">
      <c r="A20" s="62" t="n"/>
      <c r="B20" s="38" t="n"/>
      <c r="C20" s="38" t="n"/>
      <c r="D20" s="38" t="n"/>
      <c r="E20" s="63">
        <f>IF(OR(B20="",A20=""),"",SUMIFS(Timesheet!$E$5:$E$1004,Timesheet!$C$5:$C$1004,B20,Timesheet!$A$5:$A$1004,A20))</f>
        <v/>
      </c>
      <c r="F20" s="38" t="n"/>
      <c r="G20" s="38" t="n"/>
      <c r="H20" s="38" t="n"/>
      <c r="I20" s="64">
        <f>IF(B20="","",IF(COUNTIF(Jobs!$A$5:$A$44,B20)=0,"Unknown Job ID",IF(A20="","Missing date","")))</f>
        <v/>
      </c>
    </row>
    <row r="21">
      <c r="A21" s="62" t="n"/>
      <c r="B21" s="38" t="n"/>
      <c r="C21" s="38" t="n"/>
      <c r="D21" s="38" t="n"/>
      <c r="E21" s="63">
        <f>IF(OR(B21="",A21=""),"",SUMIFS(Timesheet!$E$5:$E$1004,Timesheet!$C$5:$C$1004,B21,Timesheet!$A$5:$A$1004,A21))</f>
        <v/>
      </c>
      <c r="F21" s="38" t="n"/>
      <c r="G21" s="38" t="n"/>
      <c r="H21" s="38" t="n"/>
      <c r="I21" s="64">
        <f>IF(B21="","",IF(COUNTIF(Jobs!$A$5:$A$44,B21)=0,"Unknown Job ID",IF(A21="","Missing date","")))</f>
        <v/>
      </c>
    </row>
    <row r="22">
      <c r="A22" s="62" t="n"/>
      <c r="B22" s="38" t="n"/>
      <c r="C22" s="38" t="n"/>
      <c r="D22" s="38" t="n"/>
      <c r="E22" s="63">
        <f>IF(OR(B22="",A22=""),"",SUMIFS(Timesheet!$E$5:$E$1004,Timesheet!$C$5:$C$1004,B22,Timesheet!$A$5:$A$1004,A22))</f>
        <v/>
      </c>
      <c r="F22" s="38" t="n"/>
      <c r="G22" s="38" t="n"/>
      <c r="H22" s="38" t="n"/>
      <c r="I22" s="64">
        <f>IF(B22="","",IF(COUNTIF(Jobs!$A$5:$A$44,B22)=0,"Unknown Job ID",IF(A22="","Missing date","")))</f>
        <v/>
      </c>
    </row>
    <row r="23">
      <c r="A23" s="62" t="n"/>
      <c r="B23" s="38" t="n"/>
      <c r="C23" s="38" t="n"/>
      <c r="D23" s="38" t="n"/>
      <c r="E23" s="63">
        <f>IF(OR(B23="",A23=""),"",SUMIFS(Timesheet!$E$5:$E$1004,Timesheet!$C$5:$C$1004,B23,Timesheet!$A$5:$A$1004,A23))</f>
        <v/>
      </c>
      <c r="F23" s="38" t="n"/>
      <c r="G23" s="38" t="n"/>
      <c r="H23" s="38" t="n"/>
      <c r="I23" s="64">
        <f>IF(B23="","",IF(COUNTIF(Jobs!$A$5:$A$44,B23)=0,"Unknown Job ID",IF(A23="","Missing date","")))</f>
        <v/>
      </c>
    </row>
    <row r="24">
      <c r="A24" s="62" t="n"/>
      <c r="B24" s="38" t="n"/>
      <c r="C24" s="38" t="n"/>
      <c r="D24" s="38" t="n"/>
      <c r="E24" s="63">
        <f>IF(OR(B24="",A24=""),"",SUMIFS(Timesheet!$E$5:$E$1004,Timesheet!$C$5:$C$1004,B24,Timesheet!$A$5:$A$1004,A24))</f>
        <v/>
      </c>
      <c r="F24" s="38" t="n"/>
      <c r="G24" s="38" t="n"/>
      <c r="H24" s="38" t="n"/>
      <c r="I24" s="64">
        <f>IF(B24="","",IF(COUNTIF(Jobs!$A$5:$A$44,B24)=0,"Unknown Job ID",IF(A24="","Missing date","")))</f>
        <v/>
      </c>
    </row>
    <row r="25">
      <c r="A25" s="62" t="n"/>
      <c r="B25" s="38" t="n"/>
      <c r="C25" s="38" t="n"/>
      <c r="D25" s="38" t="n"/>
      <c r="E25" s="63">
        <f>IF(OR(B25="",A25=""),"",SUMIFS(Timesheet!$E$5:$E$1004,Timesheet!$C$5:$C$1004,B25,Timesheet!$A$5:$A$1004,A25))</f>
        <v/>
      </c>
      <c r="F25" s="38" t="n"/>
      <c r="G25" s="38" t="n"/>
      <c r="H25" s="38" t="n"/>
      <c r="I25" s="64">
        <f>IF(B25="","",IF(COUNTIF(Jobs!$A$5:$A$44,B25)=0,"Unknown Job ID",IF(A25="","Missing date","")))</f>
        <v/>
      </c>
    </row>
    <row r="26">
      <c r="A26" s="62" t="n"/>
      <c r="B26" s="38" t="n"/>
      <c r="C26" s="38" t="n"/>
      <c r="D26" s="38" t="n"/>
      <c r="E26" s="63">
        <f>IF(OR(B26="",A26=""),"",SUMIFS(Timesheet!$E$5:$E$1004,Timesheet!$C$5:$C$1004,B26,Timesheet!$A$5:$A$1004,A26))</f>
        <v/>
      </c>
      <c r="F26" s="38" t="n"/>
      <c r="G26" s="38" t="n"/>
      <c r="H26" s="38" t="n"/>
      <c r="I26" s="64">
        <f>IF(B26="","",IF(COUNTIF(Jobs!$A$5:$A$44,B26)=0,"Unknown Job ID",IF(A26="","Missing date","")))</f>
        <v/>
      </c>
    </row>
    <row r="27">
      <c r="A27" s="62" t="n"/>
      <c r="B27" s="38" t="n"/>
      <c r="C27" s="38" t="n"/>
      <c r="D27" s="38" t="n"/>
      <c r="E27" s="63">
        <f>IF(OR(B27="",A27=""),"",SUMIFS(Timesheet!$E$5:$E$1004,Timesheet!$C$5:$C$1004,B27,Timesheet!$A$5:$A$1004,A27))</f>
        <v/>
      </c>
      <c r="F27" s="38" t="n"/>
      <c r="G27" s="38" t="n"/>
      <c r="H27" s="38" t="n"/>
      <c r="I27" s="64">
        <f>IF(B27="","",IF(COUNTIF(Jobs!$A$5:$A$44,B27)=0,"Unknown Job ID",IF(A27="","Missing date","")))</f>
        <v/>
      </c>
    </row>
    <row r="28">
      <c r="A28" s="62" t="n"/>
      <c r="B28" s="38" t="n"/>
      <c r="C28" s="38" t="n"/>
      <c r="D28" s="38" t="n"/>
      <c r="E28" s="63">
        <f>IF(OR(B28="",A28=""),"",SUMIFS(Timesheet!$E$5:$E$1004,Timesheet!$C$5:$C$1004,B28,Timesheet!$A$5:$A$1004,A28))</f>
        <v/>
      </c>
      <c r="F28" s="38" t="n"/>
      <c r="G28" s="38" t="n"/>
      <c r="H28" s="38" t="n"/>
      <c r="I28" s="64">
        <f>IF(B28="","",IF(COUNTIF(Jobs!$A$5:$A$44,B28)=0,"Unknown Job ID",IF(A28="","Missing date","")))</f>
        <v/>
      </c>
    </row>
    <row r="29">
      <c r="A29" s="62" t="n"/>
      <c r="B29" s="38" t="n"/>
      <c r="C29" s="38" t="n"/>
      <c r="D29" s="38" t="n"/>
      <c r="E29" s="63">
        <f>IF(OR(B29="",A29=""),"",SUMIFS(Timesheet!$E$5:$E$1004,Timesheet!$C$5:$C$1004,B29,Timesheet!$A$5:$A$1004,A29))</f>
        <v/>
      </c>
      <c r="F29" s="38" t="n"/>
      <c r="G29" s="38" t="n"/>
      <c r="H29" s="38" t="n"/>
      <c r="I29" s="64">
        <f>IF(B29="","",IF(COUNTIF(Jobs!$A$5:$A$44,B29)=0,"Unknown Job ID",IF(A29="","Missing date","")))</f>
        <v/>
      </c>
    </row>
    <row r="30">
      <c r="A30" s="62" t="n"/>
      <c r="B30" s="38" t="n"/>
      <c r="C30" s="38" t="n"/>
      <c r="D30" s="38" t="n"/>
      <c r="E30" s="63">
        <f>IF(OR(B30="",A30=""),"",SUMIFS(Timesheet!$E$5:$E$1004,Timesheet!$C$5:$C$1004,B30,Timesheet!$A$5:$A$1004,A30))</f>
        <v/>
      </c>
      <c r="F30" s="38" t="n"/>
      <c r="G30" s="38" t="n"/>
      <c r="H30" s="38" t="n"/>
      <c r="I30" s="64">
        <f>IF(B30="","",IF(COUNTIF(Jobs!$A$5:$A$44,B30)=0,"Unknown Job ID",IF(A30="","Missing date","")))</f>
        <v/>
      </c>
    </row>
    <row r="31">
      <c r="A31" s="62" t="n"/>
      <c r="B31" s="38" t="n"/>
      <c r="C31" s="38" t="n"/>
      <c r="D31" s="38" t="n"/>
      <c r="E31" s="63">
        <f>IF(OR(B31="",A31=""),"",SUMIFS(Timesheet!$E$5:$E$1004,Timesheet!$C$5:$C$1004,B31,Timesheet!$A$5:$A$1004,A31))</f>
        <v/>
      </c>
      <c r="F31" s="38" t="n"/>
      <c r="G31" s="38" t="n"/>
      <c r="H31" s="38" t="n"/>
      <c r="I31" s="64">
        <f>IF(B31="","",IF(COUNTIF(Jobs!$A$5:$A$44,B31)=0,"Unknown Job ID",IF(A31="","Missing date","")))</f>
        <v/>
      </c>
    </row>
    <row r="32">
      <c r="A32" s="62" t="n"/>
      <c r="B32" s="38" t="n"/>
      <c r="C32" s="38" t="n"/>
      <c r="D32" s="38" t="n"/>
      <c r="E32" s="63">
        <f>IF(OR(B32="",A32=""),"",SUMIFS(Timesheet!$E$5:$E$1004,Timesheet!$C$5:$C$1004,B32,Timesheet!$A$5:$A$1004,A32))</f>
        <v/>
      </c>
      <c r="F32" s="38" t="n"/>
      <c r="G32" s="38" t="n"/>
      <c r="H32" s="38" t="n"/>
      <c r="I32" s="64">
        <f>IF(B32="","",IF(COUNTIF(Jobs!$A$5:$A$44,B32)=0,"Unknown Job ID",IF(A32="","Missing date","")))</f>
        <v/>
      </c>
    </row>
    <row r="33">
      <c r="A33" s="62" t="n"/>
      <c r="B33" s="38" t="n"/>
      <c r="C33" s="38" t="n"/>
      <c r="D33" s="38" t="n"/>
      <c r="E33" s="63">
        <f>IF(OR(B33="",A33=""),"",SUMIFS(Timesheet!$E$5:$E$1004,Timesheet!$C$5:$C$1004,B33,Timesheet!$A$5:$A$1004,A33))</f>
        <v/>
      </c>
      <c r="F33" s="38" t="n"/>
      <c r="G33" s="38" t="n"/>
      <c r="H33" s="38" t="n"/>
      <c r="I33" s="64">
        <f>IF(B33="","",IF(COUNTIF(Jobs!$A$5:$A$44,B33)=0,"Unknown Job ID",IF(A33="","Missing date","")))</f>
        <v/>
      </c>
    </row>
    <row r="34">
      <c r="A34" s="62" t="n"/>
      <c r="B34" s="38" t="n"/>
      <c r="C34" s="38" t="n"/>
      <c r="D34" s="38" t="n"/>
      <c r="E34" s="63">
        <f>IF(OR(B34="",A34=""),"",SUMIFS(Timesheet!$E$5:$E$1004,Timesheet!$C$5:$C$1004,B34,Timesheet!$A$5:$A$1004,A34))</f>
        <v/>
      </c>
      <c r="F34" s="38" t="n"/>
      <c r="G34" s="38" t="n"/>
      <c r="H34" s="38" t="n"/>
      <c r="I34" s="64">
        <f>IF(B34="","",IF(COUNTIF(Jobs!$A$5:$A$44,B34)=0,"Unknown Job ID",IF(A34="","Missing date","")))</f>
        <v/>
      </c>
    </row>
    <row r="35">
      <c r="A35" s="62" t="n"/>
      <c r="B35" s="38" t="n"/>
      <c r="C35" s="38" t="n"/>
      <c r="D35" s="38" t="n"/>
      <c r="E35" s="63">
        <f>IF(OR(B35="",A35=""),"",SUMIFS(Timesheet!$E$5:$E$1004,Timesheet!$C$5:$C$1004,B35,Timesheet!$A$5:$A$1004,A35))</f>
        <v/>
      </c>
      <c r="F35" s="38" t="n"/>
      <c r="G35" s="38" t="n"/>
      <c r="H35" s="38" t="n"/>
      <c r="I35" s="64">
        <f>IF(B35="","",IF(COUNTIF(Jobs!$A$5:$A$44,B35)=0,"Unknown Job ID",IF(A35="","Missing date","")))</f>
        <v/>
      </c>
    </row>
    <row r="36">
      <c r="A36" s="62" t="n"/>
      <c r="B36" s="38" t="n"/>
      <c r="C36" s="38" t="n"/>
      <c r="D36" s="38" t="n"/>
      <c r="E36" s="63">
        <f>IF(OR(B36="",A36=""),"",SUMIFS(Timesheet!$E$5:$E$1004,Timesheet!$C$5:$C$1004,B36,Timesheet!$A$5:$A$1004,A36))</f>
        <v/>
      </c>
      <c r="F36" s="38" t="n"/>
      <c r="G36" s="38" t="n"/>
      <c r="H36" s="38" t="n"/>
      <c r="I36" s="64">
        <f>IF(B36="","",IF(COUNTIF(Jobs!$A$5:$A$44,B36)=0,"Unknown Job ID",IF(A36="","Missing date","")))</f>
        <v/>
      </c>
    </row>
    <row r="37">
      <c r="A37" s="62" t="n"/>
      <c r="B37" s="38" t="n"/>
      <c r="C37" s="38" t="n"/>
      <c r="D37" s="38" t="n"/>
      <c r="E37" s="63">
        <f>IF(OR(B37="",A37=""),"",SUMIFS(Timesheet!$E$5:$E$1004,Timesheet!$C$5:$C$1004,B37,Timesheet!$A$5:$A$1004,A37))</f>
        <v/>
      </c>
      <c r="F37" s="38" t="n"/>
      <c r="G37" s="38" t="n"/>
      <c r="H37" s="38" t="n"/>
      <c r="I37" s="64">
        <f>IF(B37="","",IF(COUNTIF(Jobs!$A$5:$A$44,B37)=0,"Unknown Job ID",IF(A37="","Missing date","")))</f>
        <v/>
      </c>
    </row>
    <row r="38">
      <c r="A38" s="62" t="n"/>
      <c r="B38" s="38" t="n"/>
      <c r="C38" s="38" t="n"/>
      <c r="D38" s="38" t="n"/>
      <c r="E38" s="63">
        <f>IF(OR(B38="",A38=""),"",SUMIFS(Timesheet!$E$5:$E$1004,Timesheet!$C$5:$C$1004,B38,Timesheet!$A$5:$A$1004,A38))</f>
        <v/>
      </c>
      <c r="F38" s="38" t="n"/>
      <c r="G38" s="38" t="n"/>
      <c r="H38" s="38" t="n"/>
      <c r="I38" s="64">
        <f>IF(B38="","",IF(COUNTIF(Jobs!$A$5:$A$44,B38)=0,"Unknown Job ID",IF(A38="","Missing date","")))</f>
        <v/>
      </c>
    </row>
    <row r="39">
      <c r="A39" s="62" t="n"/>
      <c r="B39" s="38" t="n"/>
      <c r="C39" s="38" t="n"/>
      <c r="D39" s="38" t="n"/>
      <c r="E39" s="63">
        <f>IF(OR(B39="",A39=""),"",SUMIFS(Timesheet!$E$5:$E$1004,Timesheet!$C$5:$C$1004,B39,Timesheet!$A$5:$A$1004,A39))</f>
        <v/>
      </c>
      <c r="F39" s="38" t="n"/>
      <c r="G39" s="38" t="n"/>
      <c r="H39" s="38" t="n"/>
      <c r="I39" s="64">
        <f>IF(B39="","",IF(COUNTIF(Jobs!$A$5:$A$44,B39)=0,"Unknown Job ID",IF(A39="","Missing date","")))</f>
        <v/>
      </c>
    </row>
    <row r="40">
      <c r="A40" s="62" t="n"/>
      <c r="B40" s="38" t="n"/>
      <c r="C40" s="38" t="n"/>
      <c r="D40" s="38" t="n"/>
      <c r="E40" s="63">
        <f>IF(OR(B40="",A40=""),"",SUMIFS(Timesheet!$E$5:$E$1004,Timesheet!$C$5:$C$1004,B40,Timesheet!$A$5:$A$1004,A40))</f>
        <v/>
      </c>
      <c r="F40" s="38" t="n"/>
      <c r="G40" s="38" t="n"/>
      <c r="H40" s="38" t="n"/>
      <c r="I40" s="64">
        <f>IF(B40="","",IF(COUNTIF(Jobs!$A$5:$A$44,B40)=0,"Unknown Job ID",IF(A40="","Missing date","")))</f>
        <v/>
      </c>
    </row>
    <row r="41">
      <c r="A41" s="62" t="n"/>
      <c r="B41" s="38" t="n"/>
      <c r="C41" s="38" t="n"/>
      <c r="D41" s="38" t="n"/>
      <c r="E41" s="63">
        <f>IF(OR(B41="",A41=""),"",SUMIFS(Timesheet!$E$5:$E$1004,Timesheet!$C$5:$C$1004,B41,Timesheet!$A$5:$A$1004,A41))</f>
        <v/>
      </c>
      <c r="F41" s="38" t="n"/>
      <c r="G41" s="38" t="n"/>
      <c r="H41" s="38" t="n"/>
      <c r="I41" s="64">
        <f>IF(B41="","",IF(COUNTIF(Jobs!$A$5:$A$44,B41)=0,"Unknown Job ID",IF(A41="","Missing date","")))</f>
        <v/>
      </c>
    </row>
    <row r="42">
      <c r="A42" s="62" t="n"/>
      <c r="B42" s="38" t="n"/>
      <c r="C42" s="38" t="n"/>
      <c r="D42" s="38" t="n"/>
      <c r="E42" s="63">
        <f>IF(OR(B42="",A42=""),"",SUMIFS(Timesheet!$E$5:$E$1004,Timesheet!$C$5:$C$1004,B42,Timesheet!$A$5:$A$1004,A42))</f>
        <v/>
      </c>
      <c r="F42" s="38" t="n"/>
      <c r="G42" s="38" t="n"/>
      <c r="H42" s="38" t="n"/>
      <c r="I42" s="64">
        <f>IF(B42="","",IF(COUNTIF(Jobs!$A$5:$A$44,B42)=0,"Unknown Job ID",IF(A42="","Missing date","")))</f>
        <v/>
      </c>
    </row>
    <row r="43">
      <c r="A43" s="62" t="n"/>
      <c r="B43" s="38" t="n"/>
      <c r="C43" s="38" t="n"/>
      <c r="D43" s="38" t="n"/>
      <c r="E43" s="63">
        <f>IF(OR(B43="",A43=""),"",SUMIFS(Timesheet!$E$5:$E$1004,Timesheet!$C$5:$C$1004,B43,Timesheet!$A$5:$A$1004,A43))</f>
        <v/>
      </c>
      <c r="F43" s="38" t="n"/>
      <c r="G43" s="38" t="n"/>
      <c r="H43" s="38" t="n"/>
      <c r="I43" s="64">
        <f>IF(B43="","",IF(COUNTIF(Jobs!$A$5:$A$44,B43)=0,"Unknown Job ID",IF(A43="","Missing date","")))</f>
        <v/>
      </c>
    </row>
    <row r="44">
      <c r="A44" s="62" t="n"/>
      <c r="B44" s="38" t="n"/>
      <c r="C44" s="38" t="n"/>
      <c r="D44" s="38" t="n"/>
      <c r="E44" s="63">
        <f>IF(OR(B44="",A44=""),"",SUMIFS(Timesheet!$E$5:$E$1004,Timesheet!$C$5:$C$1004,B44,Timesheet!$A$5:$A$1004,A44))</f>
        <v/>
      </c>
      <c r="F44" s="38" t="n"/>
      <c r="G44" s="38" t="n"/>
      <c r="H44" s="38" t="n"/>
      <c r="I44" s="64">
        <f>IF(B44="","",IF(COUNTIF(Jobs!$A$5:$A$44,B44)=0,"Unknown Job ID",IF(A44="","Missing date","")))</f>
        <v/>
      </c>
    </row>
    <row r="45">
      <c r="A45" s="62" t="n"/>
      <c r="B45" s="38" t="n"/>
      <c r="C45" s="38" t="n"/>
      <c r="D45" s="38" t="n"/>
      <c r="E45" s="63">
        <f>IF(OR(B45="",A45=""),"",SUMIFS(Timesheet!$E$5:$E$1004,Timesheet!$C$5:$C$1004,B45,Timesheet!$A$5:$A$1004,A45))</f>
        <v/>
      </c>
      <c r="F45" s="38" t="n"/>
      <c r="G45" s="38" t="n"/>
      <c r="H45" s="38" t="n"/>
      <c r="I45" s="64">
        <f>IF(B45="","",IF(COUNTIF(Jobs!$A$5:$A$44,B45)=0,"Unknown Job ID",IF(A45="","Missing date","")))</f>
        <v/>
      </c>
    </row>
    <row r="46">
      <c r="A46" s="62" t="n"/>
      <c r="B46" s="38" t="n"/>
      <c r="C46" s="38" t="n"/>
      <c r="D46" s="38" t="n"/>
      <c r="E46" s="63">
        <f>IF(OR(B46="",A46=""),"",SUMIFS(Timesheet!$E$5:$E$1004,Timesheet!$C$5:$C$1004,B46,Timesheet!$A$5:$A$1004,A46))</f>
        <v/>
      </c>
      <c r="F46" s="38" t="n"/>
      <c r="G46" s="38" t="n"/>
      <c r="H46" s="38" t="n"/>
      <c r="I46" s="64">
        <f>IF(B46="","",IF(COUNTIF(Jobs!$A$5:$A$44,B46)=0,"Unknown Job ID",IF(A46="","Missing date","")))</f>
        <v/>
      </c>
    </row>
    <row r="47">
      <c r="A47" s="62" t="n"/>
      <c r="B47" s="38" t="n"/>
      <c r="C47" s="38" t="n"/>
      <c r="D47" s="38" t="n"/>
      <c r="E47" s="63">
        <f>IF(OR(B47="",A47=""),"",SUMIFS(Timesheet!$E$5:$E$1004,Timesheet!$C$5:$C$1004,B47,Timesheet!$A$5:$A$1004,A47))</f>
        <v/>
      </c>
      <c r="F47" s="38" t="n"/>
      <c r="G47" s="38" t="n"/>
      <c r="H47" s="38" t="n"/>
      <c r="I47" s="64">
        <f>IF(B47="","",IF(COUNTIF(Jobs!$A$5:$A$44,B47)=0,"Unknown Job ID",IF(A47="","Missing date","")))</f>
        <v/>
      </c>
    </row>
    <row r="48">
      <c r="A48" s="62" t="n"/>
      <c r="B48" s="38" t="n"/>
      <c r="C48" s="38" t="n"/>
      <c r="D48" s="38" t="n"/>
      <c r="E48" s="63">
        <f>IF(OR(B48="",A48=""),"",SUMIFS(Timesheet!$E$5:$E$1004,Timesheet!$C$5:$C$1004,B48,Timesheet!$A$5:$A$1004,A48))</f>
        <v/>
      </c>
      <c r="F48" s="38" t="n"/>
      <c r="G48" s="38" t="n"/>
      <c r="H48" s="38" t="n"/>
      <c r="I48" s="64">
        <f>IF(B48="","",IF(COUNTIF(Jobs!$A$5:$A$44,B48)=0,"Unknown Job ID",IF(A48="","Missing date","")))</f>
        <v/>
      </c>
    </row>
    <row r="49">
      <c r="A49" s="62" t="n"/>
      <c r="B49" s="38" t="n"/>
      <c r="C49" s="38" t="n"/>
      <c r="D49" s="38" t="n"/>
      <c r="E49" s="63">
        <f>IF(OR(B49="",A49=""),"",SUMIFS(Timesheet!$E$5:$E$1004,Timesheet!$C$5:$C$1004,B49,Timesheet!$A$5:$A$1004,A49))</f>
        <v/>
      </c>
      <c r="F49" s="38" t="n"/>
      <c r="G49" s="38" t="n"/>
      <c r="H49" s="38" t="n"/>
      <c r="I49" s="64">
        <f>IF(B49="","",IF(COUNTIF(Jobs!$A$5:$A$44,B49)=0,"Unknown Job ID",IF(A49="","Missing date","")))</f>
        <v/>
      </c>
    </row>
    <row r="50">
      <c r="A50" s="62" t="n"/>
      <c r="B50" s="38" t="n"/>
      <c r="C50" s="38" t="n"/>
      <c r="D50" s="38" t="n"/>
      <c r="E50" s="63">
        <f>IF(OR(B50="",A50=""),"",SUMIFS(Timesheet!$E$5:$E$1004,Timesheet!$C$5:$C$1004,B50,Timesheet!$A$5:$A$1004,A50))</f>
        <v/>
      </c>
      <c r="F50" s="38" t="n"/>
      <c r="G50" s="38" t="n"/>
      <c r="H50" s="38" t="n"/>
      <c r="I50" s="64">
        <f>IF(B50="","",IF(COUNTIF(Jobs!$A$5:$A$44,B50)=0,"Unknown Job ID",IF(A50="","Missing date","")))</f>
        <v/>
      </c>
    </row>
    <row r="51">
      <c r="A51" s="62" t="n"/>
      <c r="B51" s="38" t="n"/>
      <c r="C51" s="38" t="n"/>
      <c r="D51" s="38" t="n"/>
      <c r="E51" s="63">
        <f>IF(OR(B51="",A51=""),"",SUMIFS(Timesheet!$E$5:$E$1004,Timesheet!$C$5:$C$1004,B51,Timesheet!$A$5:$A$1004,A51))</f>
        <v/>
      </c>
      <c r="F51" s="38" t="n"/>
      <c r="G51" s="38" t="n"/>
      <c r="H51" s="38" t="n"/>
      <c r="I51" s="64">
        <f>IF(B51="","",IF(COUNTIF(Jobs!$A$5:$A$44,B51)=0,"Unknown Job ID",IF(A51="","Missing date","")))</f>
        <v/>
      </c>
    </row>
    <row r="52">
      <c r="A52" s="62" t="n"/>
      <c r="B52" s="38" t="n"/>
      <c r="C52" s="38" t="n"/>
      <c r="D52" s="38" t="n"/>
      <c r="E52" s="63">
        <f>IF(OR(B52="",A52=""),"",SUMIFS(Timesheet!$E$5:$E$1004,Timesheet!$C$5:$C$1004,B52,Timesheet!$A$5:$A$1004,A52))</f>
        <v/>
      </c>
      <c r="F52" s="38" t="n"/>
      <c r="G52" s="38" t="n"/>
      <c r="H52" s="38" t="n"/>
      <c r="I52" s="64">
        <f>IF(B52="","",IF(COUNTIF(Jobs!$A$5:$A$44,B52)=0,"Unknown Job ID",IF(A52="","Missing date","")))</f>
        <v/>
      </c>
    </row>
    <row r="53">
      <c r="A53" s="62" t="n"/>
      <c r="B53" s="38" t="n"/>
      <c r="C53" s="38" t="n"/>
      <c r="D53" s="38" t="n"/>
      <c r="E53" s="63">
        <f>IF(OR(B53="",A53=""),"",SUMIFS(Timesheet!$E$5:$E$1004,Timesheet!$C$5:$C$1004,B53,Timesheet!$A$5:$A$1004,A53))</f>
        <v/>
      </c>
      <c r="F53" s="38" t="n"/>
      <c r="G53" s="38" t="n"/>
      <c r="H53" s="38" t="n"/>
      <c r="I53" s="64">
        <f>IF(B53="","",IF(COUNTIF(Jobs!$A$5:$A$44,B53)=0,"Unknown Job ID",IF(A53="","Missing date","")))</f>
        <v/>
      </c>
    </row>
    <row r="54">
      <c r="A54" s="62" t="n"/>
      <c r="B54" s="38" t="n"/>
      <c r="C54" s="38" t="n"/>
      <c r="D54" s="38" t="n"/>
      <c r="E54" s="63">
        <f>IF(OR(B54="",A54=""),"",SUMIFS(Timesheet!$E$5:$E$1004,Timesheet!$C$5:$C$1004,B54,Timesheet!$A$5:$A$1004,A54))</f>
        <v/>
      </c>
      <c r="F54" s="38" t="n"/>
      <c r="G54" s="38" t="n"/>
      <c r="H54" s="38" t="n"/>
      <c r="I54" s="64">
        <f>IF(B54="","",IF(COUNTIF(Jobs!$A$5:$A$44,B54)=0,"Unknown Job ID",IF(A54="","Missing date","")))</f>
        <v/>
      </c>
    </row>
    <row r="55">
      <c r="A55" s="62" t="n"/>
      <c r="B55" s="38" t="n"/>
      <c r="C55" s="38" t="n"/>
      <c r="D55" s="38" t="n"/>
      <c r="E55" s="63">
        <f>IF(OR(B55="",A55=""),"",SUMIFS(Timesheet!$E$5:$E$1004,Timesheet!$C$5:$C$1004,B55,Timesheet!$A$5:$A$1004,A55))</f>
        <v/>
      </c>
      <c r="F55" s="38" t="n"/>
      <c r="G55" s="38" t="n"/>
      <c r="H55" s="38" t="n"/>
      <c r="I55" s="64">
        <f>IF(B55="","",IF(COUNTIF(Jobs!$A$5:$A$44,B55)=0,"Unknown Job ID",IF(A55="","Missing date","")))</f>
        <v/>
      </c>
    </row>
    <row r="56">
      <c r="A56" s="62" t="n"/>
      <c r="B56" s="38" t="n"/>
      <c r="C56" s="38" t="n"/>
      <c r="D56" s="38" t="n"/>
      <c r="E56" s="63">
        <f>IF(OR(B56="",A56=""),"",SUMIFS(Timesheet!$E$5:$E$1004,Timesheet!$C$5:$C$1004,B56,Timesheet!$A$5:$A$1004,A56))</f>
        <v/>
      </c>
      <c r="F56" s="38" t="n"/>
      <c r="G56" s="38" t="n"/>
      <c r="H56" s="38" t="n"/>
      <c r="I56" s="64">
        <f>IF(B56="","",IF(COUNTIF(Jobs!$A$5:$A$44,B56)=0,"Unknown Job ID",IF(A56="","Missing date","")))</f>
        <v/>
      </c>
    </row>
    <row r="57">
      <c r="A57" s="62" t="n"/>
      <c r="B57" s="38" t="n"/>
      <c r="C57" s="38" t="n"/>
      <c r="D57" s="38" t="n"/>
      <c r="E57" s="63">
        <f>IF(OR(B57="",A57=""),"",SUMIFS(Timesheet!$E$5:$E$1004,Timesheet!$C$5:$C$1004,B57,Timesheet!$A$5:$A$1004,A57))</f>
        <v/>
      </c>
      <c r="F57" s="38" t="n"/>
      <c r="G57" s="38" t="n"/>
      <c r="H57" s="38" t="n"/>
      <c r="I57" s="64">
        <f>IF(B57="","",IF(COUNTIF(Jobs!$A$5:$A$44,B57)=0,"Unknown Job ID",IF(A57="","Missing date","")))</f>
        <v/>
      </c>
    </row>
    <row r="58">
      <c r="A58" s="62" t="n"/>
      <c r="B58" s="38" t="n"/>
      <c r="C58" s="38" t="n"/>
      <c r="D58" s="38" t="n"/>
      <c r="E58" s="63">
        <f>IF(OR(B58="",A58=""),"",SUMIFS(Timesheet!$E$5:$E$1004,Timesheet!$C$5:$C$1004,B58,Timesheet!$A$5:$A$1004,A58))</f>
        <v/>
      </c>
      <c r="F58" s="38" t="n"/>
      <c r="G58" s="38" t="n"/>
      <c r="H58" s="38" t="n"/>
      <c r="I58" s="64">
        <f>IF(B58="","",IF(COUNTIF(Jobs!$A$5:$A$44,B58)=0,"Unknown Job ID",IF(A58="","Missing date","")))</f>
        <v/>
      </c>
    </row>
    <row r="59">
      <c r="A59" s="62" t="n"/>
      <c r="B59" s="38" t="n"/>
      <c r="C59" s="38" t="n"/>
      <c r="D59" s="38" t="n"/>
      <c r="E59" s="63">
        <f>IF(OR(B59="",A59=""),"",SUMIFS(Timesheet!$E$5:$E$1004,Timesheet!$C$5:$C$1004,B59,Timesheet!$A$5:$A$1004,A59))</f>
        <v/>
      </c>
      <c r="F59" s="38" t="n"/>
      <c r="G59" s="38" t="n"/>
      <c r="H59" s="38" t="n"/>
      <c r="I59" s="64">
        <f>IF(B59="","",IF(COUNTIF(Jobs!$A$5:$A$44,B59)=0,"Unknown Job ID",IF(A59="","Missing date","")))</f>
        <v/>
      </c>
    </row>
    <row r="60">
      <c r="A60" s="62" t="n"/>
      <c r="B60" s="38" t="n"/>
      <c r="C60" s="38" t="n"/>
      <c r="D60" s="38" t="n"/>
      <c r="E60" s="63">
        <f>IF(OR(B60="",A60=""),"",SUMIFS(Timesheet!$E$5:$E$1004,Timesheet!$C$5:$C$1004,B60,Timesheet!$A$5:$A$1004,A60))</f>
        <v/>
      </c>
      <c r="F60" s="38" t="n"/>
      <c r="G60" s="38" t="n"/>
      <c r="H60" s="38" t="n"/>
      <c r="I60" s="64">
        <f>IF(B60="","",IF(COUNTIF(Jobs!$A$5:$A$44,B60)=0,"Unknown Job ID",IF(A60="","Missing date","")))</f>
        <v/>
      </c>
    </row>
    <row r="61">
      <c r="A61" s="62" t="n"/>
      <c r="B61" s="38" t="n"/>
      <c r="C61" s="38" t="n"/>
      <c r="D61" s="38" t="n"/>
      <c r="E61" s="63">
        <f>IF(OR(B61="",A61=""),"",SUMIFS(Timesheet!$E$5:$E$1004,Timesheet!$C$5:$C$1004,B61,Timesheet!$A$5:$A$1004,A61))</f>
        <v/>
      </c>
      <c r="F61" s="38" t="n"/>
      <c r="G61" s="38" t="n"/>
      <c r="H61" s="38" t="n"/>
      <c r="I61" s="64">
        <f>IF(B61="","",IF(COUNTIF(Jobs!$A$5:$A$44,B61)=0,"Unknown Job ID",IF(A61="","Missing date","")))</f>
        <v/>
      </c>
    </row>
    <row r="62">
      <c r="A62" s="62" t="n"/>
      <c r="B62" s="38" t="n"/>
      <c r="C62" s="38" t="n"/>
      <c r="D62" s="38" t="n"/>
      <c r="E62" s="63">
        <f>IF(OR(B62="",A62=""),"",SUMIFS(Timesheet!$E$5:$E$1004,Timesheet!$C$5:$C$1004,B62,Timesheet!$A$5:$A$1004,A62))</f>
        <v/>
      </c>
      <c r="F62" s="38" t="n"/>
      <c r="G62" s="38" t="n"/>
      <c r="H62" s="38" t="n"/>
      <c r="I62" s="64">
        <f>IF(B62="","",IF(COUNTIF(Jobs!$A$5:$A$44,B62)=0,"Unknown Job ID",IF(A62="","Missing date","")))</f>
        <v/>
      </c>
    </row>
    <row r="63">
      <c r="A63" s="62" t="n"/>
      <c r="B63" s="38" t="n"/>
      <c r="C63" s="38" t="n"/>
      <c r="D63" s="38" t="n"/>
      <c r="E63" s="63">
        <f>IF(OR(B63="",A63=""),"",SUMIFS(Timesheet!$E$5:$E$1004,Timesheet!$C$5:$C$1004,B63,Timesheet!$A$5:$A$1004,A63))</f>
        <v/>
      </c>
      <c r="F63" s="38" t="n"/>
      <c r="G63" s="38" t="n"/>
      <c r="H63" s="38" t="n"/>
      <c r="I63" s="64">
        <f>IF(B63="","",IF(COUNTIF(Jobs!$A$5:$A$44,B63)=0,"Unknown Job ID",IF(A63="","Missing date","")))</f>
        <v/>
      </c>
    </row>
    <row r="64">
      <c r="A64" s="62" t="n"/>
      <c r="B64" s="38" t="n"/>
      <c r="C64" s="38" t="n"/>
      <c r="D64" s="38" t="n"/>
      <c r="E64" s="63">
        <f>IF(OR(B64="",A64=""),"",SUMIFS(Timesheet!$E$5:$E$1004,Timesheet!$C$5:$C$1004,B64,Timesheet!$A$5:$A$1004,A64))</f>
        <v/>
      </c>
      <c r="F64" s="38" t="n"/>
      <c r="G64" s="38" t="n"/>
      <c r="H64" s="38" t="n"/>
      <c r="I64" s="64">
        <f>IF(B64="","",IF(COUNTIF(Jobs!$A$5:$A$44,B64)=0,"Unknown Job ID",IF(A64="","Missing date","")))</f>
        <v/>
      </c>
    </row>
    <row r="65">
      <c r="A65" s="62" t="n"/>
      <c r="B65" s="38" t="n"/>
      <c r="C65" s="38" t="n"/>
      <c r="D65" s="38" t="n"/>
      <c r="E65" s="63">
        <f>IF(OR(B65="",A65=""),"",SUMIFS(Timesheet!$E$5:$E$1004,Timesheet!$C$5:$C$1004,B65,Timesheet!$A$5:$A$1004,A65))</f>
        <v/>
      </c>
      <c r="F65" s="38" t="n"/>
      <c r="G65" s="38" t="n"/>
      <c r="H65" s="38" t="n"/>
      <c r="I65" s="64">
        <f>IF(B65="","",IF(COUNTIF(Jobs!$A$5:$A$44,B65)=0,"Unknown Job ID",IF(A65="","Missing date","")))</f>
        <v/>
      </c>
    </row>
    <row r="66">
      <c r="A66" s="62" t="n"/>
      <c r="B66" s="38" t="n"/>
      <c r="C66" s="38" t="n"/>
      <c r="D66" s="38" t="n"/>
      <c r="E66" s="63">
        <f>IF(OR(B66="",A66=""),"",SUMIFS(Timesheet!$E$5:$E$1004,Timesheet!$C$5:$C$1004,B66,Timesheet!$A$5:$A$1004,A66))</f>
        <v/>
      </c>
      <c r="F66" s="38" t="n"/>
      <c r="G66" s="38" t="n"/>
      <c r="H66" s="38" t="n"/>
      <c r="I66" s="64">
        <f>IF(B66="","",IF(COUNTIF(Jobs!$A$5:$A$44,B66)=0,"Unknown Job ID",IF(A66="","Missing date","")))</f>
        <v/>
      </c>
    </row>
    <row r="67">
      <c r="A67" s="62" t="n"/>
      <c r="B67" s="38" t="n"/>
      <c r="C67" s="38" t="n"/>
      <c r="D67" s="38" t="n"/>
      <c r="E67" s="63">
        <f>IF(OR(B67="",A67=""),"",SUMIFS(Timesheet!$E$5:$E$1004,Timesheet!$C$5:$C$1004,B67,Timesheet!$A$5:$A$1004,A67))</f>
        <v/>
      </c>
      <c r="F67" s="38" t="n"/>
      <c r="G67" s="38" t="n"/>
      <c r="H67" s="38" t="n"/>
      <c r="I67" s="64">
        <f>IF(B67="","",IF(COUNTIF(Jobs!$A$5:$A$44,B67)=0,"Unknown Job ID",IF(A67="","Missing date","")))</f>
        <v/>
      </c>
    </row>
    <row r="68">
      <c r="A68" s="62" t="n"/>
      <c r="B68" s="38" t="n"/>
      <c r="C68" s="38" t="n"/>
      <c r="D68" s="38" t="n"/>
      <c r="E68" s="63">
        <f>IF(OR(B68="",A68=""),"",SUMIFS(Timesheet!$E$5:$E$1004,Timesheet!$C$5:$C$1004,B68,Timesheet!$A$5:$A$1004,A68))</f>
        <v/>
      </c>
      <c r="F68" s="38" t="n"/>
      <c r="G68" s="38" t="n"/>
      <c r="H68" s="38" t="n"/>
      <c r="I68" s="64">
        <f>IF(B68="","",IF(COUNTIF(Jobs!$A$5:$A$44,B68)=0,"Unknown Job ID",IF(A68="","Missing date","")))</f>
        <v/>
      </c>
    </row>
    <row r="69">
      <c r="A69" s="62" t="n"/>
      <c r="B69" s="38" t="n"/>
      <c r="C69" s="38" t="n"/>
      <c r="D69" s="38" t="n"/>
      <c r="E69" s="63">
        <f>IF(OR(B69="",A69=""),"",SUMIFS(Timesheet!$E$5:$E$1004,Timesheet!$C$5:$C$1004,B69,Timesheet!$A$5:$A$1004,A69))</f>
        <v/>
      </c>
      <c r="F69" s="38" t="n"/>
      <c r="G69" s="38" t="n"/>
      <c r="H69" s="38" t="n"/>
      <c r="I69" s="64">
        <f>IF(B69="","",IF(COUNTIF(Jobs!$A$5:$A$44,B69)=0,"Unknown Job ID",IF(A69="","Missing date","")))</f>
        <v/>
      </c>
    </row>
    <row r="70">
      <c r="A70" s="62" t="n"/>
      <c r="B70" s="38" t="n"/>
      <c r="C70" s="38" t="n"/>
      <c r="D70" s="38" t="n"/>
      <c r="E70" s="63">
        <f>IF(OR(B70="",A70=""),"",SUMIFS(Timesheet!$E$5:$E$1004,Timesheet!$C$5:$C$1004,B70,Timesheet!$A$5:$A$1004,A70))</f>
        <v/>
      </c>
      <c r="F70" s="38" t="n"/>
      <c r="G70" s="38" t="n"/>
      <c r="H70" s="38" t="n"/>
      <c r="I70" s="64">
        <f>IF(B70="","",IF(COUNTIF(Jobs!$A$5:$A$44,B70)=0,"Unknown Job ID",IF(A70="","Missing date","")))</f>
        <v/>
      </c>
    </row>
    <row r="71">
      <c r="A71" s="62" t="n"/>
      <c r="B71" s="38" t="n"/>
      <c r="C71" s="38" t="n"/>
      <c r="D71" s="38" t="n"/>
      <c r="E71" s="63">
        <f>IF(OR(B71="",A71=""),"",SUMIFS(Timesheet!$E$5:$E$1004,Timesheet!$C$5:$C$1004,B71,Timesheet!$A$5:$A$1004,A71))</f>
        <v/>
      </c>
      <c r="F71" s="38" t="n"/>
      <c r="G71" s="38" t="n"/>
      <c r="H71" s="38" t="n"/>
      <c r="I71" s="64">
        <f>IF(B71="","",IF(COUNTIF(Jobs!$A$5:$A$44,B71)=0,"Unknown Job ID",IF(A71="","Missing date","")))</f>
        <v/>
      </c>
    </row>
    <row r="72">
      <c r="A72" s="62" t="n"/>
      <c r="B72" s="38" t="n"/>
      <c r="C72" s="38" t="n"/>
      <c r="D72" s="38" t="n"/>
      <c r="E72" s="63">
        <f>IF(OR(B72="",A72=""),"",SUMIFS(Timesheet!$E$5:$E$1004,Timesheet!$C$5:$C$1004,B72,Timesheet!$A$5:$A$1004,A72))</f>
        <v/>
      </c>
      <c r="F72" s="38" t="n"/>
      <c r="G72" s="38" t="n"/>
      <c r="H72" s="38" t="n"/>
      <c r="I72" s="64">
        <f>IF(B72="","",IF(COUNTIF(Jobs!$A$5:$A$44,B72)=0,"Unknown Job ID",IF(A72="","Missing date","")))</f>
        <v/>
      </c>
    </row>
    <row r="73">
      <c r="A73" s="62" t="n"/>
      <c r="B73" s="38" t="n"/>
      <c r="C73" s="38" t="n"/>
      <c r="D73" s="38" t="n"/>
      <c r="E73" s="63">
        <f>IF(OR(B73="",A73=""),"",SUMIFS(Timesheet!$E$5:$E$1004,Timesheet!$C$5:$C$1004,B73,Timesheet!$A$5:$A$1004,A73))</f>
        <v/>
      </c>
      <c r="F73" s="38" t="n"/>
      <c r="G73" s="38" t="n"/>
      <c r="H73" s="38" t="n"/>
      <c r="I73" s="64">
        <f>IF(B73="","",IF(COUNTIF(Jobs!$A$5:$A$44,B73)=0,"Unknown Job ID",IF(A73="","Missing date","")))</f>
        <v/>
      </c>
    </row>
    <row r="74">
      <c r="A74" s="62" t="n"/>
      <c r="B74" s="38" t="n"/>
      <c r="C74" s="38" t="n"/>
      <c r="D74" s="38" t="n"/>
      <c r="E74" s="63">
        <f>IF(OR(B74="",A74=""),"",SUMIFS(Timesheet!$E$5:$E$1004,Timesheet!$C$5:$C$1004,B74,Timesheet!$A$5:$A$1004,A74))</f>
        <v/>
      </c>
      <c r="F74" s="38" t="n"/>
      <c r="G74" s="38" t="n"/>
      <c r="H74" s="38" t="n"/>
      <c r="I74" s="64">
        <f>IF(B74="","",IF(COUNTIF(Jobs!$A$5:$A$44,B74)=0,"Unknown Job ID",IF(A74="","Missing date","")))</f>
        <v/>
      </c>
    </row>
    <row r="75">
      <c r="A75" s="62" t="n"/>
      <c r="B75" s="38" t="n"/>
      <c r="C75" s="38" t="n"/>
      <c r="D75" s="38" t="n"/>
      <c r="E75" s="63">
        <f>IF(OR(B75="",A75=""),"",SUMIFS(Timesheet!$E$5:$E$1004,Timesheet!$C$5:$C$1004,B75,Timesheet!$A$5:$A$1004,A75))</f>
        <v/>
      </c>
      <c r="F75" s="38" t="n"/>
      <c r="G75" s="38" t="n"/>
      <c r="H75" s="38" t="n"/>
      <c r="I75" s="64">
        <f>IF(B75="","",IF(COUNTIF(Jobs!$A$5:$A$44,B75)=0,"Unknown Job ID",IF(A75="","Missing date","")))</f>
        <v/>
      </c>
    </row>
    <row r="76">
      <c r="A76" s="62" t="n"/>
      <c r="B76" s="38" t="n"/>
      <c r="C76" s="38" t="n"/>
      <c r="D76" s="38" t="n"/>
      <c r="E76" s="63">
        <f>IF(OR(B76="",A76=""),"",SUMIFS(Timesheet!$E$5:$E$1004,Timesheet!$C$5:$C$1004,B76,Timesheet!$A$5:$A$1004,A76))</f>
        <v/>
      </c>
      <c r="F76" s="38" t="n"/>
      <c r="G76" s="38" t="n"/>
      <c r="H76" s="38" t="n"/>
      <c r="I76" s="64">
        <f>IF(B76="","",IF(COUNTIF(Jobs!$A$5:$A$44,B76)=0,"Unknown Job ID",IF(A76="","Missing date","")))</f>
        <v/>
      </c>
    </row>
    <row r="77">
      <c r="A77" s="62" t="n"/>
      <c r="B77" s="38" t="n"/>
      <c r="C77" s="38" t="n"/>
      <c r="D77" s="38" t="n"/>
      <c r="E77" s="63">
        <f>IF(OR(B77="",A77=""),"",SUMIFS(Timesheet!$E$5:$E$1004,Timesheet!$C$5:$C$1004,B77,Timesheet!$A$5:$A$1004,A77))</f>
        <v/>
      </c>
      <c r="F77" s="38" t="n"/>
      <c r="G77" s="38" t="n"/>
      <c r="H77" s="38" t="n"/>
      <c r="I77" s="64">
        <f>IF(B77="","",IF(COUNTIF(Jobs!$A$5:$A$44,B77)=0,"Unknown Job ID",IF(A77="","Missing date","")))</f>
        <v/>
      </c>
    </row>
    <row r="78">
      <c r="A78" s="62" t="n"/>
      <c r="B78" s="38" t="n"/>
      <c r="C78" s="38" t="n"/>
      <c r="D78" s="38" t="n"/>
      <c r="E78" s="63">
        <f>IF(OR(B78="",A78=""),"",SUMIFS(Timesheet!$E$5:$E$1004,Timesheet!$C$5:$C$1004,B78,Timesheet!$A$5:$A$1004,A78))</f>
        <v/>
      </c>
      <c r="F78" s="38" t="n"/>
      <c r="G78" s="38" t="n"/>
      <c r="H78" s="38" t="n"/>
      <c r="I78" s="64">
        <f>IF(B78="","",IF(COUNTIF(Jobs!$A$5:$A$44,B78)=0,"Unknown Job ID",IF(A78="","Missing date","")))</f>
        <v/>
      </c>
    </row>
    <row r="79">
      <c r="A79" s="62" t="n"/>
      <c r="B79" s="38" t="n"/>
      <c r="C79" s="38" t="n"/>
      <c r="D79" s="38" t="n"/>
      <c r="E79" s="63">
        <f>IF(OR(B79="",A79=""),"",SUMIFS(Timesheet!$E$5:$E$1004,Timesheet!$C$5:$C$1004,B79,Timesheet!$A$5:$A$1004,A79))</f>
        <v/>
      </c>
      <c r="F79" s="38" t="n"/>
      <c r="G79" s="38" t="n"/>
      <c r="H79" s="38" t="n"/>
      <c r="I79" s="64">
        <f>IF(B79="","",IF(COUNTIF(Jobs!$A$5:$A$44,B79)=0,"Unknown Job ID",IF(A79="","Missing date","")))</f>
        <v/>
      </c>
    </row>
    <row r="80">
      <c r="A80" s="62" t="n"/>
      <c r="B80" s="38" t="n"/>
      <c r="C80" s="38" t="n"/>
      <c r="D80" s="38" t="n"/>
      <c r="E80" s="63">
        <f>IF(OR(B80="",A80=""),"",SUMIFS(Timesheet!$E$5:$E$1004,Timesheet!$C$5:$C$1004,B80,Timesheet!$A$5:$A$1004,A80))</f>
        <v/>
      </c>
      <c r="F80" s="38" t="n"/>
      <c r="G80" s="38" t="n"/>
      <c r="H80" s="38" t="n"/>
      <c r="I80" s="64">
        <f>IF(B80="","",IF(COUNTIF(Jobs!$A$5:$A$44,B80)=0,"Unknown Job ID",IF(A80="","Missing date","")))</f>
        <v/>
      </c>
    </row>
    <row r="81">
      <c r="A81" s="62" t="n"/>
      <c r="B81" s="38" t="n"/>
      <c r="C81" s="38" t="n"/>
      <c r="D81" s="38" t="n"/>
      <c r="E81" s="63">
        <f>IF(OR(B81="",A81=""),"",SUMIFS(Timesheet!$E$5:$E$1004,Timesheet!$C$5:$C$1004,B81,Timesheet!$A$5:$A$1004,A81))</f>
        <v/>
      </c>
      <c r="F81" s="38" t="n"/>
      <c r="G81" s="38" t="n"/>
      <c r="H81" s="38" t="n"/>
      <c r="I81" s="64">
        <f>IF(B81="","",IF(COUNTIF(Jobs!$A$5:$A$44,B81)=0,"Unknown Job ID",IF(A81="","Missing date","")))</f>
        <v/>
      </c>
    </row>
    <row r="82">
      <c r="A82" s="62" t="n"/>
      <c r="B82" s="38" t="n"/>
      <c r="C82" s="38" t="n"/>
      <c r="D82" s="38" t="n"/>
      <c r="E82" s="63">
        <f>IF(OR(B82="",A82=""),"",SUMIFS(Timesheet!$E$5:$E$1004,Timesheet!$C$5:$C$1004,B82,Timesheet!$A$5:$A$1004,A82))</f>
        <v/>
      </c>
      <c r="F82" s="38" t="n"/>
      <c r="G82" s="38" t="n"/>
      <c r="H82" s="38" t="n"/>
      <c r="I82" s="64">
        <f>IF(B82="","",IF(COUNTIF(Jobs!$A$5:$A$44,B82)=0,"Unknown Job ID",IF(A82="","Missing date","")))</f>
        <v/>
      </c>
    </row>
    <row r="83">
      <c r="A83" s="62" t="n"/>
      <c r="B83" s="38" t="n"/>
      <c r="C83" s="38" t="n"/>
      <c r="D83" s="38" t="n"/>
      <c r="E83" s="63">
        <f>IF(OR(B83="",A83=""),"",SUMIFS(Timesheet!$E$5:$E$1004,Timesheet!$C$5:$C$1004,B83,Timesheet!$A$5:$A$1004,A83))</f>
        <v/>
      </c>
      <c r="F83" s="38" t="n"/>
      <c r="G83" s="38" t="n"/>
      <c r="H83" s="38" t="n"/>
      <c r="I83" s="64">
        <f>IF(B83="","",IF(COUNTIF(Jobs!$A$5:$A$44,B83)=0,"Unknown Job ID",IF(A83="","Missing date","")))</f>
        <v/>
      </c>
    </row>
    <row r="84">
      <c r="A84" s="62" t="n"/>
      <c r="B84" s="38" t="n"/>
      <c r="C84" s="38" t="n"/>
      <c r="D84" s="38" t="n"/>
      <c r="E84" s="63">
        <f>IF(OR(B84="",A84=""),"",SUMIFS(Timesheet!$E$5:$E$1004,Timesheet!$C$5:$C$1004,B84,Timesheet!$A$5:$A$1004,A84))</f>
        <v/>
      </c>
      <c r="F84" s="38" t="n"/>
      <c r="G84" s="38" t="n"/>
      <c r="H84" s="38" t="n"/>
      <c r="I84" s="64">
        <f>IF(B84="","",IF(COUNTIF(Jobs!$A$5:$A$44,B84)=0,"Unknown Job ID",IF(A84="","Missing date","")))</f>
        <v/>
      </c>
    </row>
    <row r="85">
      <c r="A85" s="62" t="n"/>
      <c r="B85" s="38" t="n"/>
      <c r="C85" s="38" t="n"/>
      <c r="D85" s="38" t="n"/>
      <c r="E85" s="63">
        <f>IF(OR(B85="",A85=""),"",SUMIFS(Timesheet!$E$5:$E$1004,Timesheet!$C$5:$C$1004,B85,Timesheet!$A$5:$A$1004,A85))</f>
        <v/>
      </c>
      <c r="F85" s="38" t="n"/>
      <c r="G85" s="38" t="n"/>
      <c r="H85" s="38" t="n"/>
      <c r="I85" s="64">
        <f>IF(B85="","",IF(COUNTIF(Jobs!$A$5:$A$44,B85)=0,"Unknown Job ID",IF(A85="","Missing date","")))</f>
        <v/>
      </c>
    </row>
    <row r="86">
      <c r="A86" s="62" t="n"/>
      <c r="B86" s="38" t="n"/>
      <c r="C86" s="38" t="n"/>
      <c r="D86" s="38" t="n"/>
      <c r="E86" s="63">
        <f>IF(OR(B86="",A86=""),"",SUMIFS(Timesheet!$E$5:$E$1004,Timesheet!$C$5:$C$1004,B86,Timesheet!$A$5:$A$1004,A86))</f>
        <v/>
      </c>
      <c r="F86" s="38" t="n"/>
      <c r="G86" s="38" t="n"/>
      <c r="H86" s="38" t="n"/>
      <c r="I86" s="64">
        <f>IF(B86="","",IF(COUNTIF(Jobs!$A$5:$A$44,B86)=0,"Unknown Job ID",IF(A86="","Missing date","")))</f>
        <v/>
      </c>
    </row>
    <row r="87">
      <c r="A87" s="62" t="n"/>
      <c r="B87" s="38" t="n"/>
      <c r="C87" s="38" t="n"/>
      <c r="D87" s="38" t="n"/>
      <c r="E87" s="63">
        <f>IF(OR(B87="",A87=""),"",SUMIFS(Timesheet!$E$5:$E$1004,Timesheet!$C$5:$C$1004,B87,Timesheet!$A$5:$A$1004,A87))</f>
        <v/>
      </c>
      <c r="F87" s="38" t="n"/>
      <c r="G87" s="38" t="n"/>
      <c r="H87" s="38" t="n"/>
      <c r="I87" s="64">
        <f>IF(B87="","",IF(COUNTIF(Jobs!$A$5:$A$44,B87)=0,"Unknown Job ID",IF(A87="","Missing date","")))</f>
        <v/>
      </c>
    </row>
    <row r="88">
      <c r="A88" s="62" t="n"/>
      <c r="B88" s="38" t="n"/>
      <c r="C88" s="38" t="n"/>
      <c r="D88" s="38" t="n"/>
      <c r="E88" s="63">
        <f>IF(OR(B88="",A88=""),"",SUMIFS(Timesheet!$E$5:$E$1004,Timesheet!$C$5:$C$1004,B88,Timesheet!$A$5:$A$1004,A88))</f>
        <v/>
      </c>
      <c r="F88" s="38" t="n"/>
      <c r="G88" s="38" t="n"/>
      <c r="H88" s="38" t="n"/>
      <c r="I88" s="64">
        <f>IF(B88="","",IF(COUNTIF(Jobs!$A$5:$A$44,B88)=0,"Unknown Job ID",IF(A88="","Missing date","")))</f>
        <v/>
      </c>
    </row>
    <row r="89">
      <c r="A89" s="62" t="n"/>
      <c r="B89" s="38" t="n"/>
      <c r="C89" s="38" t="n"/>
      <c r="D89" s="38" t="n"/>
      <c r="E89" s="63">
        <f>IF(OR(B89="",A89=""),"",SUMIFS(Timesheet!$E$5:$E$1004,Timesheet!$C$5:$C$1004,B89,Timesheet!$A$5:$A$1004,A89))</f>
        <v/>
      </c>
      <c r="F89" s="38" t="n"/>
      <c r="G89" s="38" t="n"/>
      <c r="H89" s="38" t="n"/>
      <c r="I89" s="64">
        <f>IF(B89="","",IF(COUNTIF(Jobs!$A$5:$A$44,B89)=0,"Unknown Job ID",IF(A89="","Missing date","")))</f>
        <v/>
      </c>
    </row>
    <row r="90">
      <c r="A90" s="62" t="n"/>
      <c r="B90" s="38" t="n"/>
      <c r="C90" s="38" t="n"/>
      <c r="D90" s="38" t="n"/>
      <c r="E90" s="63">
        <f>IF(OR(B90="",A90=""),"",SUMIFS(Timesheet!$E$5:$E$1004,Timesheet!$C$5:$C$1004,B90,Timesheet!$A$5:$A$1004,A90))</f>
        <v/>
      </c>
      <c r="F90" s="38" t="n"/>
      <c r="G90" s="38" t="n"/>
      <c r="H90" s="38" t="n"/>
      <c r="I90" s="64">
        <f>IF(B90="","",IF(COUNTIF(Jobs!$A$5:$A$44,B90)=0,"Unknown Job ID",IF(A90="","Missing date","")))</f>
        <v/>
      </c>
    </row>
    <row r="91">
      <c r="A91" s="62" t="n"/>
      <c r="B91" s="38" t="n"/>
      <c r="C91" s="38" t="n"/>
      <c r="D91" s="38" t="n"/>
      <c r="E91" s="63">
        <f>IF(OR(B91="",A91=""),"",SUMIFS(Timesheet!$E$5:$E$1004,Timesheet!$C$5:$C$1004,B91,Timesheet!$A$5:$A$1004,A91))</f>
        <v/>
      </c>
      <c r="F91" s="38" t="n"/>
      <c r="G91" s="38" t="n"/>
      <c r="H91" s="38" t="n"/>
      <c r="I91" s="64">
        <f>IF(B91="","",IF(COUNTIF(Jobs!$A$5:$A$44,B91)=0,"Unknown Job ID",IF(A91="","Missing date","")))</f>
        <v/>
      </c>
    </row>
    <row r="92">
      <c r="A92" s="62" t="n"/>
      <c r="B92" s="38" t="n"/>
      <c r="C92" s="38" t="n"/>
      <c r="D92" s="38" t="n"/>
      <c r="E92" s="63">
        <f>IF(OR(B92="",A92=""),"",SUMIFS(Timesheet!$E$5:$E$1004,Timesheet!$C$5:$C$1004,B92,Timesheet!$A$5:$A$1004,A92))</f>
        <v/>
      </c>
      <c r="F92" s="38" t="n"/>
      <c r="G92" s="38" t="n"/>
      <c r="H92" s="38" t="n"/>
      <c r="I92" s="64">
        <f>IF(B92="","",IF(COUNTIF(Jobs!$A$5:$A$44,B92)=0,"Unknown Job ID",IF(A92="","Missing date","")))</f>
        <v/>
      </c>
    </row>
    <row r="93">
      <c r="A93" s="62" t="n"/>
      <c r="B93" s="38" t="n"/>
      <c r="C93" s="38" t="n"/>
      <c r="D93" s="38" t="n"/>
      <c r="E93" s="63">
        <f>IF(OR(B93="",A93=""),"",SUMIFS(Timesheet!$E$5:$E$1004,Timesheet!$C$5:$C$1004,B93,Timesheet!$A$5:$A$1004,A93))</f>
        <v/>
      </c>
      <c r="F93" s="38" t="n"/>
      <c r="G93" s="38" t="n"/>
      <c r="H93" s="38" t="n"/>
      <c r="I93" s="64">
        <f>IF(B93="","",IF(COUNTIF(Jobs!$A$5:$A$44,B93)=0,"Unknown Job ID",IF(A93="","Missing date","")))</f>
        <v/>
      </c>
    </row>
    <row r="94">
      <c r="A94" s="62" t="n"/>
      <c r="B94" s="38" t="n"/>
      <c r="C94" s="38" t="n"/>
      <c r="D94" s="38" t="n"/>
      <c r="E94" s="63">
        <f>IF(OR(B94="",A94=""),"",SUMIFS(Timesheet!$E$5:$E$1004,Timesheet!$C$5:$C$1004,B94,Timesheet!$A$5:$A$1004,A94))</f>
        <v/>
      </c>
      <c r="F94" s="38" t="n"/>
      <c r="G94" s="38" t="n"/>
      <c r="H94" s="38" t="n"/>
      <c r="I94" s="64">
        <f>IF(B94="","",IF(COUNTIF(Jobs!$A$5:$A$44,B94)=0,"Unknown Job ID",IF(A94="","Missing date","")))</f>
        <v/>
      </c>
    </row>
    <row r="95">
      <c r="A95" s="62" t="n"/>
      <c r="B95" s="38" t="n"/>
      <c r="C95" s="38" t="n"/>
      <c r="D95" s="38" t="n"/>
      <c r="E95" s="63">
        <f>IF(OR(B95="",A95=""),"",SUMIFS(Timesheet!$E$5:$E$1004,Timesheet!$C$5:$C$1004,B95,Timesheet!$A$5:$A$1004,A95))</f>
        <v/>
      </c>
      <c r="F95" s="38" t="n"/>
      <c r="G95" s="38" t="n"/>
      <c r="H95" s="38" t="n"/>
      <c r="I95" s="64">
        <f>IF(B95="","",IF(COUNTIF(Jobs!$A$5:$A$44,B95)=0,"Unknown Job ID",IF(A95="","Missing date","")))</f>
        <v/>
      </c>
    </row>
    <row r="96">
      <c r="A96" s="62" t="n"/>
      <c r="B96" s="38" t="n"/>
      <c r="C96" s="38" t="n"/>
      <c r="D96" s="38" t="n"/>
      <c r="E96" s="63">
        <f>IF(OR(B96="",A96=""),"",SUMIFS(Timesheet!$E$5:$E$1004,Timesheet!$C$5:$C$1004,B96,Timesheet!$A$5:$A$1004,A96))</f>
        <v/>
      </c>
      <c r="F96" s="38" t="n"/>
      <c r="G96" s="38" t="n"/>
      <c r="H96" s="38" t="n"/>
      <c r="I96" s="64">
        <f>IF(B96="","",IF(COUNTIF(Jobs!$A$5:$A$44,B96)=0,"Unknown Job ID",IF(A96="","Missing date","")))</f>
        <v/>
      </c>
    </row>
    <row r="97">
      <c r="A97" s="62" t="n"/>
      <c r="B97" s="38" t="n"/>
      <c r="C97" s="38" t="n"/>
      <c r="D97" s="38" t="n"/>
      <c r="E97" s="63">
        <f>IF(OR(B97="",A97=""),"",SUMIFS(Timesheet!$E$5:$E$1004,Timesheet!$C$5:$C$1004,B97,Timesheet!$A$5:$A$1004,A97))</f>
        <v/>
      </c>
      <c r="F97" s="38" t="n"/>
      <c r="G97" s="38" t="n"/>
      <c r="H97" s="38" t="n"/>
      <c r="I97" s="64">
        <f>IF(B97="","",IF(COUNTIF(Jobs!$A$5:$A$44,B97)=0,"Unknown Job ID",IF(A97="","Missing date","")))</f>
        <v/>
      </c>
    </row>
    <row r="98">
      <c r="A98" s="62" t="n"/>
      <c r="B98" s="38" t="n"/>
      <c r="C98" s="38" t="n"/>
      <c r="D98" s="38" t="n"/>
      <c r="E98" s="63">
        <f>IF(OR(B98="",A98=""),"",SUMIFS(Timesheet!$E$5:$E$1004,Timesheet!$C$5:$C$1004,B98,Timesheet!$A$5:$A$1004,A98))</f>
        <v/>
      </c>
      <c r="F98" s="38" t="n"/>
      <c r="G98" s="38" t="n"/>
      <c r="H98" s="38" t="n"/>
      <c r="I98" s="64">
        <f>IF(B98="","",IF(COUNTIF(Jobs!$A$5:$A$44,B98)=0,"Unknown Job ID",IF(A98="","Missing date","")))</f>
        <v/>
      </c>
    </row>
    <row r="99">
      <c r="A99" s="62" t="n"/>
      <c r="B99" s="38" t="n"/>
      <c r="C99" s="38" t="n"/>
      <c r="D99" s="38" t="n"/>
      <c r="E99" s="63">
        <f>IF(OR(B99="",A99=""),"",SUMIFS(Timesheet!$E$5:$E$1004,Timesheet!$C$5:$C$1004,B99,Timesheet!$A$5:$A$1004,A99))</f>
        <v/>
      </c>
      <c r="F99" s="38" t="n"/>
      <c r="G99" s="38" t="n"/>
      <c r="H99" s="38" t="n"/>
      <c r="I99" s="64">
        <f>IF(B99="","",IF(COUNTIF(Jobs!$A$5:$A$44,B99)=0,"Unknown Job ID",IF(A99="","Missing date","")))</f>
        <v/>
      </c>
    </row>
    <row r="100">
      <c r="A100" s="62" t="n"/>
      <c r="B100" s="38" t="n"/>
      <c r="C100" s="38" t="n"/>
      <c r="D100" s="38" t="n"/>
      <c r="E100" s="63">
        <f>IF(OR(B100="",A100=""),"",SUMIFS(Timesheet!$E$5:$E$1004,Timesheet!$C$5:$C$1004,B100,Timesheet!$A$5:$A$1004,A100))</f>
        <v/>
      </c>
      <c r="F100" s="38" t="n"/>
      <c r="G100" s="38" t="n"/>
      <c r="H100" s="38" t="n"/>
      <c r="I100" s="64">
        <f>IF(B100="","",IF(COUNTIF(Jobs!$A$5:$A$44,B100)=0,"Unknown Job ID",IF(A100="","Missing date","")))</f>
        <v/>
      </c>
    </row>
    <row r="101">
      <c r="A101" s="62" t="n"/>
      <c r="B101" s="38" t="n"/>
      <c r="C101" s="38" t="n"/>
      <c r="D101" s="38" t="n"/>
      <c r="E101" s="63">
        <f>IF(OR(B101="",A101=""),"",SUMIFS(Timesheet!$E$5:$E$1004,Timesheet!$C$5:$C$1004,B101,Timesheet!$A$5:$A$1004,A101))</f>
        <v/>
      </c>
      <c r="F101" s="38" t="n"/>
      <c r="G101" s="38" t="n"/>
      <c r="H101" s="38" t="n"/>
      <c r="I101" s="64">
        <f>IF(B101="","",IF(COUNTIF(Jobs!$A$5:$A$44,B101)=0,"Unknown Job ID",IF(A101="","Missing date","")))</f>
        <v/>
      </c>
    </row>
    <row r="102">
      <c r="A102" s="62" t="n"/>
      <c r="B102" s="38" t="n"/>
      <c r="C102" s="38" t="n"/>
      <c r="D102" s="38" t="n"/>
      <c r="E102" s="63">
        <f>IF(OR(B102="",A102=""),"",SUMIFS(Timesheet!$E$5:$E$1004,Timesheet!$C$5:$C$1004,B102,Timesheet!$A$5:$A$1004,A102))</f>
        <v/>
      </c>
      <c r="F102" s="38" t="n"/>
      <c r="G102" s="38" t="n"/>
      <c r="H102" s="38" t="n"/>
      <c r="I102" s="64">
        <f>IF(B102="","",IF(COUNTIF(Jobs!$A$5:$A$44,B102)=0,"Unknown Job ID",IF(A102="","Missing date","")))</f>
        <v/>
      </c>
    </row>
    <row r="103">
      <c r="A103" s="62" t="n"/>
      <c r="B103" s="38" t="n"/>
      <c r="C103" s="38" t="n"/>
      <c r="D103" s="38" t="n"/>
      <c r="E103" s="63">
        <f>IF(OR(B103="",A103=""),"",SUMIFS(Timesheet!$E$5:$E$1004,Timesheet!$C$5:$C$1004,B103,Timesheet!$A$5:$A$1004,A103))</f>
        <v/>
      </c>
      <c r="F103" s="38" t="n"/>
      <c r="G103" s="38" t="n"/>
      <c r="H103" s="38" t="n"/>
      <c r="I103" s="64">
        <f>IF(B103="","",IF(COUNTIF(Jobs!$A$5:$A$44,B103)=0,"Unknown Job ID",IF(A103="","Missing date","")))</f>
        <v/>
      </c>
    </row>
    <row r="104">
      <c r="A104" s="62" t="n"/>
      <c r="B104" s="38" t="n"/>
      <c r="C104" s="38" t="n"/>
      <c r="D104" s="38" t="n"/>
      <c r="E104" s="63">
        <f>IF(OR(B104="",A104=""),"",SUMIFS(Timesheet!$E$5:$E$1004,Timesheet!$C$5:$C$1004,B104,Timesheet!$A$5:$A$1004,A104))</f>
        <v/>
      </c>
      <c r="F104" s="38" t="n"/>
      <c r="G104" s="38" t="n"/>
      <c r="H104" s="38" t="n"/>
      <c r="I104" s="64">
        <f>IF(B104="","",IF(COUNTIF(Jobs!$A$5:$A$44,B104)=0,"Unknown Job ID",IF(A104="","Missing date","")))</f>
        <v/>
      </c>
    </row>
    <row r="105">
      <c r="A105" s="62" t="n"/>
      <c r="B105" s="38" t="n"/>
      <c r="C105" s="38" t="n"/>
      <c r="D105" s="38" t="n"/>
      <c r="E105" s="63">
        <f>IF(OR(B105="",A105=""),"",SUMIFS(Timesheet!$E$5:$E$1004,Timesheet!$C$5:$C$1004,B105,Timesheet!$A$5:$A$1004,A105))</f>
        <v/>
      </c>
      <c r="F105" s="38" t="n"/>
      <c r="G105" s="38" t="n"/>
      <c r="H105" s="38" t="n"/>
      <c r="I105" s="64">
        <f>IF(B105="","",IF(COUNTIF(Jobs!$A$5:$A$44,B105)=0,"Unknown Job ID",IF(A105="","Missing date","")))</f>
        <v/>
      </c>
    </row>
    <row r="106">
      <c r="A106" s="62" t="n"/>
      <c r="B106" s="38" t="n"/>
      <c r="C106" s="38" t="n"/>
      <c r="D106" s="38" t="n"/>
      <c r="E106" s="63">
        <f>IF(OR(B106="",A106=""),"",SUMIFS(Timesheet!$E$5:$E$1004,Timesheet!$C$5:$C$1004,B106,Timesheet!$A$5:$A$1004,A106))</f>
        <v/>
      </c>
      <c r="F106" s="38" t="n"/>
      <c r="G106" s="38" t="n"/>
      <c r="H106" s="38" t="n"/>
      <c r="I106" s="64">
        <f>IF(B106="","",IF(COUNTIF(Jobs!$A$5:$A$44,B106)=0,"Unknown Job ID",IF(A106="","Missing date","")))</f>
        <v/>
      </c>
    </row>
    <row r="107">
      <c r="A107" s="62" t="n"/>
      <c r="B107" s="38" t="n"/>
      <c r="C107" s="38" t="n"/>
      <c r="D107" s="38" t="n"/>
      <c r="E107" s="63">
        <f>IF(OR(B107="",A107=""),"",SUMIFS(Timesheet!$E$5:$E$1004,Timesheet!$C$5:$C$1004,B107,Timesheet!$A$5:$A$1004,A107))</f>
        <v/>
      </c>
      <c r="F107" s="38" t="n"/>
      <c r="G107" s="38" t="n"/>
      <c r="H107" s="38" t="n"/>
      <c r="I107" s="64">
        <f>IF(B107="","",IF(COUNTIF(Jobs!$A$5:$A$44,B107)=0,"Unknown Job ID",IF(A107="","Missing date","")))</f>
        <v/>
      </c>
    </row>
    <row r="108">
      <c r="A108" s="62" t="n"/>
      <c r="B108" s="38" t="n"/>
      <c r="C108" s="38" t="n"/>
      <c r="D108" s="38" t="n"/>
      <c r="E108" s="63">
        <f>IF(OR(B108="",A108=""),"",SUMIFS(Timesheet!$E$5:$E$1004,Timesheet!$C$5:$C$1004,B108,Timesheet!$A$5:$A$1004,A108))</f>
        <v/>
      </c>
      <c r="F108" s="38" t="n"/>
      <c r="G108" s="38" t="n"/>
      <c r="H108" s="38" t="n"/>
      <c r="I108" s="64">
        <f>IF(B108="","",IF(COUNTIF(Jobs!$A$5:$A$44,B108)=0,"Unknown Job ID",IF(A108="","Missing date","")))</f>
        <v/>
      </c>
    </row>
    <row r="109">
      <c r="A109" s="62" t="n"/>
      <c r="B109" s="38" t="n"/>
      <c r="C109" s="38" t="n"/>
      <c r="D109" s="38" t="n"/>
      <c r="E109" s="63">
        <f>IF(OR(B109="",A109=""),"",SUMIFS(Timesheet!$E$5:$E$1004,Timesheet!$C$5:$C$1004,B109,Timesheet!$A$5:$A$1004,A109))</f>
        <v/>
      </c>
      <c r="F109" s="38" t="n"/>
      <c r="G109" s="38" t="n"/>
      <c r="H109" s="38" t="n"/>
      <c r="I109" s="64">
        <f>IF(B109="","",IF(COUNTIF(Jobs!$A$5:$A$44,B109)=0,"Unknown Job ID",IF(A109="","Missing date","")))</f>
        <v/>
      </c>
    </row>
    <row r="110">
      <c r="A110" s="62" t="n"/>
      <c r="B110" s="38" t="n"/>
      <c r="C110" s="38" t="n"/>
      <c r="D110" s="38" t="n"/>
      <c r="E110" s="63">
        <f>IF(OR(B110="",A110=""),"",SUMIFS(Timesheet!$E$5:$E$1004,Timesheet!$C$5:$C$1004,B110,Timesheet!$A$5:$A$1004,A110))</f>
        <v/>
      </c>
      <c r="F110" s="38" t="n"/>
      <c r="G110" s="38" t="n"/>
      <c r="H110" s="38" t="n"/>
      <c r="I110" s="64">
        <f>IF(B110="","",IF(COUNTIF(Jobs!$A$5:$A$44,B110)=0,"Unknown Job ID",IF(A110="","Missing date","")))</f>
        <v/>
      </c>
    </row>
    <row r="111">
      <c r="A111" s="62" t="n"/>
      <c r="B111" s="38" t="n"/>
      <c r="C111" s="38" t="n"/>
      <c r="D111" s="38" t="n"/>
      <c r="E111" s="63">
        <f>IF(OR(B111="",A111=""),"",SUMIFS(Timesheet!$E$5:$E$1004,Timesheet!$C$5:$C$1004,B111,Timesheet!$A$5:$A$1004,A111))</f>
        <v/>
      </c>
      <c r="F111" s="38" t="n"/>
      <c r="G111" s="38" t="n"/>
      <c r="H111" s="38" t="n"/>
      <c r="I111" s="64">
        <f>IF(B111="","",IF(COUNTIF(Jobs!$A$5:$A$44,B111)=0,"Unknown Job ID",IF(A111="","Missing date","")))</f>
        <v/>
      </c>
    </row>
    <row r="112">
      <c r="A112" s="62" t="n"/>
      <c r="B112" s="38" t="n"/>
      <c r="C112" s="38" t="n"/>
      <c r="D112" s="38" t="n"/>
      <c r="E112" s="63">
        <f>IF(OR(B112="",A112=""),"",SUMIFS(Timesheet!$E$5:$E$1004,Timesheet!$C$5:$C$1004,B112,Timesheet!$A$5:$A$1004,A112))</f>
        <v/>
      </c>
      <c r="F112" s="38" t="n"/>
      <c r="G112" s="38" t="n"/>
      <c r="H112" s="38" t="n"/>
      <c r="I112" s="64">
        <f>IF(B112="","",IF(COUNTIF(Jobs!$A$5:$A$44,B112)=0,"Unknown Job ID",IF(A112="","Missing date","")))</f>
        <v/>
      </c>
    </row>
    <row r="113">
      <c r="A113" s="62" t="n"/>
      <c r="B113" s="38" t="n"/>
      <c r="C113" s="38" t="n"/>
      <c r="D113" s="38" t="n"/>
      <c r="E113" s="63">
        <f>IF(OR(B113="",A113=""),"",SUMIFS(Timesheet!$E$5:$E$1004,Timesheet!$C$5:$C$1004,B113,Timesheet!$A$5:$A$1004,A113))</f>
        <v/>
      </c>
      <c r="F113" s="38" t="n"/>
      <c r="G113" s="38" t="n"/>
      <c r="H113" s="38" t="n"/>
      <c r="I113" s="64">
        <f>IF(B113="","",IF(COUNTIF(Jobs!$A$5:$A$44,B113)=0,"Unknown Job ID",IF(A113="","Missing date","")))</f>
        <v/>
      </c>
    </row>
    <row r="114">
      <c r="A114" s="62" t="n"/>
      <c r="B114" s="38" t="n"/>
      <c r="C114" s="38" t="n"/>
      <c r="D114" s="38" t="n"/>
      <c r="E114" s="63">
        <f>IF(OR(B114="",A114=""),"",SUMIFS(Timesheet!$E$5:$E$1004,Timesheet!$C$5:$C$1004,B114,Timesheet!$A$5:$A$1004,A114))</f>
        <v/>
      </c>
      <c r="F114" s="38" t="n"/>
      <c r="G114" s="38" t="n"/>
      <c r="H114" s="38" t="n"/>
      <c r="I114" s="64">
        <f>IF(B114="","",IF(COUNTIF(Jobs!$A$5:$A$44,B114)=0,"Unknown Job ID",IF(A114="","Missing date","")))</f>
        <v/>
      </c>
    </row>
    <row r="115">
      <c r="A115" s="62" t="n"/>
      <c r="B115" s="38" t="n"/>
      <c r="C115" s="38" t="n"/>
      <c r="D115" s="38" t="n"/>
      <c r="E115" s="63">
        <f>IF(OR(B115="",A115=""),"",SUMIFS(Timesheet!$E$5:$E$1004,Timesheet!$C$5:$C$1004,B115,Timesheet!$A$5:$A$1004,A115))</f>
        <v/>
      </c>
      <c r="F115" s="38" t="n"/>
      <c r="G115" s="38" t="n"/>
      <c r="H115" s="38" t="n"/>
      <c r="I115" s="64">
        <f>IF(B115="","",IF(COUNTIF(Jobs!$A$5:$A$44,B115)=0,"Unknown Job ID",IF(A115="","Missing date","")))</f>
        <v/>
      </c>
    </row>
    <row r="116">
      <c r="A116" s="62" t="n"/>
      <c r="B116" s="38" t="n"/>
      <c r="C116" s="38" t="n"/>
      <c r="D116" s="38" t="n"/>
      <c r="E116" s="63">
        <f>IF(OR(B116="",A116=""),"",SUMIFS(Timesheet!$E$5:$E$1004,Timesheet!$C$5:$C$1004,B116,Timesheet!$A$5:$A$1004,A116))</f>
        <v/>
      </c>
      <c r="F116" s="38" t="n"/>
      <c r="G116" s="38" t="n"/>
      <c r="H116" s="38" t="n"/>
      <c r="I116" s="64">
        <f>IF(B116="","",IF(COUNTIF(Jobs!$A$5:$A$44,B116)=0,"Unknown Job ID",IF(A116="","Missing date","")))</f>
        <v/>
      </c>
    </row>
    <row r="117">
      <c r="A117" s="62" t="n"/>
      <c r="B117" s="38" t="n"/>
      <c r="C117" s="38" t="n"/>
      <c r="D117" s="38" t="n"/>
      <c r="E117" s="63">
        <f>IF(OR(B117="",A117=""),"",SUMIFS(Timesheet!$E$5:$E$1004,Timesheet!$C$5:$C$1004,B117,Timesheet!$A$5:$A$1004,A117))</f>
        <v/>
      </c>
      <c r="F117" s="38" t="n"/>
      <c r="G117" s="38" t="n"/>
      <c r="H117" s="38" t="n"/>
      <c r="I117" s="64">
        <f>IF(B117="","",IF(COUNTIF(Jobs!$A$5:$A$44,B117)=0,"Unknown Job ID",IF(A117="","Missing date","")))</f>
        <v/>
      </c>
    </row>
    <row r="118">
      <c r="A118" s="62" t="n"/>
      <c r="B118" s="38" t="n"/>
      <c r="C118" s="38" t="n"/>
      <c r="D118" s="38" t="n"/>
      <c r="E118" s="63">
        <f>IF(OR(B118="",A118=""),"",SUMIFS(Timesheet!$E$5:$E$1004,Timesheet!$C$5:$C$1004,B118,Timesheet!$A$5:$A$1004,A118))</f>
        <v/>
      </c>
      <c r="F118" s="38" t="n"/>
      <c r="G118" s="38" t="n"/>
      <c r="H118" s="38" t="n"/>
      <c r="I118" s="64">
        <f>IF(B118="","",IF(COUNTIF(Jobs!$A$5:$A$44,B118)=0,"Unknown Job ID",IF(A118="","Missing date","")))</f>
        <v/>
      </c>
    </row>
    <row r="119">
      <c r="A119" s="62" t="n"/>
      <c r="B119" s="38" t="n"/>
      <c r="C119" s="38" t="n"/>
      <c r="D119" s="38" t="n"/>
      <c r="E119" s="63">
        <f>IF(OR(B119="",A119=""),"",SUMIFS(Timesheet!$E$5:$E$1004,Timesheet!$C$5:$C$1004,B119,Timesheet!$A$5:$A$1004,A119))</f>
        <v/>
      </c>
      <c r="F119" s="38" t="n"/>
      <c r="G119" s="38" t="n"/>
      <c r="H119" s="38" t="n"/>
      <c r="I119" s="64">
        <f>IF(B119="","",IF(COUNTIF(Jobs!$A$5:$A$44,B119)=0,"Unknown Job ID",IF(A119="","Missing date","")))</f>
        <v/>
      </c>
    </row>
    <row r="120">
      <c r="A120" s="62" t="n"/>
      <c r="B120" s="38" t="n"/>
      <c r="C120" s="38" t="n"/>
      <c r="D120" s="38" t="n"/>
      <c r="E120" s="63">
        <f>IF(OR(B120="",A120=""),"",SUMIFS(Timesheet!$E$5:$E$1004,Timesheet!$C$5:$C$1004,B120,Timesheet!$A$5:$A$1004,A120))</f>
        <v/>
      </c>
      <c r="F120" s="38" t="n"/>
      <c r="G120" s="38" t="n"/>
      <c r="H120" s="38" t="n"/>
      <c r="I120" s="64">
        <f>IF(B120="","",IF(COUNTIF(Jobs!$A$5:$A$44,B120)=0,"Unknown Job ID",IF(A120="","Missing date","")))</f>
        <v/>
      </c>
    </row>
    <row r="121">
      <c r="A121" s="62" t="n"/>
      <c r="B121" s="38" t="n"/>
      <c r="C121" s="38" t="n"/>
      <c r="D121" s="38" t="n"/>
      <c r="E121" s="63">
        <f>IF(OR(B121="",A121=""),"",SUMIFS(Timesheet!$E$5:$E$1004,Timesheet!$C$5:$C$1004,B121,Timesheet!$A$5:$A$1004,A121))</f>
        <v/>
      </c>
      <c r="F121" s="38" t="n"/>
      <c r="G121" s="38" t="n"/>
      <c r="H121" s="38" t="n"/>
      <c r="I121" s="64">
        <f>IF(B121="","",IF(COUNTIF(Jobs!$A$5:$A$44,B121)=0,"Unknown Job ID",IF(A121="","Missing date","")))</f>
        <v/>
      </c>
    </row>
    <row r="122">
      <c r="A122" s="62" t="n"/>
      <c r="B122" s="38" t="n"/>
      <c r="C122" s="38" t="n"/>
      <c r="D122" s="38" t="n"/>
      <c r="E122" s="63">
        <f>IF(OR(B122="",A122=""),"",SUMIFS(Timesheet!$E$5:$E$1004,Timesheet!$C$5:$C$1004,B122,Timesheet!$A$5:$A$1004,A122))</f>
        <v/>
      </c>
      <c r="F122" s="38" t="n"/>
      <c r="G122" s="38" t="n"/>
      <c r="H122" s="38" t="n"/>
      <c r="I122" s="64">
        <f>IF(B122="","",IF(COUNTIF(Jobs!$A$5:$A$44,B122)=0,"Unknown Job ID",IF(A122="","Missing date","")))</f>
        <v/>
      </c>
    </row>
    <row r="123">
      <c r="A123" s="62" t="n"/>
      <c r="B123" s="38" t="n"/>
      <c r="C123" s="38" t="n"/>
      <c r="D123" s="38" t="n"/>
      <c r="E123" s="63">
        <f>IF(OR(B123="",A123=""),"",SUMIFS(Timesheet!$E$5:$E$1004,Timesheet!$C$5:$C$1004,B123,Timesheet!$A$5:$A$1004,A123))</f>
        <v/>
      </c>
      <c r="F123" s="38" t="n"/>
      <c r="G123" s="38" t="n"/>
      <c r="H123" s="38" t="n"/>
      <c r="I123" s="64">
        <f>IF(B123="","",IF(COUNTIF(Jobs!$A$5:$A$44,B123)=0,"Unknown Job ID",IF(A123="","Missing date","")))</f>
        <v/>
      </c>
    </row>
    <row r="124">
      <c r="A124" s="62" t="n"/>
      <c r="B124" s="38" t="n"/>
      <c r="C124" s="38" t="n"/>
      <c r="D124" s="38" t="n"/>
      <c r="E124" s="63">
        <f>IF(OR(B124="",A124=""),"",SUMIFS(Timesheet!$E$5:$E$1004,Timesheet!$C$5:$C$1004,B124,Timesheet!$A$5:$A$1004,A124))</f>
        <v/>
      </c>
      <c r="F124" s="38" t="n"/>
      <c r="G124" s="38" t="n"/>
      <c r="H124" s="38" t="n"/>
      <c r="I124" s="64">
        <f>IF(B124="","",IF(COUNTIF(Jobs!$A$5:$A$44,B124)=0,"Unknown Job ID",IF(A124="","Missing date","")))</f>
        <v/>
      </c>
    </row>
    <row r="125">
      <c r="A125" s="62" t="n"/>
      <c r="B125" s="38" t="n"/>
      <c r="C125" s="38" t="n"/>
      <c r="D125" s="38" t="n"/>
      <c r="E125" s="63">
        <f>IF(OR(B125="",A125=""),"",SUMIFS(Timesheet!$E$5:$E$1004,Timesheet!$C$5:$C$1004,B125,Timesheet!$A$5:$A$1004,A125))</f>
        <v/>
      </c>
      <c r="F125" s="38" t="n"/>
      <c r="G125" s="38" t="n"/>
      <c r="H125" s="38" t="n"/>
      <c r="I125" s="64">
        <f>IF(B125="","",IF(COUNTIF(Jobs!$A$5:$A$44,B125)=0,"Unknown Job ID",IF(A125="","Missing date","")))</f>
        <v/>
      </c>
    </row>
    <row r="126">
      <c r="A126" s="62" t="n"/>
      <c r="B126" s="38" t="n"/>
      <c r="C126" s="38" t="n"/>
      <c r="D126" s="38" t="n"/>
      <c r="E126" s="63">
        <f>IF(OR(B126="",A126=""),"",SUMIFS(Timesheet!$E$5:$E$1004,Timesheet!$C$5:$C$1004,B126,Timesheet!$A$5:$A$1004,A126))</f>
        <v/>
      </c>
      <c r="F126" s="38" t="n"/>
      <c r="G126" s="38" t="n"/>
      <c r="H126" s="38" t="n"/>
      <c r="I126" s="64">
        <f>IF(B126="","",IF(COUNTIF(Jobs!$A$5:$A$44,B126)=0,"Unknown Job ID",IF(A126="","Missing date","")))</f>
        <v/>
      </c>
    </row>
    <row r="127">
      <c r="A127" s="62" t="n"/>
      <c r="B127" s="38" t="n"/>
      <c r="C127" s="38" t="n"/>
      <c r="D127" s="38" t="n"/>
      <c r="E127" s="63">
        <f>IF(OR(B127="",A127=""),"",SUMIFS(Timesheet!$E$5:$E$1004,Timesheet!$C$5:$C$1004,B127,Timesheet!$A$5:$A$1004,A127))</f>
        <v/>
      </c>
      <c r="F127" s="38" t="n"/>
      <c r="G127" s="38" t="n"/>
      <c r="H127" s="38" t="n"/>
      <c r="I127" s="64">
        <f>IF(B127="","",IF(COUNTIF(Jobs!$A$5:$A$44,B127)=0,"Unknown Job ID",IF(A127="","Missing date","")))</f>
        <v/>
      </c>
    </row>
    <row r="128">
      <c r="A128" s="62" t="n"/>
      <c r="B128" s="38" t="n"/>
      <c r="C128" s="38" t="n"/>
      <c r="D128" s="38" t="n"/>
      <c r="E128" s="63">
        <f>IF(OR(B128="",A128=""),"",SUMIFS(Timesheet!$E$5:$E$1004,Timesheet!$C$5:$C$1004,B128,Timesheet!$A$5:$A$1004,A128))</f>
        <v/>
      </c>
      <c r="F128" s="38" t="n"/>
      <c r="G128" s="38" t="n"/>
      <c r="H128" s="38" t="n"/>
      <c r="I128" s="64">
        <f>IF(B128="","",IF(COUNTIF(Jobs!$A$5:$A$44,B128)=0,"Unknown Job ID",IF(A128="","Missing date","")))</f>
        <v/>
      </c>
    </row>
    <row r="129">
      <c r="A129" s="62" t="n"/>
      <c r="B129" s="38" t="n"/>
      <c r="C129" s="38" t="n"/>
      <c r="D129" s="38" t="n"/>
      <c r="E129" s="63">
        <f>IF(OR(B129="",A129=""),"",SUMIFS(Timesheet!$E$5:$E$1004,Timesheet!$C$5:$C$1004,B129,Timesheet!$A$5:$A$1004,A129))</f>
        <v/>
      </c>
      <c r="F129" s="38" t="n"/>
      <c r="G129" s="38" t="n"/>
      <c r="H129" s="38" t="n"/>
      <c r="I129" s="64">
        <f>IF(B129="","",IF(COUNTIF(Jobs!$A$5:$A$44,B129)=0,"Unknown Job ID",IF(A129="","Missing date","")))</f>
        <v/>
      </c>
    </row>
    <row r="130">
      <c r="A130" s="62" t="n"/>
      <c r="B130" s="38" t="n"/>
      <c r="C130" s="38" t="n"/>
      <c r="D130" s="38" t="n"/>
      <c r="E130" s="63">
        <f>IF(OR(B130="",A130=""),"",SUMIFS(Timesheet!$E$5:$E$1004,Timesheet!$C$5:$C$1004,B130,Timesheet!$A$5:$A$1004,A130))</f>
        <v/>
      </c>
      <c r="F130" s="38" t="n"/>
      <c r="G130" s="38" t="n"/>
      <c r="H130" s="38" t="n"/>
      <c r="I130" s="64">
        <f>IF(B130="","",IF(COUNTIF(Jobs!$A$5:$A$44,B130)=0,"Unknown Job ID",IF(A130="","Missing date","")))</f>
        <v/>
      </c>
    </row>
    <row r="131">
      <c r="A131" s="62" t="n"/>
      <c r="B131" s="38" t="n"/>
      <c r="C131" s="38" t="n"/>
      <c r="D131" s="38" t="n"/>
      <c r="E131" s="63">
        <f>IF(OR(B131="",A131=""),"",SUMIFS(Timesheet!$E$5:$E$1004,Timesheet!$C$5:$C$1004,B131,Timesheet!$A$5:$A$1004,A131))</f>
        <v/>
      </c>
      <c r="F131" s="38" t="n"/>
      <c r="G131" s="38" t="n"/>
      <c r="H131" s="38" t="n"/>
      <c r="I131" s="64">
        <f>IF(B131="","",IF(COUNTIF(Jobs!$A$5:$A$44,B131)=0,"Unknown Job ID",IF(A131="","Missing date","")))</f>
        <v/>
      </c>
    </row>
    <row r="132">
      <c r="A132" s="62" t="n"/>
      <c r="B132" s="38" t="n"/>
      <c r="C132" s="38" t="n"/>
      <c r="D132" s="38" t="n"/>
      <c r="E132" s="63">
        <f>IF(OR(B132="",A132=""),"",SUMIFS(Timesheet!$E$5:$E$1004,Timesheet!$C$5:$C$1004,B132,Timesheet!$A$5:$A$1004,A132))</f>
        <v/>
      </c>
      <c r="F132" s="38" t="n"/>
      <c r="G132" s="38" t="n"/>
      <c r="H132" s="38" t="n"/>
      <c r="I132" s="64">
        <f>IF(B132="","",IF(COUNTIF(Jobs!$A$5:$A$44,B132)=0,"Unknown Job ID",IF(A132="","Missing date","")))</f>
        <v/>
      </c>
    </row>
    <row r="133">
      <c r="A133" s="62" t="n"/>
      <c r="B133" s="38" t="n"/>
      <c r="C133" s="38" t="n"/>
      <c r="D133" s="38" t="n"/>
      <c r="E133" s="63">
        <f>IF(OR(B133="",A133=""),"",SUMIFS(Timesheet!$E$5:$E$1004,Timesheet!$C$5:$C$1004,B133,Timesheet!$A$5:$A$1004,A133))</f>
        <v/>
      </c>
      <c r="F133" s="38" t="n"/>
      <c r="G133" s="38" t="n"/>
      <c r="H133" s="38" t="n"/>
      <c r="I133" s="64">
        <f>IF(B133="","",IF(COUNTIF(Jobs!$A$5:$A$44,B133)=0,"Unknown Job ID",IF(A133="","Missing date","")))</f>
        <v/>
      </c>
    </row>
    <row r="134">
      <c r="A134" s="62" t="n"/>
      <c r="B134" s="38" t="n"/>
      <c r="C134" s="38" t="n"/>
      <c r="D134" s="38" t="n"/>
      <c r="E134" s="63">
        <f>IF(OR(B134="",A134=""),"",SUMIFS(Timesheet!$E$5:$E$1004,Timesheet!$C$5:$C$1004,B134,Timesheet!$A$5:$A$1004,A134))</f>
        <v/>
      </c>
      <c r="F134" s="38" t="n"/>
      <c r="G134" s="38" t="n"/>
      <c r="H134" s="38" t="n"/>
      <c r="I134" s="64">
        <f>IF(B134="","",IF(COUNTIF(Jobs!$A$5:$A$44,B134)=0,"Unknown Job ID",IF(A134="","Missing date","")))</f>
        <v/>
      </c>
    </row>
    <row r="135">
      <c r="A135" s="62" t="n"/>
      <c r="B135" s="38" t="n"/>
      <c r="C135" s="38" t="n"/>
      <c r="D135" s="38" t="n"/>
      <c r="E135" s="63">
        <f>IF(OR(B135="",A135=""),"",SUMIFS(Timesheet!$E$5:$E$1004,Timesheet!$C$5:$C$1004,B135,Timesheet!$A$5:$A$1004,A135))</f>
        <v/>
      </c>
      <c r="F135" s="38" t="n"/>
      <c r="G135" s="38" t="n"/>
      <c r="H135" s="38" t="n"/>
      <c r="I135" s="64">
        <f>IF(B135="","",IF(COUNTIF(Jobs!$A$5:$A$44,B135)=0,"Unknown Job ID",IF(A135="","Missing date","")))</f>
        <v/>
      </c>
    </row>
    <row r="136">
      <c r="A136" s="62" t="n"/>
      <c r="B136" s="38" t="n"/>
      <c r="C136" s="38" t="n"/>
      <c r="D136" s="38" t="n"/>
      <c r="E136" s="63">
        <f>IF(OR(B136="",A136=""),"",SUMIFS(Timesheet!$E$5:$E$1004,Timesheet!$C$5:$C$1004,B136,Timesheet!$A$5:$A$1004,A136))</f>
        <v/>
      </c>
      <c r="F136" s="38" t="n"/>
      <c r="G136" s="38" t="n"/>
      <c r="H136" s="38" t="n"/>
      <c r="I136" s="64">
        <f>IF(B136="","",IF(COUNTIF(Jobs!$A$5:$A$44,B136)=0,"Unknown Job ID",IF(A136="","Missing date","")))</f>
        <v/>
      </c>
    </row>
    <row r="137">
      <c r="A137" s="62" t="n"/>
      <c r="B137" s="38" t="n"/>
      <c r="C137" s="38" t="n"/>
      <c r="D137" s="38" t="n"/>
      <c r="E137" s="63">
        <f>IF(OR(B137="",A137=""),"",SUMIFS(Timesheet!$E$5:$E$1004,Timesheet!$C$5:$C$1004,B137,Timesheet!$A$5:$A$1004,A137))</f>
        <v/>
      </c>
      <c r="F137" s="38" t="n"/>
      <c r="G137" s="38" t="n"/>
      <c r="H137" s="38" t="n"/>
      <c r="I137" s="64">
        <f>IF(B137="","",IF(COUNTIF(Jobs!$A$5:$A$44,B137)=0,"Unknown Job ID",IF(A137="","Missing date","")))</f>
        <v/>
      </c>
    </row>
    <row r="138">
      <c r="A138" s="62" t="n"/>
      <c r="B138" s="38" t="n"/>
      <c r="C138" s="38" t="n"/>
      <c r="D138" s="38" t="n"/>
      <c r="E138" s="63">
        <f>IF(OR(B138="",A138=""),"",SUMIFS(Timesheet!$E$5:$E$1004,Timesheet!$C$5:$C$1004,B138,Timesheet!$A$5:$A$1004,A138))</f>
        <v/>
      </c>
      <c r="F138" s="38" t="n"/>
      <c r="G138" s="38" t="n"/>
      <c r="H138" s="38" t="n"/>
      <c r="I138" s="64">
        <f>IF(B138="","",IF(COUNTIF(Jobs!$A$5:$A$44,B138)=0,"Unknown Job ID",IF(A138="","Missing date","")))</f>
        <v/>
      </c>
    </row>
    <row r="139">
      <c r="A139" s="62" t="n"/>
      <c r="B139" s="38" t="n"/>
      <c r="C139" s="38" t="n"/>
      <c r="D139" s="38" t="n"/>
      <c r="E139" s="63">
        <f>IF(OR(B139="",A139=""),"",SUMIFS(Timesheet!$E$5:$E$1004,Timesheet!$C$5:$C$1004,B139,Timesheet!$A$5:$A$1004,A139))</f>
        <v/>
      </c>
      <c r="F139" s="38" t="n"/>
      <c r="G139" s="38" t="n"/>
      <c r="H139" s="38" t="n"/>
      <c r="I139" s="64">
        <f>IF(B139="","",IF(COUNTIF(Jobs!$A$5:$A$44,B139)=0,"Unknown Job ID",IF(A139="","Missing date","")))</f>
        <v/>
      </c>
    </row>
    <row r="140">
      <c r="A140" s="62" t="n"/>
      <c r="B140" s="38" t="n"/>
      <c r="C140" s="38" t="n"/>
      <c r="D140" s="38" t="n"/>
      <c r="E140" s="63">
        <f>IF(OR(B140="",A140=""),"",SUMIFS(Timesheet!$E$5:$E$1004,Timesheet!$C$5:$C$1004,B140,Timesheet!$A$5:$A$1004,A140))</f>
        <v/>
      </c>
      <c r="F140" s="38" t="n"/>
      <c r="G140" s="38" t="n"/>
      <c r="H140" s="38" t="n"/>
      <c r="I140" s="64">
        <f>IF(B140="","",IF(COUNTIF(Jobs!$A$5:$A$44,B140)=0,"Unknown Job ID",IF(A140="","Missing date","")))</f>
        <v/>
      </c>
    </row>
    <row r="141">
      <c r="A141" s="62" t="n"/>
      <c r="B141" s="38" t="n"/>
      <c r="C141" s="38" t="n"/>
      <c r="D141" s="38" t="n"/>
      <c r="E141" s="63">
        <f>IF(OR(B141="",A141=""),"",SUMIFS(Timesheet!$E$5:$E$1004,Timesheet!$C$5:$C$1004,B141,Timesheet!$A$5:$A$1004,A141))</f>
        <v/>
      </c>
      <c r="F141" s="38" t="n"/>
      <c r="G141" s="38" t="n"/>
      <c r="H141" s="38" t="n"/>
      <c r="I141" s="64">
        <f>IF(B141="","",IF(COUNTIF(Jobs!$A$5:$A$44,B141)=0,"Unknown Job ID",IF(A141="","Missing date","")))</f>
        <v/>
      </c>
    </row>
    <row r="142">
      <c r="A142" s="62" t="n"/>
      <c r="B142" s="38" t="n"/>
      <c r="C142" s="38" t="n"/>
      <c r="D142" s="38" t="n"/>
      <c r="E142" s="63">
        <f>IF(OR(B142="",A142=""),"",SUMIFS(Timesheet!$E$5:$E$1004,Timesheet!$C$5:$C$1004,B142,Timesheet!$A$5:$A$1004,A142))</f>
        <v/>
      </c>
      <c r="F142" s="38" t="n"/>
      <c r="G142" s="38" t="n"/>
      <c r="H142" s="38" t="n"/>
      <c r="I142" s="64">
        <f>IF(B142="","",IF(COUNTIF(Jobs!$A$5:$A$44,B142)=0,"Unknown Job ID",IF(A142="","Missing date","")))</f>
        <v/>
      </c>
    </row>
    <row r="143">
      <c r="A143" s="62" t="n"/>
      <c r="B143" s="38" t="n"/>
      <c r="C143" s="38" t="n"/>
      <c r="D143" s="38" t="n"/>
      <c r="E143" s="63">
        <f>IF(OR(B143="",A143=""),"",SUMIFS(Timesheet!$E$5:$E$1004,Timesheet!$C$5:$C$1004,B143,Timesheet!$A$5:$A$1004,A143))</f>
        <v/>
      </c>
      <c r="F143" s="38" t="n"/>
      <c r="G143" s="38" t="n"/>
      <c r="H143" s="38" t="n"/>
      <c r="I143" s="64">
        <f>IF(B143="","",IF(COUNTIF(Jobs!$A$5:$A$44,B143)=0,"Unknown Job ID",IF(A143="","Missing date","")))</f>
        <v/>
      </c>
    </row>
    <row r="144">
      <c r="A144" s="62" t="n"/>
      <c r="B144" s="38" t="n"/>
      <c r="C144" s="38" t="n"/>
      <c r="D144" s="38" t="n"/>
      <c r="E144" s="63">
        <f>IF(OR(B144="",A144=""),"",SUMIFS(Timesheet!$E$5:$E$1004,Timesheet!$C$5:$C$1004,B144,Timesheet!$A$5:$A$1004,A144))</f>
        <v/>
      </c>
      <c r="F144" s="38" t="n"/>
      <c r="G144" s="38" t="n"/>
      <c r="H144" s="38" t="n"/>
      <c r="I144" s="64">
        <f>IF(B144="","",IF(COUNTIF(Jobs!$A$5:$A$44,B144)=0,"Unknown Job ID",IF(A144="","Missing date","")))</f>
        <v/>
      </c>
    </row>
    <row r="145">
      <c r="A145" s="62" t="n"/>
      <c r="B145" s="38" t="n"/>
      <c r="C145" s="38" t="n"/>
      <c r="D145" s="38" t="n"/>
      <c r="E145" s="63">
        <f>IF(OR(B145="",A145=""),"",SUMIFS(Timesheet!$E$5:$E$1004,Timesheet!$C$5:$C$1004,B145,Timesheet!$A$5:$A$1004,A145))</f>
        <v/>
      </c>
      <c r="F145" s="38" t="n"/>
      <c r="G145" s="38" t="n"/>
      <c r="H145" s="38" t="n"/>
      <c r="I145" s="64">
        <f>IF(B145="","",IF(COUNTIF(Jobs!$A$5:$A$44,B145)=0,"Unknown Job ID",IF(A145="","Missing date","")))</f>
        <v/>
      </c>
    </row>
    <row r="146">
      <c r="A146" s="62" t="n"/>
      <c r="B146" s="38" t="n"/>
      <c r="C146" s="38" t="n"/>
      <c r="D146" s="38" t="n"/>
      <c r="E146" s="63">
        <f>IF(OR(B146="",A146=""),"",SUMIFS(Timesheet!$E$5:$E$1004,Timesheet!$C$5:$C$1004,B146,Timesheet!$A$5:$A$1004,A146))</f>
        <v/>
      </c>
      <c r="F146" s="38" t="n"/>
      <c r="G146" s="38" t="n"/>
      <c r="H146" s="38" t="n"/>
      <c r="I146" s="64">
        <f>IF(B146="","",IF(COUNTIF(Jobs!$A$5:$A$44,B146)=0,"Unknown Job ID",IF(A146="","Missing date","")))</f>
        <v/>
      </c>
    </row>
    <row r="147">
      <c r="A147" s="62" t="n"/>
      <c r="B147" s="38" t="n"/>
      <c r="C147" s="38" t="n"/>
      <c r="D147" s="38" t="n"/>
      <c r="E147" s="63">
        <f>IF(OR(B147="",A147=""),"",SUMIFS(Timesheet!$E$5:$E$1004,Timesheet!$C$5:$C$1004,B147,Timesheet!$A$5:$A$1004,A147))</f>
        <v/>
      </c>
      <c r="F147" s="38" t="n"/>
      <c r="G147" s="38" t="n"/>
      <c r="H147" s="38" t="n"/>
      <c r="I147" s="64">
        <f>IF(B147="","",IF(COUNTIF(Jobs!$A$5:$A$44,B147)=0,"Unknown Job ID",IF(A147="","Missing date","")))</f>
        <v/>
      </c>
    </row>
    <row r="148">
      <c r="A148" s="62" t="n"/>
      <c r="B148" s="38" t="n"/>
      <c r="C148" s="38" t="n"/>
      <c r="D148" s="38" t="n"/>
      <c r="E148" s="63">
        <f>IF(OR(B148="",A148=""),"",SUMIFS(Timesheet!$E$5:$E$1004,Timesheet!$C$5:$C$1004,B148,Timesheet!$A$5:$A$1004,A148))</f>
        <v/>
      </c>
      <c r="F148" s="38" t="n"/>
      <c r="G148" s="38" t="n"/>
      <c r="H148" s="38" t="n"/>
      <c r="I148" s="64">
        <f>IF(B148="","",IF(COUNTIF(Jobs!$A$5:$A$44,B148)=0,"Unknown Job ID",IF(A148="","Missing date","")))</f>
        <v/>
      </c>
    </row>
    <row r="149">
      <c r="A149" s="62" t="n"/>
      <c r="B149" s="38" t="n"/>
      <c r="C149" s="38" t="n"/>
      <c r="D149" s="38" t="n"/>
      <c r="E149" s="63">
        <f>IF(OR(B149="",A149=""),"",SUMIFS(Timesheet!$E$5:$E$1004,Timesheet!$C$5:$C$1004,B149,Timesheet!$A$5:$A$1004,A149))</f>
        <v/>
      </c>
      <c r="F149" s="38" t="n"/>
      <c r="G149" s="38" t="n"/>
      <c r="H149" s="38" t="n"/>
      <c r="I149" s="64">
        <f>IF(B149="","",IF(COUNTIF(Jobs!$A$5:$A$44,B149)=0,"Unknown Job ID",IF(A149="","Missing date","")))</f>
        <v/>
      </c>
    </row>
    <row r="150">
      <c r="A150" s="62" t="n"/>
      <c r="B150" s="38" t="n"/>
      <c r="C150" s="38" t="n"/>
      <c r="D150" s="38" t="n"/>
      <c r="E150" s="63">
        <f>IF(OR(B150="",A150=""),"",SUMIFS(Timesheet!$E$5:$E$1004,Timesheet!$C$5:$C$1004,B150,Timesheet!$A$5:$A$1004,A150))</f>
        <v/>
      </c>
      <c r="F150" s="38" t="n"/>
      <c r="G150" s="38" t="n"/>
      <c r="H150" s="38" t="n"/>
      <c r="I150" s="64">
        <f>IF(B150="","",IF(COUNTIF(Jobs!$A$5:$A$44,B150)=0,"Unknown Job ID",IF(A150="","Missing date","")))</f>
        <v/>
      </c>
    </row>
    <row r="151">
      <c r="A151" s="62" t="n"/>
      <c r="B151" s="38" t="n"/>
      <c r="C151" s="38" t="n"/>
      <c r="D151" s="38" t="n"/>
      <c r="E151" s="63">
        <f>IF(OR(B151="",A151=""),"",SUMIFS(Timesheet!$E$5:$E$1004,Timesheet!$C$5:$C$1004,B151,Timesheet!$A$5:$A$1004,A151))</f>
        <v/>
      </c>
      <c r="F151" s="38" t="n"/>
      <c r="G151" s="38" t="n"/>
      <c r="H151" s="38" t="n"/>
      <c r="I151" s="64">
        <f>IF(B151="","",IF(COUNTIF(Jobs!$A$5:$A$44,B151)=0,"Unknown Job ID",IF(A151="","Missing date","")))</f>
        <v/>
      </c>
    </row>
    <row r="152">
      <c r="A152" s="62" t="n"/>
      <c r="B152" s="38" t="n"/>
      <c r="C152" s="38" t="n"/>
      <c r="D152" s="38" t="n"/>
      <c r="E152" s="63">
        <f>IF(OR(B152="",A152=""),"",SUMIFS(Timesheet!$E$5:$E$1004,Timesheet!$C$5:$C$1004,B152,Timesheet!$A$5:$A$1004,A152))</f>
        <v/>
      </c>
      <c r="F152" s="38" t="n"/>
      <c r="G152" s="38" t="n"/>
      <c r="H152" s="38" t="n"/>
      <c r="I152" s="64">
        <f>IF(B152="","",IF(COUNTIF(Jobs!$A$5:$A$44,B152)=0,"Unknown Job ID",IF(A152="","Missing date","")))</f>
        <v/>
      </c>
    </row>
    <row r="153">
      <c r="A153" s="62" t="n"/>
      <c r="B153" s="38" t="n"/>
      <c r="C153" s="38" t="n"/>
      <c r="D153" s="38" t="n"/>
      <c r="E153" s="63">
        <f>IF(OR(B153="",A153=""),"",SUMIFS(Timesheet!$E$5:$E$1004,Timesheet!$C$5:$C$1004,B153,Timesheet!$A$5:$A$1004,A153))</f>
        <v/>
      </c>
      <c r="F153" s="38" t="n"/>
      <c r="G153" s="38" t="n"/>
      <c r="H153" s="38" t="n"/>
      <c r="I153" s="64">
        <f>IF(B153="","",IF(COUNTIF(Jobs!$A$5:$A$44,B153)=0,"Unknown Job ID",IF(A153="","Missing date","")))</f>
        <v/>
      </c>
    </row>
    <row r="154">
      <c r="A154" s="62" t="n"/>
      <c r="B154" s="38" t="n"/>
      <c r="C154" s="38" t="n"/>
      <c r="D154" s="38" t="n"/>
      <c r="E154" s="63">
        <f>IF(OR(B154="",A154=""),"",SUMIFS(Timesheet!$E$5:$E$1004,Timesheet!$C$5:$C$1004,B154,Timesheet!$A$5:$A$1004,A154))</f>
        <v/>
      </c>
      <c r="F154" s="38" t="n"/>
      <c r="G154" s="38" t="n"/>
      <c r="H154" s="38" t="n"/>
      <c r="I154" s="64">
        <f>IF(B154="","",IF(COUNTIF(Jobs!$A$5:$A$44,B154)=0,"Unknown Job ID",IF(A154="","Missing date","")))</f>
        <v/>
      </c>
    </row>
    <row r="155">
      <c r="A155" s="62" t="n"/>
      <c r="B155" s="38" t="n"/>
      <c r="C155" s="38" t="n"/>
      <c r="D155" s="38" t="n"/>
      <c r="E155" s="63">
        <f>IF(OR(B155="",A155=""),"",SUMIFS(Timesheet!$E$5:$E$1004,Timesheet!$C$5:$C$1004,B155,Timesheet!$A$5:$A$1004,A155))</f>
        <v/>
      </c>
      <c r="F155" s="38" t="n"/>
      <c r="G155" s="38" t="n"/>
      <c r="H155" s="38" t="n"/>
      <c r="I155" s="64">
        <f>IF(B155="","",IF(COUNTIF(Jobs!$A$5:$A$44,B155)=0,"Unknown Job ID",IF(A155="","Missing date","")))</f>
        <v/>
      </c>
    </row>
    <row r="156">
      <c r="A156" s="62" t="n"/>
      <c r="B156" s="38" t="n"/>
      <c r="C156" s="38" t="n"/>
      <c r="D156" s="38" t="n"/>
      <c r="E156" s="63">
        <f>IF(OR(B156="",A156=""),"",SUMIFS(Timesheet!$E$5:$E$1004,Timesheet!$C$5:$C$1004,B156,Timesheet!$A$5:$A$1004,A156))</f>
        <v/>
      </c>
      <c r="F156" s="38" t="n"/>
      <c r="G156" s="38" t="n"/>
      <c r="H156" s="38" t="n"/>
      <c r="I156" s="64">
        <f>IF(B156="","",IF(COUNTIF(Jobs!$A$5:$A$44,B156)=0,"Unknown Job ID",IF(A156="","Missing date","")))</f>
        <v/>
      </c>
    </row>
    <row r="157">
      <c r="A157" s="62" t="n"/>
      <c r="B157" s="38" t="n"/>
      <c r="C157" s="38" t="n"/>
      <c r="D157" s="38" t="n"/>
      <c r="E157" s="63">
        <f>IF(OR(B157="",A157=""),"",SUMIFS(Timesheet!$E$5:$E$1004,Timesheet!$C$5:$C$1004,B157,Timesheet!$A$5:$A$1004,A157))</f>
        <v/>
      </c>
      <c r="F157" s="38" t="n"/>
      <c r="G157" s="38" t="n"/>
      <c r="H157" s="38" t="n"/>
      <c r="I157" s="64">
        <f>IF(B157="","",IF(COUNTIF(Jobs!$A$5:$A$44,B157)=0,"Unknown Job ID",IF(A157="","Missing date","")))</f>
        <v/>
      </c>
    </row>
    <row r="158">
      <c r="A158" s="62" t="n"/>
      <c r="B158" s="38" t="n"/>
      <c r="C158" s="38" t="n"/>
      <c r="D158" s="38" t="n"/>
      <c r="E158" s="63">
        <f>IF(OR(B158="",A158=""),"",SUMIFS(Timesheet!$E$5:$E$1004,Timesheet!$C$5:$C$1004,B158,Timesheet!$A$5:$A$1004,A158))</f>
        <v/>
      </c>
      <c r="F158" s="38" t="n"/>
      <c r="G158" s="38" t="n"/>
      <c r="H158" s="38" t="n"/>
      <c r="I158" s="64">
        <f>IF(B158="","",IF(COUNTIF(Jobs!$A$5:$A$44,B158)=0,"Unknown Job ID",IF(A158="","Missing date","")))</f>
        <v/>
      </c>
    </row>
    <row r="159">
      <c r="A159" s="62" t="n"/>
      <c r="B159" s="38" t="n"/>
      <c r="C159" s="38" t="n"/>
      <c r="D159" s="38" t="n"/>
      <c r="E159" s="63">
        <f>IF(OR(B159="",A159=""),"",SUMIFS(Timesheet!$E$5:$E$1004,Timesheet!$C$5:$C$1004,B159,Timesheet!$A$5:$A$1004,A159))</f>
        <v/>
      </c>
      <c r="F159" s="38" t="n"/>
      <c r="G159" s="38" t="n"/>
      <c r="H159" s="38" t="n"/>
      <c r="I159" s="64">
        <f>IF(B159="","",IF(COUNTIF(Jobs!$A$5:$A$44,B159)=0,"Unknown Job ID",IF(A159="","Missing date","")))</f>
        <v/>
      </c>
    </row>
    <row r="160">
      <c r="A160" s="62" t="n"/>
      <c r="B160" s="38" t="n"/>
      <c r="C160" s="38" t="n"/>
      <c r="D160" s="38" t="n"/>
      <c r="E160" s="63">
        <f>IF(OR(B160="",A160=""),"",SUMIFS(Timesheet!$E$5:$E$1004,Timesheet!$C$5:$C$1004,B160,Timesheet!$A$5:$A$1004,A160))</f>
        <v/>
      </c>
      <c r="F160" s="38" t="n"/>
      <c r="G160" s="38" t="n"/>
      <c r="H160" s="38" t="n"/>
      <c r="I160" s="64">
        <f>IF(B160="","",IF(COUNTIF(Jobs!$A$5:$A$44,B160)=0,"Unknown Job ID",IF(A160="","Missing date","")))</f>
        <v/>
      </c>
    </row>
    <row r="161">
      <c r="A161" s="62" t="n"/>
      <c r="B161" s="38" t="n"/>
      <c r="C161" s="38" t="n"/>
      <c r="D161" s="38" t="n"/>
      <c r="E161" s="63">
        <f>IF(OR(B161="",A161=""),"",SUMIFS(Timesheet!$E$5:$E$1004,Timesheet!$C$5:$C$1004,B161,Timesheet!$A$5:$A$1004,A161))</f>
        <v/>
      </c>
      <c r="F161" s="38" t="n"/>
      <c r="G161" s="38" t="n"/>
      <c r="H161" s="38" t="n"/>
      <c r="I161" s="64">
        <f>IF(B161="","",IF(COUNTIF(Jobs!$A$5:$A$44,B161)=0,"Unknown Job ID",IF(A161="","Missing date","")))</f>
        <v/>
      </c>
    </row>
    <row r="162">
      <c r="A162" s="62" t="n"/>
      <c r="B162" s="38" t="n"/>
      <c r="C162" s="38" t="n"/>
      <c r="D162" s="38" t="n"/>
      <c r="E162" s="63">
        <f>IF(OR(B162="",A162=""),"",SUMIFS(Timesheet!$E$5:$E$1004,Timesheet!$C$5:$C$1004,B162,Timesheet!$A$5:$A$1004,A162))</f>
        <v/>
      </c>
      <c r="F162" s="38" t="n"/>
      <c r="G162" s="38" t="n"/>
      <c r="H162" s="38" t="n"/>
      <c r="I162" s="64">
        <f>IF(B162="","",IF(COUNTIF(Jobs!$A$5:$A$44,B162)=0,"Unknown Job ID",IF(A162="","Missing date","")))</f>
        <v/>
      </c>
    </row>
    <row r="163">
      <c r="A163" s="62" t="n"/>
      <c r="B163" s="38" t="n"/>
      <c r="C163" s="38" t="n"/>
      <c r="D163" s="38" t="n"/>
      <c r="E163" s="63">
        <f>IF(OR(B163="",A163=""),"",SUMIFS(Timesheet!$E$5:$E$1004,Timesheet!$C$5:$C$1004,B163,Timesheet!$A$5:$A$1004,A163))</f>
        <v/>
      </c>
      <c r="F163" s="38" t="n"/>
      <c r="G163" s="38" t="n"/>
      <c r="H163" s="38" t="n"/>
      <c r="I163" s="64">
        <f>IF(B163="","",IF(COUNTIF(Jobs!$A$5:$A$44,B163)=0,"Unknown Job ID",IF(A163="","Missing date","")))</f>
        <v/>
      </c>
    </row>
    <row r="164">
      <c r="A164" s="62" t="n"/>
      <c r="B164" s="38" t="n"/>
      <c r="C164" s="38" t="n"/>
      <c r="D164" s="38" t="n"/>
      <c r="E164" s="63">
        <f>IF(OR(B164="",A164=""),"",SUMIFS(Timesheet!$E$5:$E$1004,Timesheet!$C$5:$C$1004,B164,Timesheet!$A$5:$A$1004,A164))</f>
        <v/>
      </c>
      <c r="F164" s="38" t="n"/>
      <c r="G164" s="38" t="n"/>
      <c r="H164" s="38" t="n"/>
      <c r="I164" s="64">
        <f>IF(B164="","",IF(COUNTIF(Jobs!$A$5:$A$44,B164)=0,"Unknown Job ID",IF(A164="","Missing date","")))</f>
        <v/>
      </c>
    </row>
    <row r="165">
      <c r="A165" s="62" t="n"/>
      <c r="B165" s="38" t="n"/>
      <c r="C165" s="38" t="n"/>
      <c r="D165" s="38" t="n"/>
      <c r="E165" s="63">
        <f>IF(OR(B165="",A165=""),"",SUMIFS(Timesheet!$E$5:$E$1004,Timesheet!$C$5:$C$1004,B165,Timesheet!$A$5:$A$1004,A165))</f>
        <v/>
      </c>
      <c r="F165" s="38" t="n"/>
      <c r="G165" s="38" t="n"/>
      <c r="H165" s="38" t="n"/>
      <c r="I165" s="64">
        <f>IF(B165="","",IF(COUNTIF(Jobs!$A$5:$A$44,B165)=0,"Unknown Job ID",IF(A165="","Missing date","")))</f>
        <v/>
      </c>
    </row>
    <row r="166">
      <c r="A166" s="62" t="n"/>
      <c r="B166" s="38" t="n"/>
      <c r="C166" s="38" t="n"/>
      <c r="D166" s="38" t="n"/>
      <c r="E166" s="63">
        <f>IF(OR(B166="",A166=""),"",SUMIFS(Timesheet!$E$5:$E$1004,Timesheet!$C$5:$C$1004,B166,Timesheet!$A$5:$A$1004,A166))</f>
        <v/>
      </c>
      <c r="F166" s="38" t="n"/>
      <c r="G166" s="38" t="n"/>
      <c r="H166" s="38" t="n"/>
      <c r="I166" s="64">
        <f>IF(B166="","",IF(COUNTIF(Jobs!$A$5:$A$44,B166)=0,"Unknown Job ID",IF(A166="","Missing date","")))</f>
        <v/>
      </c>
    </row>
    <row r="167">
      <c r="A167" s="62" t="n"/>
      <c r="B167" s="38" t="n"/>
      <c r="C167" s="38" t="n"/>
      <c r="D167" s="38" t="n"/>
      <c r="E167" s="63">
        <f>IF(OR(B167="",A167=""),"",SUMIFS(Timesheet!$E$5:$E$1004,Timesheet!$C$5:$C$1004,B167,Timesheet!$A$5:$A$1004,A167))</f>
        <v/>
      </c>
      <c r="F167" s="38" t="n"/>
      <c r="G167" s="38" t="n"/>
      <c r="H167" s="38" t="n"/>
      <c r="I167" s="64">
        <f>IF(B167="","",IF(COUNTIF(Jobs!$A$5:$A$44,B167)=0,"Unknown Job ID",IF(A167="","Missing date","")))</f>
        <v/>
      </c>
    </row>
    <row r="168">
      <c r="A168" s="62" t="n"/>
      <c r="B168" s="38" t="n"/>
      <c r="C168" s="38" t="n"/>
      <c r="D168" s="38" t="n"/>
      <c r="E168" s="63">
        <f>IF(OR(B168="",A168=""),"",SUMIFS(Timesheet!$E$5:$E$1004,Timesheet!$C$5:$C$1004,B168,Timesheet!$A$5:$A$1004,A168))</f>
        <v/>
      </c>
      <c r="F168" s="38" t="n"/>
      <c r="G168" s="38" t="n"/>
      <c r="H168" s="38" t="n"/>
      <c r="I168" s="64">
        <f>IF(B168="","",IF(COUNTIF(Jobs!$A$5:$A$44,B168)=0,"Unknown Job ID",IF(A168="","Missing date","")))</f>
        <v/>
      </c>
    </row>
    <row r="169">
      <c r="A169" s="62" t="n"/>
      <c r="B169" s="38" t="n"/>
      <c r="C169" s="38" t="n"/>
      <c r="D169" s="38" t="n"/>
      <c r="E169" s="63">
        <f>IF(OR(B169="",A169=""),"",SUMIFS(Timesheet!$E$5:$E$1004,Timesheet!$C$5:$C$1004,B169,Timesheet!$A$5:$A$1004,A169))</f>
        <v/>
      </c>
      <c r="F169" s="38" t="n"/>
      <c r="G169" s="38" t="n"/>
      <c r="H169" s="38" t="n"/>
      <c r="I169" s="64">
        <f>IF(B169="","",IF(COUNTIF(Jobs!$A$5:$A$44,B169)=0,"Unknown Job ID",IF(A169="","Missing date","")))</f>
        <v/>
      </c>
    </row>
    <row r="170">
      <c r="A170" s="62" t="n"/>
      <c r="B170" s="38" t="n"/>
      <c r="C170" s="38" t="n"/>
      <c r="D170" s="38" t="n"/>
      <c r="E170" s="63">
        <f>IF(OR(B170="",A170=""),"",SUMIFS(Timesheet!$E$5:$E$1004,Timesheet!$C$5:$C$1004,B170,Timesheet!$A$5:$A$1004,A170))</f>
        <v/>
      </c>
      <c r="F170" s="38" t="n"/>
      <c r="G170" s="38" t="n"/>
      <c r="H170" s="38" t="n"/>
      <c r="I170" s="64">
        <f>IF(B170="","",IF(COUNTIF(Jobs!$A$5:$A$44,B170)=0,"Unknown Job ID",IF(A170="","Missing date","")))</f>
        <v/>
      </c>
    </row>
    <row r="171">
      <c r="A171" s="62" t="n"/>
      <c r="B171" s="38" t="n"/>
      <c r="C171" s="38" t="n"/>
      <c r="D171" s="38" t="n"/>
      <c r="E171" s="63">
        <f>IF(OR(B171="",A171=""),"",SUMIFS(Timesheet!$E$5:$E$1004,Timesheet!$C$5:$C$1004,B171,Timesheet!$A$5:$A$1004,A171))</f>
        <v/>
      </c>
      <c r="F171" s="38" t="n"/>
      <c r="G171" s="38" t="n"/>
      <c r="H171" s="38" t="n"/>
      <c r="I171" s="64">
        <f>IF(B171="","",IF(COUNTIF(Jobs!$A$5:$A$44,B171)=0,"Unknown Job ID",IF(A171="","Missing date","")))</f>
        <v/>
      </c>
    </row>
    <row r="172">
      <c r="A172" s="62" t="n"/>
      <c r="B172" s="38" t="n"/>
      <c r="C172" s="38" t="n"/>
      <c r="D172" s="38" t="n"/>
      <c r="E172" s="63">
        <f>IF(OR(B172="",A172=""),"",SUMIFS(Timesheet!$E$5:$E$1004,Timesheet!$C$5:$C$1004,B172,Timesheet!$A$5:$A$1004,A172))</f>
        <v/>
      </c>
      <c r="F172" s="38" t="n"/>
      <c r="G172" s="38" t="n"/>
      <c r="H172" s="38" t="n"/>
      <c r="I172" s="64">
        <f>IF(B172="","",IF(COUNTIF(Jobs!$A$5:$A$44,B172)=0,"Unknown Job ID",IF(A172="","Missing date","")))</f>
        <v/>
      </c>
    </row>
    <row r="173">
      <c r="A173" s="62" t="n"/>
      <c r="B173" s="38" t="n"/>
      <c r="C173" s="38" t="n"/>
      <c r="D173" s="38" t="n"/>
      <c r="E173" s="63">
        <f>IF(OR(B173="",A173=""),"",SUMIFS(Timesheet!$E$5:$E$1004,Timesheet!$C$5:$C$1004,B173,Timesheet!$A$5:$A$1004,A173))</f>
        <v/>
      </c>
      <c r="F173" s="38" t="n"/>
      <c r="G173" s="38" t="n"/>
      <c r="H173" s="38" t="n"/>
      <c r="I173" s="64">
        <f>IF(B173="","",IF(COUNTIF(Jobs!$A$5:$A$44,B173)=0,"Unknown Job ID",IF(A173="","Missing date","")))</f>
        <v/>
      </c>
    </row>
    <row r="174">
      <c r="A174" s="62" t="n"/>
      <c r="B174" s="38" t="n"/>
      <c r="C174" s="38" t="n"/>
      <c r="D174" s="38" t="n"/>
      <c r="E174" s="63">
        <f>IF(OR(B174="",A174=""),"",SUMIFS(Timesheet!$E$5:$E$1004,Timesheet!$C$5:$C$1004,B174,Timesheet!$A$5:$A$1004,A174))</f>
        <v/>
      </c>
      <c r="F174" s="38" t="n"/>
      <c r="G174" s="38" t="n"/>
      <c r="H174" s="38" t="n"/>
      <c r="I174" s="64">
        <f>IF(B174="","",IF(COUNTIF(Jobs!$A$5:$A$44,B174)=0,"Unknown Job ID",IF(A174="","Missing date","")))</f>
        <v/>
      </c>
    </row>
    <row r="175">
      <c r="A175" s="62" t="n"/>
      <c r="B175" s="38" t="n"/>
      <c r="C175" s="38" t="n"/>
      <c r="D175" s="38" t="n"/>
      <c r="E175" s="63">
        <f>IF(OR(B175="",A175=""),"",SUMIFS(Timesheet!$E$5:$E$1004,Timesheet!$C$5:$C$1004,B175,Timesheet!$A$5:$A$1004,A175))</f>
        <v/>
      </c>
      <c r="F175" s="38" t="n"/>
      <c r="G175" s="38" t="n"/>
      <c r="H175" s="38" t="n"/>
      <c r="I175" s="64">
        <f>IF(B175="","",IF(COUNTIF(Jobs!$A$5:$A$44,B175)=0,"Unknown Job ID",IF(A175="","Missing date","")))</f>
        <v/>
      </c>
    </row>
    <row r="176">
      <c r="A176" s="62" t="n"/>
      <c r="B176" s="38" t="n"/>
      <c r="C176" s="38" t="n"/>
      <c r="D176" s="38" t="n"/>
      <c r="E176" s="63">
        <f>IF(OR(B176="",A176=""),"",SUMIFS(Timesheet!$E$5:$E$1004,Timesheet!$C$5:$C$1004,B176,Timesheet!$A$5:$A$1004,A176))</f>
        <v/>
      </c>
      <c r="F176" s="38" t="n"/>
      <c r="G176" s="38" t="n"/>
      <c r="H176" s="38" t="n"/>
      <c r="I176" s="64">
        <f>IF(B176="","",IF(COUNTIF(Jobs!$A$5:$A$44,B176)=0,"Unknown Job ID",IF(A176="","Missing date","")))</f>
        <v/>
      </c>
    </row>
    <row r="177">
      <c r="A177" s="62" t="n"/>
      <c r="B177" s="38" t="n"/>
      <c r="C177" s="38" t="n"/>
      <c r="D177" s="38" t="n"/>
      <c r="E177" s="63">
        <f>IF(OR(B177="",A177=""),"",SUMIFS(Timesheet!$E$5:$E$1004,Timesheet!$C$5:$C$1004,B177,Timesheet!$A$5:$A$1004,A177))</f>
        <v/>
      </c>
      <c r="F177" s="38" t="n"/>
      <c r="G177" s="38" t="n"/>
      <c r="H177" s="38" t="n"/>
      <c r="I177" s="64">
        <f>IF(B177="","",IF(COUNTIF(Jobs!$A$5:$A$44,B177)=0,"Unknown Job ID",IF(A177="","Missing date","")))</f>
        <v/>
      </c>
    </row>
    <row r="178">
      <c r="A178" s="62" t="n"/>
      <c r="B178" s="38" t="n"/>
      <c r="C178" s="38" t="n"/>
      <c r="D178" s="38" t="n"/>
      <c r="E178" s="63">
        <f>IF(OR(B178="",A178=""),"",SUMIFS(Timesheet!$E$5:$E$1004,Timesheet!$C$5:$C$1004,B178,Timesheet!$A$5:$A$1004,A178))</f>
        <v/>
      </c>
      <c r="F178" s="38" t="n"/>
      <c r="G178" s="38" t="n"/>
      <c r="H178" s="38" t="n"/>
      <c r="I178" s="64">
        <f>IF(B178="","",IF(COUNTIF(Jobs!$A$5:$A$44,B178)=0,"Unknown Job ID",IF(A178="","Missing date","")))</f>
        <v/>
      </c>
    </row>
    <row r="179">
      <c r="A179" s="62" t="n"/>
      <c r="B179" s="38" t="n"/>
      <c r="C179" s="38" t="n"/>
      <c r="D179" s="38" t="n"/>
      <c r="E179" s="63">
        <f>IF(OR(B179="",A179=""),"",SUMIFS(Timesheet!$E$5:$E$1004,Timesheet!$C$5:$C$1004,B179,Timesheet!$A$5:$A$1004,A179))</f>
        <v/>
      </c>
      <c r="F179" s="38" t="n"/>
      <c r="G179" s="38" t="n"/>
      <c r="H179" s="38" t="n"/>
      <c r="I179" s="64">
        <f>IF(B179="","",IF(COUNTIF(Jobs!$A$5:$A$44,B179)=0,"Unknown Job ID",IF(A179="","Missing date","")))</f>
        <v/>
      </c>
    </row>
    <row r="180">
      <c r="A180" s="62" t="n"/>
      <c r="B180" s="38" t="n"/>
      <c r="C180" s="38" t="n"/>
      <c r="D180" s="38" t="n"/>
      <c r="E180" s="63">
        <f>IF(OR(B180="",A180=""),"",SUMIFS(Timesheet!$E$5:$E$1004,Timesheet!$C$5:$C$1004,B180,Timesheet!$A$5:$A$1004,A180))</f>
        <v/>
      </c>
      <c r="F180" s="38" t="n"/>
      <c r="G180" s="38" t="n"/>
      <c r="H180" s="38" t="n"/>
      <c r="I180" s="64">
        <f>IF(B180="","",IF(COUNTIF(Jobs!$A$5:$A$44,B180)=0,"Unknown Job ID",IF(A180="","Missing date","")))</f>
        <v/>
      </c>
    </row>
    <row r="181">
      <c r="A181" s="62" t="n"/>
      <c r="B181" s="38" t="n"/>
      <c r="C181" s="38" t="n"/>
      <c r="D181" s="38" t="n"/>
      <c r="E181" s="63">
        <f>IF(OR(B181="",A181=""),"",SUMIFS(Timesheet!$E$5:$E$1004,Timesheet!$C$5:$C$1004,B181,Timesheet!$A$5:$A$1004,A181))</f>
        <v/>
      </c>
      <c r="F181" s="38" t="n"/>
      <c r="G181" s="38" t="n"/>
      <c r="H181" s="38" t="n"/>
      <c r="I181" s="64">
        <f>IF(B181="","",IF(COUNTIF(Jobs!$A$5:$A$44,B181)=0,"Unknown Job ID",IF(A181="","Missing date","")))</f>
        <v/>
      </c>
    </row>
    <row r="182">
      <c r="A182" s="62" t="n"/>
      <c r="B182" s="38" t="n"/>
      <c r="C182" s="38" t="n"/>
      <c r="D182" s="38" t="n"/>
      <c r="E182" s="63">
        <f>IF(OR(B182="",A182=""),"",SUMIFS(Timesheet!$E$5:$E$1004,Timesheet!$C$5:$C$1004,B182,Timesheet!$A$5:$A$1004,A182))</f>
        <v/>
      </c>
      <c r="F182" s="38" t="n"/>
      <c r="G182" s="38" t="n"/>
      <c r="H182" s="38" t="n"/>
      <c r="I182" s="64">
        <f>IF(B182="","",IF(COUNTIF(Jobs!$A$5:$A$44,B182)=0,"Unknown Job ID",IF(A182="","Missing date","")))</f>
        <v/>
      </c>
    </row>
    <row r="183">
      <c r="A183" s="62" t="n"/>
      <c r="B183" s="38" t="n"/>
      <c r="C183" s="38" t="n"/>
      <c r="D183" s="38" t="n"/>
      <c r="E183" s="63">
        <f>IF(OR(B183="",A183=""),"",SUMIFS(Timesheet!$E$5:$E$1004,Timesheet!$C$5:$C$1004,B183,Timesheet!$A$5:$A$1004,A183))</f>
        <v/>
      </c>
      <c r="F183" s="38" t="n"/>
      <c r="G183" s="38" t="n"/>
      <c r="H183" s="38" t="n"/>
      <c r="I183" s="64">
        <f>IF(B183="","",IF(COUNTIF(Jobs!$A$5:$A$44,B183)=0,"Unknown Job ID",IF(A183="","Missing date","")))</f>
        <v/>
      </c>
    </row>
    <row r="184">
      <c r="A184" s="62" t="n"/>
      <c r="B184" s="38" t="n"/>
      <c r="C184" s="38" t="n"/>
      <c r="D184" s="38" t="n"/>
      <c r="E184" s="63">
        <f>IF(OR(B184="",A184=""),"",SUMIFS(Timesheet!$E$5:$E$1004,Timesheet!$C$5:$C$1004,B184,Timesheet!$A$5:$A$1004,A184))</f>
        <v/>
      </c>
      <c r="F184" s="38" t="n"/>
      <c r="G184" s="38" t="n"/>
      <c r="H184" s="38" t="n"/>
      <c r="I184" s="64">
        <f>IF(B184="","",IF(COUNTIF(Jobs!$A$5:$A$44,B184)=0,"Unknown Job ID",IF(A184="","Missing date","")))</f>
        <v/>
      </c>
    </row>
    <row r="185">
      <c r="A185" s="62" t="n"/>
      <c r="B185" s="38" t="n"/>
      <c r="C185" s="38" t="n"/>
      <c r="D185" s="38" t="n"/>
      <c r="E185" s="63">
        <f>IF(OR(B185="",A185=""),"",SUMIFS(Timesheet!$E$5:$E$1004,Timesheet!$C$5:$C$1004,B185,Timesheet!$A$5:$A$1004,A185))</f>
        <v/>
      </c>
      <c r="F185" s="38" t="n"/>
      <c r="G185" s="38" t="n"/>
      <c r="H185" s="38" t="n"/>
      <c r="I185" s="64">
        <f>IF(B185="","",IF(COUNTIF(Jobs!$A$5:$A$44,B185)=0,"Unknown Job ID",IF(A185="","Missing date","")))</f>
        <v/>
      </c>
    </row>
    <row r="186">
      <c r="A186" s="62" t="n"/>
      <c r="B186" s="38" t="n"/>
      <c r="C186" s="38" t="n"/>
      <c r="D186" s="38" t="n"/>
      <c r="E186" s="63">
        <f>IF(OR(B186="",A186=""),"",SUMIFS(Timesheet!$E$5:$E$1004,Timesheet!$C$5:$C$1004,B186,Timesheet!$A$5:$A$1004,A186))</f>
        <v/>
      </c>
      <c r="F186" s="38" t="n"/>
      <c r="G186" s="38" t="n"/>
      <c r="H186" s="38" t="n"/>
      <c r="I186" s="64">
        <f>IF(B186="","",IF(COUNTIF(Jobs!$A$5:$A$44,B186)=0,"Unknown Job ID",IF(A186="","Missing date","")))</f>
        <v/>
      </c>
    </row>
    <row r="187">
      <c r="A187" s="62" t="n"/>
      <c r="B187" s="38" t="n"/>
      <c r="C187" s="38" t="n"/>
      <c r="D187" s="38" t="n"/>
      <c r="E187" s="63">
        <f>IF(OR(B187="",A187=""),"",SUMIFS(Timesheet!$E$5:$E$1004,Timesheet!$C$5:$C$1004,B187,Timesheet!$A$5:$A$1004,A187))</f>
        <v/>
      </c>
      <c r="F187" s="38" t="n"/>
      <c r="G187" s="38" t="n"/>
      <c r="H187" s="38" t="n"/>
      <c r="I187" s="64">
        <f>IF(B187="","",IF(COUNTIF(Jobs!$A$5:$A$44,B187)=0,"Unknown Job ID",IF(A187="","Missing date","")))</f>
        <v/>
      </c>
    </row>
    <row r="188">
      <c r="A188" s="62" t="n"/>
      <c r="B188" s="38" t="n"/>
      <c r="C188" s="38" t="n"/>
      <c r="D188" s="38" t="n"/>
      <c r="E188" s="63">
        <f>IF(OR(B188="",A188=""),"",SUMIFS(Timesheet!$E$5:$E$1004,Timesheet!$C$5:$C$1004,B188,Timesheet!$A$5:$A$1004,A188))</f>
        <v/>
      </c>
      <c r="F188" s="38" t="n"/>
      <c r="G188" s="38" t="n"/>
      <c r="H188" s="38" t="n"/>
      <c r="I188" s="64">
        <f>IF(B188="","",IF(COUNTIF(Jobs!$A$5:$A$44,B188)=0,"Unknown Job ID",IF(A188="","Missing date","")))</f>
        <v/>
      </c>
    </row>
    <row r="189">
      <c r="A189" s="62" t="n"/>
      <c r="B189" s="38" t="n"/>
      <c r="C189" s="38" t="n"/>
      <c r="D189" s="38" t="n"/>
      <c r="E189" s="63">
        <f>IF(OR(B189="",A189=""),"",SUMIFS(Timesheet!$E$5:$E$1004,Timesheet!$C$5:$C$1004,B189,Timesheet!$A$5:$A$1004,A189))</f>
        <v/>
      </c>
      <c r="F189" s="38" t="n"/>
      <c r="G189" s="38" t="n"/>
      <c r="H189" s="38" t="n"/>
      <c r="I189" s="64">
        <f>IF(B189="","",IF(COUNTIF(Jobs!$A$5:$A$44,B189)=0,"Unknown Job ID",IF(A189="","Missing date","")))</f>
        <v/>
      </c>
    </row>
    <row r="190">
      <c r="A190" s="62" t="n"/>
      <c r="B190" s="38" t="n"/>
      <c r="C190" s="38" t="n"/>
      <c r="D190" s="38" t="n"/>
      <c r="E190" s="63">
        <f>IF(OR(B190="",A190=""),"",SUMIFS(Timesheet!$E$5:$E$1004,Timesheet!$C$5:$C$1004,B190,Timesheet!$A$5:$A$1004,A190))</f>
        <v/>
      </c>
      <c r="F190" s="38" t="n"/>
      <c r="G190" s="38" t="n"/>
      <c r="H190" s="38" t="n"/>
      <c r="I190" s="64">
        <f>IF(B190="","",IF(COUNTIF(Jobs!$A$5:$A$44,B190)=0,"Unknown Job ID",IF(A190="","Missing date","")))</f>
        <v/>
      </c>
    </row>
    <row r="191">
      <c r="A191" s="62" t="n"/>
      <c r="B191" s="38" t="n"/>
      <c r="C191" s="38" t="n"/>
      <c r="D191" s="38" t="n"/>
      <c r="E191" s="63">
        <f>IF(OR(B191="",A191=""),"",SUMIFS(Timesheet!$E$5:$E$1004,Timesheet!$C$5:$C$1004,B191,Timesheet!$A$5:$A$1004,A191))</f>
        <v/>
      </c>
      <c r="F191" s="38" t="n"/>
      <c r="G191" s="38" t="n"/>
      <c r="H191" s="38" t="n"/>
      <c r="I191" s="64">
        <f>IF(B191="","",IF(COUNTIF(Jobs!$A$5:$A$44,B191)=0,"Unknown Job ID",IF(A191="","Missing date","")))</f>
        <v/>
      </c>
    </row>
    <row r="192">
      <c r="A192" s="62" t="n"/>
      <c r="B192" s="38" t="n"/>
      <c r="C192" s="38" t="n"/>
      <c r="D192" s="38" t="n"/>
      <c r="E192" s="63">
        <f>IF(OR(B192="",A192=""),"",SUMIFS(Timesheet!$E$5:$E$1004,Timesheet!$C$5:$C$1004,B192,Timesheet!$A$5:$A$1004,A192))</f>
        <v/>
      </c>
      <c r="F192" s="38" t="n"/>
      <c r="G192" s="38" t="n"/>
      <c r="H192" s="38" t="n"/>
      <c r="I192" s="64">
        <f>IF(B192="","",IF(COUNTIF(Jobs!$A$5:$A$44,B192)=0,"Unknown Job ID",IF(A192="","Missing date","")))</f>
        <v/>
      </c>
    </row>
    <row r="193">
      <c r="A193" s="62" t="n"/>
      <c r="B193" s="38" t="n"/>
      <c r="C193" s="38" t="n"/>
      <c r="D193" s="38" t="n"/>
      <c r="E193" s="63">
        <f>IF(OR(B193="",A193=""),"",SUMIFS(Timesheet!$E$5:$E$1004,Timesheet!$C$5:$C$1004,B193,Timesheet!$A$5:$A$1004,A193))</f>
        <v/>
      </c>
      <c r="F193" s="38" t="n"/>
      <c r="G193" s="38" t="n"/>
      <c r="H193" s="38" t="n"/>
      <c r="I193" s="64">
        <f>IF(B193="","",IF(COUNTIF(Jobs!$A$5:$A$44,B193)=0,"Unknown Job ID",IF(A193="","Missing date","")))</f>
        <v/>
      </c>
    </row>
    <row r="194">
      <c r="A194" s="62" t="n"/>
      <c r="B194" s="38" t="n"/>
      <c r="C194" s="38" t="n"/>
      <c r="D194" s="38" t="n"/>
      <c r="E194" s="63">
        <f>IF(OR(B194="",A194=""),"",SUMIFS(Timesheet!$E$5:$E$1004,Timesheet!$C$5:$C$1004,B194,Timesheet!$A$5:$A$1004,A194))</f>
        <v/>
      </c>
      <c r="F194" s="38" t="n"/>
      <c r="G194" s="38" t="n"/>
      <c r="H194" s="38" t="n"/>
      <c r="I194" s="64">
        <f>IF(B194="","",IF(COUNTIF(Jobs!$A$5:$A$44,B194)=0,"Unknown Job ID",IF(A194="","Missing date","")))</f>
        <v/>
      </c>
    </row>
    <row r="195">
      <c r="A195" s="62" t="n"/>
      <c r="B195" s="38" t="n"/>
      <c r="C195" s="38" t="n"/>
      <c r="D195" s="38" t="n"/>
      <c r="E195" s="63">
        <f>IF(OR(B195="",A195=""),"",SUMIFS(Timesheet!$E$5:$E$1004,Timesheet!$C$5:$C$1004,B195,Timesheet!$A$5:$A$1004,A195))</f>
        <v/>
      </c>
      <c r="F195" s="38" t="n"/>
      <c r="G195" s="38" t="n"/>
      <c r="H195" s="38" t="n"/>
      <c r="I195" s="64">
        <f>IF(B195="","",IF(COUNTIF(Jobs!$A$5:$A$44,B195)=0,"Unknown Job ID",IF(A195="","Missing date","")))</f>
        <v/>
      </c>
    </row>
    <row r="196">
      <c r="A196" s="62" t="n"/>
      <c r="B196" s="38" t="n"/>
      <c r="C196" s="38" t="n"/>
      <c r="D196" s="38" t="n"/>
      <c r="E196" s="63">
        <f>IF(OR(B196="",A196=""),"",SUMIFS(Timesheet!$E$5:$E$1004,Timesheet!$C$5:$C$1004,B196,Timesheet!$A$5:$A$1004,A196))</f>
        <v/>
      </c>
      <c r="F196" s="38" t="n"/>
      <c r="G196" s="38" t="n"/>
      <c r="H196" s="38" t="n"/>
      <c r="I196" s="64">
        <f>IF(B196="","",IF(COUNTIF(Jobs!$A$5:$A$44,B196)=0,"Unknown Job ID",IF(A196="","Missing date","")))</f>
        <v/>
      </c>
    </row>
    <row r="197">
      <c r="A197" s="62" t="n"/>
      <c r="B197" s="38" t="n"/>
      <c r="C197" s="38" t="n"/>
      <c r="D197" s="38" t="n"/>
      <c r="E197" s="63">
        <f>IF(OR(B197="",A197=""),"",SUMIFS(Timesheet!$E$5:$E$1004,Timesheet!$C$5:$C$1004,B197,Timesheet!$A$5:$A$1004,A197))</f>
        <v/>
      </c>
      <c r="F197" s="38" t="n"/>
      <c r="G197" s="38" t="n"/>
      <c r="H197" s="38" t="n"/>
      <c r="I197" s="64">
        <f>IF(B197="","",IF(COUNTIF(Jobs!$A$5:$A$44,B197)=0,"Unknown Job ID",IF(A197="","Missing date","")))</f>
        <v/>
      </c>
    </row>
    <row r="198">
      <c r="A198" s="62" t="n"/>
      <c r="B198" s="38" t="n"/>
      <c r="C198" s="38" t="n"/>
      <c r="D198" s="38" t="n"/>
      <c r="E198" s="63">
        <f>IF(OR(B198="",A198=""),"",SUMIFS(Timesheet!$E$5:$E$1004,Timesheet!$C$5:$C$1004,B198,Timesheet!$A$5:$A$1004,A198))</f>
        <v/>
      </c>
      <c r="F198" s="38" t="n"/>
      <c r="G198" s="38" t="n"/>
      <c r="H198" s="38" t="n"/>
      <c r="I198" s="64">
        <f>IF(B198="","",IF(COUNTIF(Jobs!$A$5:$A$44,B198)=0,"Unknown Job ID",IF(A198="","Missing date","")))</f>
        <v/>
      </c>
    </row>
    <row r="199">
      <c r="A199" s="62" t="n"/>
      <c r="B199" s="38" t="n"/>
      <c r="C199" s="38" t="n"/>
      <c r="D199" s="38" t="n"/>
      <c r="E199" s="63">
        <f>IF(OR(B199="",A199=""),"",SUMIFS(Timesheet!$E$5:$E$1004,Timesheet!$C$5:$C$1004,B199,Timesheet!$A$5:$A$1004,A199))</f>
        <v/>
      </c>
      <c r="F199" s="38" t="n"/>
      <c r="G199" s="38" t="n"/>
      <c r="H199" s="38" t="n"/>
      <c r="I199" s="64">
        <f>IF(B199="","",IF(COUNTIF(Jobs!$A$5:$A$44,B199)=0,"Unknown Job ID",IF(A199="","Missing date","")))</f>
        <v/>
      </c>
    </row>
    <row r="200">
      <c r="A200" s="62" t="n"/>
      <c r="B200" s="38" t="n"/>
      <c r="C200" s="38" t="n"/>
      <c r="D200" s="38" t="n"/>
      <c r="E200" s="63">
        <f>IF(OR(B200="",A200=""),"",SUMIFS(Timesheet!$E$5:$E$1004,Timesheet!$C$5:$C$1004,B200,Timesheet!$A$5:$A$1004,A200))</f>
        <v/>
      </c>
      <c r="F200" s="38" t="n"/>
      <c r="G200" s="38" t="n"/>
      <c r="H200" s="38" t="n"/>
      <c r="I200" s="64">
        <f>IF(B200="","",IF(COUNTIF(Jobs!$A$5:$A$44,B200)=0,"Unknown Job ID",IF(A200="","Missing date","")))</f>
        <v/>
      </c>
    </row>
    <row r="201">
      <c r="A201" s="62" t="n"/>
      <c r="B201" s="38" t="n"/>
      <c r="C201" s="38" t="n"/>
      <c r="D201" s="38" t="n"/>
      <c r="E201" s="63">
        <f>IF(OR(B201="",A201=""),"",SUMIFS(Timesheet!$E$5:$E$1004,Timesheet!$C$5:$C$1004,B201,Timesheet!$A$5:$A$1004,A201))</f>
        <v/>
      </c>
      <c r="F201" s="38" t="n"/>
      <c r="G201" s="38" t="n"/>
      <c r="H201" s="38" t="n"/>
      <c r="I201" s="64">
        <f>IF(B201="","",IF(COUNTIF(Jobs!$A$5:$A$44,B201)=0,"Unknown Job ID",IF(A201="","Missing date","")))</f>
        <v/>
      </c>
    </row>
    <row r="202">
      <c r="A202" s="62" t="n"/>
      <c r="B202" s="38" t="n"/>
      <c r="C202" s="38" t="n"/>
      <c r="D202" s="38" t="n"/>
      <c r="E202" s="63">
        <f>IF(OR(B202="",A202=""),"",SUMIFS(Timesheet!$E$5:$E$1004,Timesheet!$C$5:$C$1004,B202,Timesheet!$A$5:$A$1004,A202))</f>
        <v/>
      </c>
      <c r="F202" s="38" t="n"/>
      <c r="G202" s="38" t="n"/>
      <c r="H202" s="38" t="n"/>
      <c r="I202" s="64">
        <f>IF(B202="","",IF(COUNTIF(Jobs!$A$5:$A$44,B202)=0,"Unknown Job ID",IF(A202="","Missing date","")))</f>
        <v/>
      </c>
    </row>
    <row r="203">
      <c r="A203" s="62" t="n"/>
      <c r="B203" s="38" t="n"/>
      <c r="C203" s="38" t="n"/>
      <c r="D203" s="38" t="n"/>
      <c r="E203" s="63">
        <f>IF(OR(B203="",A203=""),"",SUMIFS(Timesheet!$E$5:$E$1004,Timesheet!$C$5:$C$1004,B203,Timesheet!$A$5:$A$1004,A203))</f>
        <v/>
      </c>
      <c r="F203" s="38" t="n"/>
      <c r="G203" s="38" t="n"/>
      <c r="H203" s="38" t="n"/>
      <c r="I203" s="64">
        <f>IF(B203="","",IF(COUNTIF(Jobs!$A$5:$A$44,B203)=0,"Unknown Job ID",IF(A203="","Missing date","")))</f>
        <v/>
      </c>
    </row>
    <row r="204">
      <c r="A204" s="62" t="n"/>
      <c r="B204" s="38" t="n"/>
      <c r="C204" s="38" t="n"/>
      <c r="D204" s="38" t="n"/>
      <c r="E204" s="63">
        <f>IF(OR(B204="",A204=""),"",SUMIFS(Timesheet!$E$5:$E$1004,Timesheet!$C$5:$C$1004,B204,Timesheet!$A$5:$A$1004,A204))</f>
        <v/>
      </c>
      <c r="F204" s="38" t="n"/>
      <c r="G204" s="38" t="n"/>
      <c r="H204" s="38" t="n"/>
      <c r="I204" s="64">
        <f>IF(B204="","",IF(COUNTIF(Jobs!$A$5:$A$44,B204)=0,"Unknown Job ID",IF(A204="","Missing date","")))</f>
        <v/>
      </c>
    </row>
    <row r="205">
      <c r="A205" s="62" t="n"/>
      <c r="B205" s="38" t="n"/>
      <c r="C205" s="38" t="n"/>
      <c r="D205" s="38" t="n"/>
      <c r="E205" s="63">
        <f>IF(OR(B205="",A205=""),"",SUMIFS(Timesheet!$E$5:$E$1004,Timesheet!$C$5:$C$1004,B205,Timesheet!$A$5:$A$1004,A205))</f>
        <v/>
      </c>
      <c r="F205" s="38" t="n"/>
      <c r="G205" s="38" t="n"/>
      <c r="H205" s="38" t="n"/>
      <c r="I205" s="64">
        <f>IF(B205="","",IF(COUNTIF(Jobs!$A$5:$A$44,B205)=0,"Unknown Job ID",IF(A205="","Missing date","")))</f>
        <v/>
      </c>
    </row>
    <row r="206">
      <c r="A206" s="62" t="n"/>
      <c r="B206" s="38" t="n"/>
      <c r="C206" s="38" t="n"/>
      <c r="D206" s="38" t="n"/>
      <c r="E206" s="63">
        <f>IF(OR(B206="",A206=""),"",SUMIFS(Timesheet!$E$5:$E$1004,Timesheet!$C$5:$C$1004,B206,Timesheet!$A$5:$A$1004,A206))</f>
        <v/>
      </c>
      <c r="F206" s="38" t="n"/>
      <c r="G206" s="38" t="n"/>
      <c r="H206" s="38" t="n"/>
      <c r="I206" s="64">
        <f>IF(B206="","",IF(COUNTIF(Jobs!$A$5:$A$44,B206)=0,"Unknown Job ID",IF(A206="","Missing date","")))</f>
        <v/>
      </c>
    </row>
    <row r="207">
      <c r="A207" s="62" t="n"/>
      <c r="B207" s="38" t="n"/>
      <c r="C207" s="38" t="n"/>
      <c r="D207" s="38" t="n"/>
      <c r="E207" s="63">
        <f>IF(OR(B207="",A207=""),"",SUMIFS(Timesheet!$E$5:$E$1004,Timesheet!$C$5:$C$1004,B207,Timesheet!$A$5:$A$1004,A207))</f>
        <v/>
      </c>
      <c r="F207" s="38" t="n"/>
      <c r="G207" s="38" t="n"/>
      <c r="H207" s="38" t="n"/>
      <c r="I207" s="64">
        <f>IF(B207="","",IF(COUNTIF(Jobs!$A$5:$A$44,B207)=0,"Unknown Job ID",IF(A207="","Missing date","")))</f>
        <v/>
      </c>
    </row>
    <row r="208">
      <c r="A208" s="62" t="n"/>
      <c r="B208" s="38" t="n"/>
      <c r="C208" s="38" t="n"/>
      <c r="D208" s="38" t="n"/>
      <c r="E208" s="63">
        <f>IF(OR(B208="",A208=""),"",SUMIFS(Timesheet!$E$5:$E$1004,Timesheet!$C$5:$C$1004,B208,Timesheet!$A$5:$A$1004,A208))</f>
        <v/>
      </c>
      <c r="F208" s="38" t="n"/>
      <c r="G208" s="38" t="n"/>
      <c r="H208" s="38" t="n"/>
      <c r="I208" s="64">
        <f>IF(B208="","",IF(COUNTIF(Jobs!$A$5:$A$44,B208)=0,"Unknown Job ID",IF(A208="","Missing date","")))</f>
        <v/>
      </c>
    </row>
    <row r="209">
      <c r="A209" s="62" t="n"/>
      <c r="B209" s="38" t="n"/>
      <c r="C209" s="38" t="n"/>
      <c r="D209" s="38" t="n"/>
      <c r="E209" s="63">
        <f>IF(OR(B209="",A209=""),"",SUMIFS(Timesheet!$E$5:$E$1004,Timesheet!$C$5:$C$1004,B209,Timesheet!$A$5:$A$1004,A209))</f>
        <v/>
      </c>
      <c r="F209" s="38" t="n"/>
      <c r="G209" s="38" t="n"/>
      <c r="H209" s="38" t="n"/>
      <c r="I209" s="64">
        <f>IF(B209="","",IF(COUNTIF(Jobs!$A$5:$A$44,B209)=0,"Unknown Job ID",IF(A209="","Missing date","")))</f>
        <v/>
      </c>
    </row>
    <row r="210">
      <c r="A210" s="62" t="n"/>
      <c r="B210" s="38" t="n"/>
      <c r="C210" s="38" t="n"/>
      <c r="D210" s="38" t="n"/>
      <c r="E210" s="63">
        <f>IF(OR(B210="",A210=""),"",SUMIFS(Timesheet!$E$5:$E$1004,Timesheet!$C$5:$C$1004,B210,Timesheet!$A$5:$A$1004,A210))</f>
        <v/>
      </c>
      <c r="F210" s="38" t="n"/>
      <c r="G210" s="38" t="n"/>
      <c r="H210" s="38" t="n"/>
      <c r="I210" s="64">
        <f>IF(B210="","",IF(COUNTIF(Jobs!$A$5:$A$44,B210)=0,"Unknown Job ID",IF(A210="","Missing date","")))</f>
        <v/>
      </c>
    </row>
    <row r="211">
      <c r="A211" s="62" t="n"/>
      <c r="B211" s="38" t="n"/>
      <c r="C211" s="38" t="n"/>
      <c r="D211" s="38" t="n"/>
      <c r="E211" s="63">
        <f>IF(OR(B211="",A211=""),"",SUMIFS(Timesheet!$E$5:$E$1004,Timesheet!$C$5:$C$1004,B211,Timesheet!$A$5:$A$1004,A211))</f>
        <v/>
      </c>
      <c r="F211" s="38" t="n"/>
      <c r="G211" s="38" t="n"/>
      <c r="H211" s="38" t="n"/>
      <c r="I211" s="64">
        <f>IF(B211="","",IF(COUNTIF(Jobs!$A$5:$A$44,B211)=0,"Unknown Job ID",IF(A211="","Missing date","")))</f>
        <v/>
      </c>
    </row>
    <row r="212">
      <c r="A212" s="62" t="n"/>
      <c r="B212" s="38" t="n"/>
      <c r="C212" s="38" t="n"/>
      <c r="D212" s="38" t="n"/>
      <c r="E212" s="63">
        <f>IF(OR(B212="",A212=""),"",SUMIFS(Timesheet!$E$5:$E$1004,Timesheet!$C$5:$C$1004,B212,Timesheet!$A$5:$A$1004,A212))</f>
        <v/>
      </c>
      <c r="F212" s="38" t="n"/>
      <c r="G212" s="38" t="n"/>
      <c r="H212" s="38" t="n"/>
      <c r="I212" s="64">
        <f>IF(B212="","",IF(COUNTIF(Jobs!$A$5:$A$44,B212)=0,"Unknown Job ID",IF(A212="","Missing date","")))</f>
        <v/>
      </c>
    </row>
    <row r="213">
      <c r="A213" s="62" t="n"/>
      <c r="B213" s="38" t="n"/>
      <c r="C213" s="38" t="n"/>
      <c r="D213" s="38" t="n"/>
      <c r="E213" s="63">
        <f>IF(OR(B213="",A213=""),"",SUMIFS(Timesheet!$E$5:$E$1004,Timesheet!$C$5:$C$1004,B213,Timesheet!$A$5:$A$1004,A213))</f>
        <v/>
      </c>
      <c r="F213" s="38" t="n"/>
      <c r="G213" s="38" t="n"/>
      <c r="H213" s="38" t="n"/>
      <c r="I213" s="64">
        <f>IF(B213="","",IF(COUNTIF(Jobs!$A$5:$A$44,B213)=0,"Unknown Job ID",IF(A213="","Missing date","")))</f>
        <v/>
      </c>
    </row>
    <row r="214">
      <c r="A214" s="62" t="n"/>
      <c r="B214" s="38" t="n"/>
      <c r="C214" s="38" t="n"/>
      <c r="D214" s="38" t="n"/>
      <c r="E214" s="63">
        <f>IF(OR(B214="",A214=""),"",SUMIFS(Timesheet!$E$5:$E$1004,Timesheet!$C$5:$C$1004,B214,Timesheet!$A$5:$A$1004,A214))</f>
        <v/>
      </c>
      <c r="F214" s="38" t="n"/>
      <c r="G214" s="38" t="n"/>
      <c r="H214" s="38" t="n"/>
      <c r="I214" s="64">
        <f>IF(B214="","",IF(COUNTIF(Jobs!$A$5:$A$44,B214)=0,"Unknown Job ID",IF(A214="","Missing date","")))</f>
        <v/>
      </c>
    </row>
    <row r="215">
      <c r="A215" s="62" t="n"/>
      <c r="B215" s="38" t="n"/>
      <c r="C215" s="38" t="n"/>
      <c r="D215" s="38" t="n"/>
      <c r="E215" s="63">
        <f>IF(OR(B215="",A215=""),"",SUMIFS(Timesheet!$E$5:$E$1004,Timesheet!$C$5:$C$1004,B215,Timesheet!$A$5:$A$1004,A215))</f>
        <v/>
      </c>
      <c r="F215" s="38" t="n"/>
      <c r="G215" s="38" t="n"/>
      <c r="H215" s="38" t="n"/>
      <c r="I215" s="64">
        <f>IF(B215="","",IF(COUNTIF(Jobs!$A$5:$A$44,B215)=0,"Unknown Job ID",IF(A215="","Missing date","")))</f>
        <v/>
      </c>
    </row>
    <row r="216">
      <c r="A216" s="62" t="n"/>
      <c r="B216" s="38" t="n"/>
      <c r="C216" s="38" t="n"/>
      <c r="D216" s="38" t="n"/>
      <c r="E216" s="63">
        <f>IF(OR(B216="",A216=""),"",SUMIFS(Timesheet!$E$5:$E$1004,Timesheet!$C$5:$C$1004,B216,Timesheet!$A$5:$A$1004,A216))</f>
        <v/>
      </c>
      <c r="F216" s="38" t="n"/>
      <c r="G216" s="38" t="n"/>
      <c r="H216" s="38" t="n"/>
      <c r="I216" s="64">
        <f>IF(B216="","",IF(COUNTIF(Jobs!$A$5:$A$44,B216)=0,"Unknown Job ID",IF(A216="","Missing date","")))</f>
        <v/>
      </c>
    </row>
    <row r="217">
      <c r="A217" s="62" t="n"/>
      <c r="B217" s="38" t="n"/>
      <c r="C217" s="38" t="n"/>
      <c r="D217" s="38" t="n"/>
      <c r="E217" s="63">
        <f>IF(OR(B217="",A217=""),"",SUMIFS(Timesheet!$E$5:$E$1004,Timesheet!$C$5:$C$1004,B217,Timesheet!$A$5:$A$1004,A217))</f>
        <v/>
      </c>
      <c r="F217" s="38" t="n"/>
      <c r="G217" s="38" t="n"/>
      <c r="H217" s="38" t="n"/>
      <c r="I217" s="64">
        <f>IF(B217="","",IF(COUNTIF(Jobs!$A$5:$A$44,B217)=0,"Unknown Job ID",IF(A217="","Missing date","")))</f>
        <v/>
      </c>
    </row>
    <row r="218">
      <c r="A218" s="62" t="n"/>
      <c r="B218" s="38" t="n"/>
      <c r="C218" s="38" t="n"/>
      <c r="D218" s="38" t="n"/>
      <c r="E218" s="63">
        <f>IF(OR(B218="",A218=""),"",SUMIFS(Timesheet!$E$5:$E$1004,Timesheet!$C$5:$C$1004,B218,Timesheet!$A$5:$A$1004,A218))</f>
        <v/>
      </c>
      <c r="F218" s="38" t="n"/>
      <c r="G218" s="38" t="n"/>
      <c r="H218" s="38" t="n"/>
      <c r="I218" s="64">
        <f>IF(B218="","",IF(COUNTIF(Jobs!$A$5:$A$44,B218)=0,"Unknown Job ID",IF(A218="","Missing date","")))</f>
        <v/>
      </c>
    </row>
    <row r="219">
      <c r="A219" s="62" t="n"/>
      <c r="B219" s="38" t="n"/>
      <c r="C219" s="38" t="n"/>
      <c r="D219" s="38" t="n"/>
      <c r="E219" s="63">
        <f>IF(OR(B219="",A219=""),"",SUMIFS(Timesheet!$E$5:$E$1004,Timesheet!$C$5:$C$1004,B219,Timesheet!$A$5:$A$1004,A219))</f>
        <v/>
      </c>
      <c r="F219" s="38" t="n"/>
      <c r="G219" s="38" t="n"/>
      <c r="H219" s="38" t="n"/>
      <c r="I219" s="64">
        <f>IF(B219="","",IF(COUNTIF(Jobs!$A$5:$A$44,B219)=0,"Unknown Job ID",IF(A219="","Missing date","")))</f>
        <v/>
      </c>
    </row>
    <row r="220">
      <c r="A220" s="62" t="n"/>
      <c r="B220" s="38" t="n"/>
      <c r="C220" s="38" t="n"/>
      <c r="D220" s="38" t="n"/>
      <c r="E220" s="63">
        <f>IF(OR(B220="",A220=""),"",SUMIFS(Timesheet!$E$5:$E$1004,Timesheet!$C$5:$C$1004,B220,Timesheet!$A$5:$A$1004,A220))</f>
        <v/>
      </c>
      <c r="F220" s="38" t="n"/>
      <c r="G220" s="38" t="n"/>
      <c r="H220" s="38" t="n"/>
      <c r="I220" s="64">
        <f>IF(B220="","",IF(COUNTIF(Jobs!$A$5:$A$44,B220)=0,"Unknown Job ID",IF(A220="","Missing date","")))</f>
        <v/>
      </c>
    </row>
    <row r="221">
      <c r="A221" s="62" t="n"/>
      <c r="B221" s="38" t="n"/>
      <c r="C221" s="38" t="n"/>
      <c r="D221" s="38" t="n"/>
      <c r="E221" s="63">
        <f>IF(OR(B221="",A221=""),"",SUMIFS(Timesheet!$E$5:$E$1004,Timesheet!$C$5:$C$1004,B221,Timesheet!$A$5:$A$1004,A221))</f>
        <v/>
      </c>
      <c r="F221" s="38" t="n"/>
      <c r="G221" s="38" t="n"/>
      <c r="H221" s="38" t="n"/>
      <c r="I221" s="64">
        <f>IF(B221="","",IF(COUNTIF(Jobs!$A$5:$A$44,B221)=0,"Unknown Job ID",IF(A221="","Missing date","")))</f>
        <v/>
      </c>
    </row>
    <row r="222">
      <c r="A222" s="62" t="n"/>
      <c r="B222" s="38" t="n"/>
      <c r="C222" s="38" t="n"/>
      <c r="D222" s="38" t="n"/>
      <c r="E222" s="63">
        <f>IF(OR(B222="",A222=""),"",SUMIFS(Timesheet!$E$5:$E$1004,Timesheet!$C$5:$C$1004,B222,Timesheet!$A$5:$A$1004,A222))</f>
        <v/>
      </c>
      <c r="F222" s="38" t="n"/>
      <c r="G222" s="38" t="n"/>
      <c r="H222" s="38" t="n"/>
      <c r="I222" s="64">
        <f>IF(B222="","",IF(COUNTIF(Jobs!$A$5:$A$44,B222)=0,"Unknown Job ID",IF(A222="","Missing date","")))</f>
        <v/>
      </c>
    </row>
    <row r="223">
      <c r="A223" s="62" t="n"/>
      <c r="B223" s="38" t="n"/>
      <c r="C223" s="38" t="n"/>
      <c r="D223" s="38" t="n"/>
      <c r="E223" s="63">
        <f>IF(OR(B223="",A223=""),"",SUMIFS(Timesheet!$E$5:$E$1004,Timesheet!$C$5:$C$1004,B223,Timesheet!$A$5:$A$1004,A223))</f>
        <v/>
      </c>
      <c r="F223" s="38" t="n"/>
      <c r="G223" s="38" t="n"/>
      <c r="H223" s="38" t="n"/>
      <c r="I223" s="64">
        <f>IF(B223="","",IF(COUNTIF(Jobs!$A$5:$A$44,B223)=0,"Unknown Job ID",IF(A223="","Missing date","")))</f>
        <v/>
      </c>
    </row>
    <row r="224">
      <c r="A224" s="62" t="n"/>
      <c r="B224" s="38" t="n"/>
      <c r="C224" s="38" t="n"/>
      <c r="D224" s="38" t="n"/>
      <c r="E224" s="63">
        <f>IF(OR(B224="",A224=""),"",SUMIFS(Timesheet!$E$5:$E$1004,Timesheet!$C$5:$C$1004,B224,Timesheet!$A$5:$A$1004,A224))</f>
        <v/>
      </c>
      <c r="F224" s="38" t="n"/>
      <c r="G224" s="38" t="n"/>
      <c r="H224" s="38" t="n"/>
      <c r="I224" s="64">
        <f>IF(B224="","",IF(COUNTIF(Jobs!$A$5:$A$44,B224)=0,"Unknown Job ID",IF(A224="","Missing date","")))</f>
        <v/>
      </c>
    </row>
    <row r="225">
      <c r="A225" s="62" t="n"/>
      <c r="B225" s="38" t="n"/>
      <c r="C225" s="38" t="n"/>
      <c r="D225" s="38" t="n"/>
      <c r="E225" s="63">
        <f>IF(OR(B225="",A225=""),"",SUMIFS(Timesheet!$E$5:$E$1004,Timesheet!$C$5:$C$1004,B225,Timesheet!$A$5:$A$1004,A225))</f>
        <v/>
      </c>
      <c r="F225" s="38" t="n"/>
      <c r="G225" s="38" t="n"/>
      <c r="H225" s="38" t="n"/>
      <c r="I225" s="64">
        <f>IF(B225="","",IF(COUNTIF(Jobs!$A$5:$A$44,B225)=0,"Unknown Job ID",IF(A225="","Missing date","")))</f>
        <v/>
      </c>
    </row>
    <row r="226">
      <c r="A226" s="62" t="n"/>
      <c r="B226" s="38" t="n"/>
      <c r="C226" s="38" t="n"/>
      <c r="D226" s="38" t="n"/>
      <c r="E226" s="63">
        <f>IF(OR(B226="",A226=""),"",SUMIFS(Timesheet!$E$5:$E$1004,Timesheet!$C$5:$C$1004,B226,Timesheet!$A$5:$A$1004,A226))</f>
        <v/>
      </c>
      <c r="F226" s="38" t="n"/>
      <c r="G226" s="38" t="n"/>
      <c r="H226" s="38" t="n"/>
      <c r="I226" s="64">
        <f>IF(B226="","",IF(COUNTIF(Jobs!$A$5:$A$44,B226)=0,"Unknown Job ID",IF(A226="","Missing date","")))</f>
        <v/>
      </c>
    </row>
    <row r="227">
      <c r="A227" s="62" t="n"/>
      <c r="B227" s="38" t="n"/>
      <c r="C227" s="38" t="n"/>
      <c r="D227" s="38" t="n"/>
      <c r="E227" s="63">
        <f>IF(OR(B227="",A227=""),"",SUMIFS(Timesheet!$E$5:$E$1004,Timesheet!$C$5:$C$1004,B227,Timesheet!$A$5:$A$1004,A227))</f>
        <v/>
      </c>
      <c r="F227" s="38" t="n"/>
      <c r="G227" s="38" t="n"/>
      <c r="H227" s="38" t="n"/>
      <c r="I227" s="64">
        <f>IF(B227="","",IF(COUNTIF(Jobs!$A$5:$A$44,B227)=0,"Unknown Job ID",IF(A227="","Missing date","")))</f>
        <v/>
      </c>
    </row>
    <row r="228">
      <c r="A228" s="62" t="n"/>
      <c r="B228" s="38" t="n"/>
      <c r="C228" s="38" t="n"/>
      <c r="D228" s="38" t="n"/>
      <c r="E228" s="63">
        <f>IF(OR(B228="",A228=""),"",SUMIFS(Timesheet!$E$5:$E$1004,Timesheet!$C$5:$C$1004,B228,Timesheet!$A$5:$A$1004,A228))</f>
        <v/>
      </c>
      <c r="F228" s="38" t="n"/>
      <c r="G228" s="38" t="n"/>
      <c r="H228" s="38" t="n"/>
      <c r="I228" s="64">
        <f>IF(B228="","",IF(COUNTIF(Jobs!$A$5:$A$44,B228)=0,"Unknown Job ID",IF(A228="","Missing date","")))</f>
        <v/>
      </c>
    </row>
    <row r="229">
      <c r="A229" s="62" t="n"/>
      <c r="B229" s="38" t="n"/>
      <c r="C229" s="38" t="n"/>
      <c r="D229" s="38" t="n"/>
      <c r="E229" s="63">
        <f>IF(OR(B229="",A229=""),"",SUMIFS(Timesheet!$E$5:$E$1004,Timesheet!$C$5:$C$1004,B229,Timesheet!$A$5:$A$1004,A229))</f>
        <v/>
      </c>
      <c r="F229" s="38" t="n"/>
      <c r="G229" s="38" t="n"/>
      <c r="H229" s="38" t="n"/>
      <c r="I229" s="64">
        <f>IF(B229="","",IF(COUNTIF(Jobs!$A$5:$A$44,B229)=0,"Unknown Job ID",IF(A229="","Missing date","")))</f>
        <v/>
      </c>
    </row>
    <row r="230">
      <c r="A230" s="62" t="n"/>
      <c r="B230" s="38" t="n"/>
      <c r="C230" s="38" t="n"/>
      <c r="D230" s="38" t="n"/>
      <c r="E230" s="63">
        <f>IF(OR(B230="",A230=""),"",SUMIFS(Timesheet!$E$5:$E$1004,Timesheet!$C$5:$C$1004,B230,Timesheet!$A$5:$A$1004,A230))</f>
        <v/>
      </c>
      <c r="F230" s="38" t="n"/>
      <c r="G230" s="38" t="n"/>
      <c r="H230" s="38" t="n"/>
      <c r="I230" s="64">
        <f>IF(B230="","",IF(COUNTIF(Jobs!$A$5:$A$44,B230)=0,"Unknown Job ID",IF(A230="","Missing date","")))</f>
        <v/>
      </c>
    </row>
    <row r="231">
      <c r="A231" s="62" t="n"/>
      <c r="B231" s="38" t="n"/>
      <c r="C231" s="38" t="n"/>
      <c r="D231" s="38" t="n"/>
      <c r="E231" s="63">
        <f>IF(OR(B231="",A231=""),"",SUMIFS(Timesheet!$E$5:$E$1004,Timesheet!$C$5:$C$1004,B231,Timesheet!$A$5:$A$1004,A231))</f>
        <v/>
      </c>
      <c r="F231" s="38" t="n"/>
      <c r="G231" s="38" t="n"/>
      <c r="H231" s="38" t="n"/>
      <c r="I231" s="64">
        <f>IF(B231="","",IF(COUNTIF(Jobs!$A$5:$A$44,B231)=0,"Unknown Job ID",IF(A231="","Missing date","")))</f>
        <v/>
      </c>
    </row>
    <row r="232">
      <c r="A232" s="62" t="n"/>
      <c r="B232" s="38" t="n"/>
      <c r="C232" s="38" t="n"/>
      <c r="D232" s="38" t="n"/>
      <c r="E232" s="63">
        <f>IF(OR(B232="",A232=""),"",SUMIFS(Timesheet!$E$5:$E$1004,Timesheet!$C$5:$C$1004,B232,Timesheet!$A$5:$A$1004,A232))</f>
        <v/>
      </c>
      <c r="F232" s="38" t="n"/>
      <c r="G232" s="38" t="n"/>
      <c r="H232" s="38" t="n"/>
      <c r="I232" s="64">
        <f>IF(B232="","",IF(COUNTIF(Jobs!$A$5:$A$44,B232)=0,"Unknown Job ID",IF(A232="","Missing date","")))</f>
        <v/>
      </c>
    </row>
    <row r="233">
      <c r="A233" s="62" t="n"/>
      <c r="B233" s="38" t="n"/>
      <c r="C233" s="38" t="n"/>
      <c r="D233" s="38" t="n"/>
      <c r="E233" s="63">
        <f>IF(OR(B233="",A233=""),"",SUMIFS(Timesheet!$E$5:$E$1004,Timesheet!$C$5:$C$1004,B233,Timesheet!$A$5:$A$1004,A233))</f>
        <v/>
      </c>
      <c r="F233" s="38" t="n"/>
      <c r="G233" s="38" t="n"/>
      <c r="H233" s="38" t="n"/>
      <c r="I233" s="64">
        <f>IF(B233="","",IF(COUNTIF(Jobs!$A$5:$A$44,B233)=0,"Unknown Job ID",IF(A233="","Missing date","")))</f>
        <v/>
      </c>
    </row>
    <row r="234">
      <c r="A234" s="62" t="n"/>
      <c r="B234" s="38" t="n"/>
      <c r="C234" s="38" t="n"/>
      <c r="D234" s="38" t="n"/>
      <c r="E234" s="63">
        <f>IF(OR(B234="",A234=""),"",SUMIFS(Timesheet!$E$5:$E$1004,Timesheet!$C$5:$C$1004,B234,Timesheet!$A$5:$A$1004,A234))</f>
        <v/>
      </c>
      <c r="F234" s="38" t="n"/>
      <c r="G234" s="38" t="n"/>
      <c r="H234" s="38" t="n"/>
      <c r="I234" s="64">
        <f>IF(B234="","",IF(COUNTIF(Jobs!$A$5:$A$44,B234)=0,"Unknown Job ID",IF(A234="","Missing date","")))</f>
        <v/>
      </c>
    </row>
    <row r="235">
      <c r="A235" s="62" t="n"/>
      <c r="B235" s="38" t="n"/>
      <c r="C235" s="38" t="n"/>
      <c r="D235" s="38" t="n"/>
      <c r="E235" s="63">
        <f>IF(OR(B235="",A235=""),"",SUMIFS(Timesheet!$E$5:$E$1004,Timesheet!$C$5:$C$1004,B235,Timesheet!$A$5:$A$1004,A235))</f>
        <v/>
      </c>
      <c r="F235" s="38" t="n"/>
      <c r="G235" s="38" t="n"/>
      <c r="H235" s="38" t="n"/>
      <c r="I235" s="64">
        <f>IF(B235="","",IF(COUNTIF(Jobs!$A$5:$A$44,B235)=0,"Unknown Job ID",IF(A235="","Missing date","")))</f>
        <v/>
      </c>
    </row>
    <row r="236">
      <c r="A236" s="62" t="n"/>
      <c r="B236" s="38" t="n"/>
      <c r="C236" s="38" t="n"/>
      <c r="D236" s="38" t="n"/>
      <c r="E236" s="63">
        <f>IF(OR(B236="",A236=""),"",SUMIFS(Timesheet!$E$5:$E$1004,Timesheet!$C$5:$C$1004,B236,Timesheet!$A$5:$A$1004,A236))</f>
        <v/>
      </c>
      <c r="F236" s="38" t="n"/>
      <c r="G236" s="38" t="n"/>
      <c r="H236" s="38" t="n"/>
      <c r="I236" s="64">
        <f>IF(B236="","",IF(COUNTIF(Jobs!$A$5:$A$44,B236)=0,"Unknown Job ID",IF(A236="","Missing date","")))</f>
        <v/>
      </c>
    </row>
    <row r="237">
      <c r="A237" s="62" t="n"/>
      <c r="B237" s="38" t="n"/>
      <c r="C237" s="38" t="n"/>
      <c r="D237" s="38" t="n"/>
      <c r="E237" s="63">
        <f>IF(OR(B237="",A237=""),"",SUMIFS(Timesheet!$E$5:$E$1004,Timesheet!$C$5:$C$1004,B237,Timesheet!$A$5:$A$1004,A237))</f>
        <v/>
      </c>
      <c r="F237" s="38" t="n"/>
      <c r="G237" s="38" t="n"/>
      <c r="H237" s="38" t="n"/>
      <c r="I237" s="64">
        <f>IF(B237="","",IF(COUNTIF(Jobs!$A$5:$A$44,B237)=0,"Unknown Job ID",IF(A237="","Missing date","")))</f>
        <v/>
      </c>
    </row>
    <row r="238">
      <c r="A238" s="62" t="n"/>
      <c r="B238" s="38" t="n"/>
      <c r="C238" s="38" t="n"/>
      <c r="D238" s="38" t="n"/>
      <c r="E238" s="63">
        <f>IF(OR(B238="",A238=""),"",SUMIFS(Timesheet!$E$5:$E$1004,Timesheet!$C$5:$C$1004,B238,Timesheet!$A$5:$A$1004,A238))</f>
        <v/>
      </c>
      <c r="F238" s="38" t="n"/>
      <c r="G238" s="38" t="n"/>
      <c r="H238" s="38" t="n"/>
      <c r="I238" s="64">
        <f>IF(B238="","",IF(COUNTIF(Jobs!$A$5:$A$44,B238)=0,"Unknown Job ID",IF(A238="","Missing date","")))</f>
        <v/>
      </c>
    </row>
    <row r="239">
      <c r="A239" s="62" t="n"/>
      <c r="B239" s="38" t="n"/>
      <c r="C239" s="38" t="n"/>
      <c r="D239" s="38" t="n"/>
      <c r="E239" s="63">
        <f>IF(OR(B239="",A239=""),"",SUMIFS(Timesheet!$E$5:$E$1004,Timesheet!$C$5:$C$1004,B239,Timesheet!$A$5:$A$1004,A239))</f>
        <v/>
      </c>
      <c r="F239" s="38" t="n"/>
      <c r="G239" s="38" t="n"/>
      <c r="H239" s="38" t="n"/>
      <c r="I239" s="64">
        <f>IF(B239="","",IF(COUNTIF(Jobs!$A$5:$A$44,B239)=0,"Unknown Job ID",IF(A239="","Missing date","")))</f>
        <v/>
      </c>
    </row>
    <row r="240">
      <c r="A240" s="62" t="n"/>
      <c r="B240" s="38" t="n"/>
      <c r="C240" s="38" t="n"/>
      <c r="D240" s="38" t="n"/>
      <c r="E240" s="63">
        <f>IF(OR(B240="",A240=""),"",SUMIFS(Timesheet!$E$5:$E$1004,Timesheet!$C$5:$C$1004,B240,Timesheet!$A$5:$A$1004,A240))</f>
        <v/>
      </c>
      <c r="F240" s="38" t="n"/>
      <c r="G240" s="38" t="n"/>
      <c r="H240" s="38" t="n"/>
      <c r="I240" s="64">
        <f>IF(B240="","",IF(COUNTIF(Jobs!$A$5:$A$44,B240)=0,"Unknown Job ID",IF(A240="","Missing date","")))</f>
        <v/>
      </c>
    </row>
    <row r="241">
      <c r="A241" s="62" t="n"/>
      <c r="B241" s="38" t="n"/>
      <c r="C241" s="38" t="n"/>
      <c r="D241" s="38" t="n"/>
      <c r="E241" s="63">
        <f>IF(OR(B241="",A241=""),"",SUMIFS(Timesheet!$E$5:$E$1004,Timesheet!$C$5:$C$1004,B241,Timesheet!$A$5:$A$1004,A241))</f>
        <v/>
      </c>
      <c r="F241" s="38" t="n"/>
      <c r="G241" s="38" t="n"/>
      <c r="H241" s="38" t="n"/>
      <c r="I241" s="64">
        <f>IF(B241="","",IF(COUNTIF(Jobs!$A$5:$A$44,B241)=0,"Unknown Job ID",IF(A241="","Missing date","")))</f>
        <v/>
      </c>
    </row>
    <row r="242">
      <c r="A242" s="62" t="n"/>
      <c r="B242" s="38" t="n"/>
      <c r="C242" s="38" t="n"/>
      <c r="D242" s="38" t="n"/>
      <c r="E242" s="63">
        <f>IF(OR(B242="",A242=""),"",SUMIFS(Timesheet!$E$5:$E$1004,Timesheet!$C$5:$C$1004,B242,Timesheet!$A$5:$A$1004,A242))</f>
        <v/>
      </c>
      <c r="F242" s="38" t="n"/>
      <c r="G242" s="38" t="n"/>
      <c r="H242" s="38" t="n"/>
      <c r="I242" s="64">
        <f>IF(B242="","",IF(COUNTIF(Jobs!$A$5:$A$44,B242)=0,"Unknown Job ID",IF(A242="","Missing date","")))</f>
        <v/>
      </c>
    </row>
    <row r="243">
      <c r="A243" s="62" t="n"/>
      <c r="B243" s="38" t="n"/>
      <c r="C243" s="38" t="n"/>
      <c r="D243" s="38" t="n"/>
      <c r="E243" s="63">
        <f>IF(OR(B243="",A243=""),"",SUMIFS(Timesheet!$E$5:$E$1004,Timesheet!$C$5:$C$1004,B243,Timesheet!$A$5:$A$1004,A243))</f>
        <v/>
      </c>
      <c r="F243" s="38" t="n"/>
      <c r="G243" s="38" t="n"/>
      <c r="H243" s="38" t="n"/>
      <c r="I243" s="64">
        <f>IF(B243="","",IF(COUNTIF(Jobs!$A$5:$A$44,B243)=0,"Unknown Job ID",IF(A243="","Missing date","")))</f>
        <v/>
      </c>
    </row>
    <row r="244">
      <c r="A244" s="62" t="n"/>
      <c r="B244" s="38" t="n"/>
      <c r="C244" s="38" t="n"/>
      <c r="D244" s="38" t="n"/>
      <c r="E244" s="63">
        <f>IF(OR(B244="",A244=""),"",SUMIFS(Timesheet!$E$5:$E$1004,Timesheet!$C$5:$C$1004,B244,Timesheet!$A$5:$A$1004,A244))</f>
        <v/>
      </c>
      <c r="F244" s="38" t="n"/>
      <c r="G244" s="38" t="n"/>
      <c r="H244" s="38" t="n"/>
      <c r="I244" s="64">
        <f>IF(B244="","",IF(COUNTIF(Jobs!$A$5:$A$44,B244)=0,"Unknown Job ID",IF(A244="","Missing date","")))</f>
        <v/>
      </c>
    </row>
    <row r="245">
      <c r="A245" s="62" t="n"/>
      <c r="B245" s="38" t="n"/>
      <c r="C245" s="38" t="n"/>
      <c r="D245" s="38" t="n"/>
      <c r="E245" s="63">
        <f>IF(OR(B245="",A245=""),"",SUMIFS(Timesheet!$E$5:$E$1004,Timesheet!$C$5:$C$1004,B245,Timesheet!$A$5:$A$1004,A245))</f>
        <v/>
      </c>
      <c r="F245" s="38" t="n"/>
      <c r="G245" s="38" t="n"/>
      <c r="H245" s="38" t="n"/>
      <c r="I245" s="64">
        <f>IF(B245="","",IF(COUNTIF(Jobs!$A$5:$A$44,B245)=0,"Unknown Job ID",IF(A245="","Missing date","")))</f>
        <v/>
      </c>
    </row>
    <row r="246">
      <c r="A246" s="62" t="n"/>
      <c r="B246" s="38" t="n"/>
      <c r="C246" s="38" t="n"/>
      <c r="D246" s="38" t="n"/>
      <c r="E246" s="63">
        <f>IF(OR(B246="",A246=""),"",SUMIFS(Timesheet!$E$5:$E$1004,Timesheet!$C$5:$C$1004,B246,Timesheet!$A$5:$A$1004,A246))</f>
        <v/>
      </c>
      <c r="F246" s="38" t="n"/>
      <c r="G246" s="38" t="n"/>
      <c r="H246" s="38" t="n"/>
      <c r="I246" s="64">
        <f>IF(B246="","",IF(COUNTIF(Jobs!$A$5:$A$44,B246)=0,"Unknown Job ID",IF(A246="","Missing date","")))</f>
        <v/>
      </c>
    </row>
    <row r="247">
      <c r="A247" s="62" t="n"/>
      <c r="B247" s="38" t="n"/>
      <c r="C247" s="38" t="n"/>
      <c r="D247" s="38" t="n"/>
      <c r="E247" s="63">
        <f>IF(OR(B247="",A247=""),"",SUMIFS(Timesheet!$E$5:$E$1004,Timesheet!$C$5:$C$1004,B247,Timesheet!$A$5:$A$1004,A247))</f>
        <v/>
      </c>
      <c r="F247" s="38" t="n"/>
      <c r="G247" s="38" t="n"/>
      <c r="H247" s="38" t="n"/>
      <c r="I247" s="64">
        <f>IF(B247="","",IF(COUNTIF(Jobs!$A$5:$A$44,B247)=0,"Unknown Job ID",IF(A247="","Missing date","")))</f>
        <v/>
      </c>
    </row>
    <row r="248">
      <c r="A248" s="62" t="n"/>
      <c r="B248" s="38" t="n"/>
      <c r="C248" s="38" t="n"/>
      <c r="D248" s="38" t="n"/>
      <c r="E248" s="63">
        <f>IF(OR(B248="",A248=""),"",SUMIFS(Timesheet!$E$5:$E$1004,Timesheet!$C$5:$C$1004,B248,Timesheet!$A$5:$A$1004,A248))</f>
        <v/>
      </c>
      <c r="F248" s="38" t="n"/>
      <c r="G248" s="38" t="n"/>
      <c r="H248" s="38" t="n"/>
      <c r="I248" s="64">
        <f>IF(B248="","",IF(COUNTIF(Jobs!$A$5:$A$44,B248)=0,"Unknown Job ID",IF(A248="","Missing date","")))</f>
        <v/>
      </c>
    </row>
    <row r="249">
      <c r="A249" s="62" t="n"/>
      <c r="B249" s="38" t="n"/>
      <c r="C249" s="38" t="n"/>
      <c r="D249" s="38" t="n"/>
      <c r="E249" s="63">
        <f>IF(OR(B249="",A249=""),"",SUMIFS(Timesheet!$E$5:$E$1004,Timesheet!$C$5:$C$1004,B249,Timesheet!$A$5:$A$1004,A249))</f>
        <v/>
      </c>
      <c r="F249" s="38" t="n"/>
      <c r="G249" s="38" t="n"/>
      <c r="H249" s="38" t="n"/>
      <c r="I249" s="64">
        <f>IF(B249="","",IF(COUNTIF(Jobs!$A$5:$A$44,B249)=0,"Unknown Job ID",IF(A249="","Missing date","")))</f>
        <v/>
      </c>
    </row>
    <row r="250">
      <c r="A250" s="62" t="n"/>
      <c r="B250" s="38" t="n"/>
      <c r="C250" s="38" t="n"/>
      <c r="D250" s="38" t="n"/>
      <c r="E250" s="63">
        <f>IF(OR(B250="",A250=""),"",SUMIFS(Timesheet!$E$5:$E$1004,Timesheet!$C$5:$C$1004,B250,Timesheet!$A$5:$A$1004,A250))</f>
        <v/>
      </c>
      <c r="F250" s="38" t="n"/>
      <c r="G250" s="38" t="n"/>
      <c r="H250" s="38" t="n"/>
      <c r="I250" s="64">
        <f>IF(B250="","",IF(COUNTIF(Jobs!$A$5:$A$44,B250)=0,"Unknown Job ID",IF(A250="","Missing date","")))</f>
        <v/>
      </c>
    </row>
    <row r="251">
      <c r="A251" s="62" t="n"/>
      <c r="B251" s="38" t="n"/>
      <c r="C251" s="38" t="n"/>
      <c r="D251" s="38" t="n"/>
      <c r="E251" s="63">
        <f>IF(OR(B251="",A251=""),"",SUMIFS(Timesheet!$E$5:$E$1004,Timesheet!$C$5:$C$1004,B251,Timesheet!$A$5:$A$1004,A251))</f>
        <v/>
      </c>
      <c r="F251" s="38" t="n"/>
      <c r="G251" s="38" t="n"/>
      <c r="H251" s="38" t="n"/>
      <c r="I251" s="64">
        <f>IF(B251="","",IF(COUNTIF(Jobs!$A$5:$A$44,B251)=0,"Unknown Job ID",IF(A251="","Missing date","")))</f>
        <v/>
      </c>
    </row>
    <row r="252">
      <c r="A252" s="62" t="n"/>
      <c r="B252" s="38" t="n"/>
      <c r="C252" s="38" t="n"/>
      <c r="D252" s="38" t="n"/>
      <c r="E252" s="63">
        <f>IF(OR(B252="",A252=""),"",SUMIFS(Timesheet!$E$5:$E$1004,Timesheet!$C$5:$C$1004,B252,Timesheet!$A$5:$A$1004,A252))</f>
        <v/>
      </c>
      <c r="F252" s="38" t="n"/>
      <c r="G252" s="38" t="n"/>
      <c r="H252" s="38" t="n"/>
      <c r="I252" s="64">
        <f>IF(B252="","",IF(COUNTIF(Jobs!$A$5:$A$44,B252)=0,"Unknown Job ID",IF(A252="","Missing date","")))</f>
        <v/>
      </c>
    </row>
    <row r="253">
      <c r="A253" s="62" t="n"/>
      <c r="B253" s="38" t="n"/>
      <c r="C253" s="38" t="n"/>
      <c r="D253" s="38" t="n"/>
      <c r="E253" s="63">
        <f>IF(OR(B253="",A253=""),"",SUMIFS(Timesheet!$E$5:$E$1004,Timesheet!$C$5:$C$1004,B253,Timesheet!$A$5:$A$1004,A253))</f>
        <v/>
      </c>
      <c r="F253" s="38" t="n"/>
      <c r="G253" s="38" t="n"/>
      <c r="H253" s="38" t="n"/>
      <c r="I253" s="64">
        <f>IF(B253="","",IF(COUNTIF(Jobs!$A$5:$A$44,B253)=0,"Unknown Job ID",IF(A253="","Missing date","")))</f>
        <v/>
      </c>
    </row>
    <row r="254">
      <c r="A254" s="62" t="n"/>
      <c r="B254" s="38" t="n"/>
      <c r="C254" s="38" t="n"/>
      <c r="D254" s="38" t="n"/>
      <c r="E254" s="63">
        <f>IF(OR(B254="",A254=""),"",SUMIFS(Timesheet!$E$5:$E$1004,Timesheet!$C$5:$C$1004,B254,Timesheet!$A$5:$A$1004,A254))</f>
        <v/>
      </c>
      <c r="F254" s="38" t="n"/>
      <c r="G254" s="38" t="n"/>
      <c r="H254" s="38" t="n"/>
      <c r="I254" s="64">
        <f>IF(B254="","",IF(COUNTIF(Jobs!$A$5:$A$44,B254)=0,"Unknown Job ID",IF(A254="","Missing date","")))</f>
        <v/>
      </c>
    </row>
    <row r="255">
      <c r="A255" s="62" t="n"/>
      <c r="B255" s="38" t="n"/>
      <c r="C255" s="38" t="n"/>
      <c r="D255" s="38" t="n"/>
      <c r="E255" s="63">
        <f>IF(OR(B255="",A255=""),"",SUMIFS(Timesheet!$E$5:$E$1004,Timesheet!$C$5:$C$1004,B255,Timesheet!$A$5:$A$1004,A255))</f>
        <v/>
      </c>
      <c r="F255" s="38" t="n"/>
      <c r="G255" s="38" t="n"/>
      <c r="H255" s="38" t="n"/>
      <c r="I255" s="64">
        <f>IF(B255="","",IF(COUNTIF(Jobs!$A$5:$A$44,B255)=0,"Unknown Job ID",IF(A255="","Missing date","")))</f>
        <v/>
      </c>
    </row>
    <row r="256">
      <c r="A256" s="62" t="n"/>
      <c r="B256" s="38" t="n"/>
      <c r="C256" s="38" t="n"/>
      <c r="D256" s="38" t="n"/>
      <c r="E256" s="63">
        <f>IF(OR(B256="",A256=""),"",SUMIFS(Timesheet!$E$5:$E$1004,Timesheet!$C$5:$C$1004,B256,Timesheet!$A$5:$A$1004,A256))</f>
        <v/>
      </c>
      <c r="F256" s="38" t="n"/>
      <c r="G256" s="38" t="n"/>
      <c r="H256" s="38" t="n"/>
      <c r="I256" s="64">
        <f>IF(B256="","",IF(COUNTIF(Jobs!$A$5:$A$44,B256)=0,"Unknown Job ID",IF(A256="","Missing date","")))</f>
        <v/>
      </c>
    </row>
    <row r="257">
      <c r="A257" s="62" t="n"/>
      <c r="B257" s="38" t="n"/>
      <c r="C257" s="38" t="n"/>
      <c r="D257" s="38" t="n"/>
      <c r="E257" s="63">
        <f>IF(OR(B257="",A257=""),"",SUMIFS(Timesheet!$E$5:$E$1004,Timesheet!$C$5:$C$1004,B257,Timesheet!$A$5:$A$1004,A257))</f>
        <v/>
      </c>
      <c r="F257" s="38" t="n"/>
      <c r="G257" s="38" t="n"/>
      <c r="H257" s="38" t="n"/>
      <c r="I257" s="64">
        <f>IF(B257="","",IF(COUNTIF(Jobs!$A$5:$A$44,B257)=0,"Unknown Job ID",IF(A257="","Missing date","")))</f>
        <v/>
      </c>
    </row>
    <row r="258">
      <c r="A258" s="62" t="n"/>
      <c r="B258" s="38" t="n"/>
      <c r="C258" s="38" t="n"/>
      <c r="D258" s="38" t="n"/>
      <c r="E258" s="63">
        <f>IF(OR(B258="",A258=""),"",SUMIFS(Timesheet!$E$5:$E$1004,Timesheet!$C$5:$C$1004,B258,Timesheet!$A$5:$A$1004,A258))</f>
        <v/>
      </c>
      <c r="F258" s="38" t="n"/>
      <c r="G258" s="38" t="n"/>
      <c r="H258" s="38" t="n"/>
      <c r="I258" s="64">
        <f>IF(B258="","",IF(COUNTIF(Jobs!$A$5:$A$44,B258)=0,"Unknown Job ID",IF(A258="","Missing date","")))</f>
        <v/>
      </c>
    </row>
    <row r="259">
      <c r="A259" s="62" t="n"/>
      <c r="B259" s="38" t="n"/>
      <c r="C259" s="38" t="n"/>
      <c r="D259" s="38" t="n"/>
      <c r="E259" s="63">
        <f>IF(OR(B259="",A259=""),"",SUMIFS(Timesheet!$E$5:$E$1004,Timesheet!$C$5:$C$1004,B259,Timesheet!$A$5:$A$1004,A259))</f>
        <v/>
      </c>
      <c r="F259" s="38" t="n"/>
      <c r="G259" s="38" t="n"/>
      <c r="H259" s="38" t="n"/>
      <c r="I259" s="64">
        <f>IF(B259="","",IF(COUNTIF(Jobs!$A$5:$A$44,B259)=0,"Unknown Job ID",IF(A259="","Missing date","")))</f>
        <v/>
      </c>
    </row>
    <row r="260">
      <c r="A260" s="62" t="n"/>
      <c r="B260" s="38" t="n"/>
      <c r="C260" s="38" t="n"/>
      <c r="D260" s="38" t="n"/>
      <c r="E260" s="63">
        <f>IF(OR(B260="",A260=""),"",SUMIFS(Timesheet!$E$5:$E$1004,Timesheet!$C$5:$C$1004,B260,Timesheet!$A$5:$A$1004,A260))</f>
        <v/>
      </c>
      <c r="F260" s="38" t="n"/>
      <c r="G260" s="38" t="n"/>
      <c r="H260" s="38" t="n"/>
      <c r="I260" s="64">
        <f>IF(B260="","",IF(COUNTIF(Jobs!$A$5:$A$44,B260)=0,"Unknown Job ID",IF(A260="","Missing date","")))</f>
        <v/>
      </c>
    </row>
    <row r="261">
      <c r="A261" s="62" t="n"/>
      <c r="B261" s="38" t="n"/>
      <c r="C261" s="38" t="n"/>
      <c r="D261" s="38" t="n"/>
      <c r="E261" s="63">
        <f>IF(OR(B261="",A261=""),"",SUMIFS(Timesheet!$E$5:$E$1004,Timesheet!$C$5:$C$1004,B261,Timesheet!$A$5:$A$1004,A261))</f>
        <v/>
      </c>
      <c r="F261" s="38" t="n"/>
      <c r="G261" s="38" t="n"/>
      <c r="H261" s="38" t="n"/>
      <c r="I261" s="64">
        <f>IF(B261="","",IF(COUNTIF(Jobs!$A$5:$A$44,B261)=0,"Unknown Job ID",IF(A261="","Missing date","")))</f>
        <v/>
      </c>
    </row>
    <row r="262">
      <c r="A262" s="62" t="n"/>
      <c r="B262" s="38" t="n"/>
      <c r="C262" s="38" t="n"/>
      <c r="D262" s="38" t="n"/>
      <c r="E262" s="63">
        <f>IF(OR(B262="",A262=""),"",SUMIFS(Timesheet!$E$5:$E$1004,Timesheet!$C$5:$C$1004,B262,Timesheet!$A$5:$A$1004,A262))</f>
        <v/>
      </c>
      <c r="F262" s="38" t="n"/>
      <c r="G262" s="38" t="n"/>
      <c r="H262" s="38" t="n"/>
      <c r="I262" s="64">
        <f>IF(B262="","",IF(COUNTIF(Jobs!$A$5:$A$44,B262)=0,"Unknown Job ID",IF(A262="","Missing date","")))</f>
        <v/>
      </c>
    </row>
    <row r="263">
      <c r="A263" s="62" t="n"/>
      <c r="B263" s="38" t="n"/>
      <c r="C263" s="38" t="n"/>
      <c r="D263" s="38" t="n"/>
      <c r="E263" s="63">
        <f>IF(OR(B263="",A263=""),"",SUMIFS(Timesheet!$E$5:$E$1004,Timesheet!$C$5:$C$1004,B263,Timesheet!$A$5:$A$1004,A263))</f>
        <v/>
      </c>
      <c r="F263" s="38" t="n"/>
      <c r="G263" s="38" t="n"/>
      <c r="H263" s="38" t="n"/>
      <c r="I263" s="64">
        <f>IF(B263="","",IF(COUNTIF(Jobs!$A$5:$A$44,B263)=0,"Unknown Job ID",IF(A263="","Missing date","")))</f>
        <v/>
      </c>
    </row>
    <row r="264">
      <c r="A264" s="62" t="n"/>
      <c r="B264" s="38" t="n"/>
      <c r="C264" s="38" t="n"/>
      <c r="D264" s="38" t="n"/>
      <c r="E264" s="63">
        <f>IF(OR(B264="",A264=""),"",SUMIFS(Timesheet!$E$5:$E$1004,Timesheet!$C$5:$C$1004,B264,Timesheet!$A$5:$A$1004,A264))</f>
        <v/>
      </c>
      <c r="F264" s="38" t="n"/>
      <c r="G264" s="38" t="n"/>
      <c r="H264" s="38" t="n"/>
      <c r="I264" s="64">
        <f>IF(B264="","",IF(COUNTIF(Jobs!$A$5:$A$44,B264)=0,"Unknown Job ID",IF(A264="","Missing date","")))</f>
        <v/>
      </c>
    </row>
    <row r="265">
      <c r="A265" s="62" t="n"/>
      <c r="B265" s="38" t="n"/>
      <c r="C265" s="38" t="n"/>
      <c r="D265" s="38" t="n"/>
      <c r="E265" s="63">
        <f>IF(OR(B265="",A265=""),"",SUMIFS(Timesheet!$E$5:$E$1004,Timesheet!$C$5:$C$1004,B265,Timesheet!$A$5:$A$1004,A265))</f>
        <v/>
      </c>
      <c r="F265" s="38" t="n"/>
      <c r="G265" s="38" t="n"/>
      <c r="H265" s="38" t="n"/>
      <c r="I265" s="64">
        <f>IF(B265="","",IF(COUNTIF(Jobs!$A$5:$A$44,B265)=0,"Unknown Job ID",IF(A265="","Missing date","")))</f>
        <v/>
      </c>
    </row>
    <row r="266">
      <c r="A266" s="62" t="n"/>
      <c r="B266" s="38" t="n"/>
      <c r="C266" s="38" t="n"/>
      <c r="D266" s="38" t="n"/>
      <c r="E266" s="63">
        <f>IF(OR(B266="",A266=""),"",SUMIFS(Timesheet!$E$5:$E$1004,Timesheet!$C$5:$C$1004,B266,Timesheet!$A$5:$A$1004,A266))</f>
        <v/>
      </c>
      <c r="F266" s="38" t="n"/>
      <c r="G266" s="38" t="n"/>
      <c r="H266" s="38" t="n"/>
      <c r="I266" s="64">
        <f>IF(B266="","",IF(COUNTIF(Jobs!$A$5:$A$44,B266)=0,"Unknown Job ID",IF(A266="","Missing date","")))</f>
        <v/>
      </c>
    </row>
    <row r="267">
      <c r="A267" s="62" t="n"/>
      <c r="B267" s="38" t="n"/>
      <c r="C267" s="38" t="n"/>
      <c r="D267" s="38" t="n"/>
      <c r="E267" s="63">
        <f>IF(OR(B267="",A267=""),"",SUMIFS(Timesheet!$E$5:$E$1004,Timesheet!$C$5:$C$1004,B267,Timesheet!$A$5:$A$1004,A267))</f>
        <v/>
      </c>
      <c r="F267" s="38" t="n"/>
      <c r="G267" s="38" t="n"/>
      <c r="H267" s="38" t="n"/>
      <c r="I267" s="64">
        <f>IF(B267="","",IF(COUNTIF(Jobs!$A$5:$A$44,B267)=0,"Unknown Job ID",IF(A267="","Missing date","")))</f>
        <v/>
      </c>
    </row>
    <row r="268">
      <c r="A268" s="62" t="n"/>
      <c r="B268" s="38" t="n"/>
      <c r="C268" s="38" t="n"/>
      <c r="D268" s="38" t="n"/>
      <c r="E268" s="63">
        <f>IF(OR(B268="",A268=""),"",SUMIFS(Timesheet!$E$5:$E$1004,Timesheet!$C$5:$C$1004,B268,Timesheet!$A$5:$A$1004,A268))</f>
        <v/>
      </c>
      <c r="F268" s="38" t="n"/>
      <c r="G268" s="38" t="n"/>
      <c r="H268" s="38" t="n"/>
      <c r="I268" s="64">
        <f>IF(B268="","",IF(COUNTIF(Jobs!$A$5:$A$44,B268)=0,"Unknown Job ID",IF(A268="","Missing date","")))</f>
        <v/>
      </c>
    </row>
    <row r="269">
      <c r="A269" s="62" t="n"/>
      <c r="B269" s="38" t="n"/>
      <c r="C269" s="38" t="n"/>
      <c r="D269" s="38" t="n"/>
      <c r="E269" s="63">
        <f>IF(OR(B269="",A269=""),"",SUMIFS(Timesheet!$E$5:$E$1004,Timesheet!$C$5:$C$1004,B269,Timesheet!$A$5:$A$1004,A269))</f>
        <v/>
      </c>
      <c r="F269" s="38" t="n"/>
      <c r="G269" s="38" t="n"/>
      <c r="H269" s="38" t="n"/>
      <c r="I269" s="64">
        <f>IF(B269="","",IF(COUNTIF(Jobs!$A$5:$A$44,B269)=0,"Unknown Job ID",IF(A269="","Missing date","")))</f>
        <v/>
      </c>
    </row>
    <row r="270">
      <c r="A270" s="62" t="n"/>
      <c r="B270" s="38" t="n"/>
      <c r="C270" s="38" t="n"/>
      <c r="D270" s="38" t="n"/>
      <c r="E270" s="63">
        <f>IF(OR(B270="",A270=""),"",SUMIFS(Timesheet!$E$5:$E$1004,Timesheet!$C$5:$C$1004,B270,Timesheet!$A$5:$A$1004,A270))</f>
        <v/>
      </c>
      <c r="F270" s="38" t="n"/>
      <c r="G270" s="38" t="n"/>
      <c r="H270" s="38" t="n"/>
      <c r="I270" s="64">
        <f>IF(B270="","",IF(COUNTIF(Jobs!$A$5:$A$44,B270)=0,"Unknown Job ID",IF(A270="","Missing date","")))</f>
        <v/>
      </c>
    </row>
    <row r="271">
      <c r="A271" s="62" t="n"/>
      <c r="B271" s="38" t="n"/>
      <c r="C271" s="38" t="n"/>
      <c r="D271" s="38" t="n"/>
      <c r="E271" s="63">
        <f>IF(OR(B271="",A271=""),"",SUMIFS(Timesheet!$E$5:$E$1004,Timesheet!$C$5:$C$1004,B271,Timesheet!$A$5:$A$1004,A271))</f>
        <v/>
      </c>
      <c r="F271" s="38" t="n"/>
      <c r="G271" s="38" t="n"/>
      <c r="H271" s="38" t="n"/>
      <c r="I271" s="64">
        <f>IF(B271="","",IF(COUNTIF(Jobs!$A$5:$A$44,B271)=0,"Unknown Job ID",IF(A271="","Missing date","")))</f>
        <v/>
      </c>
    </row>
    <row r="272">
      <c r="A272" s="62" t="n"/>
      <c r="B272" s="38" t="n"/>
      <c r="C272" s="38" t="n"/>
      <c r="D272" s="38" t="n"/>
      <c r="E272" s="63">
        <f>IF(OR(B272="",A272=""),"",SUMIFS(Timesheet!$E$5:$E$1004,Timesheet!$C$5:$C$1004,B272,Timesheet!$A$5:$A$1004,A272))</f>
        <v/>
      </c>
      <c r="F272" s="38" t="n"/>
      <c r="G272" s="38" t="n"/>
      <c r="H272" s="38" t="n"/>
      <c r="I272" s="64">
        <f>IF(B272="","",IF(COUNTIF(Jobs!$A$5:$A$44,B272)=0,"Unknown Job ID",IF(A272="","Missing date","")))</f>
        <v/>
      </c>
    </row>
    <row r="273">
      <c r="A273" s="62" t="n"/>
      <c r="B273" s="38" t="n"/>
      <c r="C273" s="38" t="n"/>
      <c r="D273" s="38" t="n"/>
      <c r="E273" s="63">
        <f>IF(OR(B273="",A273=""),"",SUMIFS(Timesheet!$E$5:$E$1004,Timesheet!$C$5:$C$1004,B273,Timesheet!$A$5:$A$1004,A273))</f>
        <v/>
      </c>
      <c r="F273" s="38" t="n"/>
      <c r="G273" s="38" t="n"/>
      <c r="H273" s="38" t="n"/>
      <c r="I273" s="64">
        <f>IF(B273="","",IF(COUNTIF(Jobs!$A$5:$A$44,B273)=0,"Unknown Job ID",IF(A273="","Missing date","")))</f>
        <v/>
      </c>
    </row>
    <row r="274">
      <c r="A274" s="62" t="n"/>
      <c r="B274" s="38" t="n"/>
      <c r="C274" s="38" t="n"/>
      <c r="D274" s="38" t="n"/>
      <c r="E274" s="63">
        <f>IF(OR(B274="",A274=""),"",SUMIFS(Timesheet!$E$5:$E$1004,Timesheet!$C$5:$C$1004,B274,Timesheet!$A$5:$A$1004,A274))</f>
        <v/>
      </c>
      <c r="F274" s="38" t="n"/>
      <c r="G274" s="38" t="n"/>
      <c r="H274" s="38" t="n"/>
      <c r="I274" s="64">
        <f>IF(B274="","",IF(COUNTIF(Jobs!$A$5:$A$44,B274)=0,"Unknown Job ID",IF(A274="","Missing date","")))</f>
        <v/>
      </c>
    </row>
    <row r="275">
      <c r="A275" s="62" t="n"/>
      <c r="B275" s="38" t="n"/>
      <c r="C275" s="38" t="n"/>
      <c r="D275" s="38" t="n"/>
      <c r="E275" s="63">
        <f>IF(OR(B275="",A275=""),"",SUMIFS(Timesheet!$E$5:$E$1004,Timesheet!$C$5:$C$1004,B275,Timesheet!$A$5:$A$1004,A275))</f>
        <v/>
      </c>
      <c r="F275" s="38" t="n"/>
      <c r="G275" s="38" t="n"/>
      <c r="H275" s="38" t="n"/>
      <c r="I275" s="64">
        <f>IF(B275="","",IF(COUNTIF(Jobs!$A$5:$A$44,B275)=0,"Unknown Job ID",IF(A275="","Missing date","")))</f>
        <v/>
      </c>
    </row>
    <row r="276">
      <c r="A276" s="62" t="n"/>
      <c r="B276" s="38" t="n"/>
      <c r="C276" s="38" t="n"/>
      <c r="D276" s="38" t="n"/>
      <c r="E276" s="63">
        <f>IF(OR(B276="",A276=""),"",SUMIFS(Timesheet!$E$5:$E$1004,Timesheet!$C$5:$C$1004,B276,Timesheet!$A$5:$A$1004,A276))</f>
        <v/>
      </c>
      <c r="F276" s="38" t="n"/>
      <c r="G276" s="38" t="n"/>
      <c r="H276" s="38" t="n"/>
      <c r="I276" s="64">
        <f>IF(B276="","",IF(COUNTIF(Jobs!$A$5:$A$44,B276)=0,"Unknown Job ID",IF(A276="","Missing date","")))</f>
        <v/>
      </c>
    </row>
    <row r="277">
      <c r="A277" s="62" t="n"/>
      <c r="B277" s="38" t="n"/>
      <c r="C277" s="38" t="n"/>
      <c r="D277" s="38" t="n"/>
      <c r="E277" s="63">
        <f>IF(OR(B277="",A277=""),"",SUMIFS(Timesheet!$E$5:$E$1004,Timesheet!$C$5:$C$1004,B277,Timesheet!$A$5:$A$1004,A277))</f>
        <v/>
      </c>
      <c r="F277" s="38" t="n"/>
      <c r="G277" s="38" t="n"/>
      <c r="H277" s="38" t="n"/>
      <c r="I277" s="64">
        <f>IF(B277="","",IF(COUNTIF(Jobs!$A$5:$A$44,B277)=0,"Unknown Job ID",IF(A277="","Missing date","")))</f>
        <v/>
      </c>
    </row>
    <row r="278">
      <c r="A278" s="62" t="n"/>
      <c r="B278" s="38" t="n"/>
      <c r="C278" s="38" t="n"/>
      <c r="D278" s="38" t="n"/>
      <c r="E278" s="63">
        <f>IF(OR(B278="",A278=""),"",SUMIFS(Timesheet!$E$5:$E$1004,Timesheet!$C$5:$C$1004,B278,Timesheet!$A$5:$A$1004,A278))</f>
        <v/>
      </c>
      <c r="F278" s="38" t="n"/>
      <c r="G278" s="38" t="n"/>
      <c r="H278" s="38" t="n"/>
      <c r="I278" s="64">
        <f>IF(B278="","",IF(COUNTIF(Jobs!$A$5:$A$44,B278)=0,"Unknown Job ID",IF(A278="","Missing date","")))</f>
        <v/>
      </c>
    </row>
    <row r="279">
      <c r="A279" s="62" t="n"/>
      <c r="B279" s="38" t="n"/>
      <c r="C279" s="38" t="n"/>
      <c r="D279" s="38" t="n"/>
      <c r="E279" s="63">
        <f>IF(OR(B279="",A279=""),"",SUMIFS(Timesheet!$E$5:$E$1004,Timesheet!$C$5:$C$1004,B279,Timesheet!$A$5:$A$1004,A279))</f>
        <v/>
      </c>
      <c r="F279" s="38" t="n"/>
      <c r="G279" s="38" t="n"/>
      <c r="H279" s="38" t="n"/>
      <c r="I279" s="64">
        <f>IF(B279="","",IF(COUNTIF(Jobs!$A$5:$A$44,B279)=0,"Unknown Job ID",IF(A279="","Missing date","")))</f>
        <v/>
      </c>
    </row>
    <row r="280">
      <c r="A280" s="62" t="n"/>
      <c r="B280" s="38" t="n"/>
      <c r="C280" s="38" t="n"/>
      <c r="D280" s="38" t="n"/>
      <c r="E280" s="63">
        <f>IF(OR(B280="",A280=""),"",SUMIFS(Timesheet!$E$5:$E$1004,Timesheet!$C$5:$C$1004,B280,Timesheet!$A$5:$A$1004,A280))</f>
        <v/>
      </c>
      <c r="F280" s="38" t="n"/>
      <c r="G280" s="38" t="n"/>
      <c r="H280" s="38" t="n"/>
      <c r="I280" s="64">
        <f>IF(B280="","",IF(COUNTIF(Jobs!$A$5:$A$44,B280)=0,"Unknown Job ID",IF(A280="","Missing date","")))</f>
        <v/>
      </c>
    </row>
    <row r="281">
      <c r="A281" s="62" t="n"/>
      <c r="B281" s="38" t="n"/>
      <c r="C281" s="38" t="n"/>
      <c r="D281" s="38" t="n"/>
      <c r="E281" s="63">
        <f>IF(OR(B281="",A281=""),"",SUMIFS(Timesheet!$E$5:$E$1004,Timesheet!$C$5:$C$1004,B281,Timesheet!$A$5:$A$1004,A281))</f>
        <v/>
      </c>
      <c r="F281" s="38" t="n"/>
      <c r="G281" s="38" t="n"/>
      <c r="H281" s="38" t="n"/>
      <c r="I281" s="64">
        <f>IF(B281="","",IF(COUNTIF(Jobs!$A$5:$A$44,B281)=0,"Unknown Job ID",IF(A281="","Missing date","")))</f>
        <v/>
      </c>
    </row>
    <row r="282">
      <c r="A282" s="62" t="n"/>
      <c r="B282" s="38" t="n"/>
      <c r="C282" s="38" t="n"/>
      <c r="D282" s="38" t="n"/>
      <c r="E282" s="63">
        <f>IF(OR(B282="",A282=""),"",SUMIFS(Timesheet!$E$5:$E$1004,Timesheet!$C$5:$C$1004,B282,Timesheet!$A$5:$A$1004,A282))</f>
        <v/>
      </c>
      <c r="F282" s="38" t="n"/>
      <c r="G282" s="38" t="n"/>
      <c r="H282" s="38" t="n"/>
      <c r="I282" s="64">
        <f>IF(B282="","",IF(COUNTIF(Jobs!$A$5:$A$44,B282)=0,"Unknown Job ID",IF(A282="","Missing date","")))</f>
        <v/>
      </c>
    </row>
    <row r="283">
      <c r="A283" s="62" t="n"/>
      <c r="B283" s="38" t="n"/>
      <c r="C283" s="38" t="n"/>
      <c r="D283" s="38" t="n"/>
      <c r="E283" s="63">
        <f>IF(OR(B283="",A283=""),"",SUMIFS(Timesheet!$E$5:$E$1004,Timesheet!$C$5:$C$1004,B283,Timesheet!$A$5:$A$1004,A283))</f>
        <v/>
      </c>
      <c r="F283" s="38" t="n"/>
      <c r="G283" s="38" t="n"/>
      <c r="H283" s="38" t="n"/>
      <c r="I283" s="64">
        <f>IF(B283="","",IF(COUNTIF(Jobs!$A$5:$A$44,B283)=0,"Unknown Job ID",IF(A283="","Missing date","")))</f>
        <v/>
      </c>
    </row>
    <row r="284">
      <c r="A284" s="62" t="n"/>
      <c r="B284" s="38" t="n"/>
      <c r="C284" s="38" t="n"/>
      <c r="D284" s="38" t="n"/>
      <c r="E284" s="63">
        <f>IF(OR(B284="",A284=""),"",SUMIFS(Timesheet!$E$5:$E$1004,Timesheet!$C$5:$C$1004,B284,Timesheet!$A$5:$A$1004,A284))</f>
        <v/>
      </c>
      <c r="F284" s="38" t="n"/>
      <c r="G284" s="38" t="n"/>
      <c r="H284" s="38" t="n"/>
      <c r="I284" s="64">
        <f>IF(B284="","",IF(COUNTIF(Jobs!$A$5:$A$44,B284)=0,"Unknown Job ID",IF(A284="","Missing date","")))</f>
        <v/>
      </c>
    </row>
    <row r="285">
      <c r="A285" s="62" t="n"/>
      <c r="B285" s="38" t="n"/>
      <c r="C285" s="38" t="n"/>
      <c r="D285" s="38" t="n"/>
      <c r="E285" s="63">
        <f>IF(OR(B285="",A285=""),"",SUMIFS(Timesheet!$E$5:$E$1004,Timesheet!$C$5:$C$1004,B285,Timesheet!$A$5:$A$1004,A285))</f>
        <v/>
      </c>
      <c r="F285" s="38" t="n"/>
      <c r="G285" s="38" t="n"/>
      <c r="H285" s="38" t="n"/>
      <c r="I285" s="64">
        <f>IF(B285="","",IF(COUNTIF(Jobs!$A$5:$A$44,B285)=0,"Unknown Job ID",IF(A285="","Missing date","")))</f>
        <v/>
      </c>
    </row>
    <row r="286">
      <c r="A286" s="62" t="n"/>
      <c r="B286" s="38" t="n"/>
      <c r="C286" s="38" t="n"/>
      <c r="D286" s="38" t="n"/>
      <c r="E286" s="63">
        <f>IF(OR(B286="",A286=""),"",SUMIFS(Timesheet!$E$5:$E$1004,Timesheet!$C$5:$C$1004,B286,Timesheet!$A$5:$A$1004,A286))</f>
        <v/>
      </c>
      <c r="F286" s="38" t="n"/>
      <c r="G286" s="38" t="n"/>
      <c r="H286" s="38" t="n"/>
      <c r="I286" s="64">
        <f>IF(B286="","",IF(COUNTIF(Jobs!$A$5:$A$44,B286)=0,"Unknown Job ID",IF(A286="","Missing date","")))</f>
        <v/>
      </c>
    </row>
    <row r="287">
      <c r="A287" s="62" t="n"/>
      <c r="B287" s="38" t="n"/>
      <c r="C287" s="38" t="n"/>
      <c r="D287" s="38" t="n"/>
      <c r="E287" s="63">
        <f>IF(OR(B287="",A287=""),"",SUMIFS(Timesheet!$E$5:$E$1004,Timesheet!$C$5:$C$1004,B287,Timesheet!$A$5:$A$1004,A287))</f>
        <v/>
      </c>
      <c r="F287" s="38" t="n"/>
      <c r="G287" s="38" t="n"/>
      <c r="H287" s="38" t="n"/>
      <c r="I287" s="64">
        <f>IF(B287="","",IF(COUNTIF(Jobs!$A$5:$A$44,B287)=0,"Unknown Job ID",IF(A287="","Missing date","")))</f>
        <v/>
      </c>
    </row>
    <row r="288">
      <c r="A288" s="62" t="n"/>
      <c r="B288" s="38" t="n"/>
      <c r="C288" s="38" t="n"/>
      <c r="D288" s="38" t="n"/>
      <c r="E288" s="63">
        <f>IF(OR(B288="",A288=""),"",SUMIFS(Timesheet!$E$5:$E$1004,Timesheet!$C$5:$C$1004,B288,Timesheet!$A$5:$A$1004,A288))</f>
        <v/>
      </c>
      <c r="F288" s="38" t="n"/>
      <c r="G288" s="38" t="n"/>
      <c r="H288" s="38" t="n"/>
      <c r="I288" s="64">
        <f>IF(B288="","",IF(COUNTIF(Jobs!$A$5:$A$44,B288)=0,"Unknown Job ID",IF(A288="","Missing date","")))</f>
        <v/>
      </c>
    </row>
    <row r="289">
      <c r="A289" s="62" t="n"/>
      <c r="B289" s="38" t="n"/>
      <c r="C289" s="38" t="n"/>
      <c r="D289" s="38" t="n"/>
      <c r="E289" s="63">
        <f>IF(OR(B289="",A289=""),"",SUMIFS(Timesheet!$E$5:$E$1004,Timesheet!$C$5:$C$1004,B289,Timesheet!$A$5:$A$1004,A289))</f>
        <v/>
      </c>
      <c r="F289" s="38" t="n"/>
      <c r="G289" s="38" t="n"/>
      <c r="H289" s="38" t="n"/>
      <c r="I289" s="64">
        <f>IF(B289="","",IF(COUNTIF(Jobs!$A$5:$A$44,B289)=0,"Unknown Job ID",IF(A289="","Missing date","")))</f>
        <v/>
      </c>
    </row>
    <row r="290">
      <c r="A290" s="62" t="n"/>
      <c r="B290" s="38" t="n"/>
      <c r="C290" s="38" t="n"/>
      <c r="D290" s="38" t="n"/>
      <c r="E290" s="63">
        <f>IF(OR(B290="",A290=""),"",SUMIFS(Timesheet!$E$5:$E$1004,Timesheet!$C$5:$C$1004,B290,Timesheet!$A$5:$A$1004,A290))</f>
        <v/>
      </c>
      <c r="F290" s="38" t="n"/>
      <c r="G290" s="38" t="n"/>
      <c r="H290" s="38" t="n"/>
      <c r="I290" s="64">
        <f>IF(B290="","",IF(COUNTIF(Jobs!$A$5:$A$44,B290)=0,"Unknown Job ID",IF(A290="","Missing date","")))</f>
        <v/>
      </c>
    </row>
    <row r="291">
      <c r="A291" s="62" t="n"/>
      <c r="B291" s="38" t="n"/>
      <c r="C291" s="38" t="n"/>
      <c r="D291" s="38" t="n"/>
      <c r="E291" s="63">
        <f>IF(OR(B291="",A291=""),"",SUMIFS(Timesheet!$E$5:$E$1004,Timesheet!$C$5:$C$1004,B291,Timesheet!$A$5:$A$1004,A291))</f>
        <v/>
      </c>
      <c r="F291" s="38" t="n"/>
      <c r="G291" s="38" t="n"/>
      <c r="H291" s="38" t="n"/>
      <c r="I291" s="64">
        <f>IF(B291="","",IF(COUNTIF(Jobs!$A$5:$A$44,B291)=0,"Unknown Job ID",IF(A291="","Missing date","")))</f>
        <v/>
      </c>
    </row>
    <row r="292">
      <c r="A292" s="62" t="n"/>
      <c r="B292" s="38" t="n"/>
      <c r="C292" s="38" t="n"/>
      <c r="D292" s="38" t="n"/>
      <c r="E292" s="63">
        <f>IF(OR(B292="",A292=""),"",SUMIFS(Timesheet!$E$5:$E$1004,Timesheet!$C$5:$C$1004,B292,Timesheet!$A$5:$A$1004,A292))</f>
        <v/>
      </c>
      <c r="F292" s="38" t="n"/>
      <c r="G292" s="38" t="n"/>
      <c r="H292" s="38" t="n"/>
      <c r="I292" s="64">
        <f>IF(B292="","",IF(COUNTIF(Jobs!$A$5:$A$44,B292)=0,"Unknown Job ID",IF(A292="","Missing date","")))</f>
        <v/>
      </c>
    </row>
    <row r="293">
      <c r="A293" s="62" t="n"/>
      <c r="B293" s="38" t="n"/>
      <c r="C293" s="38" t="n"/>
      <c r="D293" s="38" t="n"/>
      <c r="E293" s="63">
        <f>IF(OR(B293="",A293=""),"",SUMIFS(Timesheet!$E$5:$E$1004,Timesheet!$C$5:$C$1004,B293,Timesheet!$A$5:$A$1004,A293))</f>
        <v/>
      </c>
      <c r="F293" s="38" t="n"/>
      <c r="G293" s="38" t="n"/>
      <c r="H293" s="38" t="n"/>
      <c r="I293" s="64">
        <f>IF(B293="","",IF(COUNTIF(Jobs!$A$5:$A$44,B293)=0,"Unknown Job ID",IF(A293="","Missing date","")))</f>
        <v/>
      </c>
    </row>
    <row r="294">
      <c r="A294" s="62" t="n"/>
      <c r="B294" s="38" t="n"/>
      <c r="C294" s="38" t="n"/>
      <c r="D294" s="38" t="n"/>
      <c r="E294" s="63">
        <f>IF(OR(B294="",A294=""),"",SUMIFS(Timesheet!$E$5:$E$1004,Timesheet!$C$5:$C$1004,B294,Timesheet!$A$5:$A$1004,A294))</f>
        <v/>
      </c>
      <c r="F294" s="38" t="n"/>
      <c r="G294" s="38" t="n"/>
      <c r="H294" s="38" t="n"/>
      <c r="I294" s="64">
        <f>IF(B294="","",IF(COUNTIF(Jobs!$A$5:$A$44,B294)=0,"Unknown Job ID",IF(A294="","Missing date","")))</f>
        <v/>
      </c>
    </row>
    <row r="295">
      <c r="A295" s="62" t="n"/>
      <c r="B295" s="38" t="n"/>
      <c r="C295" s="38" t="n"/>
      <c r="D295" s="38" t="n"/>
      <c r="E295" s="63">
        <f>IF(OR(B295="",A295=""),"",SUMIFS(Timesheet!$E$5:$E$1004,Timesheet!$C$5:$C$1004,B295,Timesheet!$A$5:$A$1004,A295))</f>
        <v/>
      </c>
      <c r="F295" s="38" t="n"/>
      <c r="G295" s="38" t="n"/>
      <c r="H295" s="38" t="n"/>
      <c r="I295" s="64">
        <f>IF(B295="","",IF(COUNTIF(Jobs!$A$5:$A$44,B295)=0,"Unknown Job ID",IF(A295="","Missing date","")))</f>
        <v/>
      </c>
    </row>
    <row r="296">
      <c r="A296" s="62" t="n"/>
      <c r="B296" s="38" t="n"/>
      <c r="C296" s="38" t="n"/>
      <c r="D296" s="38" t="n"/>
      <c r="E296" s="63">
        <f>IF(OR(B296="",A296=""),"",SUMIFS(Timesheet!$E$5:$E$1004,Timesheet!$C$5:$C$1004,B296,Timesheet!$A$5:$A$1004,A296))</f>
        <v/>
      </c>
      <c r="F296" s="38" t="n"/>
      <c r="G296" s="38" t="n"/>
      <c r="H296" s="38" t="n"/>
      <c r="I296" s="64">
        <f>IF(B296="","",IF(COUNTIF(Jobs!$A$5:$A$44,B296)=0,"Unknown Job ID",IF(A296="","Missing date","")))</f>
        <v/>
      </c>
    </row>
    <row r="297">
      <c r="A297" s="62" t="n"/>
      <c r="B297" s="38" t="n"/>
      <c r="C297" s="38" t="n"/>
      <c r="D297" s="38" t="n"/>
      <c r="E297" s="63">
        <f>IF(OR(B297="",A297=""),"",SUMIFS(Timesheet!$E$5:$E$1004,Timesheet!$C$5:$C$1004,B297,Timesheet!$A$5:$A$1004,A297))</f>
        <v/>
      </c>
      <c r="F297" s="38" t="n"/>
      <c r="G297" s="38" t="n"/>
      <c r="H297" s="38" t="n"/>
      <c r="I297" s="64">
        <f>IF(B297="","",IF(COUNTIF(Jobs!$A$5:$A$44,B297)=0,"Unknown Job ID",IF(A297="","Missing date","")))</f>
        <v/>
      </c>
    </row>
    <row r="298">
      <c r="A298" s="62" t="n"/>
      <c r="B298" s="38" t="n"/>
      <c r="C298" s="38" t="n"/>
      <c r="D298" s="38" t="n"/>
      <c r="E298" s="63">
        <f>IF(OR(B298="",A298=""),"",SUMIFS(Timesheet!$E$5:$E$1004,Timesheet!$C$5:$C$1004,B298,Timesheet!$A$5:$A$1004,A298))</f>
        <v/>
      </c>
      <c r="F298" s="38" t="n"/>
      <c r="G298" s="38" t="n"/>
      <c r="H298" s="38" t="n"/>
      <c r="I298" s="64">
        <f>IF(B298="","",IF(COUNTIF(Jobs!$A$5:$A$44,B298)=0,"Unknown Job ID",IF(A298="","Missing date","")))</f>
        <v/>
      </c>
    </row>
    <row r="299">
      <c r="A299" s="62" t="n"/>
      <c r="B299" s="38" t="n"/>
      <c r="C299" s="38" t="n"/>
      <c r="D299" s="38" t="n"/>
      <c r="E299" s="63">
        <f>IF(OR(B299="",A299=""),"",SUMIFS(Timesheet!$E$5:$E$1004,Timesheet!$C$5:$C$1004,B299,Timesheet!$A$5:$A$1004,A299))</f>
        <v/>
      </c>
      <c r="F299" s="38" t="n"/>
      <c r="G299" s="38" t="n"/>
      <c r="H299" s="38" t="n"/>
      <c r="I299" s="64">
        <f>IF(B299="","",IF(COUNTIF(Jobs!$A$5:$A$44,B299)=0,"Unknown Job ID",IF(A299="","Missing date","")))</f>
        <v/>
      </c>
    </row>
    <row r="300">
      <c r="A300" s="62" t="n"/>
      <c r="B300" s="38" t="n"/>
      <c r="C300" s="38" t="n"/>
      <c r="D300" s="38" t="n"/>
      <c r="E300" s="63">
        <f>IF(OR(B300="",A300=""),"",SUMIFS(Timesheet!$E$5:$E$1004,Timesheet!$C$5:$C$1004,B300,Timesheet!$A$5:$A$1004,A300))</f>
        <v/>
      </c>
      <c r="F300" s="38" t="n"/>
      <c r="G300" s="38" t="n"/>
      <c r="H300" s="38" t="n"/>
      <c r="I300" s="64">
        <f>IF(B300="","",IF(COUNTIF(Jobs!$A$5:$A$44,B300)=0,"Unknown Job ID",IF(A300="","Missing date","")))</f>
        <v/>
      </c>
    </row>
    <row r="301">
      <c r="A301" s="62" t="n"/>
      <c r="B301" s="38" t="n"/>
      <c r="C301" s="38" t="n"/>
      <c r="D301" s="38" t="n"/>
      <c r="E301" s="63">
        <f>IF(OR(B301="",A301=""),"",SUMIFS(Timesheet!$E$5:$E$1004,Timesheet!$C$5:$C$1004,B301,Timesheet!$A$5:$A$1004,A301))</f>
        <v/>
      </c>
      <c r="F301" s="38" t="n"/>
      <c r="G301" s="38" t="n"/>
      <c r="H301" s="38" t="n"/>
      <c r="I301" s="64">
        <f>IF(B301="","",IF(COUNTIF(Jobs!$A$5:$A$44,B301)=0,"Unknown Job ID",IF(A301="","Missing date","")))</f>
        <v/>
      </c>
    </row>
    <row r="302">
      <c r="A302" s="62" t="n"/>
      <c r="B302" s="38" t="n"/>
      <c r="C302" s="38" t="n"/>
      <c r="D302" s="38" t="n"/>
      <c r="E302" s="63">
        <f>IF(OR(B302="",A302=""),"",SUMIFS(Timesheet!$E$5:$E$1004,Timesheet!$C$5:$C$1004,B302,Timesheet!$A$5:$A$1004,A302))</f>
        <v/>
      </c>
      <c r="F302" s="38" t="n"/>
      <c r="G302" s="38" t="n"/>
      <c r="H302" s="38" t="n"/>
      <c r="I302" s="64">
        <f>IF(B302="","",IF(COUNTIF(Jobs!$A$5:$A$44,B302)=0,"Unknown Job ID",IF(A302="","Missing date","")))</f>
        <v/>
      </c>
    </row>
    <row r="303">
      <c r="A303" s="62" t="n"/>
      <c r="B303" s="38" t="n"/>
      <c r="C303" s="38" t="n"/>
      <c r="D303" s="38" t="n"/>
      <c r="E303" s="63">
        <f>IF(OR(B303="",A303=""),"",SUMIFS(Timesheet!$E$5:$E$1004,Timesheet!$C$5:$C$1004,B303,Timesheet!$A$5:$A$1004,A303))</f>
        <v/>
      </c>
      <c r="F303" s="38" t="n"/>
      <c r="G303" s="38" t="n"/>
      <c r="H303" s="38" t="n"/>
      <c r="I303" s="64">
        <f>IF(B303="","",IF(COUNTIF(Jobs!$A$5:$A$44,B303)=0,"Unknown Job ID",IF(A303="","Missing date","")))</f>
        <v/>
      </c>
    </row>
    <row r="304">
      <c r="A304" s="62" t="n"/>
      <c r="B304" s="38" t="n"/>
      <c r="C304" s="38" t="n"/>
      <c r="D304" s="38" t="n"/>
      <c r="E304" s="63">
        <f>IF(OR(B304="",A304=""),"",SUMIFS(Timesheet!$E$5:$E$1004,Timesheet!$C$5:$C$1004,B304,Timesheet!$A$5:$A$1004,A304))</f>
        <v/>
      </c>
      <c r="F304" s="38" t="n"/>
      <c r="G304" s="38" t="n"/>
      <c r="H304" s="38" t="n"/>
      <c r="I304" s="64">
        <f>IF(B304="","",IF(COUNTIF(Jobs!$A$5:$A$44,B304)=0,"Unknown Job ID",IF(A304="","Missing date","")))</f>
        <v/>
      </c>
    </row>
  </sheetData>
  <conditionalFormatting sqref="I5:I304">
    <cfRule type="expression" priority="1" dxfId="1">
      <formula>I5&lt;&gt;""</formula>
    </cfRule>
  </conditionalFormatting>
  <dataValidations count="2">
    <dataValidation sqref="B5:B304" showDropDown="0" showInputMessage="0" showErrorMessage="0" allowBlank="1" type="list">
      <formula1>=Jobs!$A$5:$A$44</formula1>
    </dataValidation>
    <dataValidation sqref="C5:C304" showDropDown="0" showInputMessage="0" showErrorMessage="0" allowBlank="1" type="list">
      <formula1>"Sunny,Cloudy,Rain,Snow,Wind,Extreme heat,Extreme cold"</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5.xml><?xml version="1.0" encoding="utf-8"?>
<worksheet xmlns="http://schemas.openxmlformats.org/spreadsheetml/2006/main">
  <sheetPr>
    <tabColor rgb="004A86C8"/>
    <outlinePr summaryBelow="1" summaryRight="1"/>
    <pageSetUpPr fitToPage="1"/>
  </sheetPr>
  <dimension ref="A1:M104"/>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8" customWidth="1" min="1" max="1"/>
    <col width="12" customWidth="1" min="2" max="2"/>
    <col width="12" customWidth="1" min="3" max="3"/>
    <col width="40" customWidth="1" min="4" max="4"/>
    <col width="12" customWidth="1" min="5" max="5"/>
    <col width="10" customWidth="1" min="6" max="6"/>
    <col width="16" customWidth="1" min="7" max="7"/>
    <col width="16" customWidth="1" min="8" max="8"/>
    <col width="14" customWidth="1" min="9" max="9"/>
    <col width="12" customWidth="1" min="10" max="10"/>
    <col width="14" customWidth="1" min="11" max="11"/>
    <col width="20" customWidth="1" min="12" max="12"/>
    <col width="26" customWidth="1" min="13" max="13"/>
  </cols>
  <sheetData>
    <row r="1">
      <c r="A1" s="13" t="inlineStr">
        <is>
          <t>Change Orders</t>
        </is>
      </c>
    </row>
    <row r="2">
      <c r="A2" s="14" t="inlineStr">
        <is>
          <t>Approved change orders add to the Revised Contract and the job budget. Pending and Rejected are ignored. Print a signature-ready form on the CO Form sheet.</t>
        </is>
      </c>
    </row>
    <row r="3">
      <c r="A3" s="14">
        <f>"Suggested next CO #: "&amp;(MAX(A5:A104)+1)</f>
        <v/>
      </c>
    </row>
    <row r="4" ht="30" customHeight="1">
      <c r="A4" s="24" t="inlineStr">
        <is>
          <t>CO #</t>
        </is>
      </c>
      <c r="B4" s="24" t="inlineStr">
        <is>
          <t>Job ID</t>
        </is>
      </c>
      <c r="C4" s="24" t="inlineStr">
        <is>
          <t>Date</t>
        </is>
      </c>
      <c r="D4" s="24" t="inlineStr">
        <is>
          <t>Description</t>
        </is>
      </c>
      <c r="E4" s="24" t="inlineStr">
        <is>
          <t>Status</t>
        </is>
      </c>
      <c r="F4" s="24" t="inlineStr">
        <is>
          <t>Markup %</t>
        </is>
      </c>
      <c r="G4" s="24" t="inlineStr">
        <is>
          <t>Added Cost (budget)</t>
        </is>
      </c>
      <c r="H4" s="24" t="inlineStr">
        <is>
          <t>Price to Client</t>
        </is>
      </c>
      <c r="I4" s="24" t="inlineStr">
        <is>
          <t>Added Profit</t>
        </is>
      </c>
      <c r="J4" s="24" t="inlineStr">
        <is>
          <t>Schedule impact (days)</t>
        </is>
      </c>
      <c r="K4" s="24" t="inlineStr">
        <is>
          <t>Client approved date</t>
        </is>
      </c>
      <c r="L4" s="24" t="inlineStr">
        <is>
          <t>Check</t>
        </is>
      </c>
      <c r="M4" s="24" t="inlineStr">
        <is>
          <t>Notes</t>
        </is>
      </c>
    </row>
    <row r="5">
      <c r="A5" s="35" t="n"/>
      <c r="B5" s="35" t="n"/>
      <c r="C5" s="40" t="n"/>
      <c r="D5" s="35" t="n"/>
      <c r="E5" s="35" t="n"/>
      <c r="F5" s="36" t="n"/>
      <c r="G5" s="37" t="n"/>
      <c r="H5" s="39">
        <f>IF(B5="","",G5*(1+IF(F5="",Settings!$B$27,F5)))</f>
        <v/>
      </c>
      <c r="I5" s="39">
        <f>IF(B5="","",H5-G5)</f>
        <v/>
      </c>
      <c r="J5" s="35" t="n"/>
      <c r="K5" s="40" t="n"/>
      <c r="L5" s="9">
        <f>IF(B5="","",IF(COUNTIF(Jobs!$A$5:$A$44,B5)=0,"Unknown Job ID",IF(COUNTIF('Change Orders'!$A$5:$A$104,A5)&gt;1,"Duplicate CO #",IF(E5="","Missing status",IF(AND(E5="Approved",K5=""),"Approved without client date","")))))</f>
        <v/>
      </c>
      <c r="M5" s="35" t="n"/>
    </row>
    <row r="6">
      <c r="A6" s="35" t="n"/>
      <c r="B6" s="35" t="n"/>
      <c r="C6" s="40" t="n"/>
      <c r="D6" s="35" t="n"/>
      <c r="E6" s="35" t="n"/>
      <c r="F6" s="36" t="n"/>
      <c r="G6" s="37" t="n"/>
      <c r="H6" s="39">
        <f>IF(B6="","",G6*(1+IF(F6="",Settings!$B$27,F6)))</f>
        <v/>
      </c>
      <c r="I6" s="39">
        <f>IF(B6="","",H6-G6)</f>
        <v/>
      </c>
      <c r="J6" s="35" t="n"/>
      <c r="K6" s="40" t="n"/>
      <c r="L6" s="9">
        <f>IF(B6="","",IF(COUNTIF(Jobs!$A$5:$A$44,B6)=0,"Unknown Job ID",IF(COUNTIF('Change Orders'!$A$5:$A$104,A6)&gt;1,"Duplicate CO #",IF(E6="","Missing status",IF(AND(E6="Approved",K6=""),"Approved without client date","")))))</f>
        <v/>
      </c>
      <c r="M6" s="35" t="n"/>
    </row>
    <row r="7">
      <c r="A7" s="35" t="n"/>
      <c r="B7" s="35" t="n"/>
      <c r="C7" s="40" t="n"/>
      <c r="D7" s="35" t="n"/>
      <c r="E7" s="35" t="n"/>
      <c r="F7" s="36" t="n"/>
      <c r="G7" s="37" t="n"/>
      <c r="H7" s="39">
        <f>IF(B7="","",G7*(1+IF(F7="",Settings!$B$27,F7)))</f>
        <v/>
      </c>
      <c r="I7" s="39">
        <f>IF(B7="","",H7-G7)</f>
        <v/>
      </c>
      <c r="J7" s="35" t="n"/>
      <c r="K7" s="40" t="n"/>
      <c r="L7" s="9">
        <f>IF(B7="","",IF(COUNTIF(Jobs!$A$5:$A$44,B7)=0,"Unknown Job ID",IF(COUNTIF('Change Orders'!$A$5:$A$104,A7)&gt;1,"Duplicate CO #",IF(E7="","Missing status",IF(AND(E7="Approved",K7=""),"Approved without client date","")))))</f>
        <v/>
      </c>
      <c r="M7" s="35" t="n"/>
    </row>
    <row r="8">
      <c r="A8" s="35" t="n"/>
      <c r="B8" s="35" t="n"/>
      <c r="C8" s="40" t="n"/>
      <c r="D8" s="35" t="n"/>
      <c r="E8" s="35" t="n"/>
      <c r="F8" s="36" t="n"/>
      <c r="G8" s="37" t="n"/>
      <c r="H8" s="39">
        <f>IF(B8="","",G8*(1+IF(F8="",Settings!$B$27,F8)))</f>
        <v/>
      </c>
      <c r="I8" s="39">
        <f>IF(B8="","",H8-G8)</f>
        <v/>
      </c>
      <c r="J8" s="35" t="n"/>
      <c r="K8" s="40" t="n"/>
      <c r="L8" s="9">
        <f>IF(B8="","",IF(COUNTIF(Jobs!$A$5:$A$44,B8)=0,"Unknown Job ID",IF(COUNTIF('Change Orders'!$A$5:$A$104,A8)&gt;1,"Duplicate CO #",IF(E8="","Missing status",IF(AND(E8="Approved",K8=""),"Approved without client date","")))))</f>
        <v/>
      </c>
      <c r="M8" s="35" t="n"/>
    </row>
    <row r="9">
      <c r="A9" s="35" t="n"/>
      <c r="B9" s="35" t="n"/>
      <c r="C9" s="40" t="n"/>
      <c r="D9" s="35" t="n"/>
      <c r="E9" s="35" t="n"/>
      <c r="F9" s="36" t="n"/>
      <c r="G9" s="37" t="n"/>
      <c r="H9" s="39">
        <f>IF(B9="","",G9*(1+IF(F9="",Settings!$B$27,F9)))</f>
        <v/>
      </c>
      <c r="I9" s="39">
        <f>IF(B9="","",H9-G9)</f>
        <v/>
      </c>
      <c r="J9" s="35" t="n"/>
      <c r="K9" s="40" t="n"/>
      <c r="L9" s="9">
        <f>IF(B9="","",IF(COUNTIF(Jobs!$A$5:$A$44,B9)=0,"Unknown Job ID",IF(COUNTIF('Change Orders'!$A$5:$A$104,A9)&gt;1,"Duplicate CO #",IF(E9="","Missing status",IF(AND(E9="Approved",K9=""),"Approved without client date","")))))</f>
        <v/>
      </c>
      <c r="M9" s="35" t="n"/>
    </row>
    <row r="10">
      <c r="A10" s="35" t="n"/>
      <c r="B10" s="35" t="n"/>
      <c r="C10" s="40" t="n"/>
      <c r="D10" s="35" t="n"/>
      <c r="E10" s="35" t="n"/>
      <c r="F10" s="36" t="n"/>
      <c r="G10" s="37" t="n"/>
      <c r="H10" s="39">
        <f>IF(B10="","",G10*(1+IF(F10="",Settings!$B$27,F10)))</f>
        <v/>
      </c>
      <c r="I10" s="39">
        <f>IF(B10="","",H10-G10)</f>
        <v/>
      </c>
      <c r="J10" s="35" t="n"/>
      <c r="K10" s="40" t="n"/>
      <c r="L10" s="9">
        <f>IF(B10="","",IF(COUNTIF(Jobs!$A$5:$A$44,B10)=0,"Unknown Job ID",IF(COUNTIF('Change Orders'!$A$5:$A$104,A10)&gt;1,"Duplicate CO #",IF(E10="","Missing status",IF(AND(E10="Approved",K10=""),"Approved without client date","")))))</f>
        <v/>
      </c>
      <c r="M10" s="35" t="n"/>
    </row>
    <row r="11">
      <c r="A11" s="35" t="n"/>
      <c r="B11" s="35" t="n"/>
      <c r="C11" s="40" t="n"/>
      <c r="D11" s="35" t="n"/>
      <c r="E11" s="35" t="n"/>
      <c r="F11" s="36" t="n"/>
      <c r="G11" s="37" t="n"/>
      <c r="H11" s="39">
        <f>IF(B11="","",G11*(1+IF(F11="",Settings!$B$27,F11)))</f>
        <v/>
      </c>
      <c r="I11" s="39">
        <f>IF(B11="","",H11-G11)</f>
        <v/>
      </c>
      <c r="J11" s="35" t="n"/>
      <c r="K11" s="40" t="n"/>
      <c r="L11" s="9">
        <f>IF(B11="","",IF(COUNTIF(Jobs!$A$5:$A$44,B11)=0,"Unknown Job ID",IF(COUNTIF('Change Orders'!$A$5:$A$104,A11)&gt;1,"Duplicate CO #",IF(E11="","Missing status",IF(AND(E11="Approved",K11=""),"Approved without client date","")))))</f>
        <v/>
      </c>
      <c r="M11" s="35" t="n"/>
    </row>
    <row r="12">
      <c r="A12" s="35" t="n"/>
      <c r="B12" s="35" t="n"/>
      <c r="C12" s="40" t="n"/>
      <c r="D12" s="35" t="n"/>
      <c r="E12" s="35" t="n"/>
      <c r="F12" s="36" t="n"/>
      <c r="G12" s="37" t="n"/>
      <c r="H12" s="39">
        <f>IF(B12="","",G12*(1+IF(F12="",Settings!$B$27,F12)))</f>
        <v/>
      </c>
      <c r="I12" s="39">
        <f>IF(B12="","",H12-G12)</f>
        <v/>
      </c>
      <c r="J12" s="35" t="n"/>
      <c r="K12" s="40" t="n"/>
      <c r="L12" s="9">
        <f>IF(B12="","",IF(COUNTIF(Jobs!$A$5:$A$44,B12)=0,"Unknown Job ID",IF(COUNTIF('Change Orders'!$A$5:$A$104,A12)&gt;1,"Duplicate CO #",IF(E12="","Missing status",IF(AND(E12="Approved",K12=""),"Approved without client date","")))))</f>
        <v/>
      </c>
      <c r="M12" s="35" t="n"/>
    </row>
    <row r="13">
      <c r="A13" s="35" t="n"/>
      <c r="B13" s="35" t="n"/>
      <c r="C13" s="40" t="n"/>
      <c r="D13" s="35" t="n"/>
      <c r="E13" s="35" t="n"/>
      <c r="F13" s="36" t="n"/>
      <c r="G13" s="37" t="n"/>
      <c r="H13" s="39">
        <f>IF(B13="","",G13*(1+IF(F13="",Settings!$B$27,F13)))</f>
        <v/>
      </c>
      <c r="I13" s="39">
        <f>IF(B13="","",H13-G13)</f>
        <v/>
      </c>
      <c r="J13" s="35" t="n"/>
      <c r="K13" s="40" t="n"/>
      <c r="L13" s="9">
        <f>IF(B13="","",IF(COUNTIF(Jobs!$A$5:$A$44,B13)=0,"Unknown Job ID",IF(COUNTIF('Change Orders'!$A$5:$A$104,A13)&gt;1,"Duplicate CO #",IF(E13="","Missing status",IF(AND(E13="Approved",K13=""),"Approved without client date","")))))</f>
        <v/>
      </c>
      <c r="M13" s="35" t="n"/>
    </row>
    <row r="14">
      <c r="A14" s="35" t="n"/>
      <c r="B14" s="35" t="n"/>
      <c r="C14" s="40" t="n"/>
      <c r="D14" s="35" t="n"/>
      <c r="E14" s="35" t="n"/>
      <c r="F14" s="36" t="n"/>
      <c r="G14" s="37" t="n"/>
      <c r="H14" s="39">
        <f>IF(B14="","",G14*(1+IF(F14="",Settings!$B$27,F14)))</f>
        <v/>
      </c>
      <c r="I14" s="39">
        <f>IF(B14="","",H14-G14)</f>
        <v/>
      </c>
      <c r="J14" s="35" t="n"/>
      <c r="K14" s="40" t="n"/>
      <c r="L14" s="9">
        <f>IF(B14="","",IF(COUNTIF(Jobs!$A$5:$A$44,B14)=0,"Unknown Job ID",IF(COUNTIF('Change Orders'!$A$5:$A$104,A14)&gt;1,"Duplicate CO #",IF(E14="","Missing status",IF(AND(E14="Approved",K14=""),"Approved without client date","")))))</f>
        <v/>
      </c>
      <c r="M14" s="35" t="n"/>
    </row>
    <row r="15">
      <c r="A15" s="35" t="n"/>
      <c r="B15" s="35" t="n"/>
      <c r="C15" s="40" t="n"/>
      <c r="D15" s="35" t="n"/>
      <c r="E15" s="35" t="n"/>
      <c r="F15" s="36" t="n"/>
      <c r="G15" s="37" t="n"/>
      <c r="H15" s="39">
        <f>IF(B15="","",G15*(1+IF(F15="",Settings!$B$27,F15)))</f>
        <v/>
      </c>
      <c r="I15" s="39">
        <f>IF(B15="","",H15-G15)</f>
        <v/>
      </c>
      <c r="J15" s="35" t="n"/>
      <c r="K15" s="40" t="n"/>
      <c r="L15" s="9">
        <f>IF(B15="","",IF(COUNTIF(Jobs!$A$5:$A$44,B15)=0,"Unknown Job ID",IF(COUNTIF('Change Orders'!$A$5:$A$104,A15)&gt;1,"Duplicate CO #",IF(E15="","Missing status",IF(AND(E15="Approved",K15=""),"Approved without client date","")))))</f>
        <v/>
      </c>
      <c r="M15" s="35" t="n"/>
    </row>
    <row r="16">
      <c r="A16" s="35" t="n"/>
      <c r="B16" s="35" t="n"/>
      <c r="C16" s="40" t="n"/>
      <c r="D16" s="35" t="n"/>
      <c r="E16" s="35" t="n"/>
      <c r="F16" s="36" t="n"/>
      <c r="G16" s="37" t="n"/>
      <c r="H16" s="39">
        <f>IF(B16="","",G16*(1+IF(F16="",Settings!$B$27,F16)))</f>
        <v/>
      </c>
      <c r="I16" s="39">
        <f>IF(B16="","",H16-G16)</f>
        <v/>
      </c>
      <c r="J16" s="35" t="n"/>
      <c r="K16" s="40" t="n"/>
      <c r="L16" s="9">
        <f>IF(B16="","",IF(COUNTIF(Jobs!$A$5:$A$44,B16)=0,"Unknown Job ID",IF(COUNTIF('Change Orders'!$A$5:$A$104,A16)&gt;1,"Duplicate CO #",IF(E16="","Missing status",IF(AND(E16="Approved",K16=""),"Approved without client date","")))))</f>
        <v/>
      </c>
      <c r="M16" s="35" t="n"/>
    </row>
    <row r="17">
      <c r="A17" s="35" t="n"/>
      <c r="B17" s="35" t="n"/>
      <c r="C17" s="40" t="n"/>
      <c r="D17" s="35" t="n"/>
      <c r="E17" s="35" t="n"/>
      <c r="F17" s="36" t="n"/>
      <c r="G17" s="37" t="n"/>
      <c r="H17" s="39">
        <f>IF(B17="","",G17*(1+IF(F17="",Settings!$B$27,F17)))</f>
        <v/>
      </c>
      <c r="I17" s="39">
        <f>IF(B17="","",H17-G17)</f>
        <v/>
      </c>
      <c r="J17" s="35" t="n"/>
      <c r="K17" s="40" t="n"/>
      <c r="L17" s="9">
        <f>IF(B17="","",IF(COUNTIF(Jobs!$A$5:$A$44,B17)=0,"Unknown Job ID",IF(COUNTIF('Change Orders'!$A$5:$A$104,A17)&gt;1,"Duplicate CO #",IF(E17="","Missing status",IF(AND(E17="Approved",K17=""),"Approved without client date","")))))</f>
        <v/>
      </c>
      <c r="M17" s="35" t="n"/>
    </row>
    <row r="18">
      <c r="A18" s="35" t="n"/>
      <c r="B18" s="35" t="n"/>
      <c r="C18" s="40" t="n"/>
      <c r="D18" s="35" t="n"/>
      <c r="E18" s="35" t="n"/>
      <c r="F18" s="36" t="n"/>
      <c r="G18" s="37" t="n"/>
      <c r="H18" s="39">
        <f>IF(B18="","",G18*(1+IF(F18="",Settings!$B$27,F18)))</f>
        <v/>
      </c>
      <c r="I18" s="39">
        <f>IF(B18="","",H18-G18)</f>
        <v/>
      </c>
      <c r="J18" s="35" t="n"/>
      <c r="K18" s="40" t="n"/>
      <c r="L18" s="9">
        <f>IF(B18="","",IF(COUNTIF(Jobs!$A$5:$A$44,B18)=0,"Unknown Job ID",IF(COUNTIF('Change Orders'!$A$5:$A$104,A18)&gt;1,"Duplicate CO #",IF(E18="","Missing status",IF(AND(E18="Approved",K18=""),"Approved without client date","")))))</f>
        <v/>
      </c>
      <c r="M18" s="35" t="n"/>
    </row>
    <row r="19">
      <c r="A19" s="35" t="n"/>
      <c r="B19" s="35" t="n"/>
      <c r="C19" s="40" t="n"/>
      <c r="D19" s="35" t="n"/>
      <c r="E19" s="35" t="n"/>
      <c r="F19" s="36" t="n"/>
      <c r="G19" s="37" t="n"/>
      <c r="H19" s="39">
        <f>IF(B19="","",G19*(1+IF(F19="",Settings!$B$27,F19)))</f>
        <v/>
      </c>
      <c r="I19" s="39">
        <f>IF(B19="","",H19-G19)</f>
        <v/>
      </c>
      <c r="J19" s="35" t="n"/>
      <c r="K19" s="40" t="n"/>
      <c r="L19" s="9">
        <f>IF(B19="","",IF(COUNTIF(Jobs!$A$5:$A$44,B19)=0,"Unknown Job ID",IF(COUNTIF('Change Orders'!$A$5:$A$104,A19)&gt;1,"Duplicate CO #",IF(E19="","Missing status",IF(AND(E19="Approved",K19=""),"Approved without client date","")))))</f>
        <v/>
      </c>
      <c r="M19" s="35" t="n"/>
    </row>
    <row r="20">
      <c r="A20" s="35" t="n"/>
      <c r="B20" s="35" t="n"/>
      <c r="C20" s="40" t="n"/>
      <c r="D20" s="35" t="n"/>
      <c r="E20" s="35" t="n"/>
      <c r="F20" s="36" t="n"/>
      <c r="G20" s="37" t="n"/>
      <c r="H20" s="39">
        <f>IF(B20="","",G20*(1+IF(F20="",Settings!$B$27,F20)))</f>
        <v/>
      </c>
      <c r="I20" s="39">
        <f>IF(B20="","",H20-G20)</f>
        <v/>
      </c>
      <c r="J20" s="35" t="n"/>
      <c r="K20" s="40" t="n"/>
      <c r="L20" s="9">
        <f>IF(B20="","",IF(COUNTIF(Jobs!$A$5:$A$44,B20)=0,"Unknown Job ID",IF(COUNTIF('Change Orders'!$A$5:$A$104,A20)&gt;1,"Duplicate CO #",IF(E20="","Missing status",IF(AND(E20="Approved",K20=""),"Approved without client date","")))))</f>
        <v/>
      </c>
      <c r="M20" s="35" t="n"/>
    </row>
    <row r="21">
      <c r="A21" s="35" t="n"/>
      <c r="B21" s="35" t="n"/>
      <c r="C21" s="40" t="n"/>
      <c r="D21" s="35" t="n"/>
      <c r="E21" s="35" t="n"/>
      <c r="F21" s="36" t="n"/>
      <c r="G21" s="37" t="n"/>
      <c r="H21" s="39">
        <f>IF(B21="","",G21*(1+IF(F21="",Settings!$B$27,F21)))</f>
        <v/>
      </c>
      <c r="I21" s="39">
        <f>IF(B21="","",H21-G21)</f>
        <v/>
      </c>
      <c r="J21" s="35" t="n"/>
      <c r="K21" s="40" t="n"/>
      <c r="L21" s="9">
        <f>IF(B21="","",IF(COUNTIF(Jobs!$A$5:$A$44,B21)=0,"Unknown Job ID",IF(COUNTIF('Change Orders'!$A$5:$A$104,A21)&gt;1,"Duplicate CO #",IF(E21="","Missing status",IF(AND(E21="Approved",K21=""),"Approved without client date","")))))</f>
        <v/>
      </c>
      <c r="M21" s="35" t="n"/>
    </row>
    <row r="22">
      <c r="A22" s="35" t="n"/>
      <c r="B22" s="35" t="n"/>
      <c r="C22" s="40" t="n"/>
      <c r="D22" s="35" t="n"/>
      <c r="E22" s="35" t="n"/>
      <c r="F22" s="36" t="n"/>
      <c r="G22" s="37" t="n"/>
      <c r="H22" s="39">
        <f>IF(B22="","",G22*(1+IF(F22="",Settings!$B$27,F22)))</f>
        <v/>
      </c>
      <c r="I22" s="39">
        <f>IF(B22="","",H22-G22)</f>
        <v/>
      </c>
      <c r="J22" s="35" t="n"/>
      <c r="K22" s="40" t="n"/>
      <c r="L22" s="9">
        <f>IF(B22="","",IF(COUNTIF(Jobs!$A$5:$A$44,B22)=0,"Unknown Job ID",IF(COUNTIF('Change Orders'!$A$5:$A$104,A22)&gt;1,"Duplicate CO #",IF(E22="","Missing status",IF(AND(E22="Approved",K22=""),"Approved without client date","")))))</f>
        <v/>
      </c>
      <c r="M22" s="35" t="n"/>
    </row>
    <row r="23">
      <c r="A23" s="35" t="n"/>
      <c r="B23" s="35" t="n"/>
      <c r="C23" s="40" t="n"/>
      <c r="D23" s="35" t="n"/>
      <c r="E23" s="35" t="n"/>
      <c r="F23" s="36" t="n"/>
      <c r="G23" s="37" t="n"/>
      <c r="H23" s="39">
        <f>IF(B23="","",G23*(1+IF(F23="",Settings!$B$27,F23)))</f>
        <v/>
      </c>
      <c r="I23" s="39">
        <f>IF(B23="","",H23-G23)</f>
        <v/>
      </c>
      <c r="J23" s="35" t="n"/>
      <c r="K23" s="40" t="n"/>
      <c r="L23" s="9">
        <f>IF(B23="","",IF(COUNTIF(Jobs!$A$5:$A$44,B23)=0,"Unknown Job ID",IF(COUNTIF('Change Orders'!$A$5:$A$104,A23)&gt;1,"Duplicate CO #",IF(E23="","Missing status",IF(AND(E23="Approved",K23=""),"Approved without client date","")))))</f>
        <v/>
      </c>
      <c r="M23" s="35" t="n"/>
    </row>
    <row r="24">
      <c r="A24" s="35" t="n"/>
      <c r="B24" s="35" t="n"/>
      <c r="C24" s="40" t="n"/>
      <c r="D24" s="35" t="n"/>
      <c r="E24" s="35" t="n"/>
      <c r="F24" s="36" t="n"/>
      <c r="G24" s="37" t="n"/>
      <c r="H24" s="39">
        <f>IF(B24="","",G24*(1+IF(F24="",Settings!$B$27,F24)))</f>
        <v/>
      </c>
      <c r="I24" s="39">
        <f>IF(B24="","",H24-G24)</f>
        <v/>
      </c>
      <c r="J24" s="35" t="n"/>
      <c r="K24" s="40" t="n"/>
      <c r="L24" s="9">
        <f>IF(B24="","",IF(COUNTIF(Jobs!$A$5:$A$44,B24)=0,"Unknown Job ID",IF(COUNTIF('Change Orders'!$A$5:$A$104,A24)&gt;1,"Duplicate CO #",IF(E24="","Missing status",IF(AND(E24="Approved",K24=""),"Approved without client date","")))))</f>
        <v/>
      </c>
      <c r="M24" s="35" t="n"/>
    </row>
    <row r="25">
      <c r="A25" s="35" t="n"/>
      <c r="B25" s="35" t="n"/>
      <c r="C25" s="40" t="n"/>
      <c r="D25" s="35" t="n"/>
      <c r="E25" s="35" t="n"/>
      <c r="F25" s="36" t="n"/>
      <c r="G25" s="37" t="n"/>
      <c r="H25" s="39">
        <f>IF(B25="","",G25*(1+IF(F25="",Settings!$B$27,F25)))</f>
        <v/>
      </c>
      <c r="I25" s="39">
        <f>IF(B25="","",H25-G25)</f>
        <v/>
      </c>
      <c r="J25" s="35" t="n"/>
      <c r="K25" s="40" t="n"/>
      <c r="L25" s="9">
        <f>IF(B25="","",IF(COUNTIF(Jobs!$A$5:$A$44,B25)=0,"Unknown Job ID",IF(COUNTIF('Change Orders'!$A$5:$A$104,A25)&gt;1,"Duplicate CO #",IF(E25="","Missing status",IF(AND(E25="Approved",K25=""),"Approved without client date","")))))</f>
        <v/>
      </c>
      <c r="M25" s="35" t="n"/>
    </row>
    <row r="26">
      <c r="A26" s="35" t="n"/>
      <c r="B26" s="35" t="n"/>
      <c r="C26" s="40" t="n"/>
      <c r="D26" s="35" t="n"/>
      <c r="E26" s="35" t="n"/>
      <c r="F26" s="36" t="n"/>
      <c r="G26" s="37" t="n"/>
      <c r="H26" s="39">
        <f>IF(B26="","",G26*(1+IF(F26="",Settings!$B$27,F26)))</f>
        <v/>
      </c>
      <c r="I26" s="39">
        <f>IF(B26="","",H26-G26)</f>
        <v/>
      </c>
      <c r="J26" s="35" t="n"/>
      <c r="K26" s="40" t="n"/>
      <c r="L26" s="9">
        <f>IF(B26="","",IF(COUNTIF(Jobs!$A$5:$A$44,B26)=0,"Unknown Job ID",IF(COUNTIF('Change Orders'!$A$5:$A$104,A26)&gt;1,"Duplicate CO #",IF(E26="","Missing status",IF(AND(E26="Approved",K26=""),"Approved without client date","")))))</f>
        <v/>
      </c>
      <c r="M26" s="35" t="n"/>
    </row>
    <row r="27">
      <c r="A27" s="35" t="n"/>
      <c r="B27" s="35" t="n"/>
      <c r="C27" s="40" t="n"/>
      <c r="D27" s="35" t="n"/>
      <c r="E27" s="35" t="n"/>
      <c r="F27" s="36" t="n"/>
      <c r="G27" s="37" t="n"/>
      <c r="H27" s="39">
        <f>IF(B27="","",G27*(1+IF(F27="",Settings!$B$27,F27)))</f>
        <v/>
      </c>
      <c r="I27" s="39">
        <f>IF(B27="","",H27-G27)</f>
        <v/>
      </c>
      <c r="J27" s="35" t="n"/>
      <c r="K27" s="40" t="n"/>
      <c r="L27" s="9">
        <f>IF(B27="","",IF(COUNTIF(Jobs!$A$5:$A$44,B27)=0,"Unknown Job ID",IF(COUNTIF('Change Orders'!$A$5:$A$104,A27)&gt;1,"Duplicate CO #",IF(E27="","Missing status",IF(AND(E27="Approved",K27=""),"Approved without client date","")))))</f>
        <v/>
      </c>
      <c r="M27" s="35" t="n"/>
    </row>
    <row r="28">
      <c r="A28" s="35" t="n"/>
      <c r="B28" s="35" t="n"/>
      <c r="C28" s="40" t="n"/>
      <c r="D28" s="35" t="n"/>
      <c r="E28" s="35" t="n"/>
      <c r="F28" s="36" t="n"/>
      <c r="G28" s="37" t="n"/>
      <c r="H28" s="39">
        <f>IF(B28="","",G28*(1+IF(F28="",Settings!$B$27,F28)))</f>
        <v/>
      </c>
      <c r="I28" s="39">
        <f>IF(B28="","",H28-G28)</f>
        <v/>
      </c>
      <c r="J28" s="35" t="n"/>
      <c r="K28" s="40" t="n"/>
      <c r="L28" s="9">
        <f>IF(B28="","",IF(COUNTIF(Jobs!$A$5:$A$44,B28)=0,"Unknown Job ID",IF(COUNTIF('Change Orders'!$A$5:$A$104,A28)&gt;1,"Duplicate CO #",IF(E28="","Missing status",IF(AND(E28="Approved",K28=""),"Approved without client date","")))))</f>
        <v/>
      </c>
      <c r="M28" s="35" t="n"/>
    </row>
    <row r="29">
      <c r="A29" s="35" t="n"/>
      <c r="B29" s="35" t="n"/>
      <c r="C29" s="40" t="n"/>
      <c r="D29" s="35" t="n"/>
      <c r="E29" s="35" t="n"/>
      <c r="F29" s="36" t="n"/>
      <c r="G29" s="37" t="n"/>
      <c r="H29" s="39">
        <f>IF(B29="","",G29*(1+IF(F29="",Settings!$B$27,F29)))</f>
        <v/>
      </c>
      <c r="I29" s="39">
        <f>IF(B29="","",H29-G29)</f>
        <v/>
      </c>
      <c r="J29" s="35" t="n"/>
      <c r="K29" s="40" t="n"/>
      <c r="L29" s="9">
        <f>IF(B29="","",IF(COUNTIF(Jobs!$A$5:$A$44,B29)=0,"Unknown Job ID",IF(COUNTIF('Change Orders'!$A$5:$A$104,A29)&gt;1,"Duplicate CO #",IF(E29="","Missing status",IF(AND(E29="Approved",K29=""),"Approved without client date","")))))</f>
        <v/>
      </c>
      <c r="M29" s="35" t="n"/>
    </row>
    <row r="30">
      <c r="A30" s="35" t="n"/>
      <c r="B30" s="35" t="n"/>
      <c r="C30" s="40" t="n"/>
      <c r="D30" s="35" t="n"/>
      <c r="E30" s="35" t="n"/>
      <c r="F30" s="36" t="n"/>
      <c r="G30" s="37" t="n"/>
      <c r="H30" s="39">
        <f>IF(B30="","",G30*(1+IF(F30="",Settings!$B$27,F30)))</f>
        <v/>
      </c>
      <c r="I30" s="39">
        <f>IF(B30="","",H30-G30)</f>
        <v/>
      </c>
      <c r="J30" s="35" t="n"/>
      <c r="K30" s="40" t="n"/>
      <c r="L30" s="9">
        <f>IF(B30="","",IF(COUNTIF(Jobs!$A$5:$A$44,B30)=0,"Unknown Job ID",IF(COUNTIF('Change Orders'!$A$5:$A$104,A30)&gt;1,"Duplicate CO #",IF(E30="","Missing status",IF(AND(E30="Approved",K30=""),"Approved without client date","")))))</f>
        <v/>
      </c>
      <c r="M30" s="35" t="n"/>
    </row>
    <row r="31">
      <c r="A31" s="35" t="n"/>
      <c r="B31" s="35" t="n"/>
      <c r="C31" s="40" t="n"/>
      <c r="D31" s="35" t="n"/>
      <c r="E31" s="35" t="n"/>
      <c r="F31" s="36" t="n"/>
      <c r="G31" s="37" t="n"/>
      <c r="H31" s="39">
        <f>IF(B31="","",G31*(1+IF(F31="",Settings!$B$27,F31)))</f>
        <v/>
      </c>
      <c r="I31" s="39">
        <f>IF(B31="","",H31-G31)</f>
        <v/>
      </c>
      <c r="J31" s="35" t="n"/>
      <c r="K31" s="40" t="n"/>
      <c r="L31" s="9">
        <f>IF(B31="","",IF(COUNTIF(Jobs!$A$5:$A$44,B31)=0,"Unknown Job ID",IF(COUNTIF('Change Orders'!$A$5:$A$104,A31)&gt;1,"Duplicate CO #",IF(E31="","Missing status",IF(AND(E31="Approved",K31=""),"Approved without client date","")))))</f>
        <v/>
      </c>
      <c r="M31" s="35" t="n"/>
    </row>
    <row r="32">
      <c r="A32" s="35" t="n"/>
      <c r="B32" s="35" t="n"/>
      <c r="C32" s="40" t="n"/>
      <c r="D32" s="35" t="n"/>
      <c r="E32" s="35" t="n"/>
      <c r="F32" s="36" t="n"/>
      <c r="G32" s="37" t="n"/>
      <c r="H32" s="39">
        <f>IF(B32="","",G32*(1+IF(F32="",Settings!$B$27,F32)))</f>
        <v/>
      </c>
      <c r="I32" s="39">
        <f>IF(B32="","",H32-G32)</f>
        <v/>
      </c>
      <c r="J32" s="35" t="n"/>
      <c r="K32" s="40" t="n"/>
      <c r="L32" s="9">
        <f>IF(B32="","",IF(COUNTIF(Jobs!$A$5:$A$44,B32)=0,"Unknown Job ID",IF(COUNTIF('Change Orders'!$A$5:$A$104,A32)&gt;1,"Duplicate CO #",IF(E32="","Missing status",IF(AND(E32="Approved",K32=""),"Approved without client date","")))))</f>
        <v/>
      </c>
      <c r="M32" s="35" t="n"/>
    </row>
    <row r="33">
      <c r="A33" s="35" t="n"/>
      <c r="B33" s="35" t="n"/>
      <c r="C33" s="40" t="n"/>
      <c r="D33" s="35" t="n"/>
      <c r="E33" s="35" t="n"/>
      <c r="F33" s="36" t="n"/>
      <c r="G33" s="37" t="n"/>
      <c r="H33" s="39">
        <f>IF(B33="","",G33*(1+IF(F33="",Settings!$B$27,F33)))</f>
        <v/>
      </c>
      <c r="I33" s="39">
        <f>IF(B33="","",H33-G33)</f>
        <v/>
      </c>
      <c r="J33" s="35" t="n"/>
      <c r="K33" s="40" t="n"/>
      <c r="L33" s="9">
        <f>IF(B33="","",IF(COUNTIF(Jobs!$A$5:$A$44,B33)=0,"Unknown Job ID",IF(COUNTIF('Change Orders'!$A$5:$A$104,A33)&gt;1,"Duplicate CO #",IF(E33="","Missing status",IF(AND(E33="Approved",K33=""),"Approved without client date","")))))</f>
        <v/>
      </c>
      <c r="M33" s="35" t="n"/>
    </row>
    <row r="34">
      <c r="A34" s="35" t="n"/>
      <c r="B34" s="35" t="n"/>
      <c r="C34" s="40" t="n"/>
      <c r="D34" s="35" t="n"/>
      <c r="E34" s="35" t="n"/>
      <c r="F34" s="36" t="n"/>
      <c r="G34" s="37" t="n"/>
      <c r="H34" s="39">
        <f>IF(B34="","",G34*(1+IF(F34="",Settings!$B$27,F34)))</f>
        <v/>
      </c>
      <c r="I34" s="39">
        <f>IF(B34="","",H34-G34)</f>
        <v/>
      </c>
      <c r="J34" s="35" t="n"/>
      <c r="K34" s="40" t="n"/>
      <c r="L34" s="9">
        <f>IF(B34="","",IF(COUNTIF(Jobs!$A$5:$A$44,B34)=0,"Unknown Job ID",IF(COUNTIF('Change Orders'!$A$5:$A$104,A34)&gt;1,"Duplicate CO #",IF(E34="","Missing status",IF(AND(E34="Approved",K34=""),"Approved without client date","")))))</f>
        <v/>
      </c>
      <c r="M34" s="35" t="n"/>
    </row>
    <row r="35">
      <c r="A35" s="35" t="n"/>
      <c r="B35" s="35" t="n"/>
      <c r="C35" s="40" t="n"/>
      <c r="D35" s="35" t="n"/>
      <c r="E35" s="35" t="n"/>
      <c r="F35" s="36" t="n"/>
      <c r="G35" s="37" t="n"/>
      <c r="H35" s="39">
        <f>IF(B35="","",G35*(1+IF(F35="",Settings!$B$27,F35)))</f>
        <v/>
      </c>
      <c r="I35" s="39">
        <f>IF(B35="","",H35-G35)</f>
        <v/>
      </c>
      <c r="J35" s="35" t="n"/>
      <c r="K35" s="40" t="n"/>
      <c r="L35" s="9">
        <f>IF(B35="","",IF(COUNTIF(Jobs!$A$5:$A$44,B35)=0,"Unknown Job ID",IF(COUNTIF('Change Orders'!$A$5:$A$104,A35)&gt;1,"Duplicate CO #",IF(E35="","Missing status",IF(AND(E35="Approved",K35=""),"Approved without client date","")))))</f>
        <v/>
      </c>
      <c r="M35" s="35" t="n"/>
    </row>
    <row r="36">
      <c r="A36" s="35" t="n"/>
      <c r="B36" s="35" t="n"/>
      <c r="C36" s="40" t="n"/>
      <c r="D36" s="35" t="n"/>
      <c r="E36" s="35" t="n"/>
      <c r="F36" s="36" t="n"/>
      <c r="G36" s="37" t="n"/>
      <c r="H36" s="39">
        <f>IF(B36="","",G36*(1+IF(F36="",Settings!$B$27,F36)))</f>
        <v/>
      </c>
      <c r="I36" s="39">
        <f>IF(B36="","",H36-G36)</f>
        <v/>
      </c>
      <c r="J36" s="35" t="n"/>
      <c r="K36" s="40" t="n"/>
      <c r="L36" s="9">
        <f>IF(B36="","",IF(COUNTIF(Jobs!$A$5:$A$44,B36)=0,"Unknown Job ID",IF(COUNTIF('Change Orders'!$A$5:$A$104,A36)&gt;1,"Duplicate CO #",IF(E36="","Missing status",IF(AND(E36="Approved",K36=""),"Approved without client date","")))))</f>
        <v/>
      </c>
      <c r="M36" s="35" t="n"/>
    </row>
    <row r="37">
      <c r="A37" s="35" t="n"/>
      <c r="B37" s="35" t="n"/>
      <c r="C37" s="40" t="n"/>
      <c r="D37" s="35" t="n"/>
      <c r="E37" s="35" t="n"/>
      <c r="F37" s="36" t="n"/>
      <c r="G37" s="37" t="n"/>
      <c r="H37" s="39">
        <f>IF(B37="","",G37*(1+IF(F37="",Settings!$B$27,F37)))</f>
        <v/>
      </c>
      <c r="I37" s="39">
        <f>IF(B37="","",H37-G37)</f>
        <v/>
      </c>
      <c r="J37" s="35" t="n"/>
      <c r="K37" s="40" t="n"/>
      <c r="L37" s="9">
        <f>IF(B37="","",IF(COUNTIF(Jobs!$A$5:$A$44,B37)=0,"Unknown Job ID",IF(COUNTIF('Change Orders'!$A$5:$A$104,A37)&gt;1,"Duplicate CO #",IF(E37="","Missing status",IF(AND(E37="Approved",K37=""),"Approved without client date","")))))</f>
        <v/>
      </c>
      <c r="M37" s="35" t="n"/>
    </row>
    <row r="38">
      <c r="A38" s="35" t="n"/>
      <c r="B38" s="35" t="n"/>
      <c r="C38" s="40" t="n"/>
      <c r="D38" s="35" t="n"/>
      <c r="E38" s="35" t="n"/>
      <c r="F38" s="36" t="n"/>
      <c r="G38" s="37" t="n"/>
      <c r="H38" s="39">
        <f>IF(B38="","",G38*(1+IF(F38="",Settings!$B$27,F38)))</f>
        <v/>
      </c>
      <c r="I38" s="39">
        <f>IF(B38="","",H38-G38)</f>
        <v/>
      </c>
      <c r="J38" s="35" t="n"/>
      <c r="K38" s="40" t="n"/>
      <c r="L38" s="9">
        <f>IF(B38="","",IF(COUNTIF(Jobs!$A$5:$A$44,B38)=0,"Unknown Job ID",IF(COUNTIF('Change Orders'!$A$5:$A$104,A38)&gt;1,"Duplicate CO #",IF(E38="","Missing status",IF(AND(E38="Approved",K38=""),"Approved without client date","")))))</f>
        <v/>
      </c>
      <c r="M38" s="35" t="n"/>
    </row>
    <row r="39">
      <c r="A39" s="35" t="n"/>
      <c r="B39" s="35" t="n"/>
      <c r="C39" s="40" t="n"/>
      <c r="D39" s="35" t="n"/>
      <c r="E39" s="35" t="n"/>
      <c r="F39" s="36" t="n"/>
      <c r="G39" s="37" t="n"/>
      <c r="H39" s="39">
        <f>IF(B39="","",G39*(1+IF(F39="",Settings!$B$27,F39)))</f>
        <v/>
      </c>
      <c r="I39" s="39">
        <f>IF(B39="","",H39-G39)</f>
        <v/>
      </c>
      <c r="J39" s="35" t="n"/>
      <c r="K39" s="40" t="n"/>
      <c r="L39" s="9">
        <f>IF(B39="","",IF(COUNTIF(Jobs!$A$5:$A$44,B39)=0,"Unknown Job ID",IF(COUNTIF('Change Orders'!$A$5:$A$104,A39)&gt;1,"Duplicate CO #",IF(E39="","Missing status",IF(AND(E39="Approved",K39=""),"Approved without client date","")))))</f>
        <v/>
      </c>
      <c r="M39" s="35" t="n"/>
    </row>
    <row r="40">
      <c r="A40" s="35" t="n"/>
      <c r="B40" s="35" t="n"/>
      <c r="C40" s="40" t="n"/>
      <c r="D40" s="35" t="n"/>
      <c r="E40" s="35" t="n"/>
      <c r="F40" s="36" t="n"/>
      <c r="G40" s="37" t="n"/>
      <c r="H40" s="39">
        <f>IF(B40="","",G40*(1+IF(F40="",Settings!$B$27,F40)))</f>
        <v/>
      </c>
      <c r="I40" s="39">
        <f>IF(B40="","",H40-G40)</f>
        <v/>
      </c>
      <c r="J40" s="35" t="n"/>
      <c r="K40" s="40" t="n"/>
      <c r="L40" s="9">
        <f>IF(B40="","",IF(COUNTIF(Jobs!$A$5:$A$44,B40)=0,"Unknown Job ID",IF(COUNTIF('Change Orders'!$A$5:$A$104,A40)&gt;1,"Duplicate CO #",IF(E40="","Missing status",IF(AND(E40="Approved",K40=""),"Approved without client date","")))))</f>
        <v/>
      </c>
      <c r="M40" s="35" t="n"/>
    </row>
    <row r="41">
      <c r="A41" s="35" t="n"/>
      <c r="B41" s="35" t="n"/>
      <c r="C41" s="40" t="n"/>
      <c r="D41" s="35" t="n"/>
      <c r="E41" s="35" t="n"/>
      <c r="F41" s="36" t="n"/>
      <c r="G41" s="37" t="n"/>
      <c r="H41" s="39">
        <f>IF(B41="","",G41*(1+IF(F41="",Settings!$B$27,F41)))</f>
        <v/>
      </c>
      <c r="I41" s="39">
        <f>IF(B41="","",H41-G41)</f>
        <v/>
      </c>
      <c r="J41" s="35" t="n"/>
      <c r="K41" s="40" t="n"/>
      <c r="L41" s="9">
        <f>IF(B41="","",IF(COUNTIF(Jobs!$A$5:$A$44,B41)=0,"Unknown Job ID",IF(COUNTIF('Change Orders'!$A$5:$A$104,A41)&gt;1,"Duplicate CO #",IF(E41="","Missing status",IF(AND(E41="Approved",K41=""),"Approved without client date","")))))</f>
        <v/>
      </c>
      <c r="M41" s="35" t="n"/>
    </row>
    <row r="42">
      <c r="A42" s="35" t="n"/>
      <c r="B42" s="35" t="n"/>
      <c r="C42" s="40" t="n"/>
      <c r="D42" s="35" t="n"/>
      <c r="E42" s="35" t="n"/>
      <c r="F42" s="36" t="n"/>
      <c r="G42" s="37" t="n"/>
      <c r="H42" s="39">
        <f>IF(B42="","",G42*(1+IF(F42="",Settings!$B$27,F42)))</f>
        <v/>
      </c>
      <c r="I42" s="39">
        <f>IF(B42="","",H42-G42)</f>
        <v/>
      </c>
      <c r="J42" s="35" t="n"/>
      <c r="K42" s="40" t="n"/>
      <c r="L42" s="9">
        <f>IF(B42="","",IF(COUNTIF(Jobs!$A$5:$A$44,B42)=0,"Unknown Job ID",IF(COUNTIF('Change Orders'!$A$5:$A$104,A42)&gt;1,"Duplicate CO #",IF(E42="","Missing status",IF(AND(E42="Approved",K42=""),"Approved without client date","")))))</f>
        <v/>
      </c>
      <c r="M42" s="35" t="n"/>
    </row>
    <row r="43">
      <c r="A43" s="35" t="n"/>
      <c r="B43" s="35" t="n"/>
      <c r="C43" s="40" t="n"/>
      <c r="D43" s="35" t="n"/>
      <c r="E43" s="35" t="n"/>
      <c r="F43" s="36" t="n"/>
      <c r="G43" s="37" t="n"/>
      <c r="H43" s="39">
        <f>IF(B43="","",G43*(1+IF(F43="",Settings!$B$27,F43)))</f>
        <v/>
      </c>
      <c r="I43" s="39">
        <f>IF(B43="","",H43-G43)</f>
        <v/>
      </c>
      <c r="J43" s="35" t="n"/>
      <c r="K43" s="40" t="n"/>
      <c r="L43" s="9">
        <f>IF(B43="","",IF(COUNTIF(Jobs!$A$5:$A$44,B43)=0,"Unknown Job ID",IF(COUNTIF('Change Orders'!$A$5:$A$104,A43)&gt;1,"Duplicate CO #",IF(E43="","Missing status",IF(AND(E43="Approved",K43=""),"Approved without client date","")))))</f>
        <v/>
      </c>
      <c r="M43" s="35" t="n"/>
    </row>
    <row r="44">
      <c r="A44" s="35" t="n"/>
      <c r="B44" s="35" t="n"/>
      <c r="C44" s="40" t="n"/>
      <c r="D44" s="35" t="n"/>
      <c r="E44" s="35" t="n"/>
      <c r="F44" s="36" t="n"/>
      <c r="G44" s="37" t="n"/>
      <c r="H44" s="39">
        <f>IF(B44="","",G44*(1+IF(F44="",Settings!$B$27,F44)))</f>
        <v/>
      </c>
      <c r="I44" s="39">
        <f>IF(B44="","",H44-G44)</f>
        <v/>
      </c>
      <c r="J44" s="35" t="n"/>
      <c r="K44" s="40" t="n"/>
      <c r="L44" s="9">
        <f>IF(B44="","",IF(COUNTIF(Jobs!$A$5:$A$44,B44)=0,"Unknown Job ID",IF(COUNTIF('Change Orders'!$A$5:$A$104,A44)&gt;1,"Duplicate CO #",IF(E44="","Missing status",IF(AND(E44="Approved",K44=""),"Approved without client date","")))))</f>
        <v/>
      </c>
      <c r="M44" s="35" t="n"/>
    </row>
    <row r="45">
      <c r="A45" s="35" t="n"/>
      <c r="B45" s="35" t="n"/>
      <c r="C45" s="40" t="n"/>
      <c r="D45" s="35" t="n"/>
      <c r="E45" s="35" t="n"/>
      <c r="F45" s="36" t="n"/>
      <c r="G45" s="37" t="n"/>
      <c r="H45" s="39">
        <f>IF(B45="","",G45*(1+IF(F45="",Settings!$B$27,F45)))</f>
        <v/>
      </c>
      <c r="I45" s="39">
        <f>IF(B45="","",H45-G45)</f>
        <v/>
      </c>
      <c r="J45" s="35" t="n"/>
      <c r="K45" s="40" t="n"/>
      <c r="L45" s="9">
        <f>IF(B45="","",IF(COUNTIF(Jobs!$A$5:$A$44,B45)=0,"Unknown Job ID",IF(COUNTIF('Change Orders'!$A$5:$A$104,A45)&gt;1,"Duplicate CO #",IF(E45="","Missing status",IF(AND(E45="Approved",K45=""),"Approved without client date","")))))</f>
        <v/>
      </c>
      <c r="M45" s="35" t="n"/>
    </row>
    <row r="46">
      <c r="A46" s="35" t="n"/>
      <c r="B46" s="35" t="n"/>
      <c r="C46" s="40" t="n"/>
      <c r="D46" s="35" t="n"/>
      <c r="E46" s="35" t="n"/>
      <c r="F46" s="36" t="n"/>
      <c r="G46" s="37" t="n"/>
      <c r="H46" s="39">
        <f>IF(B46="","",G46*(1+IF(F46="",Settings!$B$27,F46)))</f>
        <v/>
      </c>
      <c r="I46" s="39">
        <f>IF(B46="","",H46-G46)</f>
        <v/>
      </c>
      <c r="J46" s="35" t="n"/>
      <c r="K46" s="40" t="n"/>
      <c r="L46" s="9">
        <f>IF(B46="","",IF(COUNTIF(Jobs!$A$5:$A$44,B46)=0,"Unknown Job ID",IF(COUNTIF('Change Orders'!$A$5:$A$104,A46)&gt;1,"Duplicate CO #",IF(E46="","Missing status",IF(AND(E46="Approved",K46=""),"Approved without client date","")))))</f>
        <v/>
      </c>
      <c r="M46" s="35" t="n"/>
    </row>
    <row r="47">
      <c r="A47" s="35" t="n"/>
      <c r="B47" s="35" t="n"/>
      <c r="C47" s="40" t="n"/>
      <c r="D47" s="35" t="n"/>
      <c r="E47" s="35" t="n"/>
      <c r="F47" s="36" t="n"/>
      <c r="G47" s="37" t="n"/>
      <c r="H47" s="39">
        <f>IF(B47="","",G47*(1+IF(F47="",Settings!$B$27,F47)))</f>
        <v/>
      </c>
      <c r="I47" s="39">
        <f>IF(B47="","",H47-G47)</f>
        <v/>
      </c>
      <c r="J47" s="35" t="n"/>
      <c r="K47" s="40" t="n"/>
      <c r="L47" s="9">
        <f>IF(B47="","",IF(COUNTIF(Jobs!$A$5:$A$44,B47)=0,"Unknown Job ID",IF(COUNTIF('Change Orders'!$A$5:$A$104,A47)&gt;1,"Duplicate CO #",IF(E47="","Missing status",IF(AND(E47="Approved",K47=""),"Approved without client date","")))))</f>
        <v/>
      </c>
      <c r="M47" s="35" t="n"/>
    </row>
    <row r="48">
      <c r="A48" s="35" t="n"/>
      <c r="B48" s="35" t="n"/>
      <c r="C48" s="40" t="n"/>
      <c r="D48" s="35" t="n"/>
      <c r="E48" s="35" t="n"/>
      <c r="F48" s="36" t="n"/>
      <c r="G48" s="37" t="n"/>
      <c r="H48" s="39">
        <f>IF(B48="","",G48*(1+IF(F48="",Settings!$B$27,F48)))</f>
        <v/>
      </c>
      <c r="I48" s="39">
        <f>IF(B48="","",H48-G48)</f>
        <v/>
      </c>
      <c r="J48" s="35" t="n"/>
      <c r="K48" s="40" t="n"/>
      <c r="L48" s="9">
        <f>IF(B48="","",IF(COUNTIF(Jobs!$A$5:$A$44,B48)=0,"Unknown Job ID",IF(COUNTIF('Change Orders'!$A$5:$A$104,A48)&gt;1,"Duplicate CO #",IF(E48="","Missing status",IF(AND(E48="Approved",K48=""),"Approved without client date","")))))</f>
        <v/>
      </c>
      <c r="M48" s="35" t="n"/>
    </row>
    <row r="49">
      <c r="A49" s="35" t="n"/>
      <c r="B49" s="35" t="n"/>
      <c r="C49" s="40" t="n"/>
      <c r="D49" s="35" t="n"/>
      <c r="E49" s="35" t="n"/>
      <c r="F49" s="36" t="n"/>
      <c r="G49" s="37" t="n"/>
      <c r="H49" s="39">
        <f>IF(B49="","",G49*(1+IF(F49="",Settings!$B$27,F49)))</f>
        <v/>
      </c>
      <c r="I49" s="39">
        <f>IF(B49="","",H49-G49)</f>
        <v/>
      </c>
      <c r="J49" s="35" t="n"/>
      <c r="K49" s="40" t="n"/>
      <c r="L49" s="9">
        <f>IF(B49="","",IF(COUNTIF(Jobs!$A$5:$A$44,B49)=0,"Unknown Job ID",IF(COUNTIF('Change Orders'!$A$5:$A$104,A49)&gt;1,"Duplicate CO #",IF(E49="","Missing status",IF(AND(E49="Approved",K49=""),"Approved without client date","")))))</f>
        <v/>
      </c>
      <c r="M49" s="35" t="n"/>
    </row>
    <row r="50">
      <c r="A50" s="35" t="n"/>
      <c r="B50" s="35" t="n"/>
      <c r="C50" s="40" t="n"/>
      <c r="D50" s="35" t="n"/>
      <c r="E50" s="35" t="n"/>
      <c r="F50" s="36" t="n"/>
      <c r="G50" s="37" t="n"/>
      <c r="H50" s="39">
        <f>IF(B50="","",G50*(1+IF(F50="",Settings!$B$27,F50)))</f>
        <v/>
      </c>
      <c r="I50" s="39">
        <f>IF(B50="","",H50-G50)</f>
        <v/>
      </c>
      <c r="J50" s="35" t="n"/>
      <c r="K50" s="40" t="n"/>
      <c r="L50" s="9">
        <f>IF(B50="","",IF(COUNTIF(Jobs!$A$5:$A$44,B50)=0,"Unknown Job ID",IF(COUNTIF('Change Orders'!$A$5:$A$104,A50)&gt;1,"Duplicate CO #",IF(E50="","Missing status",IF(AND(E50="Approved",K50=""),"Approved without client date","")))))</f>
        <v/>
      </c>
      <c r="M50" s="35" t="n"/>
    </row>
    <row r="51">
      <c r="A51" s="35" t="n"/>
      <c r="B51" s="35" t="n"/>
      <c r="C51" s="40" t="n"/>
      <c r="D51" s="35" t="n"/>
      <c r="E51" s="35" t="n"/>
      <c r="F51" s="36" t="n"/>
      <c r="G51" s="37" t="n"/>
      <c r="H51" s="39">
        <f>IF(B51="","",G51*(1+IF(F51="",Settings!$B$27,F51)))</f>
        <v/>
      </c>
      <c r="I51" s="39">
        <f>IF(B51="","",H51-G51)</f>
        <v/>
      </c>
      <c r="J51" s="35" t="n"/>
      <c r="K51" s="40" t="n"/>
      <c r="L51" s="9">
        <f>IF(B51="","",IF(COUNTIF(Jobs!$A$5:$A$44,B51)=0,"Unknown Job ID",IF(COUNTIF('Change Orders'!$A$5:$A$104,A51)&gt;1,"Duplicate CO #",IF(E51="","Missing status",IF(AND(E51="Approved",K51=""),"Approved without client date","")))))</f>
        <v/>
      </c>
      <c r="M51" s="35" t="n"/>
    </row>
    <row r="52">
      <c r="A52" s="35" t="n"/>
      <c r="B52" s="35" t="n"/>
      <c r="C52" s="40" t="n"/>
      <c r="D52" s="35" t="n"/>
      <c r="E52" s="35" t="n"/>
      <c r="F52" s="36" t="n"/>
      <c r="G52" s="37" t="n"/>
      <c r="H52" s="39">
        <f>IF(B52="","",G52*(1+IF(F52="",Settings!$B$27,F52)))</f>
        <v/>
      </c>
      <c r="I52" s="39">
        <f>IF(B52="","",H52-G52)</f>
        <v/>
      </c>
      <c r="J52" s="35" t="n"/>
      <c r="K52" s="40" t="n"/>
      <c r="L52" s="9">
        <f>IF(B52="","",IF(COUNTIF(Jobs!$A$5:$A$44,B52)=0,"Unknown Job ID",IF(COUNTIF('Change Orders'!$A$5:$A$104,A52)&gt;1,"Duplicate CO #",IF(E52="","Missing status",IF(AND(E52="Approved",K52=""),"Approved without client date","")))))</f>
        <v/>
      </c>
      <c r="M52" s="35" t="n"/>
    </row>
    <row r="53">
      <c r="A53" s="35" t="n"/>
      <c r="B53" s="35" t="n"/>
      <c r="C53" s="40" t="n"/>
      <c r="D53" s="35" t="n"/>
      <c r="E53" s="35" t="n"/>
      <c r="F53" s="36" t="n"/>
      <c r="G53" s="37" t="n"/>
      <c r="H53" s="39">
        <f>IF(B53="","",G53*(1+IF(F53="",Settings!$B$27,F53)))</f>
        <v/>
      </c>
      <c r="I53" s="39">
        <f>IF(B53="","",H53-G53)</f>
        <v/>
      </c>
      <c r="J53" s="35" t="n"/>
      <c r="K53" s="40" t="n"/>
      <c r="L53" s="9">
        <f>IF(B53="","",IF(COUNTIF(Jobs!$A$5:$A$44,B53)=0,"Unknown Job ID",IF(COUNTIF('Change Orders'!$A$5:$A$104,A53)&gt;1,"Duplicate CO #",IF(E53="","Missing status",IF(AND(E53="Approved",K53=""),"Approved without client date","")))))</f>
        <v/>
      </c>
      <c r="M53" s="35" t="n"/>
    </row>
    <row r="54">
      <c r="A54" s="35" t="n"/>
      <c r="B54" s="35" t="n"/>
      <c r="C54" s="40" t="n"/>
      <c r="D54" s="35" t="n"/>
      <c r="E54" s="35" t="n"/>
      <c r="F54" s="36" t="n"/>
      <c r="G54" s="37" t="n"/>
      <c r="H54" s="39">
        <f>IF(B54="","",G54*(1+IF(F54="",Settings!$B$27,F54)))</f>
        <v/>
      </c>
      <c r="I54" s="39">
        <f>IF(B54="","",H54-G54)</f>
        <v/>
      </c>
      <c r="J54" s="35" t="n"/>
      <c r="K54" s="40" t="n"/>
      <c r="L54" s="9">
        <f>IF(B54="","",IF(COUNTIF(Jobs!$A$5:$A$44,B54)=0,"Unknown Job ID",IF(COUNTIF('Change Orders'!$A$5:$A$104,A54)&gt;1,"Duplicate CO #",IF(E54="","Missing status",IF(AND(E54="Approved",K54=""),"Approved without client date","")))))</f>
        <v/>
      </c>
      <c r="M54" s="35" t="n"/>
    </row>
    <row r="55">
      <c r="A55" s="35" t="n"/>
      <c r="B55" s="35" t="n"/>
      <c r="C55" s="40" t="n"/>
      <c r="D55" s="35" t="n"/>
      <c r="E55" s="35" t="n"/>
      <c r="F55" s="36" t="n"/>
      <c r="G55" s="37" t="n"/>
      <c r="H55" s="39">
        <f>IF(B55="","",G55*(1+IF(F55="",Settings!$B$27,F55)))</f>
        <v/>
      </c>
      <c r="I55" s="39">
        <f>IF(B55="","",H55-G55)</f>
        <v/>
      </c>
      <c r="J55" s="35" t="n"/>
      <c r="K55" s="40" t="n"/>
      <c r="L55" s="9">
        <f>IF(B55="","",IF(COUNTIF(Jobs!$A$5:$A$44,B55)=0,"Unknown Job ID",IF(COUNTIF('Change Orders'!$A$5:$A$104,A55)&gt;1,"Duplicate CO #",IF(E55="","Missing status",IF(AND(E55="Approved",K55=""),"Approved without client date","")))))</f>
        <v/>
      </c>
      <c r="M55" s="35" t="n"/>
    </row>
    <row r="56">
      <c r="A56" s="35" t="n"/>
      <c r="B56" s="35" t="n"/>
      <c r="C56" s="40" t="n"/>
      <c r="D56" s="35" t="n"/>
      <c r="E56" s="35" t="n"/>
      <c r="F56" s="36" t="n"/>
      <c r="G56" s="37" t="n"/>
      <c r="H56" s="39">
        <f>IF(B56="","",G56*(1+IF(F56="",Settings!$B$27,F56)))</f>
        <v/>
      </c>
      <c r="I56" s="39">
        <f>IF(B56="","",H56-G56)</f>
        <v/>
      </c>
      <c r="J56" s="35" t="n"/>
      <c r="K56" s="40" t="n"/>
      <c r="L56" s="9">
        <f>IF(B56="","",IF(COUNTIF(Jobs!$A$5:$A$44,B56)=0,"Unknown Job ID",IF(COUNTIF('Change Orders'!$A$5:$A$104,A56)&gt;1,"Duplicate CO #",IF(E56="","Missing status",IF(AND(E56="Approved",K56=""),"Approved without client date","")))))</f>
        <v/>
      </c>
      <c r="M56" s="35" t="n"/>
    </row>
    <row r="57">
      <c r="A57" s="35" t="n"/>
      <c r="B57" s="35" t="n"/>
      <c r="C57" s="40" t="n"/>
      <c r="D57" s="35" t="n"/>
      <c r="E57" s="35" t="n"/>
      <c r="F57" s="36" t="n"/>
      <c r="G57" s="37" t="n"/>
      <c r="H57" s="39">
        <f>IF(B57="","",G57*(1+IF(F57="",Settings!$B$27,F57)))</f>
        <v/>
      </c>
      <c r="I57" s="39">
        <f>IF(B57="","",H57-G57)</f>
        <v/>
      </c>
      <c r="J57" s="35" t="n"/>
      <c r="K57" s="40" t="n"/>
      <c r="L57" s="9">
        <f>IF(B57="","",IF(COUNTIF(Jobs!$A$5:$A$44,B57)=0,"Unknown Job ID",IF(COUNTIF('Change Orders'!$A$5:$A$104,A57)&gt;1,"Duplicate CO #",IF(E57="","Missing status",IF(AND(E57="Approved",K57=""),"Approved without client date","")))))</f>
        <v/>
      </c>
      <c r="M57" s="35" t="n"/>
    </row>
    <row r="58">
      <c r="A58" s="35" t="n"/>
      <c r="B58" s="35" t="n"/>
      <c r="C58" s="40" t="n"/>
      <c r="D58" s="35" t="n"/>
      <c r="E58" s="35" t="n"/>
      <c r="F58" s="36" t="n"/>
      <c r="G58" s="37" t="n"/>
      <c r="H58" s="39">
        <f>IF(B58="","",G58*(1+IF(F58="",Settings!$B$27,F58)))</f>
        <v/>
      </c>
      <c r="I58" s="39">
        <f>IF(B58="","",H58-G58)</f>
        <v/>
      </c>
      <c r="J58" s="35" t="n"/>
      <c r="K58" s="40" t="n"/>
      <c r="L58" s="9">
        <f>IF(B58="","",IF(COUNTIF(Jobs!$A$5:$A$44,B58)=0,"Unknown Job ID",IF(COUNTIF('Change Orders'!$A$5:$A$104,A58)&gt;1,"Duplicate CO #",IF(E58="","Missing status",IF(AND(E58="Approved",K58=""),"Approved without client date","")))))</f>
        <v/>
      </c>
      <c r="M58" s="35" t="n"/>
    </row>
    <row r="59">
      <c r="A59" s="35" t="n"/>
      <c r="B59" s="35" t="n"/>
      <c r="C59" s="40" t="n"/>
      <c r="D59" s="35" t="n"/>
      <c r="E59" s="35" t="n"/>
      <c r="F59" s="36" t="n"/>
      <c r="G59" s="37" t="n"/>
      <c r="H59" s="39">
        <f>IF(B59="","",G59*(1+IF(F59="",Settings!$B$27,F59)))</f>
        <v/>
      </c>
      <c r="I59" s="39">
        <f>IF(B59="","",H59-G59)</f>
        <v/>
      </c>
      <c r="J59" s="35" t="n"/>
      <c r="K59" s="40" t="n"/>
      <c r="L59" s="9">
        <f>IF(B59="","",IF(COUNTIF(Jobs!$A$5:$A$44,B59)=0,"Unknown Job ID",IF(COUNTIF('Change Orders'!$A$5:$A$104,A59)&gt;1,"Duplicate CO #",IF(E59="","Missing status",IF(AND(E59="Approved",K59=""),"Approved without client date","")))))</f>
        <v/>
      </c>
      <c r="M59" s="35" t="n"/>
    </row>
    <row r="60">
      <c r="A60" s="35" t="n"/>
      <c r="B60" s="35" t="n"/>
      <c r="C60" s="40" t="n"/>
      <c r="D60" s="35" t="n"/>
      <c r="E60" s="35" t="n"/>
      <c r="F60" s="36" t="n"/>
      <c r="G60" s="37" t="n"/>
      <c r="H60" s="39">
        <f>IF(B60="","",G60*(1+IF(F60="",Settings!$B$27,F60)))</f>
        <v/>
      </c>
      <c r="I60" s="39">
        <f>IF(B60="","",H60-G60)</f>
        <v/>
      </c>
      <c r="J60" s="35" t="n"/>
      <c r="K60" s="40" t="n"/>
      <c r="L60" s="9">
        <f>IF(B60="","",IF(COUNTIF(Jobs!$A$5:$A$44,B60)=0,"Unknown Job ID",IF(COUNTIF('Change Orders'!$A$5:$A$104,A60)&gt;1,"Duplicate CO #",IF(E60="","Missing status",IF(AND(E60="Approved",K60=""),"Approved without client date","")))))</f>
        <v/>
      </c>
      <c r="M60" s="35" t="n"/>
    </row>
    <row r="61">
      <c r="A61" s="35" t="n"/>
      <c r="B61" s="35" t="n"/>
      <c r="C61" s="40" t="n"/>
      <c r="D61" s="35" t="n"/>
      <c r="E61" s="35" t="n"/>
      <c r="F61" s="36" t="n"/>
      <c r="G61" s="37" t="n"/>
      <c r="H61" s="39">
        <f>IF(B61="","",G61*(1+IF(F61="",Settings!$B$27,F61)))</f>
        <v/>
      </c>
      <c r="I61" s="39">
        <f>IF(B61="","",H61-G61)</f>
        <v/>
      </c>
      <c r="J61" s="35" t="n"/>
      <c r="K61" s="40" t="n"/>
      <c r="L61" s="9">
        <f>IF(B61="","",IF(COUNTIF(Jobs!$A$5:$A$44,B61)=0,"Unknown Job ID",IF(COUNTIF('Change Orders'!$A$5:$A$104,A61)&gt;1,"Duplicate CO #",IF(E61="","Missing status",IF(AND(E61="Approved",K61=""),"Approved without client date","")))))</f>
        <v/>
      </c>
      <c r="M61" s="35" t="n"/>
    </row>
    <row r="62">
      <c r="A62" s="35" t="n"/>
      <c r="B62" s="35" t="n"/>
      <c r="C62" s="40" t="n"/>
      <c r="D62" s="35" t="n"/>
      <c r="E62" s="35" t="n"/>
      <c r="F62" s="36" t="n"/>
      <c r="G62" s="37" t="n"/>
      <c r="H62" s="39">
        <f>IF(B62="","",G62*(1+IF(F62="",Settings!$B$27,F62)))</f>
        <v/>
      </c>
      <c r="I62" s="39">
        <f>IF(B62="","",H62-G62)</f>
        <v/>
      </c>
      <c r="J62" s="35" t="n"/>
      <c r="K62" s="40" t="n"/>
      <c r="L62" s="9">
        <f>IF(B62="","",IF(COUNTIF(Jobs!$A$5:$A$44,B62)=0,"Unknown Job ID",IF(COUNTIF('Change Orders'!$A$5:$A$104,A62)&gt;1,"Duplicate CO #",IF(E62="","Missing status",IF(AND(E62="Approved",K62=""),"Approved without client date","")))))</f>
        <v/>
      </c>
      <c r="M62" s="35" t="n"/>
    </row>
    <row r="63">
      <c r="A63" s="35" t="n"/>
      <c r="B63" s="35" t="n"/>
      <c r="C63" s="40" t="n"/>
      <c r="D63" s="35" t="n"/>
      <c r="E63" s="35" t="n"/>
      <c r="F63" s="36" t="n"/>
      <c r="G63" s="37" t="n"/>
      <c r="H63" s="39">
        <f>IF(B63="","",G63*(1+IF(F63="",Settings!$B$27,F63)))</f>
        <v/>
      </c>
      <c r="I63" s="39">
        <f>IF(B63="","",H63-G63)</f>
        <v/>
      </c>
      <c r="J63" s="35" t="n"/>
      <c r="K63" s="40" t="n"/>
      <c r="L63" s="9">
        <f>IF(B63="","",IF(COUNTIF(Jobs!$A$5:$A$44,B63)=0,"Unknown Job ID",IF(COUNTIF('Change Orders'!$A$5:$A$104,A63)&gt;1,"Duplicate CO #",IF(E63="","Missing status",IF(AND(E63="Approved",K63=""),"Approved without client date","")))))</f>
        <v/>
      </c>
      <c r="M63" s="35" t="n"/>
    </row>
    <row r="64">
      <c r="A64" s="35" t="n"/>
      <c r="B64" s="35" t="n"/>
      <c r="C64" s="40" t="n"/>
      <c r="D64" s="35" t="n"/>
      <c r="E64" s="35" t="n"/>
      <c r="F64" s="36" t="n"/>
      <c r="G64" s="37" t="n"/>
      <c r="H64" s="39">
        <f>IF(B64="","",G64*(1+IF(F64="",Settings!$B$27,F64)))</f>
        <v/>
      </c>
      <c r="I64" s="39">
        <f>IF(B64="","",H64-G64)</f>
        <v/>
      </c>
      <c r="J64" s="35" t="n"/>
      <c r="K64" s="40" t="n"/>
      <c r="L64" s="9">
        <f>IF(B64="","",IF(COUNTIF(Jobs!$A$5:$A$44,B64)=0,"Unknown Job ID",IF(COUNTIF('Change Orders'!$A$5:$A$104,A64)&gt;1,"Duplicate CO #",IF(E64="","Missing status",IF(AND(E64="Approved",K64=""),"Approved without client date","")))))</f>
        <v/>
      </c>
      <c r="M64" s="35" t="n"/>
    </row>
    <row r="65">
      <c r="A65" s="35" t="n"/>
      <c r="B65" s="35" t="n"/>
      <c r="C65" s="40" t="n"/>
      <c r="D65" s="35" t="n"/>
      <c r="E65" s="35" t="n"/>
      <c r="F65" s="36" t="n"/>
      <c r="G65" s="37" t="n"/>
      <c r="H65" s="39">
        <f>IF(B65="","",G65*(1+IF(F65="",Settings!$B$27,F65)))</f>
        <v/>
      </c>
      <c r="I65" s="39">
        <f>IF(B65="","",H65-G65)</f>
        <v/>
      </c>
      <c r="J65" s="35" t="n"/>
      <c r="K65" s="40" t="n"/>
      <c r="L65" s="9">
        <f>IF(B65="","",IF(COUNTIF(Jobs!$A$5:$A$44,B65)=0,"Unknown Job ID",IF(COUNTIF('Change Orders'!$A$5:$A$104,A65)&gt;1,"Duplicate CO #",IF(E65="","Missing status",IF(AND(E65="Approved",K65=""),"Approved without client date","")))))</f>
        <v/>
      </c>
      <c r="M65" s="35" t="n"/>
    </row>
    <row r="66">
      <c r="A66" s="35" t="n"/>
      <c r="B66" s="35" t="n"/>
      <c r="C66" s="40" t="n"/>
      <c r="D66" s="35" t="n"/>
      <c r="E66" s="35" t="n"/>
      <c r="F66" s="36" t="n"/>
      <c r="G66" s="37" t="n"/>
      <c r="H66" s="39">
        <f>IF(B66="","",G66*(1+IF(F66="",Settings!$B$27,F66)))</f>
        <v/>
      </c>
      <c r="I66" s="39">
        <f>IF(B66="","",H66-G66)</f>
        <v/>
      </c>
      <c r="J66" s="35" t="n"/>
      <c r="K66" s="40" t="n"/>
      <c r="L66" s="9">
        <f>IF(B66="","",IF(COUNTIF(Jobs!$A$5:$A$44,B66)=0,"Unknown Job ID",IF(COUNTIF('Change Orders'!$A$5:$A$104,A66)&gt;1,"Duplicate CO #",IF(E66="","Missing status",IF(AND(E66="Approved",K66=""),"Approved without client date","")))))</f>
        <v/>
      </c>
      <c r="M66" s="35" t="n"/>
    </row>
    <row r="67">
      <c r="A67" s="35" t="n"/>
      <c r="B67" s="35" t="n"/>
      <c r="C67" s="40" t="n"/>
      <c r="D67" s="35" t="n"/>
      <c r="E67" s="35" t="n"/>
      <c r="F67" s="36" t="n"/>
      <c r="G67" s="37" t="n"/>
      <c r="H67" s="39">
        <f>IF(B67="","",G67*(1+IF(F67="",Settings!$B$27,F67)))</f>
        <v/>
      </c>
      <c r="I67" s="39">
        <f>IF(B67="","",H67-G67)</f>
        <v/>
      </c>
      <c r="J67" s="35" t="n"/>
      <c r="K67" s="40" t="n"/>
      <c r="L67" s="9">
        <f>IF(B67="","",IF(COUNTIF(Jobs!$A$5:$A$44,B67)=0,"Unknown Job ID",IF(COUNTIF('Change Orders'!$A$5:$A$104,A67)&gt;1,"Duplicate CO #",IF(E67="","Missing status",IF(AND(E67="Approved",K67=""),"Approved without client date","")))))</f>
        <v/>
      </c>
      <c r="M67" s="35" t="n"/>
    </row>
    <row r="68">
      <c r="A68" s="35" t="n"/>
      <c r="B68" s="35" t="n"/>
      <c r="C68" s="40" t="n"/>
      <c r="D68" s="35" t="n"/>
      <c r="E68" s="35" t="n"/>
      <c r="F68" s="36" t="n"/>
      <c r="G68" s="37" t="n"/>
      <c r="H68" s="39">
        <f>IF(B68="","",G68*(1+IF(F68="",Settings!$B$27,F68)))</f>
        <v/>
      </c>
      <c r="I68" s="39">
        <f>IF(B68="","",H68-G68)</f>
        <v/>
      </c>
      <c r="J68" s="35" t="n"/>
      <c r="K68" s="40" t="n"/>
      <c r="L68" s="9">
        <f>IF(B68="","",IF(COUNTIF(Jobs!$A$5:$A$44,B68)=0,"Unknown Job ID",IF(COUNTIF('Change Orders'!$A$5:$A$104,A68)&gt;1,"Duplicate CO #",IF(E68="","Missing status",IF(AND(E68="Approved",K68=""),"Approved without client date","")))))</f>
        <v/>
      </c>
      <c r="M68" s="35" t="n"/>
    </row>
    <row r="69">
      <c r="A69" s="35" t="n"/>
      <c r="B69" s="35" t="n"/>
      <c r="C69" s="40" t="n"/>
      <c r="D69" s="35" t="n"/>
      <c r="E69" s="35" t="n"/>
      <c r="F69" s="36" t="n"/>
      <c r="G69" s="37" t="n"/>
      <c r="H69" s="39">
        <f>IF(B69="","",G69*(1+IF(F69="",Settings!$B$27,F69)))</f>
        <v/>
      </c>
      <c r="I69" s="39">
        <f>IF(B69="","",H69-G69)</f>
        <v/>
      </c>
      <c r="J69" s="35" t="n"/>
      <c r="K69" s="40" t="n"/>
      <c r="L69" s="9">
        <f>IF(B69="","",IF(COUNTIF(Jobs!$A$5:$A$44,B69)=0,"Unknown Job ID",IF(COUNTIF('Change Orders'!$A$5:$A$104,A69)&gt;1,"Duplicate CO #",IF(E69="","Missing status",IF(AND(E69="Approved",K69=""),"Approved without client date","")))))</f>
        <v/>
      </c>
      <c r="M69" s="35" t="n"/>
    </row>
    <row r="70">
      <c r="A70" s="35" t="n"/>
      <c r="B70" s="35" t="n"/>
      <c r="C70" s="40" t="n"/>
      <c r="D70" s="35" t="n"/>
      <c r="E70" s="35" t="n"/>
      <c r="F70" s="36" t="n"/>
      <c r="G70" s="37" t="n"/>
      <c r="H70" s="39">
        <f>IF(B70="","",G70*(1+IF(F70="",Settings!$B$27,F70)))</f>
        <v/>
      </c>
      <c r="I70" s="39">
        <f>IF(B70="","",H70-G70)</f>
        <v/>
      </c>
      <c r="J70" s="35" t="n"/>
      <c r="K70" s="40" t="n"/>
      <c r="L70" s="9">
        <f>IF(B70="","",IF(COUNTIF(Jobs!$A$5:$A$44,B70)=0,"Unknown Job ID",IF(COUNTIF('Change Orders'!$A$5:$A$104,A70)&gt;1,"Duplicate CO #",IF(E70="","Missing status",IF(AND(E70="Approved",K70=""),"Approved without client date","")))))</f>
        <v/>
      </c>
      <c r="M70" s="35" t="n"/>
    </row>
    <row r="71">
      <c r="A71" s="35" t="n"/>
      <c r="B71" s="35" t="n"/>
      <c r="C71" s="40" t="n"/>
      <c r="D71" s="35" t="n"/>
      <c r="E71" s="35" t="n"/>
      <c r="F71" s="36" t="n"/>
      <c r="G71" s="37" t="n"/>
      <c r="H71" s="39">
        <f>IF(B71="","",G71*(1+IF(F71="",Settings!$B$27,F71)))</f>
        <v/>
      </c>
      <c r="I71" s="39">
        <f>IF(B71="","",H71-G71)</f>
        <v/>
      </c>
      <c r="J71" s="35" t="n"/>
      <c r="K71" s="40" t="n"/>
      <c r="L71" s="9">
        <f>IF(B71="","",IF(COUNTIF(Jobs!$A$5:$A$44,B71)=0,"Unknown Job ID",IF(COUNTIF('Change Orders'!$A$5:$A$104,A71)&gt;1,"Duplicate CO #",IF(E71="","Missing status",IF(AND(E71="Approved",K71=""),"Approved without client date","")))))</f>
        <v/>
      </c>
      <c r="M71" s="35" t="n"/>
    </row>
    <row r="72">
      <c r="A72" s="35" t="n"/>
      <c r="B72" s="35" t="n"/>
      <c r="C72" s="40" t="n"/>
      <c r="D72" s="35" t="n"/>
      <c r="E72" s="35" t="n"/>
      <c r="F72" s="36" t="n"/>
      <c r="G72" s="37" t="n"/>
      <c r="H72" s="39">
        <f>IF(B72="","",G72*(1+IF(F72="",Settings!$B$27,F72)))</f>
        <v/>
      </c>
      <c r="I72" s="39">
        <f>IF(B72="","",H72-G72)</f>
        <v/>
      </c>
      <c r="J72" s="35" t="n"/>
      <c r="K72" s="40" t="n"/>
      <c r="L72" s="9">
        <f>IF(B72="","",IF(COUNTIF(Jobs!$A$5:$A$44,B72)=0,"Unknown Job ID",IF(COUNTIF('Change Orders'!$A$5:$A$104,A72)&gt;1,"Duplicate CO #",IF(E72="","Missing status",IF(AND(E72="Approved",K72=""),"Approved without client date","")))))</f>
        <v/>
      </c>
      <c r="M72" s="35" t="n"/>
    </row>
    <row r="73">
      <c r="A73" s="35" t="n"/>
      <c r="B73" s="35" t="n"/>
      <c r="C73" s="40" t="n"/>
      <c r="D73" s="35" t="n"/>
      <c r="E73" s="35" t="n"/>
      <c r="F73" s="36" t="n"/>
      <c r="G73" s="37" t="n"/>
      <c r="H73" s="39">
        <f>IF(B73="","",G73*(1+IF(F73="",Settings!$B$27,F73)))</f>
        <v/>
      </c>
      <c r="I73" s="39">
        <f>IF(B73="","",H73-G73)</f>
        <v/>
      </c>
      <c r="J73" s="35" t="n"/>
      <c r="K73" s="40" t="n"/>
      <c r="L73" s="9">
        <f>IF(B73="","",IF(COUNTIF(Jobs!$A$5:$A$44,B73)=0,"Unknown Job ID",IF(COUNTIF('Change Orders'!$A$5:$A$104,A73)&gt;1,"Duplicate CO #",IF(E73="","Missing status",IF(AND(E73="Approved",K73=""),"Approved without client date","")))))</f>
        <v/>
      </c>
      <c r="M73" s="35" t="n"/>
    </row>
    <row r="74">
      <c r="A74" s="35" t="n"/>
      <c r="B74" s="35" t="n"/>
      <c r="C74" s="40" t="n"/>
      <c r="D74" s="35" t="n"/>
      <c r="E74" s="35" t="n"/>
      <c r="F74" s="36" t="n"/>
      <c r="G74" s="37" t="n"/>
      <c r="H74" s="39">
        <f>IF(B74="","",G74*(1+IF(F74="",Settings!$B$27,F74)))</f>
        <v/>
      </c>
      <c r="I74" s="39">
        <f>IF(B74="","",H74-G74)</f>
        <v/>
      </c>
      <c r="J74" s="35" t="n"/>
      <c r="K74" s="40" t="n"/>
      <c r="L74" s="9">
        <f>IF(B74="","",IF(COUNTIF(Jobs!$A$5:$A$44,B74)=0,"Unknown Job ID",IF(COUNTIF('Change Orders'!$A$5:$A$104,A74)&gt;1,"Duplicate CO #",IF(E74="","Missing status",IF(AND(E74="Approved",K74=""),"Approved without client date","")))))</f>
        <v/>
      </c>
      <c r="M74" s="35" t="n"/>
    </row>
    <row r="75">
      <c r="A75" s="35" t="n"/>
      <c r="B75" s="35" t="n"/>
      <c r="C75" s="40" t="n"/>
      <c r="D75" s="35" t="n"/>
      <c r="E75" s="35" t="n"/>
      <c r="F75" s="36" t="n"/>
      <c r="G75" s="37" t="n"/>
      <c r="H75" s="39">
        <f>IF(B75="","",G75*(1+IF(F75="",Settings!$B$27,F75)))</f>
        <v/>
      </c>
      <c r="I75" s="39">
        <f>IF(B75="","",H75-G75)</f>
        <v/>
      </c>
      <c r="J75" s="35" t="n"/>
      <c r="K75" s="40" t="n"/>
      <c r="L75" s="9">
        <f>IF(B75="","",IF(COUNTIF(Jobs!$A$5:$A$44,B75)=0,"Unknown Job ID",IF(COUNTIF('Change Orders'!$A$5:$A$104,A75)&gt;1,"Duplicate CO #",IF(E75="","Missing status",IF(AND(E75="Approved",K75=""),"Approved without client date","")))))</f>
        <v/>
      </c>
      <c r="M75" s="35" t="n"/>
    </row>
    <row r="76">
      <c r="A76" s="35" t="n"/>
      <c r="B76" s="35" t="n"/>
      <c r="C76" s="40" t="n"/>
      <c r="D76" s="35" t="n"/>
      <c r="E76" s="35" t="n"/>
      <c r="F76" s="36" t="n"/>
      <c r="G76" s="37" t="n"/>
      <c r="H76" s="39">
        <f>IF(B76="","",G76*(1+IF(F76="",Settings!$B$27,F76)))</f>
        <v/>
      </c>
      <c r="I76" s="39">
        <f>IF(B76="","",H76-G76)</f>
        <v/>
      </c>
      <c r="J76" s="35" t="n"/>
      <c r="K76" s="40" t="n"/>
      <c r="L76" s="9">
        <f>IF(B76="","",IF(COUNTIF(Jobs!$A$5:$A$44,B76)=0,"Unknown Job ID",IF(COUNTIF('Change Orders'!$A$5:$A$104,A76)&gt;1,"Duplicate CO #",IF(E76="","Missing status",IF(AND(E76="Approved",K76=""),"Approved without client date","")))))</f>
        <v/>
      </c>
      <c r="M76" s="35" t="n"/>
    </row>
    <row r="77">
      <c r="A77" s="35" t="n"/>
      <c r="B77" s="35" t="n"/>
      <c r="C77" s="40" t="n"/>
      <c r="D77" s="35" t="n"/>
      <c r="E77" s="35" t="n"/>
      <c r="F77" s="36" t="n"/>
      <c r="G77" s="37" t="n"/>
      <c r="H77" s="39">
        <f>IF(B77="","",G77*(1+IF(F77="",Settings!$B$27,F77)))</f>
        <v/>
      </c>
      <c r="I77" s="39">
        <f>IF(B77="","",H77-G77)</f>
        <v/>
      </c>
      <c r="J77" s="35" t="n"/>
      <c r="K77" s="40" t="n"/>
      <c r="L77" s="9">
        <f>IF(B77="","",IF(COUNTIF(Jobs!$A$5:$A$44,B77)=0,"Unknown Job ID",IF(COUNTIF('Change Orders'!$A$5:$A$104,A77)&gt;1,"Duplicate CO #",IF(E77="","Missing status",IF(AND(E77="Approved",K77=""),"Approved without client date","")))))</f>
        <v/>
      </c>
      <c r="M77" s="35" t="n"/>
    </row>
    <row r="78">
      <c r="A78" s="35" t="n"/>
      <c r="B78" s="35" t="n"/>
      <c r="C78" s="40" t="n"/>
      <c r="D78" s="35" t="n"/>
      <c r="E78" s="35" t="n"/>
      <c r="F78" s="36" t="n"/>
      <c r="G78" s="37" t="n"/>
      <c r="H78" s="39">
        <f>IF(B78="","",G78*(1+IF(F78="",Settings!$B$27,F78)))</f>
        <v/>
      </c>
      <c r="I78" s="39">
        <f>IF(B78="","",H78-G78)</f>
        <v/>
      </c>
      <c r="J78" s="35" t="n"/>
      <c r="K78" s="40" t="n"/>
      <c r="L78" s="9">
        <f>IF(B78="","",IF(COUNTIF(Jobs!$A$5:$A$44,B78)=0,"Unknown Job ID",IF(COUNTIF('Change Orders'!$A$5:$A$104,A78)&gt;1,"Duplicate CO #",IF(E78="","Missing status",IF(AND(E78="Approved",K78=""),"Approved without client date","")))))</f>
        <v/>
      </c>
      <c r="M78" s="35" t="n"/>
    </row>
    <row r="79">
      <c r="A79" s="35" t="n"/>
      <c r="B79" s="35" t="n"/>
      <c r="C79" s="40" t="n"/>
      <c r="D79" s="35" t="n"/>
      <c r="E79" s="35" t="n"/>
      <c r="F79" s="36" t="n"/>
      <c r="G79" s="37" t="n"/>
      <c r="H79" s="39">
        <f>IF(B79="","",G79*(1+IF(F79="",Settings!$B$27,F79)))</f>
        <v/>
      </c>
      <c r="I79" s="39">
        <f>IF(B79="","",H79-G79)</f>
        <v/>
      </c>
      <c r="J79" s="35" t="n"/>
      <c r="K79" s="40" t="n"/>
      <c r="L79" s="9">
        <f>IF(B79="","",IF(COUNTIF(Jobs!$A$5:$A$44,B79)=0,"Unknown Job ID",IF(COUNTIF('Change Orders'!$A$5:$A$104,A79)&gt;1,"Duplicate CO #",IF(E79="","Missing status",IF(AND(E79="Approved",K79=""),"Approved without client date","")))))</f>
        <v/>
      </c>
      <c r="M79" s="35" t="n"/>
    </row>
    <row r="80">
      <c r="A80" s="35" t="n"/>
      <c r="B80" s="35" t="n"/>
      <c r="C80" s="40" t="n"/>
      <c r="D80" s="35" t="n"/>
      <c r="E80" s="35" t="n"/>
      <c r="F80" s="36" t="n"/>
      <c r="G80" s="37" t="n"/>
      <c r="H80" s="39">
        <f>IF(B80="","",G80*(1+IF(F80="",Settings!$B$27,F80)))</f>
        <v/>
      </c>
      <c r="I80" s="39">
        <f>IF(B80="","",H80-G80)</f>
        <v/>
      </c>
      <c r="J80" s="35" t="n"/>
      <c r="K80" s="40" t="n"/>
      <c r="L80" s="9">
        <f>IF(B80="","",IF(COUNTIF(Jobs!$A$5:$A$44,B80)=0,"Unknown Job ID",IF(COUNTIF('Change Orders'!$A$5:$A$104,A80)&gt;1,"Duplicate CO #",IF(E80="","Missing status",IF(AND(E80="Approved",K80=""),"Approved without client date","")))))</f>
        <v/>
      </c>
      <c r="M80" s="35" t="n"/>
    </row>
    <row r="81">
      <c r="A81" s="35" t="n"/>
      <c r="B81" s="35" t="n"/>
      <c r="C81" s="40" t="n"/>
      <c r="D81" s="35" t="n"/>
      <c r="E81" s="35" t="n"/>
      <c r="F81" s="36" t="n"/>
      <c r="G81" s="37" t="n"/>
      <c r="H81" s="39">
        <f>IF(B81="","",G81*(1+IF(F81="",Settings!$B$27,F81)))</f>
        <v/>
      </c>
      <c r="I81" s="39">
        <f>IF(B81="","",H81-G81)</f>
        <v/>
      </c>
      <c r="J81" s="35" t="n"/>
      <c r="K81" s="40" t="n"/>
      <c r="L81" s="9">
        <f>IF(B81="","",IF(COUNTIF(Jobs!$A$5:$A$44,B81)=0,"Unknown Job ID",IF(COUNTIF('Change Orders'!$A$5:$A$104,A81)&gt;1,"Duplicate CO #",IF(E81="","Missing status",IF(AND(E81="Approved",K81=""),"Approved without client date","")))))</f>
        <v/>
      </c>
      <c r="M81" s="35" t="n"/>
    </row>
    <row r="82">
      <c r="A82" s="35" t="n"/>
      <c r="B82" s="35" t="n"/>
      <c r="C82" s="40" t="n"/>
      <c r="D82" s="35" t="n"/>
      <c r="E82" s="35" t="n"/>
      <c r="F82" s="36" t="n"/>
      <c r="G82" s="37" t="n"/>
      <c r="H82" s="39">
        <f>IF(B82="","",G82*(1+IF(F82="",Settings!$B$27,F82)))</f>
        <v/>
      </c>
      <c r="I82" s="39">
        <f>IF(B82="","",H82-G82)</f>
        <v/>
      </c>
      <c r="J82" s="35" t="n"/>
      <c r="K82" s="40" t="n"/>
      <c r="L82" s="9">
        <f>IF(B82="","",IF(COUNTIF(Jobs!$A$5:$A$44,B82)=0,"Unknown Job ID",IF(COUNTIF('Change Orders'!$A$5:$A$104,A82)&gt;1,"Duplicate CO #",IF(E82="","Missing status",IF(AND(E82="Approved",K82=""),"Approved without client date","")))))</f>
        <v/>
      </c>
      <c r="M82" s="35" t="n"/>
    </row>
    <row r="83">
      <c r="A83" s="35" t="n"/>
      <c r="B83" s="35" t="n"/>
      <c r="C83" s="40" t="n"/>
      <c r="D83" s="35" t="n"/>
      <c r="E83" s="35" t="n"/>
      <c r="F83" s="36" t="n"/>
      <c r="G83" s="37" t="n"/>
      <c r="H83" s="39">
        <f>IF(B83="","",G83*(1+IF(F83="",Settings!$B$27,F83)))</f>
        <v/>
      </c>
      <c r="I83" s="39">
        <f>IF(B83="","",H83-G83)</f>
        <v/>
      </c>
      <c r="J83" s="35" t="n"/>
      <c r="K83" s="40" t="n"/>
      <c r="L83" s="9">
        <f>IF(B83="","",IF(COUNTIF(Jobs!$A$5:$A$44,B83)=0,"Unknown Job ID",IF(COUNTIF('Change Orders'!$A$5:$A$104,A83)&gt;1,"Duplicate CO #",IF(E83="","Missing status",IF(AND(E83="Approved",K83=""),"Approved without client date","")))))</f>
        <v/>
      </c>
      <c r="M83" s="35" t="n"/>
    </row>
    <row r="84">
      <c r="A84" s="35" t="n"/>
      <c r="B84" s="35" t="n"/>
      <c r="C84" s="40" t="n"/>
      <c r="D84" s="35" t="n"/>
      <c r="E84" s="35" t="n"/>
      <c r="F84" s="36" t="n"/>
      <c r="G84" s="37" t="n"/>
      <c r="H84" s="39">
        <f>IF(B84="","",G84*(1+IF(F84="",Settings!$B$27,F84)))</f>
        <v/>
      </c>
      <c r="I84" s="39">
        <f>IF(B84="","",H84-G84)</f>
        <v/>
      </c>
      <c r="J84" s="35" t="n"/>
      <c r="K84" s="40" t="n"/>
      <c r="L84" s="9">
        <f>IF(B84="","",IF(COUNTIF(Jobs!$A$5:$A$44,B84)=0,"Unknown Job ID",IF(COUNTIF('Change Orders'!$A$5:$A$104,A84)&gt;1,"Duplicate CO #",IF(E84="","Missing status",IF(AND(E84="Approved",K84=""),"Approved without client date","")))))</f>
        <v/>
      </c>
      <c r="M84" s="35" t="n"/>
    </row>
    <row r="85">
      <c r="A85" s="35" t="n"/>
      <c r="B85" s="35" t="n"/>
      <c r="C85" s="40" t="n"/>
      <c r="D85" s="35" t="n"/>
      <c r="E85" s="35" t="n"/>
      <c r="F85" s="36" t="n"/>
      <c r="G85" s="37" t="n"/>
      <c r="H85" s="39">
        <f>IF(B85="","",G85*(1+IF(F85="",Settings!$B$27,F85)))</f>
        <v/>
      </c>
      <c r="I85" s="39">
        <f>IF(B85="","",H85-G85)</f>
        <v/>
      </c>
      <c r="J85" s="35" t="n"/>
      <c r="K85" s="40" t="n"/>
      <c r="L85" s="9">
        <f>IF(B85="","",IF(COUNTIF(Jobs!$A$5:$A$44,B85)=0,"Unknown Job ID",IF(COUNTIF('Change Orders'!$A$5:$A$104,A85)&gt;1,"Duplicate CO #",IF(E85="","Missing status",IF(AND(E85="Approved",K85=""),"Approved without client date","")))))</f>
        <v/>
      </c>
      <c r="M85" s="35" t="n"/>
    </row>
    <row r="86">
      <c r="A86" s="35" t="n"/>
      <c r="B86" s="35" t="n"/>
      <c r="C86" s="40" t="n"/>
      <c r="D86" s="35" t="n"/>
      <c r="E86" s="35" t="n"/>
      <c r="F86" s="36" t="n"/>
      <c r="G86" s="37" t="n"/>
      <c r="H86" s="39">
        <f>IF(B86="","",G86*(1+IF(F86="",Settings!$B$27,F86)))</f>
        <v/>
      </c>
      <c r="I86" s="39">
        <f>IF(B86="","",H86-G86)</f>
        <v/>
      </c>
      <c r="J86" s="35" t="n"/>
      <c r="K86" s="40" t="n"/>
      <c r="L86" s="9">
        <f>IF(B86="","",IF(COUNTIF(Jobs!$A$5:$A$44,B86)=0,"Unknown Job ID",IF(COUNTIF('Change Orders'!$A$5:$A$104,A86)&gt;1,"Duplicate CO #",IF(E86="","Missing status",IF(AND(E86="Approved",K86=""),"Approved without client date","")))))</f>
        <v/>
      </c>
      <c r="M86" s="35" t="n"/>
    </row>
    <row r="87">
      <c r="A87" s="35" t="n"/>
      <c r="B87" s="35" t="n"/>
      <c r="C87" s="40" t="n"/>
      <c r="D87" s="35" t="n"/>
      <c r="E87" s="35" t="n"/>
      <c r="F87" s="36" t="n"/>
      <c r="G87" s="37" t="n"/>
      <c r="H87" s="39">
        <f>IF(B87="","",G87*(1+IF(F87="",Settings!$B$27,F87)))</f>
        <v/>
      </c>
      <c r="I87" s="39">
        <f>IF(B87="","",H87-G87)</f>
        <v/>
      </c>
      <c r="J87" s="35" t="n"/>
      <c r="K87" s="40" t="n"/>
      <c r="L87" s="9">
        <f>IF(B87="","",IF(COUNTIF(Jobs!$A$5:$A$44,B87)=0,"Unknown Job ID",IF(COUNTIF('Change Orders'!$A$5:$A$104,A87)&gt;1,"Duplicate CO #",IF(E87="","Missing status",IF(AND(E87="Approved",K87=""),"Approved without client date","")))))</f>
        <v/>
      </c>
      <c r="M87" s="35" t="n"/>
    </row>
    <row r="88">
      <c r="A88" s="35" t="n"/>
      <c r="B88" s="35" t="n"/>
      <c r="C88" s="40" t="n"/>
      <c r="D88" s="35" t="n"/>
      <c r="E88" s="35" t="n"/>
      <c r="F88" s="36" t="n"/>
      <c r="G88" s="37" t="n"/>
      <c r="H88" s="39">
        <f>IF(B88="","",G88*(1+IF(F88="",Settings!$B$27,F88)))</f>
        <v/>
      </c>
      <c r="I88" s="39">
        <f>IF(B88="","",H88-G88)</f>
        <v/>
      </c>
      <c r="J88" s="35" t="n"/>
      <c r="K88" s="40" t="n"/>
      <c r="L88" s="9">
        <f>IF(B88="","",IF(COUNTIF(Jobs!$A$5:$A$44,B88)=0,"Unknown Job ID",IF(COUNTIF('Change Orders'!$A$5:$A$104,A88)&gt;1,"Duplicate CO #",IF(E88="","Missing status",IF(AND(E88="Approved",K88=""),"Approved without client date","")))))</f>
        <v/>
      </c>
      <c r="M88" s="35" t="n"/>
    </row>
    <row r="89">
      <c r="A89" s="35" t="n"/>
      <c r="B89" s="35" t="n"/>
      <c r="C89" s="40" t="n"/>
      <c r="D89" s="35" t="n"/>
      <c r="E89" s="35" t="n"/>
      <c r="F89" s="36" t="n"/>
      <c r="G89" s="37" t="n"/>
      <c r="H89" s="39">
        <f>IF(B89="","",G89*(1+IF(F89="",Settings!$B$27,F89)))</f>
        <v/>
      </c>
      <c r="I89" s="39">
        <f>IF(B89="","",H89-G89)</f>
        <v/>
      </c>
      <c r="J89" s="35" t="n"/>
      <c r="K89" s="40" t="n"/>
      <c r="L89" s="9">
        <f>IF(B89="","",IF(COUNTIF(Jobs!$A$5:$A$44,B89)=0,"Unknown Job ID",IF(COUNTIF('Change Orders'!$A$5:$A$104,A89)&gt;1,"Duplicate CO #",IF(E89="","Missing status",IF(AND(E89="Approved",K89=""),"Approved without client date","")))))</f>
        <v/>
      </c>
      <c r="M89" s="35" t="n"/>
    </row>
    <row r="90">
      <c r="A90" s="35" t="n"/>
      <c r="B90" s="35" t="n"/>
      <c r="C90" s="40" t="n"/>
      <c r="D90" s="35" t="n"/>
      <c r="E90" s="35" t="n"/>
      <c r="F90" s="36" t="n"/>
      <c r="G90" s="37" t="n"/>
      <c r="H90" s="39">
        <f>IF(B90="","",G90*(1+IF(F90="",Settings!$B$27,F90)))</f>
        <v/>
      </c>
      <c r="I90" s="39">
        <f>IF(B90="","",H90-G90)</f>
        <v/>
      </c>
      <c r="J90" s="35" t="n"/>
      <c r="K90" s="40" t="n"/>
      <c r="L90" s="9">
        <f>IF(B90="","",IF(COUNTIF(Jobs!$A$5:$A$44,B90)=0,"Unknown Job ID",IF(COUNTIF('Change Orders'!$A$5:$A$104,A90)&gt;1,"Duplicate CO #",IF(E90="","Missing status",IF(AND(E90="Approved",K90=""),"Approved without client date","")))))</f>
        <v/>
      </c>
      <c r="M90" s="35" t="n"/>
    </row>
    <row r="91">
      <c r="A91" s="35" t="n"/>
      <c r="B91" s="35" t="n"/>
      <c r="C91" s="40" t="n"/>
      <c r="D91" s="35" t="n"/>
      <c r="E91" s="35" t="n"/>
      <c r="F91" s="36" t="n"/>
      <c r="G91" s="37" t="n"/>
      <c r="H91" s="39">
        <f>IF(B91="","",G91*(1+IF(F91="",Settings!$B$27,F91)))</f>
        <v/>
      </c>
      <c r="I91" s="39">
        <f>IF(B91="","",H91-G91)</f>
        <v/>
      </c>
      <c r="J91" s="35" t="n"/>
      <c r="K91" s="40" t="n"/>
      <c r="L91" s="9">
        <f>IF(B91="","",IF(COUNTIF(Jobs!$A$5:$A$44,B91)=0,"Unknown Job ID",IF(COUNTIF('Change Orders'!$A$5:$A$104,A91)&gt;1,"Duplicate CO #",IF(E91="","Missing status",IF(AND(E91="Approved",K91=""),"Approved without client date","")))))</f>
        <v/>
      </c>
      <c r="M91" s="35" t="n"/>
    </row>
    <row r="92">
      <c r="A92" s="35" t="n"/>
      <c r="B92" s="35" t="n"/>
      <c r="C92" s="40" t="n"/>
      <c r="D92" s="35" t="n"/>
      <c r="E92" s="35" t="n"/>
      <c r="F92" s="36" t="n"/>
      <c r="G92" s="37" t="n"/>
      <c r="H92" s="39">
        <f>IF(B92="","",G92*(1+IF(F92="",Settings!$B$27,F92)))</f>
        <v/>
      </c>
      <c r="I92" s="39">
        <f>IF(B92="","",H92-G92)</f>
        <v/>
      </c>
      <c r="J92" s="35" t="n"/>
      <c r="K92" s="40" t="n"/>
      <c r="L92" s="9">
        <f>IF(B92="","",IF(COUNTIF(Jobs!$A$5:$A$44,B92)=0,"Unknown Job ID",IF(COUNTIF('Change Orders'!$A$5:$A$104,A92)&gt;1,"Duplicate CO #",IF(E92="","Missing status",IF(AND(E92="Approved",K92=""),"Approved without client date","")))))</f>
        <v/>
      </c>
      <c r="M92" s="35" t="n"/>
    </row>
    <row r="93">
      <c r="A93" s="35" t="n"/>
      <c r="B93" s="35" t="n"/>
      <c r="C93" s="40" t="n"/>
      <c r="D93" s="35" t="n"/>
      <c r="E93" s="35" t="n"/>
      <c r="F93" s="36" t="n"/>
      <c r="G93" s="37" t="n"/>
      <c r="H93" s="39">
        <f>IF(B93="","",G93*(1+IF(F93="",Settings!$B$27,F93)))</f>
        <v/>
      </c>
      <c r="I93" s="39">
        <f>IF(B93="","",H93-G93)</f>
        <v/>
      </c>
      <c r="J93" s="35" t="n"/>
      <c r="K93" s="40" t="n"/>
      <c r="L93" s="9">
        <f>IF(B93="","",IF(COUNTIF(Jobs!$A$5:$A$44,B93)=0,"Unknown Job ID",IF(COUNTIF('Change Orders'!$A$5:$A$104,A93)&gt;1,"Duplicate CO #",IF(E93="","Missing status",IF(AND(E93="Approved",K93=""),"Approved without client date","")))))</f>
        <v/>
      </c>
      <c r="M93" s="35" t="n"/>
    </row>
    <row r="94">
      <c r="A94" s="35" t="n"/>
      <c r="B94" s="35" t="n"/>
      <c r="C94" s="40" t="n"/>
      <c r="D94" s="35" t="n"/>
      <c r="E94" s="35" t="n"/>
      <c r="F94" s="36" t="n"/>
      <c r="G94" s="37" t="n"/>
      <c r="H94" s="39">
        <f>IF(B94="","",G94*(1+IF(F94="",Settings!$B$27,F94)))</f>
        <v/>
      </c>
      <c r="I94" s="39">
        <f>IF(B94="","",H94-G94)</f>
        <v/>
      </c>
      <c r="J94" s="35" t="n"/>
      <c r="K94" s="40" t="n"/>
      <c r="L94" s="9">
        <f>IF(B94="","",IF(COUNTIF(Jobs!$A$5:$A$44,B94)=0,"Unknown Job ID",IF(COUNTIF('Change Orders'!$A$5:$A$104,A94)&gt;1,"Duplicate CO #",IF(E94="","Missing status",IF(AND(E94="Approved",K94=""),"Approved without client date","")))))</f>
        <v/>
      </c>
      <c r="M94" s="35" t="n"/>
    </row>
    <row r="95">
      <c r="A95" s="35" t="n"/>
      <c r="B95" s="35" t="n"/>
      <c r="C95" s="40" t="n"/>
      <c r="D95" s="35" t="n"/>
      <c r="E95" s="35" t="n"/>
      <c r="F95" s="36" t="n"/>
      <c r="G95" s="37" t="n"/>
      <c r="H95" s="39">
        <f>IF(B95="","",G95*(1+IF(F95="",Settings!$B$27,F95)))</f>
        <v/>
      </c>
      <c r="I95" s="39">
        <f>IF(B95="","",H95-G95)</f>
        <v/>
      </c>
      <c r="J95" s="35" t="n"/>
      <c r="K95" s="40" t="n"/>
      <c r="L95" s="9">
        <f>IF(B95="","",IF(COUNTIF(Jobs!$A$5:$A$44,B95)=0,"Unknown Job ID",IF(COUNTIF('Change Orders'!$A$5:$A$104,A95)&gt;1,"Duplicate CO #",IF(E95="","Missing status",IF(AND(E95="Approved",K95=""),"Approved without client date","")))))</f>
        <v/>
      </c>
      <c r="M95" s="35" t="n"/>
    </row>
    <row r="96">
      <c r="A96" s="35" t="n"/>
      <c r="B96" s="35" t="n"/>
      <c r="C96" s="40" t="n"/>
      <c r="D96" s="35" t="n"/>
      <c r="E96" s="35" t="n"/>
      <c r="F96" s="36" t="n"/>
      <c r="G96" s="37" t="n"/>
      <c r="H96" s="39">
        <f>IF(B96="","",G96*(1+IF(F96="",Settings!$B$27,F96)))</f>
        <v/>
      </c>
      <c r="I96" s="39">
        <f>IF(B96="","",H96-G96)</f>
        <v/>
      </c>
      <c r="J96" s="35" t="n"/>
      <c r="K96" s="40" t="n"/>
      <c r="L96" s="9">
        <f>IF(B96="","",IF(COUNTIF(Jobs!$A$5:$A$44,B96)=0,"Unknown Job ID",IF(COUNTIF('Change Orders'!$A$5:$A$104,A96)&gt;1,"Duplicate CO #",IF(E96="","Missing status",IF(AND(E96="Approved",K96=""),"Approved without client date","")))))</f>
        <v/>
      </c>
      <c r="M96" s="35" t="n"/>
    </row>
    <row r="97">
      <c r="A97" s="35" t="n"/>
      <c r="B97" s="35" t="n"/>
      <c r="C97" s="40" t="n"/>
      <c r="D97" s="35" t="n"/>
      <c r="E97" s="35" t="n"/>
      <c r="F97" s="36" t="n"/>
      <c r="G97" s="37" t="n"/>
      <c r="H97" s="39">
        <f>IF(B97="","",G97*(1+IF(F97="",Settings!$B$27,F97)))</f>
        <v/>
      </c>
      <c r="I97" s="39">
        <f>IF(B97="","",H97-G97)</f>
        <v/>
      </c>
      <c r="J97" s="35" t="n"/>
      <c r="K97" s="40" t="n"/>
      <c r="L97" s="9">
        <f>IF(B97="","",IF(COUNTIF(Jobs!$A$5:$A$44,B97)=0,"Unknown Job ID",IF(COUNTIF('Change Orders'!$A$5:$A$104,A97)&gt;1,"Duplicate CO #",IF(E97="","Missing status",IF(AND(E97="Approved",K97=""),"Approved without client date","")))))</f>
        <v/>
      </c>
      <c r="M97" s="35" t="n"/>
    </row>
    <row r="98">
      <c r="A98" s="35" t="n"/>
      <c r="B98" s="35" t="n"/>
      <c r="C98" s="40" t="n"/>
      <c r="D98" s="35" t="n"/>
      <c r="E98" s="35" t="n"/>
      <c r="F98" s="36" t="n"/>
      <c r="G98" s="37" t="n"/>
      <c r="H98" s="39">
        <f>IF(B98="","",G98*(1+IF(F98="",Settings!$B$27,F98)))</f>
        <v/>
      </c>
      <c r="I98" s="39">
        <f>IF(B98="","",H98-G98)</f>
        <v/>
      </c>
      <c r="J98" s="35" t="n"/>
      <c r="K98" s="40" t="n"/>
      <c r="L98" s="9">
        <f>IF(B98="","",IF(COUNTIF(Jobs!$A$5:$A$44,B98)=0,"Unknown Job ID",IF(COUNTIF('Change Orders'!$A$5:$A$104,A98)&gt;1,"Duplicate CO #",IF(E98="","Missing status",IF(AND(E98="Approved",K98=""),"Approved without client date","")))))</f>
        <v/>
      </c>
      <c r="M98" s="35" t="n"/>
    </row>
    <row r="99">
      <c r="A99" s="35" t="n"/>
      <c r="B99" s="35" t="n"/>
      <c r="C99" s="40" t="n"/>
      <c r="D99" s="35" t="n"/>
      <c r="E99" s="35" t="n"/>
      <c r="F99" s="36" t="n"/>
      <c r="G99" s="37" t="n"/>
      <c r="H99" s="39">
        <f>IF(B99="","",G99*(1+IF(F99="",Settings!$B$27,F99)))</f>
        <v/>
      </c>
      <c r="I99" s="39">
        <f>IF(B99="","",H99-G99)</f>
        <v/>
      </c>
      <c r="J99" s="35" t="n"/>
      <c r="K99" s="40" t="n"/>
      <c r="L99" s="9">
        <f>IF(B99="","",IF(COUNTIF(Jobs!$A$5:$A$44,B99)=0,"Unknown Job ID",IF(COUNTIF('Change Orders'!$A$5:$A$104,A99)&gt;1,"Duplicate CO #",IF(E99="","Missing status",IF(AND(E99="Approved",K99=""),"Approved without client date","")))))</f>
        <v/>
      </c>
      <c r="M99" s="35" t="n"/>
    </row>
    <row r="100">
      <c r="A100" s="35" t="n"/>
      <c r="B100" s="35" t="n"/>
      <c r="C100" s="40" t="n"/>
      <c r="D100" s="35" t="n"/>
      <c r="E100" s="35" t="n"/>
      <c r="F100" s="36" t="n"/>
      <c r="G100" s="37" t="n"/>
      <c r="H100" s="39">
        <f>IF(B100="","",G100*(1+IF(F100="",Settings!$B$27,F100)))</f>
        <v/>
      </c>
      <c r="I100" s="39">
        <f>IF(B100="","",H100-G100)</f>
        <v/>
      </c>
      <c r="J100" s="35" t="n"/>
      <c r="K100" s="40" t="n"/>
      <c r="L100" s="9">
        <f>IF(B100="","",IF(COUNTIF(Jobs!$A$5:$A$44,B100)=0,"Unknown Job ID",IF(COUNTIF('Change Orders'!$A$5:$A$104,A100)&gt;1,"Duplicate CO #",IF(E100="","Missing status",IF(AND(E100="Approved",K100=""),"Approved without client date","")))))</f>
        <v/>
      </c>
      <c r="M100" s="35" t="n"/>
    </row>
    <row r="101">
      <c r="A101" s="35" t="n"/>
      <c r="B101" s="35" t="n"/>
      <c r="C101" s="40" t="n"/>
      <c r="D101" s="35" t="n"/>
      <c r="E101" s="35" t="n"/>
      <c r="F101" s="36" t="n"/>
      <c r="G101" s="37" t="n"/>
      <c r="H101" s="39">
        <f>IF(B101="","",G101*(1+IF(F101="",Settings!$B$27,F101)))</f>
        <v/>
      </c>
      <c r="I101" s="39">
        <f>IF(B101="","",H101-G101)</f>
        <v/>
      </c>
      <c r="J101" s="35" t="n"/>
      <c r="K101" s="40" t="n"/>
      <c r="L101" s="9">
        <f>IF(B101="","",IF(COUNTIF(Jobs!$A$5:$A$44,B101)=0,"Unknown Job ID",IF(COUNTIF('Change Orders'!$A$5:$A$104,A101)&gt;1,"Duplicate CO #",IF(E101="","Missing status",IF(AND(E101="Approved",K101=""),"Approved without client date","")))))</f>
        <v/>
      </c>
      <c r="M101" s="35" t="n"/>
    </row>
    <row r="102">
      <c r="A102" s="35" t="n"/>
      <c r="B102" s="35" t="n"/>
      <c r="C102" s="40" t="n"/>
      <c r="D102" s="35" t="n"/>
      <c r="E102" s="35" t="n"/>
      <c r="F102" s="36" t="n"/>
      <c r="G102" s="37" t="n"/>
      <c r="H102" s="39">
        <f>IF(B102="","",G102*(1+IF(F102="",Settings!$B$27,F102)))</f>
        <v/>
      </c>
      <c r="I102" s="39">
        <f>IF(B102="","",H102-G102)</f>
        <v/>
      </c>
      <c r="J102" s="35" t="n"/>
      <c r="K102" s="40" t="n"/>
      <c r="L102" s="9">
        <f>IF(B102="","",IF(COUNTIF(Jobs!$A$5:$A$44,B102)=0,"Unknown Job ID",IF(COUNTIF('Change Orders'!$A$5:$A$104,A102)&gt;1,"Duplicate CO #",IF(E102="","Missing status",IF(AND(E102="Approved",K102=""),"Approved without client date","")))))</f>
        <v/>
      </c>
      <c r="M102" s="35" t="n"/>
    </row>
    <row r="103">
      <c r="A103" s="35" t="n"/>
      <c r="B103" s="35" t="n"/>
      <c r="C103" s="40" t="n"/>
      <c r="D103" s="35" t="n"/>
      <c r="E103" s="35" t="n"/>
      <c r="F103" s="36" t="n"/>
      <c r="G103" s="37" t="n"/>
      <c r="H103" s="39">
        <f>IF(B103="","",G103*(1+IF(F103="",Settings!$B$27,F103)))</f>
        <v/>
      </c>
      <c r="I103" s="39">
        <f>IF(B103="","",H103-G103)</f>
        <v/>
      </c>
      <c r="J103" s="35" t="n"/>
      <c r="K103" s="40" t="n"/>
      <c r="L103" s="9">
        <f>IF(B103="","",IF(COUNTIF(Jobs!$A$5:$A$44,B103)=0,"Unknown Job ID",IF(COUNTIF('Change Orders'!$A$5:$A$104,A103)&gt;1,"Duplicate CO #",IF(E103="","Missing status",IF(AND(E103="Approved",K103=""),"Approved without client date","")))))</f>
        <v/>
      </c>
      <c r="M103" s="35" t="n"/>
    </row>
    <row r="104">
      <c r="A104" s="35" t="n"/>
      <c r="B104" s="35" t="n"/>
      <c r="C104" s="40" t="n"/>
      <c r="D104" s="35" t="n"/>
      <c r="E104" s="35" t="n"/>
      <c r="F104" s="36" t="n"/>
      <c r="G104" s="37" t="n"/>
      <c r="H104" s="39">
        <f>IF(B104="","",G104*(1+IF(F104="",Settings!$B$27,F104)))</f>
        <v/>
      </c>
      <c r="I104" s="39">
        <f>IF(B104="","",H104-G104)</f>
        <v/>
      </c>
      <c r="J104" s="35" t="n"/>
      <c r="K104" s="40" t="n"/>
      <c r="L104" s="9">
        <f>IF(B104="","",IF(COUNTIF(Jobs!$A$5:$A$44,B104)=0,"Unknown Job ID",IF(COUNTIF('Change Orders'!$A$5:$A$104,A104)&gt;1,"Duplicate CO #",IF(E104="","Missing status",IF(AND(E104="Approved",K104=""),"Approved without client date","")))))</f>
        <v/>
      </c>
      <c r="M104" s="35" t="n"/>
    </row>
  </sheetData>
  <conditionalFormatting sqref="E5:E104">
    <cfRule type="cellIs" priority="1" operator="equal" dxfId="2">
      <formula>"Approved"</formula>
    </cfRule>
    <cfRule type="cellIs" priority="2" operator="equal" dxfId="0">
      <formula>"Pending"</formula>
    </cfRule>
  </conditionalFormatting>
  <conditionalFormatting sqref="L5:L104">
    <cfRule type="expression" priority="3" dxfId="1">
      <formula>L5&lt;&gt;""</formula>
    </cfRule>
  </conditionalFormatting>
  <dataValidations count="2">
    <dataValidation sqref="B5:B104" showDropDown="0" showInputMessage="0" showErrorMessage="0" allowBlank="1" type="list">
      <formula1>=Jobs!$A$5:$A$44</formula1>
    </dataValidation>
    <dataValidation sqref="E5:E104" showDropDown="0" showInputMessage="0" showErrorMessage="0" allowBlank="1" type="list">
      <formula1>"Pending,Approved,Rejected"</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6.xml><?xml version="1.0" encoding="utf-8"?>
<worksheet xmlns="http://schemas.openxmlformats.org/spreadsheetml/2006/main">
  <sheetPr>
    <tabColor rgb="003A9D5D"/>
    <outlinePr summaryBelow="1" summaryRight="1"/>
    <pageSetUpPr fitToPage="1"/>
  </sheetPr>
  <dimension ref="A1:I24"/>
  <sheetViews>
    <sheetView showGridLines="0" tabSelected="0" workbookViewId="0">
      <selection activeCell="I2" sqref="I2"/>
    </sheetView>
  </sheetViews>
  <sheetFormatPr baseColWidth="8" defaultRowHeight="15"/>
  <cols>
    <col width="9" customWidth="1" min="1" max="1"/>
    <col width="40" customWidth="1" min="2" max="2"/>
    <col width="14" customWidth="1" min="3" max="3"/>
    <col width="14" customWidth="1" min="4" max="4"/>
    <col width="18" customWidth="1" min="5" max="5"/>
    <col width="14" customWidth="1" min="6" max="6"/>
    <col width="3" customWidth="1" min="7" max="7"/>
    <col width="12" customWidth="1" min="8" max="8"/>
    <col width="20" customWidth="1" min="9" max="9"/>
  </cols>
  <sheetData>
    <row r="1">
      <c r="A1" s="43" t="inlineStr">
        <is>
          <t>CHANGE ORDER</t>
        </is>
      </c>
    </row>
    <row r="2">
      <c r="H2" s="44" t="inlineStr">
        <is>
          <t>CO #</t>
        </is>
      </c>
      <c r="I2" s="65" t="n"/>
    </row>
    <row r="3">
      <c r="H3" s="14" t="inlineStr">
        <is>
          <t>← pick a change order; the form at left fills in. Columns H–I never print.</t>
        </is>
      </c>
    </row>
    <row r="4">
      <c r="B4" s="45" t="inlineStr">
        <is>
          <t>CONTRACTOR</t>
        </is>
      </c>
      <c r="E4" s="45" t="inlineStr">
        <is>
          <t>CLIENT</t>
        </is>
      </c>
    </row>
    <row r="5">
      <c r="B5" s="44">
        <f>Settings!$B$5&amp;""</f>
        <v/>
      </c>
      <c r="E5" s="44">
        <f>IFERROR(INDEX(Jobs!$B$5:$B$44,MATCH(IFERROR(INDEX('Change Orders'!$B$5:$B$104,MATCH($I$2,'Change Orders'!$A$5:$A$104,0)),""),Jobs!$A$5:$A$44,0)),"")</f>
        <v/>
      </c>
    </row>
    <row r="6">
      <c r="B6">
        <f>Settings!$B$6&amp;""</f>
        <v/>
      </c>
      <c r="E6">
        <f>IFERROR(INDEX(Clients!$B$5:$B$104,MATCH(IFERROR(INDEX(Jobs!$B$5:$B$44,MATCH(IFERROR(INDEX('Change Orders'!$B$5:$B$104,MATCH($I$2,'Change Orders'!$A$5:$A$104,0)),""),Jobs!$A$5:$A$44,0)),""),Clients!$A$5:$A$104,0)),"")</f>
        <v/>
      </c>
    </row>
    <row r="7">
      <c r="B7">
        <f>Settings!$B$7&amp;""</f>
        <v/>
      </c>
      <c r="E7">
        <f>IFERROR(INDEX(Clients!$E$5:$E$104,MATCH(IFERROR(INDEX(Jobs!$B$5:$B$44,MATCH(IFERROR(INDEX('Change Orders'!$B$5:$B$104,MATCH($I$2,'Change Orders'!$A$5:$A$104,0)),""),Jobs!$A$5:$A$44,0)),""),Clients!$A$5:$A$104,0)),"")</f>
        <v/>
      </c>
    </row>
    <row r="9" ht="30" customHeight="1">
      <c r="B9" s="66" t="inlineStr">
        <is>
          <t>Job</t>
        </is>
      </c>
      <c r="C9" s="48" t="n"/>
      <c r="D9" s="49" t="n"/>
      <c r="E9" s="67">
        <f>IF($I$2="","",IFERROR(INDEX('Change Orders'!$B$5:$B$104,MATCH($I$2,'Change Orders'!$A$5:$A$104,0)),"")&amp;"  —  "&amp;IFERROR(INDEX(Jobs!$C$5:$C$44,MATCH(IFERROR(INDEX('Change Orders'!$B$5:$B$104,MATCH($I$2,'Change Orders'!$A$5:$A$104,0)),""),Jobs!$A$5:$A$44,0)),""))</f>
        <v/>
      </c>
      <c r="F9" s="9" t="n"/>
    </row>
    <row r="10">
      <c r="B10" s="66" t="inlineStr">
        <is>
          <t>Change order date</t>
        </is>
      </c>
      <c r="C10" s="48" t="n"/>
      <c r="D10" s="49" t="n"/>
      <c r="E10" s="68">
        <f>IFERROR(INDEX('Change Orders'!$C$5:$C$104,MATCH($I$2,'Change Orders'!$A$5:$A$104,0)),"")</f>
        <v/>
      </c>
      <c r="F10" s="9" t="n"/>
    </row>
    <row r="11" ht="60" customHeight="1">
      <c r="B11" s="66" t="inlineStr">
        <is>
          <t>Description of change</t>
        </is>
      </c>
      <c r="C11" s="48" t="n"/>
      <c r="D11" s="49" t="n"/>
      <c r="E11" s="67">
        <f>IFERROR(INDEX('Change Orders'!$D$5:$D$104,MATCH($I$2,'Change Orders'!$A$5:$A$104,0)),"")</f>
        <v/>
      </c>
      <c r="F11" s="9" t="n"/>
    </row>
    <row r="12">
      <c r="B12" s="66" t="inlineStr">
        <is>
          <t>Schedule impact (days)</t>
        </is>
      </c>
      <c r="C12" s="48" t="n"/>
      <c r="D12" s="49" t="n"/>
      <c r="E12" s="67">
        <f>IFERROR(INDEX('Change Orders'!$J$5:$J$104,MATCH($I$2,'Change Orders'!$A$5:$A$104,0)),"")</f>
        <v/>
      </c>
      <c r="F12" s="9" t="n"/>
    </row>
    <row r="13">
      <c r="B13" s="66" t="inlineStr">
        <is>
          <t>Revised target completion</t>
        </is>
      </c>
      <c r="C13" s="48" t="n"/>
      <c r="D13" s="49" t="n"/>
      <c r="E13" s="68">
        <f>IF(OR($I$2="",IFERROR(INDEX(Jobs!$F$5:$F$44,MATCH(IFERROR(INDEX('Change Orders'!$B$5:$B$104,MATCH($I$2,'Change Orders'!$A$5:$A$104,0)),""),Jobs!$A$5:$A$44,0)),"")=""),"",IFERROR(INDEX(Jobs!$F$5:$F$44,MATCH(IFERROR(INDEX('Change Orders'!$B$5:$B$104,MATCH($I$2,'Change Orders'!$A$5:$A$104,0)),""),Jobs!$A$5:$A$44,0)),"")+IF(IFERROR(INDEX('Change Orders'!$J$5:$J$104,MATCH($I$2,'Change Orders'!$A$5:$A$104,0)),"")="",0,IFERROR(INDEX('Change Orders'!$J$5:$J$104,MATCH($I$2,'Change Orders'!$A$5:$A$104,0)),"")))</f>
        <v/>
      </c>
      <c r="F13" s="9" t="n"/>
    </row>
    <row r="14">
      <c r="B14" s="66" t="inlineStr">
        <is>
          <t>Price of this change</t>
        </is>
      </c>
      <c r="C14" s="48" t="n"/>
      <c r="D14" s="49" t="n"/>
      <c r="E14" s="69">
        <f>IFERROR(INDEX('Change Orders'!$H$5:$H$104,MATCH($I$2,'Change Orders'!$A$5:$A$104,0)),"")</f>
        <v/>
      </c>
      <c r="F14" s="9" t="n"/>
    </row>
    <row r="15">
      <c r="B15" s="66" t="inlineStr">
        <is>
          <t>Original contract value</t>
        </is>
      </c>
      <c r="C15" s="48" t="n"/>
      <c r="D15" s="49" t="n"/>
      <c r="E15" s="69">
        <f>IF(IFERROR(INDEX(Jobs!$I$5:$I$44,MATCH(IFERROR(INDEX('Change Orders'!$B$5:$B$104,MATCH($I$2,'Change Orders'!$A$5:$A$104,0)),""),Jobs!$A$5:$A$44,0)),"")="",IFERROR(INDEX(Jobs!$H$5:$H$44,MATCH(IFERROR(INDEX('Change Orders'!$B$5:$B$104,MATCH($I$2,'Change Orders'!$A$5:$A$104,0)),""),Jobs!$A$5:$A$44,0)),""),IFERROR(INDEX(Jobs!$I$5:$I$44,MATCH(IFERROR(INDEX('Change Orders'!$B$5:$B$104,MATCH($I$2,'Change Orders'!$A$5:$A$104,0)),""),Jobs!$A$5:$A$44,0)),""))</f>
        <v/>
      </c>
      <c r="F15" s="9" t="n"/>
    </row>
    <row r="16">
      <c r="B16" s="66" t="inlineStr">
        <is>
          <t>Previously approved change orders</t>
        </is>
      </c>
      <c r="C16" s="48" t="n"/>
      <c r="D16" s="49" t="n"/>
      <c r="E16" s="69">
        <f>SUMIFS('Change Orders'!$H$5:$H$104,'Change Orders'!$B$5:$B$104,IFERROR(INDEX('Change Orders'!$B$5:$B$104,MATCH($I$2,'Change Orders'!$A$5:$A$104,0)),""),'Change Orders'!$E$5:$E$104,"Approved")-IF(IFERROR(INDEX('Change Orders'!$E$5:$E$104,MATCH($I$2,'Change Orders'!$A$5:$A$104,0)),"")="Approved",IFERROR(INDEX('Change Orders'!$H$5:$H$104,MATCH($I$2,'Change Orders'!$A$5:$A$104,0)),""),0)</f>
        <v/>
      </c>
      <c r="F16" s="9" t="n"/>
    </row>
    <row r="17">
      <c r="B17" s="70" t="inlineStr">
        <is>
          <t>Revised contract total after this change</t>
        </is>
      </c>
      <c r="C17" s="31" t="n"/>
      <c r="D17" s="31" t="n"/>
      <c r="E17" s="71">
        <f>IF($I$2="","",E15+E16+E14)</f>
        <v/>
      </c>
      <c r="F17" s="31" t="n"/>
    </row>
    <row r="18">
      <c r="B18" s="66" t="inlineStr">
        <is>
          <t>Status</t>
        </is>
      </c>
      <c r="C18" s="48" t="n"/>
      <c r="D18" s="49" t="n"/>
      <c r="E18" s="67">
        <f>IFERROR(INDEX('Change Orders'!$E$5:$E$104,MATCH($I$2,'Change Orders'!$A$5:$A$104,0)),"")</f>
        <v/>
      </c>
      <c r="F18" s="9" t="n"/>
    </row>
    <row r="20">
      <c r="B20" s="45" t="inlineStr">
        <is>
          <t>Terms</t>
        </is>
      </c>
    </row>
    <row r="21" ht="50" customHeight="1">
      <c r="B21" s="12">
        <f>Settings!$B$33</f>
        <v/>
      </c>
    </row>
    <row r="23">
      <c r="B23" t="inlineStr">
        <is>
          <t>Client signature: ______________________________    Date: ____________</t>
        </is>
      </c>
    </row>
    <row r="24">
      <c r="B24" t="inlineStr">
        <is>
          <t>Contractor signature: __________________________    Date: ____________</t>
        </is>
      </c>
    </row>
  </sheetData>
  <mergeCells count="21">
    <mergeCell ref="B11:D11"/>
    <mergeCell ref="E12:F12"/>
    <mergeCell ref="B14:D14"/>
    <mergeCell ref="B17:D17"/>
    <mergeCell ref="B13:D13"/>
    <mergeCell ref="E14:F14"/>
    <mergeCell ref="E17:F17"/>
    <mergeCell ref="B10:D10"/>
    <mergeCell ref="B21:F21"/>
    <mergeCell ref="E10:F10"/>
    <mergeCell ref="B9:D9"/>
    <mergeCell ref="E13:F13"/>
    <mergeCell ref="B15:D15"/>
    <mergeCell ref="E9:F9"/>
    <mergeCell ref="E15:F15"/>
    <mergeCell ref="E11:F11"/>
    <mergeCell ref="B16:D16"/>
    <mergeCell ref="E16:F16"/>
    <mergeCell ref="B18:D18"/>
    <mergeCell ref="B12:D12"/>
    <mergeCell ref="E18:F18"/>
  </mergeCells>
  <dataValidations count="1">
    <dataValidation sqref="I2" showDropDown="0" showInputMessage="1" showErrorMessage="0" allowBlank="1" promptTitle="Pick from the list" prompt="Pick a change order number; the form fills in." type="list">
      <formula1>='Change Orders'!$A$5:$A$104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7.xml><?xml version="1.0" encoding="utf-8"?>
<worksheet xmlns="http://schemas.openxmlformats.org/spreadsheetml/2006/main">
  <sheetPr>
    <tabColor rgb="004A86C8"/>
    <outlinePr summaryBelow="1" summaryRight="1"/>
    <pageSetUpPr fitToPage="1"/>
  </sheetPr>
  <dimension ref="A1:O2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4" customWidth="1" min="1" max="1"/>
    <col width="12" customWidth="1" min="2" max="2"/>
    <col width="12" customWidth="1" min="3" max="3"/>
    <col width="12" customWidth="1" min="4" max="4"/>
    <col width="14" customWidth="1" min="5" max="5"/>
    <col width="30" customWidth="1" min="6" max="6"/>
    <col width="14" customWidth="1" min="7" max="7"/>
    <col width="14" customWidth="1" min="8" max="8"/>
    <col width="11" customWidth="1" min="9" max="9"/>
    <col width="10" customWidth="1" min="10" max="10"/>
    <col width="11" customWidth="1" min="11" max="11"/>
    <col width="22" customWidth="1" min="12" max="12"/>
    <col width="20" customWidth="1" min="13" max="13"/>
    <col width="9" customWidth="1" min="14" max="14"/>
    <col width="26" customWidth="1" min="15" max="15"/>
  </cols>
  <sheetData>
    <row r="1">
      <c r="A1" s="13" t="inlineStr">
        <is>
          <t>Invoices</t>
        </is>
      </c>
    </row>
    <row r="2">
      <c r="A2" s="14" t="inlineStr">
        <is>
          <t>One row per invoice sent. Paid to Date pulls from Payments by Invoice #. Status and aging use today's date and the grace days in Settings.</t>
        </is>
      </c>
    </row>
    <row r="3">
      <c r="A3" s="14">
        <f>"Suggested next: INV-"&amp;Settings!$B$14&amp;"-"&amp;TEXT(COUNTA(A5:A204)+1,"000")</f>
        <v/>
      </c>
    </row>
    <row r="4" ht="30" customHeight="1">
      <c r="A4" s="24" t="inlineStr">
        <is>
          <t>Invoice #</t>
        </is>
      </c>
      <c r="B4" s="24" t="inlineStr">
        <is>
          <t>Job ID</t>
        </is>
      </c>
      <c r="C4" s="24" t="inlineStr">
        <is>
          <t>Invoice Date</t>
        </is>
      </c>
      <c r="D4" s="24" t="inlineStr">
        <is>
          <t>Due Date</t>
        </is>
      </c>
      <c r="E4" s="24" t="inlineStr">
        <is>
          <t>Amount</t>
        </is>
      </c>
      <c r="F4" s="24" t="inlineStr">
        <is>
          <t>Description</t>
        </is>
      </c>
      <c r="G4" s="24" t="inlineStr">
        <is>
          <t>Paid to Date</t>
        </is>
      </c>
      <c r="H4" s="24" t="inlineStr">
        <is>
          <t>Balance</t>
        </is>
      </c>
      <c r="I4" s="24" t="inlineStr">
        <is>
          <t>Status</t>
        </is>
      </c>
      <c r="J4" s="24" t="inlineStr">
        <is>
          <t>Days Overdue</t>
        </is>
      </c>
      <c r="K4" s="24" t="inlineStr">
        <is>
          <t>Aging Bucket</t>
        </is>
      </c>
      <c r="L4" s="24" t="inlineStr">
        <is>
          <t>Check</t>
        </is>
      </c>
      <c r="M4" s="24" t="inlineStr">
        <is>
          <t>Client</t>
        </is>
      </c>
      <c r="N4" s="24" t="inlineStr">
        <is>
          <t>Stmt Line #</t>
        </is>
      </c>
      <c r="O4" s="24" t="inlineStr">
        <is>
          <t>Notes</t>
        </is>
      </c>
    </row>
    <row r="5">
      <c r="A5" s="35" t="n"/>
      <c r="B5" s="35" t="n"/>
      <c r="C5" s="40" t="n"/>
      <c r="D5" s="40" t="n"/>
      <c r="E5" s="37" t="n"/>
      <c r="F5" s="35" t="n"/>
      <c r="G5" s="39">
        <f>IF(A5="","",SUMIFS(Payments!$D$5:$D$304,Payments!$C$5:$C$304,A5))</f>
        <v/>
      </c>
      <c r="H5" s="39">
        <f>IF(A5="","",E5-G5)</f>
        <v/>
      </c>
      <c r="I5" s="9">
        <f>IF(A5="","",IF(H5&lt;=0,"Paid",IF(AND(D5&lt;&gt;"",TODAY()&gt;D5+Settings!$B$13),"Overdue",IF(G5&gt;0,"Partial","Open"))))</f>
        <v/>
      </c>
      <c r="J5" s="9">
        <f>IF(A5="","",IF(I5="Overdue",TODAY()-D5,0))</f>
        <v/>
      </c>
      <c r="K5" s="9">
        <f>IF(A5="","",IF(H5&lt;=0,"Paid",IF(OR(D5="",TODAY()&lt;=D5),"Current",IF(TODAY()-D5&lt;=30,"1-30",IF(TODAY()-D5&lt;=60,"31-60",IF(TODAY()-D5&lt;=90,"61-90","90+"))))))</f>
        <v/>
      </c>
      <c r="L5" s="9">
        <f>IF(A5="","",IF(COUNTIF(Invoices!$A$5:$A$204,A5)&gt;1,"Duplicate invoice #",IF(B5="","Missing Job ID",IF(COUNTIF(Jobs!$A$5:$A$44,B5)=0,"Unknown Job ID",IF(D5="","Missing due date",IF(E5="","Missing amount",""))))))</f>
        <v/>
      </c>
      <c r="M5" s="9">
        <f>IF(A5="","",IFERROR(INDEX(Jobs!$B$5:$B$44,MATCH(B5,Jobs!$A$5:$A$44,0)),""))</f>
        <v/>
      </c>
      <c r="N5" s="9">
        <f>IF(AND(A5&lt;&gt;"",M5&lt;&gt;"",M5='Client Statement'!$L$2),COUNTIF(M$5:M5,'Client Statement'!$L$2),"")</f>
        <v/>
      </c>
      <c r="O5" s="35" t="n"/>
    </row>
    <row r="6">
      <c r="A6" s="35" t="n"/>
      <c r="B6" s="35" t="n"/>
      <c r="C6" s="40" t="n"/>
      <c r="D6" s="40" t="n"/>
      <c r="E6" s="37" t="n"/>
      <c r="F6" s="35" t="n"/>
      <c r="G6" s="39">
        <f>IF(A6="","",SUMIFS(Payments!$D$5:$D$304,Payments!$C$5:$C$304,A6))</f>
        <v/>
      </c>
      <c r="H6" s="39">
        <f>IF(A6="","",E6-G6)</f>
        <v/>
      </c>
      <c r="I6" s="9">
        <f>IF(A6="","",IF(H6&lt;=0,"Paid",IF(AND(D6&lt;&gt;"",TODAY()&gt;D6+Settings!$B$13),"Overdue",IF(G6&gt;0,"Partial","Open"))))</f>
        <v/>
      </c>
      <c r="J6" s="9">
        <f>IF(A6="","",IF(I6="Overdue",TODAY()-D6,0))</f>
        <v/>
      </c>
      <c r="K6" s="9">
        <f>IF(A6="","",IF(H6&lt;=0,"Paid",IF(OR(D6="",TODAY()&lt;=D6),"Current",IF(TODAY()-D6&lt;=30,"1-30",IF(TODAY()-D6&lt;=60,"31-60",IF(TODAY()-D6&lt;=90,"61-90","90+"))))))</f>
        <v/>
      </c>
      <c r="L6" s="9">
        <f>IF(A6="","",IF(COUNTIF(Invoices!$A$5:$A$204,A6)&gt;1,"Duplicate invoice #",IF(B6="","Missing Job ID",IF(COUNTIF(Jobs!$A$5:$A$44,B6)=0,"Unknown Job ID",IF(D6="","Missing due date",IF(E6="","Missing amount",""))))))</f>
        <v/>
      </c>
      <c r="M6" s="9">
        <f>IF(A6="","",IFERROR(INDEX(Jobs!$B$5:$B$44,MATCH(B6,Jobs!$A$5:$A$44,0)),""))</f>
        <v/>
      </c>
      <c r="N6" s="9">
        <f>IF(AND(A6&lt;&gt;"",M6&lt;&gt;"",M6='Client Statement'!$L$2),COUNTIF(M$5:M6,'Client Statement'!$L$2),"")</f>
        <v/>
      </c>
      <c r="O6" s="35" t="n"/>
    </row>
    <row r="7">
      <c r="A7" s="35" t="n"/>
      <c r="B7" s="35" t="n"/>
      <c r="C7" s="40" t="n"/>
      <c r="D7" s="40" t="n"/>
      <c r="E7" s="37" t="n"/>
      <c r="F7" s="35" t="n"/>
      <c r="G7" s="39">
        <f>IF(A7="","",SUMIFS(Payments!$D$5:$D$304,Payments!$C$5:$C$304,A7))</f>
        <v/>
      </c>
      <c r="H7" s="39">
        <f>IF(A7="","",E7-G7)</f>
        <v/>
      </c>
      <c r="I7" s="9">
        <f>IF(A7="","",IF(H7&lt;=0,"Paid",IF(AND(D7&lt;&gt;"",TODAY()&gt;D7+Settings!$B$13),"Overdue",IF(G7&gt;0,"Partial","Open"))))</f>
        <v/>
      </c>
      <c r="J7" s="9">
        <f>IF(A7="","",IF(I7="Overdue",TODAY()-D7,0))</f>
        <v/>
      </c>
      <c r="K7" s="9">
        <f>IF(A7="","",IF(H7&lt;=0,"Paid",IF(OR(D7="",TODAY()&lt;=D7),"Current",IF(TODAY()-D7&lt;=30,"1-30",IF(TODAY()-D7&lt;=60,"31-60",IF(TODAY()-D7&lt;=90,"61-90","90+"))))))</f>
        <v/>
      </c>
      <c r="L7" s="9">
        <f>IF(A7="","",IF(COUNTIF(Invoices!$A$5:$A$204,A7)&gt;1,"Duplicate invoice #",IF(B7="","Missing Job ID",IF(COUNTIF(Jobs!$A$5:$A$44,B7)=0,"Unknown Job ID",IF(D7="","Missing due date",IF(E7="","Missing amount",""))))))</f>
        <v/>
      </c>
      <c r="M7" s="9">
        <f>IF(A7="","",IFERROR(INDEX(Jobs!$B$5:$B$44,MATCH(B7,Jobs!$A$5:$A$44,0)),""))</f>
        <v/>
      </c>
      <c r="N7" s="9">
        <f>IF(AND(A7&lt;&gt;"",M7&lt;&gt;"",M7='Client Statement'!$L$2),COUNTIF(M$5:M7,'Client Statement'!$L$2),"")</f>
        <v/>
      </c>
      <c r="O7" s="35" t="n"/>
    </row>
    <row r="8">
      <c r="A8" s="35" t="n"/>
      <c r="B8" s="35" t="n"/>
      <c r="C8" s="40" t="n"/>
      <c r="D8" s="40" t="n"/>
      <c r="E8" s="37" t="n"/>
      <c r="F8" s="35" t="n"/>
      <c r="G8" s="39">
        <f>IF(A8="","",SUMIFS(Payments!$D$5:$D$304,Payments!$C$5:$C$304,A8))</f>
        <v/>
      </c>
      <c r="H8" s="39">
        <f>IF(A8="","",E8-G8)</f>
        <v/>
      </c>
      <c r="I8" s="9">
        <f>IF(A8="","",IF(H8&lt;=0,"Paid",IF(AND(D8&lt;&gt;"",TODAY()&gt;D8+Settings!$B$13),"Overdue",IF(G8&gt;0,"Partial","Open"))))</f>
        <v/>
      </c>
      <c r="J8" s="9">
        <f>IF(A8="","",IF(I8="Overdue",TODAY()-D8,0))</f>
        <v/>
      </c>
      <c r="K8" s="9">
        <f>IF(A8="","",IF(H8&lt;=0,"Paid",IF(OR(D8="",TODAY()&lt;=D8),"Current",IF(TODAY()-D8&lt;=30,"1-30",IF(TODAY()-D8&lt;=60,"31-60",IF(TODAY()-D8&lt;=90,"61-90","90+"))))))</f>
        <v/>
      </c>
      <c r="L8" s="9">
        <f>IF(A8="","",IF(COUNTIF(Invoices!$A$5:$A$204,A8)&gt;1,"Duplicate invoice #",IF(B8="","Missing Job ID",IF(COUNTIF(Jobs!$A$5:$A$44,B8)=0,"Unknown Job ID",IF(D8="","Missing due date",IF(E8="","Missing amount",""))))))</f>
        <v/>
      </c>
      <c r="M8" s="9">
        <f>IF(A8="","",IFERROR(INDEX(Jobs!$B$5:$B$44,MATCH(B8,Jobs!$A$5:$A$44,0)),""))</f>
        <v/>
      </c>
      <c r="N8" s="9">
        <f>IF(AND(A8&lt;&gt;"",M8&lt;&gt;"",M8='Client Statement'!$L$2),COUNTIF(M$5:M8,'Client Statement'!$L$2),"")</f>
        <v/>
      </c>
      <c r="O8" s="35" t="n"/>
    </row>
    <row r="9">
      <c r="A9" s="35" t="n"/>
      <c r="B9" s="35" t="n"/>
      <c r="C9" s="40" t="n"/>
      <c r="D9" s="40" t="n"/>
      <c r="E9" s="37" t="n"/>
      <c r="F9" s="35" t="n"/>
      <c r="G9" s="39">
        <f>IF(A9="","",SUMIFS(Payments!$D$5:$D$304,Payments!$C$5:$C$304,A9))</f>
        <v/>
      </c>
      <c r="H9" s="39">
        <f>IF(A9="","",E9-G9)</f>
        <v/>
      </c>
      <c r="I9" s="9">
        <f>IF(A9="","",IF(H9&lt;=0,"Paid",IF(AND(D9&lt;&gt;"",TODAY()&gt;D9+Settings!$B$13),"Overdue",IF(G9&gt;0,"Partial","Open"))))</f>
        <v/>
      </c>
      <c r="J9" s="9">
        <f>IF(A9="","",IF(I9="Overdue",TODAY()-D9,0))</f>
        <v/>
      </c>
      <c r="K9" s="9">
        <f>IF(A9="","",IF(H9&lt;=0,"Paid",IF(OR(D9="",TODAY()&lt;=D9),"Current",IF(TODAY()-D9&lt;=30,"1-30",IF(TODAY()-D9&lt;=60,"31-60",IF(TODAY()-D9&lt;=90,"61-90","90+"))))))</f>
        <v/>
      </c>
      <c r="L9" s="9">
        <f>IF(A9="","",IF(COUNTIF(Invoices!$A$5:$A$204,A9)&gt;1,"Duplicate invoice #",IF(B9="","Missing Job ID",IF(COUNTIF(Jobs!$A$5:$A$44,B9)=0,"Unknown Job ID",IF(D9="","Missing due date",IF(E9="","Missing amount",""))))))</f>
        <v/>
      </c>
      <c r="M9" s="9">
        <f>IF(A9="","",IFERROR(INDEX(Jobs!$B$5:$B$44,MATCH(B9,Jobs!$A$5:$A$44,0)),""))</f>
        <v/>
      </c>
      <c r="N9" s="9">
        <f>IF(AND(A9&lt;&gt;"",M9&lt;&gt;"",M9='Client Statement'!$L$2),COUNTIF(M$5:M9,'Client Statement'!$L$2),"")</f>
        <v/>
      </c>
      <c r="O9" s="35" t="n"/>
    </row>
    <row r="10">
      <c r="A10" s="35" t="n"/>
      <c r="B10" s="35" t="n"/>
      <c r="C10" s="40" t="n"/>
      <c r="D10" s="40" t="n"/>
      <c r="E10" s="37" t="n"/>
      <c r="F10" s="35" t="n"/>
      <c r="G10" s="39">
        <f>IF(A10="","",SUMIFS(Payments!$D$5:$D$304,Payments!$C$5:$C$304,A10))</f>
        <v/>
      </c>
      <c r="H10" s="39">
        <f>IF(A10="","",E10-G10)</f>
        <v/>
      </c>
      <c r="I10" s="9">
        <f>IF(A10="","",IF(H10&lt;=0,"Paid",IF(AND(D10&lt;&gt;"",TODAY()&gt;D10+Settings!$B$13),"Overdue",IF(G10&gt;0,"Partial","Open"))))</f>
        <v/>
      </c>
      <c r="J10" s="9">
        <f>IF(A10="","",IF(I10="Overdue",TODAY()-D10,0))</f>
        <v/>
      </c>
      <c r="K10" s="9">
        <f>IF(A10="","",IF(H10&lt;=0,"Paid",IF(OR(D10="",TODAY()&lt;=D10),"Current",IF(TODAY()-D10&lt;=30,"1-30",IF(TODAY()-D10&lt;=60,"31-60",IF(TODAY()-D10&lt;=90,"61-90","90+"))))))</f>
        <v/>
      </c>
      <c r="L10" s="9">
        <f>IF(A10="","",IF(COUNTIF(Invoices!$A$5:$A$204,A10)&gt;1,"Duplicate invoice #",IF(B10="","Missing Job ID",IF(COUNTIF(Jobs!$A$5:$A$44,B10)=0,"Unknown Job ID",IF(D10="","Missing due date",IF(E10="","Missing amount",""))))))</f>
        <v/>
      </c>
      <c r="M10" s="9">
        <f>IF(A10="","",IFERROR(INDEX(Jobs!$B$5:$B$44,MATCH(B10,Jobs!$A$5:$A$44,0)),""))</f>
        <v/>
      </c>
      <c r="N10" s="9">
        <f>IF(AND(A10&lt;&gt;"",M10&lt;&gt;"",M10='Client Statement'!$L$2),COUNTIF(M$5:M10,'Client Statement'!$L$2),"")</f>
        <v/>
      </c>
      <c r="O10" s="35" t="n"/>
    </row>
    <row r="11">
      <c r="A11" s="35" t="n"/>
      <c r="B11" s="35" t="n"/>
      <c r="C11" s="40" t="n"/>
      <c r="D11" s="40" t="n"/>
      <c r="E11" s="37" t="n"/>
      <c r="F11" s="35" t="n"/>
      <c r="G11" s="39">
        <f>IF(A11="","",SUMIFS(Payments!$D$5:$D$304,Payments!$C$5:$C$304,A11))</f>
        <v/>
      </c>
      <c r="H11" s="39">
        <f>IF(A11="","",E11-G11)</f>
        <v/>
      </c>
      <c r="I11" s="9">
        <f>IF(A11="","",IF(H11&lt;=0,"Paid",IF(AND(D11&lt;&gt;"",TODAY()&gt;D11+Settings!$B$13),"Overdue",IF(G11&gt;0,"Partial","Open"))))</f>
        <v/>
      </c>
      <c r="J11" s="9">
        <f>IF(A11="","",IF(I11="Overdue",TODAY()-D11,0))</f>
        <v/>
      </c>
      <c r="K11" s="9">
        <f>IF(A11="","",IF(H11&lt;=0,"Paid",IF(OR(D11="",TODAY()&lt;=D11),"Current",IF(TODAY()-D11&lt;=30,"1-30",IF(TODAY()-D11&lt;=60,"31-60",IF(TODAY()-D11&lt;=90,"61-90","90+"))))))</f>
        <v/>
      </c>
      <c r="L11" s="9">
        <f>IF(A11="","",IF(COUNTIF(Invoices!$A$5:$A$204,A11)&gt;1,"Duplicate invoice #",IF(B11="","Missing Job ID",IF(COUNTIF(Jobs!$A$5:$A$44,B11)=0,"Unknown Job ID",IF(D11="","Missing due date",IF(E11="","Missing amount",""))))))</f>
        <v/>
      </c>
      <c r="M11" s="9">
        <f>IF(A11="","",IFERROR(INDEX(Jobs!$B$5:$B$44,MATCH(B11,Jobs!$A$5:$A$44,0)),""))</f>
        <v/>
      </c>
      <c r="N11" s="9">
        <f>IF(AND(A11&lt;&gt;"",M11&lt;&gt;"",M11='Client Statement'!$L$2),COUNTIF(M$5:M11,'Client Statement'!$L$2),"")</f>
        <v/>
      </c>
      <c r="O11" s="35" t="n"/>
    </row>
    <row r="12">
      <c r="A12" s="35" t="n"/>
      <c r="B12" s="35" t="n"/>
      <c r="C12" s="40" t="n"/>
      <c r="D12" s="40" t="n"/>
      <c r="E12" s="37" t="n"/>
      <c r="F12" s="35" t="n"/>
      <c r="G12" s="39">
        <f>IF(A12="","",SUMIFS(Payments!$D$5:$D$304,Payments!$C$5:$C$304,A12))</f>
        <v/>
      </c>
      <c r="H12" s="39">
        <f>IF(A12="","",E12-G12)</f>
        <v/>
      </c>
      <c r="I12" s="9">
        <f>IF(A12="","",IF(H12&lt;=0,"Paid",IF(AND(D12&lt;&gt;"",TODAY()&gt;D12+Settings!$B$13),"Overdue",IF(G12&gt;0,"Partial","Open"))))</f>
        <v/>
      </c>
      <c r="J12" s="9">
        <f>IF(A12="","",IF(I12="Overdue",TODAY()-D12,0))</f>
        <v/>
      </c>
      <c r="K12" s="9">
        <f>IF(A12="","",IF(H12&lt;=0,"Paid",IF(OR(D12="",TODAY()&lt;=D12),"Current",IF(TODAY()-D12&lt;=30,"1-30",IF(TODAY()-D12&lt;=60,"31-60",IF(TODAY()-D12&lt;=90,"61-90","90+"))))))</f>
        <v/>
      </c>
      <c r="L12" s="9">
        <f>IF(A12="","",IF(COUNTIF(Invoices!$A$5:$A$204,A12)&gt;1,"Duplicate invoice #",IF(B12="","Missing Job ID",IF(COUNTIF(Jobs!$A$5:$A$44,B12)=0,"Unknown Job ID",IF(D12="","Missing due date",IF(E12="","Missing amount",""))))))</f>
        <v/>
      </c>
      <c r="M12" s="9">
        <f>IF(A12="","",IFERROR(INDEX(Jobs!$B$5:$B$44,MATCH(B12,Jobs!$A$5:$A$44,0)),""))</f>
        <v/>
      </c>
      <c r="N12" s="9">
        <f>IF(AND(A12&lt;&gt;"",M12&lt;&gt;"",M12='Client Statement'!$L$2),COUNTIF(M$5:M12,'Client Statement'!$L$2),"")</f>
        <v/>
      </c>
      <c r="O12" s="35" t="n"/>
    </row>
    <row r="13">
      <c r="A13" s="35" t="n"/>
      <c r="B13" s="35" t="n"/>
      <c r="C13" s="40" t="n"/>
      <c r="D13" s="40" t="n"/>
      <c r="E13" s="37" t="n"/>
      <c r="F13" s="35" t="n"/>
      <c r="G13" s="39">
        <f>IF(A13="","",SUMIFS(Payments!$D$5:$D$304,Payments!$C$5:$C$304,A13))</f>
        <v/>
      </c>
      <c r="H13" s="39">
        <f>IF(A13="","",E13-G13)</f>
        <v/>
      </c>
      <c r="I13" s="9">
        <f>IF(A13="","",IF(H13&lt;=0,"Paid",IF(AND(D13&lt;&gt;"",TODAY()&gt;D13+Settings!$B$13),"Overdue",IF(G13&gt;0,"Partial","Open"))))</f>
        <v/>
      </c>
      <c r="J13" s="9">
        <f>IF(A13="","",IF(I13="Overdue",TODAY()-D13,0))</f>
        <v/>
      </c>
      <c r="K13" s="9">
        <f>IF(A13="","",IF(H13&lt;=0,"Paid",IF(OR(D13="",TODAY()&lt;=D13),"Current",IF(TODAY()-D13&lt;=30,"1-30",IF(TODAY()-D13&lt;=60,"31-60",IF(TODAY()-D13&lt;=90,"61-90","90+"))))))</f>
        <v/>
      </c>
      <c r="L13" s="9">
        <f>IF(A13="","",IF(COUNTIF(Invoices!$A$5:$A$204,A13)&gt;1,"Duplicate invoice #",IF(B13="","Missing Job ID",IF(COUNTIF(Jobs!$A$5:$A$44,B13)=0,"Unknown Job ID",IF(D13="","Missing due date",IF(E13="","Missing amount",""))))))</f>
        <v/>
      </c>
      <c r="M13" s="9">
        <f>IF(A13="","",IFERROR(INDEX(Jobs!$B$5:$B$44,MATCH(B13,Jobs!$A$5:$A$44,0)),""))</f>
        <v/>
      </c>
      <c r="N13" s="9">
        <f>IF(AND(A13&lt;&gt;"",M13&lt;&gt;"",M13='Client Statement'!$L$2),COUNTIF(M$5:M13,'Client Statement'!$L$2),"")</f>
        <v/>
      </c>
      <c r="O13" s="35" t="n"/>
    </row>
    <row r="14">
      <c r="A14" s="35" t="n"/>
      <c r="B14" s="35" t="n"/>
      <c r="C14" s="40" t="n"/>
      <c r="D14" s="40" t="n"/>
      <c r="E14" s="37" t="n"/>
      <c r="F14" s="35" t="n"/>
      <c r="G14" s="39">
        <f>IF(A14="","",SUMIFS(Payments!$D$5:$D$304,Payments!$C$5:$C$304,A14))</f>
        <v/>
      </c>
      <c r="H14" s="39">
        <f>IF(A14="","",E14-G14)</f>
        <v/>
      </c>
      <c r="I14" s="9">
        <f>IF(A14="","",IF(H14&lt;=0,"Paid",IF(AND(D14&lt;&gt;"",TODAY()&gt;D14+Settings!$B$13),"Overdue",IF(G14&gt;0,"Partial","Open"))))</f>
        <v/>
      </c>
      <c r="J14" s="9">
        <f>IF(A14="","",IF(I14="Overdue",TODAY()-D14,0))</f>
        <v/>
      </c>
      <c r="K14" s="9">
        <f>IF(A14="","",IF(H14&lt;=0,"Paid",IF(OR(D14="",TODAY()&lt;=D14),"Current",IF(TODAY()-D14&lt;=30,"1-30",IF(TODAY()-D14&lt;=60,"31-60",IF(TODAY()-D14&lt;=90,"61-90","90+"))))))</f>
        <v/>
      </c>
      <c r="L14" s="9">
        <f>IF(A14="","",IF(COUNTIF(Invoices!$A$5:$A$204,A14)&gt;1,"Duplicate invoice #",IF(B14="","Missing Job ID",IF(COUNTIF(Jobs!$A$5:$A$44,B14)=0,"Unknown Job ID",IF(D14="","Missing due date",IF(E14="","Missing amount",""))))))</f>
        <v/>
      </c>
      <c r="M14" s="9">
        <f>IF(A14="","",IFERROR(INDEX(Jobs!$B$5:$B$44,MATCH(B14,Jobs!$A$5:$A$44,0)),""))</f>
        <v/>
      </c>
      <c r="N14" s="9">
        <f>IF(AND(A14&lt;&gt;"",M14&lt;&gt;"",M14='Client Statement'!$L$2),COUNTIF(M$5:M14,'Client Statement'!$L$2),"")</f>
        <v/>
      </c>
      <c r="O14" s="35" t="n"/>
    </row>
    <row r="15">
      <c r="A15" s="35" t="n"/>
      <c r="B15" s="35" t="n"/>
      <c r="C15" s="40" t="n"/>
      <c r="D15" s="40" t="n"/>
      <c r="E15" s="37" t="n"/>
      <c r="F15" s="35" t="n"/>
      <c r="G15" s="39">
        <f>IF(A15="","",SUMIFS(Payments!$D$5:$D$304,Payments!$C$5:$C$304,A15))</f>
        <v/>
      </c>
      <c r="H15" s="39">
        <f>IF(A15="","",E15-G15)</f>
        <v/>
      </c>
      <c r="I15" s="9">
        <f>IF(A15="","",IF(H15&lt;=0,"Paid",IF(AND(D15&lt;&gt;"",TODAY()&gt;D15+Settings!$B$13),"Overdue",IF(G15&gt;0,"Partial","Open"))))</f>
        <v/>
      </c>
      <c r="J15" s="9">
        <f>IF(A15="","",IF(I15="Overdue",TODAY()-D15,0))</f>
        <v/>
      </c>
      <c r="K15" s="9">
        <f>IF(A15="","",IF(H15&lt;=0,"Paid",IF(OR(D15="",TODAY()&lt;=D15),"Current",IF(TODAY()-D15&lt;=30,"1-30",IF(TODAY()-D15&lt;=60,"31-60",IF(TODAY()-D15&lt;=90,"61-90","90+"))))))</f>
        <v/>
      </c>
      <c r="L15" s="9">
        <f>IF(A15="","",IF(COUNTIF(Invoices!$A$5:$A$204,A15)&gt;1,"Duplicate invoice #",IF(B15="","Missing Job ID",IF(COUNTIF(Jobs!$A$5:$A$44,B15)=0,"Unknown Job ID",IF(D15="","Missing due date",IF(E15="","Missing amount",""))))))</f>
        <v/>
      </c>
      <c r="M15" s="9">
        <f>IF(A15="","",IFERROR(INDEX(Jobs!$B$5:$B$44,MATCH(B15,Jobs!$A$5:$A$44,0)),""))</f>
        <v/>
      </c>
      <c r="N15" s="9">
        <f>IF(AND(A15&lt;&gt;"",M15&lt;&gt;"",M15='Client Statement'!$L$2),COUNTIF(M$5:M15,'Client Statement'!$L$2),"")</f>
        <v/>
      </c>
      <c r="O15" s="35" t="n"/>
    </row>
    <row r="16">
      <c r="A16" s="35" t="n"/>
      <c r="B16" s="35" t="n"/>
      <c r="C16" s="40" t="n"/>
      <c r="D16" s="40" t="n"/>
      <c r="E16" s="37" t="n"/>
      <c r="F16" s="35" t="n"/>
      <c r="G16" s="39">
        <f>IF(A16="","",SUMIFS(Payments!$D$5:$D$304,Payments!$C$5:$C$304,A16))</f>
        <v/>
      </c>
      <c r="H16" s="39">
        <f>IF(A16="","",E16-G16)</f>
        <v/>
      </c>
      <c r="I16" s="9">
        <f>IF(A16="","",IF(H16&lt;=0,"Paid",IF(AND(D16&lt;&gt;"",TODAY()&gt;D16+Settings!$B$13),"Overdue",IF(G16&gt;0,"Partial","Open"))))</f>
        <v/>
      </c>
      <c r="J16" s="9">
        <f>IF(A16="","",IF(I16="Overdue",TODAY()-D16,0))</f>
        <v/>
      </c>
      <c r="K16" s="9">
        <f>IF(A16="","",IF(H16&lt;=0,"Paid",IF(OR(D16="",TODAY()&lt;=D16),"Current",IF(TODAY()-D16&lt;=30,"1-30",IF(TODAY()-D16&lt;=60,"31-60",IF(TODAY()-D16&lt;=90,"61-90","90+"))))))</f>
        <v/>
      </c>
      <c r="L16" s="9">
        <f>IF(A16="","",IF(COUNTIF(Invoices!$A$5:$A$204,A16)&gt;1,"Duplicate invoice #",IF(B16="","Missing Job ID",IF(COUNTIF(Jobs!$A$5:$A$44,B16)=0,"Unknown Job ID",IF(D16="","Missing due date",IF(E16="","Missing amount",""))))))</f>
        <v/>
      </c>
      <c r="M16" s="9">
        <f>IF(A16="","",IFERROR(INDEX(Jobs!$B$5:$B$44,MATCH(B16,Jobs!$A$5:$A$44,0)),""))</f>
        <v/>
      </c>
      <c r="N16" s="9">
        <f>IF(AND(A16&lt;&gt;"",M16&lt;&gt;"",M16='Client Statement'!$L$2),COUNTIF(M$5:M16,'Client Statement'!$L$2),"")</f>
        <v/>
      </c>
      <c r="O16" s="35" t="n"/>
    </row>
    <row r="17">
      <c r="A17" s="35" t="n"/>
      <c r="B17" s="35" t="n"/>
      <c r="C17" s="40" t="n"/>
      <c r="D17" s="40" t="n"/>
      <c r="E17" s="37" t="n"/>
      <c r="F17" s="35" t="n"/>
      <c r="G17" s="39">
        <f>IF(A17="","",SUMIFS(Payments!$D$5:$D$304,Payments!$C$5:$C$304,A17))</f>
        <v/>
      </c>
      <c r="H17" s="39">
        <f>IF(A17="","",E17-G17)</f>
        <v/>
      </c>
      <c r="I17" s="9">
        <f>IF(A17="","",IF(H17&lt;=0,"Paid",IF(AND(D17&lt;&gt;"",TODAY()&gt;D17+Settings!$B$13),"Overdue",IF(G17&gt;0,"Partial","Open"))))</f>
        <v/>
      </c>
      <c r="J17" s="9">
        <f>IF(A17="","",IF(I17="Overdue",TODAY()-D17,0))</f>
        <v/>
      </c>
      <c r="K17" s="9">
        <f>IF(A17="","",IF(H17&lt;=0,"Paid",IF(OR(D17="",TODAY()&lt;=D17),"Current",IF(TODAY()-D17&lt;=30,"1-30",IF(TODAY()-D17&lt;=60,"31-60",IF(TODAY()-D17&lt;=90,"61-90","90+"))))))</f>
        <v/>
      </c>
      <c r="L17" s="9">
        <f>IF(A17="","",IF(COUNTIF(Invoices!$A$5:$A$204,A17)&gt;1,"Duplicate invoice #",IF(B17="","Missing Job ID",IF(COUNTIF(Jobs!$A$5:$A$44,B17)=0,"Unknown Job ID",IF(D17="","Missing due date",IF(E17="","Missing amount",""))))))</f>
        <v/>
      </c>
      <c r="M17" s="9">
        <f>IF(A17="","",IFERROR(INDEX(Jobs!$B$5:$B$44,MATCH(B17,Jobs!$A$5:$A$44,0)),""))</f>
        <v/>
      </c>
      <c r="N17" s="9">
        <f>IF(AND(A17&lt;&gt;"",M17&lt;&gt;"",M17='Client Statement'!$L$2),COUNTIF(M$5:M17,'Client Statement'!$L$2),"")</f>
        <v/>
      </c>
      <c r="O17" s="35" t="n"/>
    </row>
    <row r="18">
      <c r="A18" s="35" t="n"/>
      <c r="B18" s="35" t="n"/>
      <c r="C18" s="40" t="n"/>
      <c r="D18" s="40" t="n"/>
      <c r="E18" s="37" t="n"/>
      <c r="F18" s="35" t="n"/>
      <c r="G18" s="39">
        <f>IF(A18="","",SUMIFS(Payments!$D$5:$D$304,Payments!$C$5:$C$304,A18))</f>
        <v/>
      </c>
      <c r="H18" s="39">
        <f>IF(A18="","",E18-G18)</f>
        <v/>
      </c>
      <c r="I18" s="9">
        <f>IF(A18="","",IF(H18&lt;=0,"Paid",IF(AND(D18&lt;&gt;"",TODAY()&gt;D18+Settings!$B$13),"Overdue",IF(G18&gt;0,"Partial","Open"))))</f>
        <v/>
      </c>
      <c r="J18" s="9">
        <f>IF(A18="","",IF(I18="Overdue",TODAY()-D18,0))</f>
        <v/>
      </c>
      <c r="K18" s="9">
        <f>IF(A18="","",IF(H18&lt;=0,"Paid",IF(OR(D18="",TODAY()&lt;=D18),"Current",IF(TODAY()-D18&lt;=30,"1-30",IF(TODAY()-D18&lt;=60,"31-60",IF(TODAY()-D18&lt;=90,"61-90","90+"))))))</f>
        <v/>
      </c>
      <c r="L18" s="9">
        <f>IF(A18="","",IF(COUNTIF(Invoices!$A$5:$A$204,A18)&gt;1,"Duplicate invoice #",IF(B18="","Missing Job ID",IF(COUNTIF(Jobs!$A$5:$A$44,B18)=0,"Unknown Job ID",IF(D18="","Missing due date",IF(E18="","Missing amount",""))))))</f>
        <v/>
      </c>
      <c r="M18" s="9">
        <f>IF(A18="","",IFERROR(INDEX(Jobs!$B$5:$B$44,MATCH(B18,Jobs!$A$5:$A$44,0)),""))</f>
        <v/>
      </c>
      <c r="N18" s="9">
        <f>IF(AND(A18&lt;&gt;"",M18&lt;&gt;"",M18='Client Statement'!$L$2),COUNTIF(M$5:M18,'Client Statement'!$L$2),"")</f>
        <v/>
      </c>
      <c r="O18" s="35" t="n"/>
    </row>
    <row r="19">
      <c r="A19" s="35" t="n"/>
      <c r="B19" s="35" t="n"/>
      <c r="C19" s="40" t="n"/>
      <c r="D19" s="40" t="n"/>
      <c r="E19" s="37" t="n"/>
      <c r="F19" s="35" t="n"/>
      <c r="G19" s="39">
        <f>IF(A19="","",SUMIFS(Payments!$D$5:$D$304,Payments!$C$5:$C$304,A19))</f>
        <v/>
      </c>
      <c r="H19" s="39">
        <f>IF(A19="","",E19-G19)</f>
        <v/>
      </c>
      <c r="I19" s="9">
        <f>IF(A19="","",IF(H19&lt;=0,"Paid",IF(AND(D19&lt;&gt;"",TODAY()&gt;D19+Settings!$B$13),"Overdue",IF(G19&gt;0,"Partial","Open"))))</f>
        <v/>
      </c>
      <c r="J19" s="9">
        <f>IF(A19="","",IF(I19="Overdue",TODAY()-D19,0))</f>
        <v/>
      </c>
      <c r="K19" s="9">
        <f>IF(A19="","",IF(H19&lt;=0,"Paid",IF(OR(D19="",TODAY()&lt;=D19),"Current",IF(TODAY()-D19&lt;=30,"1-30",IF(TODAY()-D19&lt;=60,"31-60",IF(TODAY()-D19&lt;=90,"61-90","90+"))))))</f>
        <v/>
      </c>
      <c r="L19" s="9">
        <f>IF(A19="","",IF(COUNTIF(Invoices!$A$5:$A$204,A19)&gt;1,"Duplicate invoice #",IF(B19="","Missing Job ID",IF(COUNTIF(Jobs!$A$5:$A$44,B19)=0,"Unknown Job ID",IF(D19="","Missing due date",IF(E19="","Missing amount",""))))))</f>
        <v/>
      </c>
      <c r="M19" s="9">
        <f>IF(A19="","",IFERROR(INDEX(Jobs!$B$5:$B$44,MATCH(B19,Jobs!$A$5:$A$44,0)),""))</f>
        <v/>
      </c>
      <c r="N19" s="9">
        <f>IF(AND(A19&lt;&gt;"",M19&lt;&gt;"",M19='Client Statement'!$L$2),COUNTIF(M$5:M19,'Client Statement'!$L$2),"")</f>
        <v/>
      </c>
      <c r="O19" s="35" t="n"/>
    </row>
    <row r="20">
      <c r="A20" s="35" t="n"/>
      <c r="B20" s="35" t="n"/>
      <c r="C20" s="40" t="n"/>
      <c r="D20" s="40" t="n"/>
      <c r="E20" s="37" t="n"/>
      <c r="F20" s="35" t="n"/>
      <c r="G20" s="39">
        <f>IF(A20="","",SUMIFS(Payments!$D$5:$D$304,Payments!$C$5:$C$304,A20))</f>
        <v/>
      </c>
      <c r="H20" s="39">
        <f>IF(A20="","",E20-G20)</f>
        <v/>
      </c>
      <c r="I20" s="9">
        <f>IF(A20="","",IF(H20&lt;=0,"Paid",IF(AND(D20&lt;&gt;"",TODAY()&gt;D20+Settings!$B$13),"Overdue",IF(G20&gt;0,"Partial","Open"))))</f>
        <v/>
      </c>
      <c r="J20" s="9">
        <f>IF(A20="","",IF(I20="Overdue",TODAY()-D20,0))</f>
        <v/>
      </c>
      <c r="K20" s="9">
        <f>IF(A20="","",IF(H20&lt;=0,"Paid",IF(OR(D20="",TODAY()&lt;=D20),"Current",IF(TODAY()-D20&lt;=30,"1-30",IF(TODAY()-D20&lt;=60,"31-60",IF(TODAY()-D20&lt;=90,"61-90","90+"))))))</f>
        <v/>
      </c>
      <c r="L20" s="9">
        <f>IF(A20="","",IF(COUNTIF(Invoices!$A$5:$A$204,A20)&gt;1,"Duplicate invoice #",IF(B20="","Missing Job ID",IF(COUNTIF(Jobs!$A$5:$A$44,B20)=0,"Unknown Job ID",IF(D20="","Missing due date",IF(E20="","Missing amount",""))))))</f>
        <v/>
      </c>
      <c r="M20" s="9">
        <f>IF(A20="","",IFERROR(INDEX(Jobs!$B$5:$B$44,MATCH(B20,Jobs!$A$5:$A$44,0)),""))</f>
        <v/>
      </c>
      <c r="N20" s="9">
        <f>IF(AND(A20&lt;&gt;"",M20&lt;&gt;"",M20='Client Statement'!$L$2),COUNTIF(M$5:M20,'Client Statement'!$L$2),"")</f>
        <v/>
      </c>
      <c r="O20" s="35" t="n"/>
    </row>
    <row r="21">
      <c r="A21" s="35" t="n"/>
      <c r="B21" s="35" t="n"/>
      <c r="C21" s="40" t="n"/>
      <c r="D21" s="40" t="n"/>
      <c r="E21" s="37" t="n"/>
      <c r="F21" s="35" t="n"/>
      <c r="G21" s="39">
        <f>IF(A21="","",SUMIFS(Payments!$D$5:$D$304,Payments!$C$5:$C$304,A21))</f>
        <v/>
      </c>
      <c r="H21" s="39">
        <f>IF(A21="","",E21-G21)</f>
        <v/>
      </c>
      <c r="I21" s="9">
        <f>IF(A21="","",IF(H21&lt;=0,"Paid",IF(AND(D21&lt;&gt;"",TODAY()&gt;D21+Settings!$B$13),"Overdue",IF(G21&gt;0,"Partial","Open"))))</f>
        <v/>
      </c>
      <c r="J21" s="9">
        <f>IF(A21="","",IF(I21="Overdue",TODAY()-D21,0))</f>
        <v/>
      </c>
      <c r="K21" s="9">
        <f>IF(A21="","",IF(H21&lt;=0,"Paid",IF(OR(D21="",TODAY()&lt;=D21),"Current",IF(TODAY()-D21&lt;=30,"1-30",IF(TODAY()-D21&lt;=60,"31-60",IF(TODAY()-D21&lt;=90,"61-90","90+"))))))</f>
        <v/>
      </c>
      <c r="L21" s="9">
        <f>IF(A21="","",IF(COUNTIF(Invoices!$A$5:$A$204,A21)&gt;1,"Duplicate invoice #",IF(B21="","Missing Job ID",IF(COUNTIF(Jobs!$A$5:$A$44,B21)=0,"Unknown Job ID",IF(D21="","Missing due date",IF(E21="","Missing amount",""))))))</f>
        <v/>
      </c>
      <c r="M21" s="9">
        <f>IF(A21="","",IFERROR(INDEX(Jobs!$B$5:$B$44,MATCH(B21,Jobs!$A$5:$A$44,0)),""))</f>
        <v/>
      </c>
      <c r="N21" s="9">
        <f>IF(AND(A21&lt;&gt;"",M21&lt;&gt;"",M21='Client Statement'!$L$2),COUNTIF(M$5:M21,'Client Statement'!$L$2),"")</f>
        <v/>
      </c>
      <c r="O21" s="35" t="n"/>
    </row>
    <row r="22">
      <c r="A22" s="35" t="n"/>
      <c r="B22" s="35" t="n"/>
      <c r="C22" s="40" t="n"/>
      <c r="D22" s="40" t="n"/>
      <c r="E22" s="37" t="n"/>
      <c r="F22" s="35" t="n"/>
      <c r="G22" s="39">
        <f>IF(A22="","",SUMIFS(Payments!$D$5:$D$304,Payments!$C$5:$C$304,A22))</f>
        <v/>
      </c>
      <c r="H22" s="39">
        <f>IF(A22="","",E22-G22)</f>
        <v/>
      </c>
      <c r="I22" s="9">
        <f>IF(A22="","",IF(H22&lt;=0,"Paid",IF(AND(D22&lt;&gt;"",TODAY()&gt;D22+Settings!$B$13),"Overdue",IF(G22&gt;0,"Partial","Open"))))</f>
        <v/>
      </c>
      <c r="J22" s="9">
        <f>IF(A22="","",IF(I22="Overdue",TODAY()-D22,0))</f>
        <v/>
      </c>
      <c r="K22" s="9">
        <f>IF(A22="","",IF(H22&lt;=0,"Paid",IF(OR(D22="",TODAY()&lt;=D22),"Current",IF(TODAY()-D22&lt;=30,"1-30",IF(TODAY()-D22&lt;=60,"31-60",IF(TODAY()-D22&lt;=90,"61-90","90+"))))))</f>
        <v/>
      </c>
      <c r="L22" s="9">
        <f>IF(A22="","",IF(COUNTIF(Invoices!$A$5:$A$204,A22)&gt;1,"Duplicate invoice #",IF(B22="","Missing Job ID",IF(COUNTIF(Jobs!$A$5:$A$44,B22)=0,"Unknown Job ID",IF(D22="","Missing due date",IF(E22="","Missing amount",""))))))</f>
        <v/>
      </c>
      <c r="M22" s="9">
        <f>IF(A22="","",IFERROR(INDEX(Jobs!$B$5:$B$44,MATCH(B22,Jobs!$A$5:$A$44,0)),""))</f>
        <v/>
      </c>
      <c r="N22" s="9">
        <f>IF(AND(A22&lt;&gt;"",M22&lt;&gt;"",M22='Client Statement'!$L$2),COUNTIF(M$5:M22,'Client Statement'!$L$2),"")</f>
        <v/>
      </c>
      <c r="O22" s="35" t="n"/>
    </row>
    <row r="23">
      <c r="A23" s="35" t="n"/>
      <c r="B23" s="35" t="n"/>
      <c r="C23" s="40" t="n"/>
      <c r="D23" s="40" t="n"/>
      <c r="E23" s="37" t="n"/>
      <c r="F23" s="35" t="n"/>
      <c r="G23" s="39">
        <f>IF(A23="","",SUMIFS(Payments!$D$5:$D$304,Payments!$C$5:$C$304,A23))</f>
        <v/>
      </c>
      <c r="H23" s="39">
        <f>IF(A23="","",E23-G23)</f>
        <v/>
      </c>
      <c r="I23" s="9">
        <f>IF(A23="","",IF(H23&lt;=0,"Paid",IF(AND(D23&lt;&gt;"",TODAY()&gt;D23+Settings!$B$13),"Overdue",IF(G23&gt;0,"Partial","Open"))))</f>
        <v/>
      </c>
      <c r="J23" s="9">
        <f>IF(A23="","",IF(I23="Overdue",TODAY()-D23,0))</f>
        <v/>
      </c>
      <c r="K23" s="9">
        <f>IF(A23="","",IF(H23&lt;=0,"Paid",IF(OR(D23="",TODAY()&lt;=D23),"Current",IF(TODAY()-D23&lt;=30,"1-30",IF(TODAY()-D23&lt;=60,"31-60",IF(TODAY()-D23&lt;=90,"61-90","90+"))))))</f>
        <v/>
      </c>
      <c r="L23" s="9">
        <f>IF(A23="","",IF(COUNTIF(Invoices!$A$5:$A$204,A23)&gt;1,"Duplicate invoice #",IF(B23="","Missing Job ID",IF(COUNTIF(Jobs!$A$5:$A$44,B23)=0,"Unknown Job ID",IF(D23="","Missing due date",IF(E23="","Missing amount",""))))))</f>
        <v/>
      </c>
      <c r="M23" s="9">
        <f>IF(A23="","",IFERROR(INDEX(Jobs!$B$5:$B$44,MATCH(B23,Jobs!$A$5:$A$44,0)),""))</f>
        <v/>
      </c>
      <c r="N23" s="9">
        <f>IF(AND(A23&lt;&gt;"",M23&lt;&gt;"",M23='Client Statement'!$L$2),COUNTIF(M$5:M23,'Client Statement'!$L$2),"")</f>
        <v/>
      </c>
      <c r="O23" s="35" t="n"/>
    </row>
    <row r="24">
      <c r="A24" s="35" t="n"/>
      <c r="B24" s="35" t="n"/>
      <c r="C24" s="40" t="n"/>
      <c r="D24" s="40" t="n"/>
      <c r="E24" s="37" t="n"/>
      <c r="F24" s="35" t="n"/>
      <c r="G24" s="39">
        <f>IF(A24="","",SUMIFS(Payments!$D$5:$D$304,Payments!$C$5:$C$304,A24))</f>
        <v/>
      </c>
      <c r="H24" s="39">
        <f>IF(A24="","",E24-G24)</f>
        <v/>
      </c>
      <c r="I24" s="9">
        <f>IF(A24="","",IF(H24&lt;=0,"Paid",IF(AND(D24&lt;&gt;"",TODAY()&gt;D24+Settings!$B$13),"Overdue",IF(G24&gt;0,"Partial","Open"))))</f>
        <v/>
      </c>
      <c r="J24" s="9">
        <f>IF(A24="","",IF(I24="Overdue",TODAY()-D24,0))</f>
        <v/>
      </c>
      <c r="K24" s="9">
        <f>IF(A24="","",IF(H24&lt;=0,"Paid",IF(OR(D24="",TODAY()&lt;=D24),"Current",IF(TODAY()-D24&lt;=30,"1-30",IF(TODAY()-D24&lt;=60,"31-60",IF(TODAY()-D24&lt;=90,"61-90","90+"))))))</f>
        <v/>
      </c>
      <c r="L24" s="9">
        <f>IF(A24="","",IF(COUNTIF(Invoices!$A$5:$A$204,A24)&gt;1,"Duplicate invoice #",IF(B24="","Missing Job ID",IF(COUNTIF(Jobs!$A$5:$A$44,B24)=0,"Unknown Job ID",IF(D24="","Missing due date",IF(E24="","Missing amount",""))))))</f>
        <v/>
      </c>
      <c r="M24" s="9">
        <f>IF(A24="","",IFERROR(INDEX(Jobs!$B$5:$B$44,MATCH(B24,Jobs!$A$5:$A$44,0)),""))</f>
        <v/>
      </c>
      <c r="N24" s="9">
        <f>IF(AND(A24&lt;&gt;"",M24&lt;&gt;"",M24='Client Statement'!$L$2),COUNTIF(M$5:M24,'Client Statement'!$L$2),"")</f>
        <v/>
      </c>
      <c r="O24" s="35" t="n"/>
    </row>
    <row r="25">
      <c r="A25" s="35" t="n"/>
      <c r="B25" s="35" t="n"/>
      <c r="C25" s="40" t="n"/>
      <c r="D25" s="40" t="n"/>
      <c r="E25" s="37" t="n"/>
      <c r="F25" s="35" t="n"/>
      <c r="G25" s="39">
        <f>IF(A25="","",SUMIFS(Payments!$D$5:$D$304,Payments!$C$5:$C$304,A25))</f>
        <v/>
      </c>
      <c r="H25" s="39">
        <f>IF(A25="","",E25-G25)</f>
        <v/>
      </c>
      <c r="I25" s="9">
        <f>IF(A25="","",IF(H25&lt;=0,"Paid",IF(AND(D25&lt;&gt;"",TODAY()&gt;D25+Settings!$B$13),"Overdue",IF(G25&gt;0,"Partial","Open"))))</f>
        <v/>
      </c>
      <c r="J25" s="9">
        <f>IF(A25="","",IF(I25="Overdue",TODAY()-D25,0))</f>
        <v/>
      </c>
      <c r="K25" s="9">
        <f>IF(A25="","",IF(H25&lt;=0,"Paid",IF(OR(D25="",TODAY()&lt;=D25),"Current",IF(TODAY()-D25&lt;=30,"1-30",IF(TODAY()-D25&lt;=60,"31-60",IF(TODAY()-D25&lt;=90,"61-90","90+"))))))</f>
        <v/>
      </c>
      <c r="L25" s="9">
        <f>IF(A25="","",IF(COUNTIF(Invoices!$A$5:$A$204,A25)&gt;1,"Duplicate invoice #",IF(B25="","Missing Job ID",IF(COUNTIF(Jobs!$A$5:$A$44,B25)=0,"Unknown Job ID",IF(D25="","Missing due date",IF(E25="","Missing amount",""))))))</f>
        <v/>
      </c>
      <c r="M25" s="9">
        <f>IF(A25="","",IFERROR(INDEX(Jobs!$B$5:$B$44,MATCH(B25,Jobs!$A$5:$A$44,0)),""))</f>
        <v/>
      </c>
      <c r="N25" s="9">
        <f>IF(AND(A25&lt;&gt;"",M25&lt;&gt;"",M25='Client Statement'!$L$2),COUNTIF(M$5:M25,'Client Statement'!$L$2),"")</f>
        <v/>
      </c>
      <c r="O25" s="35" t="n"/>
    </row>
    <row r="26">
      <c r="A26" s="35" t="n"/>
      <c r="B26" s="35" t="n"/>
      <c r="C26" s="40" t="n"/>
      <c r="D26" s="40" t="n"/>
      <c r="E26" s="37" t="n"/>
      <c r="F26" s="35" t="n"/>
      <c r="G26" s="39">
        <f>IF(A26="","",SUMIFS(Payments!$D$5:$D$304,Payments!$C$5:$C$304,A26))</f>
        <v/>
      </c>
      <c r="H26" s="39">
        <f>IF(A26="","",E26-G26)</f>
        <v/>
      </c>
      <c r="I26" s="9">
        <f>IF(A26="","",IF(H26&lt;=0,"Paid",IF(AND(D26&lt;&gt;"",TODAY()&gt;D26+Settings!$B$13),"Overdue",IF(G26&gt;0,"Partial","Open"))))</f>
        <v/>
      </c>
      <c r="J26" s="9">
        <f>IF(A26="","",IF(I26="Overdue",TODAY()-D26,0))</f>
        <v/>
      </c>
      <c r="K26" s="9">
        <f>IF(A26="","",IF(H26&lt;=0,"Paid",IF(OR(D26="",TODAY()&lt;=D26),"Current",IF(TODAY()-D26&lt;=30,"1-30",IF(TODAY()-D26&lt;=60,"31-60",IF(TODAY()-D26&lt;=90,"61-90","90+"))))))</f>
        <v/>
      </c>
      <c r="L26" s="9">
        <f>IF(A26="","",IF(COUNTIF(Invoices!$A$5:$A$204,A26)&gt;1,"Duplicate invoice #",IF(B26="","Missing Job ID",IF(COUNTIF(Jobs!$A$5:$A$44,B26)=0,"Unknown Job ID",IF(D26="","Missing due date",IF(E26="","Missing amount",""))))))</f>
        <v/>
      </c>
      <c r="M26" s="9">
        <f>IF(A26="","",IFERROR(INDEX(Jobs!$B$5:$B$44,MATCH(B26,Jobs!$A$5:$A$44,0)),""))</f>
        <v/>
      </c>
      <c r="N26" s="9">
        <f>IF(AND(A26&lt;&gt;"",M26&lt;&gt;"",M26='Client Statement'!$L$2),COUNTIF(M$5:M26,'Client Statement'!$L$2),"")</f>
        <v/>
      </c>
      <c r="O26" s="35" t="n"/>
    </row>
    <row r="27">
      <c r="A27" s="35" t="n"/>
      <c r="B27" s="35" t="n"/>
      <c r="C27" s="40" t="n"/>
      <c r="D27" s="40" t="n"/>
      <c r="E27" s="37" t="n"/>
      <c r="F27" s="35" t="n"/>
      <c r="G27" s="39">
        <f>IF(A27="","",SUMIFS(Payments!$D$5:$D$304,Payments!$C$5:$C$304,A27))</f>
        <v/>
      </c>
      <c r="H27" s="39">
        <f>IF(A27="","",E27-G27)</f>
        <v/>
      </c>
      <c r="I27" s="9">
        <f>IF(A27="","",IF(H27&lt;=0,"Paid",IF(AND(D27&lt;&gt;"",TODAY()&gt;D27+Settings!$B$13),"Overdue",IF(G27&gt;0,"Partial","Open"))))</f>
        <v/>
      </c>
      <c r="J27" s="9">
        <f>IF(A27="","",IF(I27="Overdue",TODAY()-D27,0))</f>
        <v/>
      </c>
      <c r="K27" s="9">
        <f>IF(A27="","",IF(H27&lt;=0,"Paid",IF(OR(D27="",TODAY()&lt;=D27),"Current",IF(TODAY()-D27&lt;=30,"1-30",IF(TODAY()-D27&lt;=60,"31-60",IF(TODAY()-D27&lt;=90,"61-90","90+"))))))</f>
        <v/>
      </c>
      <c r="L27" s="9">
        <f>IF(A27="","",IF(COUNTIF(Invoices!$A$5:$A$204,A27)&gt;1,"Duplicate invoice #",IF(B27="","Missing Job ID",IF(COUNTIF(Jobs!$A$5:$A$44,B27)=0,"Unknown Job ID",IF(D27="","Missing due date",IF(E27="","Missing amount",""))))))</f>
        <v/>
      </c>
      <c r="M27" s="9">
        <f>IF(A27="","",IFERROR(INDEX(Jobs!$B$5:$B$44,MATCH(B27,Jobs!$A$5:$A$44,0)),""))</f>
        <v/>
      </c>
      <c r="N27" s="9">
        <f>IF(AND(A27&lt;&gt;"",M27&lt;&gt;"",M27='Client Statement'!$L$2),COUNTIF(M$5:M27,'Client Statement'!$L$2),"")</f>
        <v/>
      </c>
      <c r="O27" s="35" t="n"/>
    </row>
    <row r="28">
      <c r="A28" s="35" t="n"/>
      <c r="B28" s="35" t="n"/>
      <c r="C28" s="40" t="n"/>
      <c r="D28" s="40" t="n"/>
      <c r="E28" s="37" t="n"/>
      <c r="F28" s="35" t="n"/>
      <c r="G28" s="39">
        <f>IF(A28="","",SUMIFS(Payments!$D$5:$D$304,Payments!$C$5:$C$304,A28))</f>
        <v/>
      </c>
      <c r="H28" s="39">
        <f>IF(A28="","",E28-G28)</f>
        <v/>
      </c>
      <c r="I28" s="9">
        <f>IF(A28="","",IF(H28&lt;=0,"Paid",IF(AND(D28&lt;&gt;"",TODAY()&gt;D28+Settings!$B$13),"Overdue",IF(G28&gt;0,"Partial","Open"))))</f>
        <v/>
      </c>
      <c r="J28" s="9">
        <f>IF(A28="","",IF(I28="Overdue",TODAY()-D28,0))</f>
        <v/>
      </c>
      <c r="K28" s="9">
        <f>IF(A28="","",IF(H28&lt;=0,"Paid",IF(OR(D28="",TODAY()&lt;=D28),"Current",IF(TODAY()-D28&lt;=30,"1-30",IF(TODAY()-D28&lt;=60,"31-60",IF(TODAY()-D28&lt;=90,"61-90","90+"))))))</f>
        <v/>
      </c>
      <c r="L28" s="9">
        <f>IF(A28="","",IF(COUNTIF(Invoices!$A$5:$A$204,A28)&gt;1,"Duplicate invoice #",IF(B28="","Missing Job ID",IF(COUNTIF(Jobs!$A$5:$A$44,B28)=0,"Unknown Job ID",IF(D28="","Missing due date",IF(E28="","Missing amount",""))))))</f>
        <v/>
      </c>
      <c r="M28" s="9">
        <f>IF(A28="","",IFERROR(INDEX(Jobs!$B$5:$B$44,MATCH(B28,Jobs!$A$5:$A$44,0)),""))</f>
        <v/>
      </c>
      <c r="N28" s="9">
        <f>IF(AND(A28&lt;&gt;"",M28&lt;&gt;"",M28='Client Statement'!$L$2),COUNTIF(M$5:M28,'Client Statement'!$L$2),"")</f>
        <v/>
      </c>
      <c r="O28" s="35" t="n"/>
    </row>
    <row r="29">
      <c r="A29" s="35" t="n"/>
      <c r="B29" s="35" t="n"/>
      <c r="C29" s="40" t="n"/>
      <c r="D29" s="40" t="n"/>
      <c r="E29" s="37" t="n"/>
      <c r="F29" s="35" t="n"/>
      <c r="G29" s="39">
        <f>IF(A29="","",SUMIFS(Payments!$D$5:$D$304,Payments!$C$5:$C$304,A29))</f>
        <v/>
      </c>
      <c r="H29" s="39">
        <f>IF(A29="","",E29-G29)</f>
        <v/>
      </c>
      <c r="I29" s="9">
        <f>IF(A29="","",IF(H29&lt;=0,"Paid",IF(AND(D29&lt;&gt;"",TODAY()&gt;D29+Settings!$B$13),"Overdue",IF(G29&gt;0,"Partial","Open"))))</f>
        <v/>
      </c>
      <c r="J29" s="9">
        <f>IF(A29="","",IF(I29="Overdue",TODAY()-D29,0))</f>
        <v/>
      </c>
      <c r="K29" s="9">
        <f>IF(A29="","",IF(H29&lt;=0,"Paid",IF(OR(D29="",TODAY()&lt;=D29),"Current",IF(TODAY()-D29&lt;=30,"1-30",IF(TODAY()-D29&lt;=60,"31-60",IF(TODAY()-D29&lt;=90,"61-90","90+"))))))</f>
        <v/>
      </c>
      <c r="L29" s="9">
        <f>IF(A29="","",IF(COUNTIF(Invoices!$A$5:$A$204,A29)&gt;1,"Duplicate invoice #",IF(B29="","Missing Job ID",IF(COUNTIF(Jobs!$A$5:$A$44,B29)=0,"Unknown Job ID",IF(D29="","Missing due date",IF(E29="","Missing amount",""))))))</f>
        <v/>
      </c>
      <c r="M29" s="9">
        <f>IF(A29="","",IFERROR(INDEX(Jobs!$B$5:$B$44,MATCH(B29,Jobs!$A$5:$A$44,0)),""))</f>
        <v/>
      </c>
      <c r="N29" s="9">
        <f>IF(AND(A29&lt;&gt;"",M29&lt;&gt;"",M29='Client Statement'!$L$2),COUNTIF(M$5:M29,'Client Statement'!$L$2),"")</f>
        <v/>
      </c>
      <c r="O29" s="35" t="n"/>
    </row>
    <row r="30">
      <c r="A30" s="35" t="n"/>
      <c r="B30" s="35" t="n"/>
      <c r="C30" s="40" t="n"/>
      <c r="D30" s="40" t="n"/>
      <c r="E30" s="37" t="n"/>
      <c r="F30" s="35" t="n"/>
      <c r="G30" s="39">
        <f>IF(A30="","",SUMIFS(Payments!$D$5:$D$304,Payments!$C$5:$C$304,A30))</f>
        <v/>
      </c>
      <c r="H30" s="39">
        <f>IF(A30="","",E30-G30)</f>
        <v/>
      </c>
      <c r="I30" s="9">
        <f>IF(A30="","",IF(H30&lt;=0,"Paid",IF(AND(D30&lt;&gt;"",TODAY()&gt;D30+Settings!$B$13),"Overdue",IF(G30&gt;0,"Partial","Open"))))</f>
        <v/>
      </c>
      <c r="J30" s="9">
        <f>IF(A30="","",IF(I30="Overdue",TODAY()-D30,0))</f>
        <v/>
      </c>
      <c r="K30" s="9">
        <f>IF(A30="","",IF(H30&lt;=0,"Paid",IF(OR(D30="",TODAY()&lt;=D30),"Current",IF(TODAY()-D30&lt;=30,"1-30",IF(TODAY()-D30&lt;=60,"31-60",IF(TODAY()-D30&lt;=90,"61-90","90+"))))))</f>
        <v/>
      </c>
      <c r="L30" s="9">
        <f>IF(A30="","",IF(COUNTIF(Invoices!$A$5:$A$204,A30)&gt;1,"Duplicate invoice #",IF(B30="","Missing Job ID",IF(COUNTIF(Jobs!$A$5:$A$44,B30)=0,"Unknown Job ID",IF(D30="","Missing due date",IF(E30="","Missing amount",""))))))</f>
        <v/>
      </c>
      <c r="M30" s="9">
        <f>IF(A30="","",IFERROR(INDEX(Jobs!$B$5:$B$44,MATCH(B30,Jobs!$A$5:$A$44,0)),""))</f>
        <v/>
      </c>
      <c r="N30" s="9">
        <f>IF(AND(A30&lt;&gt;"",M30&lt;&gt;"",M30='Client Statement'!$L$2),COUNTIF(M$5:M30,'Client Statement'!$L$2),"")</f>
        <v/>
      </c>
      <c r="O30" s="35" t="n"/>
    </row>
    <row r="31">
      <c r="A31" s="35" t="n"/>
      <c r="B31" s="35" t="n"/>
      <c r="C31" s="40" t="n"/>
      <c r="D31" s="40" t="n"/>
      <c r="E31" s="37" t="n"/>
      <c r="F31" s="35" t="n"/>
      <c r="G31" s="39">
        <f>IF(A31="","",SUMIFS(Payments!$D$5:$D$304,Payments!$C$5:$C$304,A31))</f>
        <v/>
      </c>
      <c r="H31" s="39">
        <f>IF(A31="","",E31-G31)</f>
        <v/>
      </c>
      <c r="I31" s="9">
        <f>IF(A31="","",IF(H31&lt;=0,"Paid",IF(AND(D31&lt;&gt;"",TODAY()&gt;D31+Settings!$B$13),"Overdue",IF(G31&gt;0,"Partial","Open"))))</f>
        <v/>
      </c>
      <c r="J31" s="9">
        <f>IF(A31="","",IF(I31="Overdue",TODAY()-D31,0))</f>
        <v/>
      </c>
      <c r="K31" s="9">
        <f>IF(A31="","",IF(H31&lt;=0,"Paid",IF(OR(D31="",TODAY()&lt;=D31),"Current",IF(TODAY()-D31&lt;=30,"1-30",IF(TODAY()-D31&lt;=60,"31-60",IF(TODAY()-D31&lt;=90,"61-90","90+"))))))</f>
        <v/>
      </c>
      <c r="L31" s="9">
        <f>IF(A31="","",IF(COUNTIF(Invoices!$A$5:$A$204,A31)&gt;1,"Duplicate invoice #",IF(B31="","Missing Job ID",IF(COUNTIF(Jobs!$A$5:$A$44,B31)=0,"Unknown Job ID",IF(D31="","Missing due date",IF(E31="","Missing amount",""))))))</f>
        <v/>
      </c>
      <c r="M31" s="9">
        <f>IF(A31="","",IFERROR(INDEX(Jobs!$B$5:$B$44,MATCH(B31,Jobs!$A$5:$A$44,0)),""))</f>
        <v/>
      </c>
      <c r="N31" s="9">
        <f>IF(AND(A31&lt;&gt;"",M31&lt;&gt;"",M31='Client Statement'!$L$2),COUNTIF(M$5:M31,'Client Statement'!$L$2),"")</f>
        <v/>
      </c>
      <c r="O31" s="35" t="n"/>
    </row>
    <row r="32">
      <c r="A32" s="35" t="n"/>
      <c r="B32" s="35" t="n"/>
      <c r="C32" s="40" t="n"/>
      <c r="D32" s="40" t="n"/>
      <c r="E32" s="37" t="n"/>
      <c r="F32" s="35" t="n"/>
      <c r="G32" s="39">
        <f>IF(A32="","",SUMIFS(Payments!$D$5:$D$304,Payments!$C$5:$C$304,A32))</f>
        <v/>
      </c>
      <c r="H32" s="39">
        <f>IF(A32="","",E32-G32)</f>
        <v/>
      </c>
      <c r="I32" s="9">
        <f>IF(A32="","",IF(H32&lt;=0,"Paid",IF(AND(D32&lt;&gt;"",TODAY()&gt;D32+Settings!$B$13),"Overdue",IF(G32&gt;0,"Partial","Open"))))</f>
        <v/>
      </c>
      <c r="J32" s="9">
        <f>IF(A32="","",IF(I32="Overdue",TODAY()-D32,0))</f>
        <v/>
      </c>
      <c r="K32" s="9">
        <f>IF(A32="","",IF(H32&lt;=0,"Paid",IF(OR(D32="",TODAY()&lt;=D32),"Current",IF(TODAY()-D32&lt;=30,"1-30",IF(TODAY()-D32&lt;=60,"31-60",IF(TODAY()-D32&lt;=90,"61-90","90+"))))))</f>
        <v/>
      </c>
      <c r="L32" s="9">
        <f>IF(A32="","",IF(COUNTIF(Invoices!$A$5:$A$204,A32)&gt;1,"Duplicate invoice #",IF(B32="","Missing Job ID",IF(COUNTIF(Jobs!$A$5:$A$44,B32)=0,"Unknown Job ID",IF(D32="","Missing due date",IF(E32="","Missing amount",""))))))</f>
        <v/>
      </c>
      <c r="M32" s="9">
        <f>IF(A32="","",IFERROR(INDEX(Jobs!$B$5:$B$44,MATCH(B32,Jobs!$A$5:$A$44,0)),""))</f>
        <v/>
      </c>
      <c r="N32" s="9">
        <f>IF(AND(A32&lt;&gt;"",M32&lt;&gt;"",M32='Client Statement'!$L$2),COUNTIF(M$5:M32,'Client Statement'!$L$2),"")</f>
        <v/>
      </c>
      <c r="O32" s="35" t="n"/>
    </row>
    <row r="33">
      <c r="A33" s="35" t="n"/>
      <c r="B33" s="35" t="n"/>
      <c r="C33" s="40" t="n"/>
      <c r="D33" s="40" t="n"/>
      <c r="E33" s="37" t="n"/>
      <c r="F33" s="35" t="n"/>
      <c r="G33" s="39">
        <f>IF(A33="","",SUMIFS(Payments!$D$5:$D$304,Payments!$C$5:$C$304,A33))</f>
        <v/>
      </c>
      <c r="H33" s="39">
        <f>IF(A33="","",E33-G33)</f>
        <v/>
      </c>
      <c r="I33" s="9">
        <f>IF(A33="","",IF(H33&lt;=0,"Paid",IF(AND(D33&lt;&gt;"",TODAY()&gt;D33+Settings!$B$13),"Overdue",IF(G33&gt;0,"Partial","Open"))))</f>
        <v/>
      </c>
      <c r="J33" s="9">
        <f>IF(A33="","",IF(I33="Overdue",TODAY()-D33,0))</f>
        <v/>
      </c>
      <c r="K33" s="9">
        <f>IF(A33="","",IF(H33&lt;=0,"Paid",IF(OR(D33="",TODAY()&lt;=D33),"Current",IF(TODAY()-D33&lt;=30,"1-30",IF(TODAY()-D33&lt;=60,"31-60",IF(TODAY()-D33&lt;=90,"61-90","90+"))))))</f>
        <v/>
      </c>
      <c r="L33" s="9">
        <f>IF(A33="","",IF(COUNTIF(Invoices!$A$5:$A$204,A33)&gt;1,"Duplicate invoice #",IF(B33="","Missing Job ID",IF(COUNTIF(Jobs!$A$5:$A$44,B33)=0,"Unknown Job ID",IF(D33="","Missing due date",IF(E33="","Missing amount",""))))))</f>
        <v/>
      </c>
      <c r="M33" s="9">
        <f>IF(A33="","",IFERROR(INDEX(Jobs!$B$5:$B$44,MATCH(B33,Jobs!$A$5:$A$44,0)),""))</f>
        <v/>
      </c>
      <c r="N33" s="9">
        <f>IF(AND(A33&lt;&gt;"",M33&lt;&gt;"",M33='Client Statement'!$L$2),COUNTIF(M$5:M33,'Client Statement'!$L$2),"")</f>
        <v/>
      </c>
      <c r="O33" s="35" t="n"/>
    </row>
    <row r="34">
      <c r="A34" s="35" t="n"/>
      <c r="B34" s="35" t="n"/>
      <c r="C34" s="40" t="n"/>
      <c r="D34" s="40" t="n"/>
      <c r="E34" s="37" t="n"/>
      <c r="F34" s="35" t="n"/>
      <c r="G34" s="39">
        <f>IF(A34="","",SUMIFS(Payments!$D$5:$D$304,Payments!$C$5:$C$304,A34))</f>
        <v/>
      </c>
      <c r="H34" s="39">
        <f>IF(A34="","",E34-G34)</f>
        <v/>
      </c>
      <c r="I34" s="9">
        <f>IF(A34="","",IF(H34&lt;=0,"Paid",IF(AND(D34&lt;&gt;"",TODAY()&gt;D34+Settings!$B$13),"Overdue",IF(G34&gt;0,"Partial","Open"))))</f>
        <v/>
      </c>
      <c r="J34" s="9">
        <f>IF(A34="","",IF(I34="Overdue",TODAY()-D34,0))</f>
        <v/>
      </c>
      <c r="K34" s="9">
        <f>IF(A34="","",IF(H34&lt;=0,"Paid",IF(OR(D34="",TODAY()&lt;=D34),"Current",IF(TODAY()-D34&lt;=30,"1-30",IF(TODAY()-D34&lt;=60,"31-60",IF(TODAY()-D34&lt;=90,"61-90","90+"))))))</f>
        <v/>
      </c>
      <c r="L34" s="9">
        <f>IF(A34="","",IF(COUNTIF(Invoices!$A$5:$A$204,A34)&gt;1,"Duplicate invoice #",IF(B34="","Missing Job ID",IF(COUNTIF(Jobs!$A$5:$A$44,B34)=0,"Unknown Job ID",IF(D34="","Missing due date",IF(E34="","Missing amount",""))))))</f>
        <v/>
      </c>
      <c r="M34" s="9">
        <f>IF(A34="","",IFERROR(INDEX(Jobs!$B$5:$B$44,MATCH(B34,Jobs!$A$5:$A$44,0)),""))</f>
        <v/>
      </c>
      <c r="N34" s="9">
        <f>IF(AND(A34&lt;&gt;"",M34&lt;&gt;"",M34='Client Statement'!$L$2),COUNTIF(M$5:M34,'Client Statement'!$L$2),"")</f>
        <v/>
      </c>
      <c r="O34" s="35" t="n"/>
    </row>
    <row r="35">
      <c r="A35" s="35" t="n"/>
      <c r="B35" s="35" t="n"/>
      <c r="C35" s="40" t="n"/>
      <c r="D35" s="40" t="n"/>
      <c r="E35" s="37" t="n"/>
      <c r="F35" s="35" t="n"/>
      <c r="G35" s="39">
        <f>IF(A35="","",SUMIFS(Payments!$D$5:$D$304,Payments!$C$5:$C$304,A35))</f>
        <v/>
      </c>
      <c r="H35" s="39">
        <f>IF(A35="","",E35-G35)</f>
        <v/>
      </c>
      <c r="I35" s="9">
        <f>IF(A35="","",IF(H35&lt;=0,"Paid",IF(AND(D35&lt;&gt;"",TODAY()&gt;D35+Settings!$B$13),"Overdue",IF(G35&gt;0,"Partial","Open"))))</f>
        <v/>
      </c>
      <c r="J35" s="9">
        <f>IF(A35="","",IF(I35="Overdue",TODAY()-D35,0))</f>
        <v/>
      </c>
      <c r="K35" s="9">
        <f>IF(A35="","",IF(H35&lt;=0,"Paid",IF(OR(D35="",TODAY()&lt;=D35),"Current",IF(TODAY()-D35&lt;=30,"1-30",IF(TODAY()-D35&lt;=60,"31-60",IF(TODAY()-D35&lt;=90,"61-90","90+"))))))</f>
        <v/>
      </c>
      <c r="L35" s="9">
        <f>IF(A35="","",IF(COUNTIF(Invoices!$A$5:$A$204,A35)&gt;1,"Duplicate invoice #",IF(B35="","Missing Job ID",IF(COUNTIF(Jobs!$A$5:$A$44,B35)=0,"Unknown Job ID",IF(D35="","Missing due date",IF(E35="","Missing amount",""))))))</f>
        <v/>
      </c>
      <c r="M35" s="9">
        <f>IF(A35="","",IFERROR(INDEX(Jobs!$B$5:$B$44,MATCH(B35,Jobs!$A$5:$A$44,0)),""))</f>
        <v/>
      </c>
      <c r="N35" s="9">
        <f>IF(AND(A35&lt;&gt;"",M35&lt;&gt;"",M35='Client Statement'!$L$2),COUNTIF(M$5:M35,'Client Statement'!$L$2),"")</f>
        <v/>
      </c>
      <c r="O35" s="35" t="n"/>
    </row>
    <row r="36">
      <c r="A36" s="35" t="n"/>
      <c r="B36" s="35" t="n"/>
      <c r="C36" s="40" t="n"/>
      <c r="D36" s="40" t="n"/>
      <c r="E36" s="37" t="n"/>
      <c r="F36" s="35" t="n"/>
      <c r="G36" s="39">
        <f>IF(A36="","",SUMIFS(Payments!$D$5:$D$304,Payments!$C$5:$C$304,A36))</f>
        <v/>
      </c>
      <c r="H36" s="39">
        <f>IF(A36="","",E36-G36)</f>
        <v/>
      </c>
      <c r="I36" s="9">
        <f>IF(A36="","",IF(H36&lt;=0,"Paid",IF(AND(D36&lt;&gt;"",TODAY()&gt;D36+Settings!$B$13),"Overdue",IF(G36&gt;0,"Partial","Open"))))</f>
        <v/>
      </c>
      <c r="J36" s="9">
        <f>IF(A36="","",IF(I36="Overdue",TODAY()-D36,0))</f>
        <v/>
      </c>
      <c r="K36" s="9">
        <f>IF(A36="","",IF(H36&lt;=0,"Paid",IF(OR(D36="",TODAY()&lt;=D36),"Current",IF(TODAY()-D36&lt;=30,"1-30",IF(TODAY()-D36&lt;=60,"31-60",IF(TODAY()-D36&lt;=90,"61-90","90+"))))))</f>
        <v/>
      </c>
      <c r="L36" s="9">
        <f>IF(A36="","",IF(COUNTIF(Invoices!$A$5:$A$204,A36)&gt;1,"Duplicate invoice #",IF(B36="","Missing Job ID",IF(COUNTIF(Jobs!$A$5:$A$44,B36)=0,"Unknown Job ID",IF(D36="","Missing due date",IF(E36="","Missing amount",""))))))</f>
        <v/>
      </c>
      <c r="M36" s="9">
        <f>IF(A36="","",IFERROR(INDEX(Jobs!$B$5:$B$44,MATCH(B36,Jobs!$A$5:$A$44,0)),""))</f>
        <v/>
      </c>
      <c r="N36" s="9">
        <f>IF(AND(A36&lt;&gt;"",M36&lt;&gt;"",M36='Client Statement'!$L$2),COUNTIF(M$5:M36,'Client Statement'!$L$2),"")</f>
        <v/>
      </c>
      <c r="O36" s="35" t="n"/>
    </row>
    <row r="37">
      <c r="A37" s="35" t="n"/>
      <c r="B37" s="35" t="n"/>
      <c r="C37" s="40" t="n"/>
      <c r="D37" s="40" t="n"/>
      <c r="E37" s="37" t="n"/>
      <c r="F37" s="35" t="n"/>
      <c r="G37" s="39">
        <f>IF(A37="","",SUMIFS(Payments!$D$5:$D$304,Payments!$C$5:$C$304,A37))</f>
        <v/>
      </c>
      <c r="H37" s="39">
        <f>IF(A37="","",E37-G37)</f>
        <v/>
      </c>
      <c r="I37" s="9">
        <f>IF(A37="","",IF(H37&lt;=0,"Paid",IF(AND(D37&lt;&gt;"",TODAY()&gt;D37+Settings!$B$13),"Overdue",IF(G37&gt;0,"Partial","Open"))))</f>
        <v/>
      </c>
      <c r="J37" s="9">
        <f>IF(A37="","",IF(I37="Overdue",TODAY()-D37,0))</f>
        <v/>
      </c>
      <c r="K37" s="9">
        <f>IF(A37="","",IF(H37&lt;=0,"Paid",IF(OR(D37="",TODAY()&lt;=D37),"Current",IF(TODAY()-D37&lt;=30,"1-30",IF(TODAY()-D37&lt;=60,"31-60",IF(TODAY()-D37&lt;=90,"61-90","90+"))))))</f>
        <v/>
      </c>
      <c r="L37" s="9">
        <f>IF(A37="","",IF(COUNTIF(Invoices!$A$5:$A$204,A37)&gt;1,"Duplicate invoice #",IF(B37="","Missing Job ID",IF(COUNTIF(Jobs!$A$5:$A$44,B37)=0,"Unknown Job ID",IF(D37="","Missing due date",IF(E37="","Missing amount",""))))))</f>
        <v/>
      </c>
      <c r="M37" s="9">
        <f>IF(A37="","",IFERROR(INDEX(Jobs!$B$5:$B$44,MATCH(B37,Jobs!$A$5:$A$44,0)),""))</f>
        <v/>
      </c>
      <c r="N37" s="9">
        <f>IF(AND(A37&lt;&gt;"",M37&lt;&gt;"",M37='Client Statement'!$L$2),COUNTIF(M$5:M37,'Client Statement'!$L$2),"")</f>
        <v/>
      </c>
      <c r="O37" s="35" t="n"/>
    </row>
    <row r="38">
      <c r="A38" s="35" t="n"/>
      <c r="B38" s="35" t="n"/>
      <c r="C38" s="40" t="n"/>
      <c r="D38" s="40" t="n"/>
      <c r="E38" s="37" t="n"/>
      <c r="F38" s="35" t="n"/>
      <c r="G38" s="39">
        <f>IF(A38="","",SUMIFS(Payments!$D$5:$D$304,Payments!$C$5:$C$304,A38))</f>
        <v/>
      </c>
      <c r="H38" s="39">
        <f>IF(A38="","",E38-G38)</f>
        <v/>
      </c>
      <c r="I38" s="9">
        <f>IF(A38="","",IF(H38&lt;=0,"Paid",IF(AND(D38&lt;&gt;"",TODAY()&gt;D38+Settings!$B$13),"Overdue",IF(G38&gt;0,"Partial","Open"))))</f>
        <v/>
      </c>
      <c r="J38" s="9">
        <f>IF(A38="","",IF(I38="Overdue",TODAY()-D38,0))</f>
        <v/>
      </c>
      <c r="K38" s="9">
        <f>IF(A38="","",IF(H38&lt;=0,"Paid",IF(OR(D38="",TODAY()&lt;=D38),"Current",IF(TODAY()-D38&lt;=30,"1-30",IF(TODAY()-D38&lt;=60,"31-60",IF(TODAY()-D38&lt;=90,"61-90","90+"))))))</f>
        <v/>
      </c>
      <c r="L38" s="9">
        <f>IF(A38="","",IF(COUNTIF(Invoices!$A$5:$A$204,A38)&gt;1,"Duplicate invoice #",IF(B38="","Missing Job ID",IF(COUNTIF(Jobs!$A$5:$A$44,B38)=0,"Unknown Job ID",IF(D38="","Missing due date",IF(E38="","Missing amount",""))))))</f>
        <v/>
      </c>
      <c r="M38" s="9">
        <f>IF(A38="","",IFERROR(INDEX(Jobs!$B$5:$B$44,MATCH(B38,Jobs!$A$5:$A$44,0)),""))</f>
        <v/>
      </c>
      <c r="N38" s="9">
        <f>IF(AND(A38&lt;&gt;"",M38&lt;&gt;"",M38='Client Statement'!$L$2),COUNTIF(M$5:M38,'Client Statement'!$L$2),"")</f>
        <v/>
      </c>
      <c r="O38" s="35" t="n"/>
    </row>
    <row r="39">
      <c r="A39" s="35" t="n"/>
      <c r="B39" s="35" t="n"/>
      <c r="C39" s="40" t="n"/>
      <c r="D39" s="40" t="n"/>
      <c r="E39" s="37" t="n"/>
      <c r="F39" s="35" t="n"/>
      <c r="G39" s="39">
        <f>IF(A39="","",SUMIFS(Payments!$D$5:$D$304,Payments!$C$5:$C$304,A39))</f>
        <v/>
      </c>
      <c r="H39" s="39">
        <f>IF(A39="","",E39-G39)</f>
        <v/>
      </c>
      <c r="I39" s="9">
        <f>IF(A39="","",IF(H39&lt;=0,"Paid",IF(AND(D39&lt;&gt;"",TODAY()&gt;D39+Settings!$B$13),"Overdue",IF(G39&gt;0,"Partial","Open"))))</f>
        <v/>
      </c>
      <c r="J39" s="9">
        <f>IF(A39="","",IF(I39="Overdue",TODAY()-D39,0))</f>
        <v/>
      </c>
      <c r="K39" s="9">
        <f>IF(A39="","",IF(H39&lt;=0,"Paid",IF(OR(D39="",TODAY()&lt;=D39),"Current",IF(TODAY()-D39&lt;=30,"1-30",IF(TODAY()-D39&lt;=60,"31-60",IF(TODAY()-D39&lt;=90,"61-90","90+"))))))</f>
        <v/>
      </c>
      <c r="L39" s="9">
        <f>IF(A39="","",IF(COUNTIF(Invoices!$A$5:$A$204,A39)&gt;1,"Duplicate invoice #",IF(B39="","Missing Job ID",IF(COUNTIF(Jobs!$A$5:$A$44,B39)=0,"Unknown Job ID",IF(D39="","Missing due date",IF(E39="","Missing amount",""))))))</f>
        <v/>
      </c>
      <c r="M39" s="9">
        <f>IF(A39="","",IFERROR(INDEX(Jobs!$B$5:$B$44,MATCH(B39,Jobs!$A$5:$A$44,0)),""))</f>
        <v/>
      </c>
      <c r="N39" s="9">
        <f>IF(AND(A39&lt;&gt;"",M39&lt;&gt;"",M39='Client Statement'!$L$2),COUNTIF(M$5:M39,'Client Statement'!$L$2),"")</f>
        <v/>
      </c>
      <c r="O39" s="35" t="n"/>
    </row>
    <row r="40">
      <c r="A40" s="35" t="n"/>
      <c r="B40" s="35" t="n"/>
      <c r="C40" s="40" t="n"/>
      <c r="D40" s="40" t="n"/>
      <c r="E40" s="37" t="n"/>
      <c r="F40" s="35" t="n"/>
      <c r="G40" s="39">
        <f>IF(A40="","",SUMIFS(Payments!$D$5:$D$304,Payments!$C$5:$C$304,A40))</f>
        <v/>
      </c>
      <c r="H40" s="39">
        <f>IF(A40="","",E40-G40)</f>
        <v/>
      </c>
      <c r="I40" s="9">
        <f>IF(A40="","",IF(H40&lt;=0,"Paid",IF(AND(D40&lt;&gt;"",TODAY()&gt;D40+Settings!$B$13),"Overdue",IF(G40&gt;0,"Partial","Open"))))</f>
        <v/>
      </c>
      <c r="J40" s="9">
        <f>IF(A40="","",IF(I40="Overdue",TODAY()-D40,0))</f>
        <v/>
      </c>
      <c r="K40" s="9">
        <f>IF(A40="","",IF(H40&lt;=0,"Paid",IF(OR(D40="",TODAY()&lt;=D40),"Current",IF(TODAY()-D40&lt;=30,"1-30",IF(TODAY()-D40&lt;=60,"31-60",IF(TODAY()-D40&lt;=90,"61-90","90+"))))))</f>
        <v/>
      </c>
      <c r="L40" s="9">
        <f>IF(A40="","",IF(COUNTIF(Invoices!$A$5:$A$204,A40)&gt;1,"Duplicate invoice #",IF(B40="","Missing Job ID",IF(COUNTIF(Jobs!$A$5:$A$44,B40)=0,"Unknown Job ID",IF(D40="","Missing due date",IF(E40="","Missing amount",""))))))</f>
        <v/>
      </c>
      <c r="M40" s="9">
        <f>IF(A40="","",IFERROR(INDEX(Jobs!$B$5:$B$44,MATCH(B40,Jobs!$A$5:$A$44,0)),""))</f>
        <v/>
      </c>
      <c r="N40" s="9">
        <f>IF(AND(A40&lt;&gt;"",M40&lt;&gt;"",M40='Client Statement'!$L$2),COUNTIF(M$5:M40,'Client Statement'!$L$2),"")</f>
        <v/>
      </c>
      <c r="O40" s="35" t="n"/>
    </row>
    <row r="41">
      <c r="A41" s="35" t="n"/>
      <c r="B41" s="35" t="n"/>
      <c r="C41" s="40" t="n"/>
      <c r="D41" s="40" t="n"/>
      <c r="E41" s="37" t="n"/>
      <c r="F41" s="35" t="n"/>
      <c r="G41" s="39">
        <f>IF(A41="","",SUMIFS(Payments!$D$5:$D$304,Payments!$C$5:$C$304,A41))</f>
        <v/>
      </c>
      <c r="H41" s="39">
        <f>IF(A41="","",E41-G41)</f>
        <v/>
      </c>
      <c r="I41" s="9">
        <f>IF(A41="","",IF(H41&lt;=0,"Paid",IF(AND(D41&lt;&gt;"",TODAY()&gt;D41+Settings!$B$13),"Overdue",IF(G41&gt;0,"Partial","Open"))))</f>
        <v/>
      </c>
      <c r="J41" s="9">
        <f>IF(A41="","",IF(I41="Overdue",TODAY()-D41,0))</f>
        <v/>
      </c>
      <c r="K41" s="9">
        <f>IF(A41="","",IF(H41&lt;=0,"Paid",IF(OR(D41="",TODAY()&lt;=D41),"Current",IF(TODAY()-D41&lt;=30,"1-30",IF(TODAY()-D41&lt;=60,"31-60",IF(TODAY()-D41&lt;=90,"61-90","90+"))))))</f>
        <v/>
      </c>
      <c r="L41" s="9">
        <f>IF(A41="","",IF(COUNTIF(Invoices!$A$5:$A$204,A41)&gt;1,"Duplicate invoice #",IF(B41="","Missing Job ID",IF(COUNTIF(Jobs!$A$5:$A$44,B41)=0,"Unknown Job ID",IF(D41="","Missing due date",IF(E41="","Missing amount",""))))))</f>
        <v/>
      </c>
      <c r="M41" s="9">
        <f>IF(A41="","",IFERROR(INDEX(Jobs!$B$5:$B$44,MATCH(B41,Jobs!$A$5:$A$44,0)),""))</f>
        <v/>
      </c>
      <c r="N41" s="9">
        <f>IF(AND(A41&lt;&gt;"",M41&lt;&gt;"",M41='Client Statement'!$L$2),COUNTIF(M$5:M41,'Client Statement'!$L$2),"")</f>
        <v/>
      </c>
      <c r="O41" s="35" t="n"/>
    </row>
    <row r="42">
      <c r="A42" s="35" t="n"/>
      <c r="B42" s="35" t="n"/>
      <c r="C42" s="40" t="n"/>
      <c r="D42" s="40" t="n"/>
      <c r="E42" s="37" t="n"/>
      <c r="F42" s="35" t="n"/>
      <c r="G42" s="39">
        <f>IF(A42="","",SUMIFS(Payments!$D$5:$D$304,Payments!$C$5:$C$304,A42))</f>
        <v/>
      </c>
      <c r="H42" s="39">
        <f>IF(A42="","",E42-G42)</f>
        <v/>
      </c>
      <c r="I42" s="9">
        <f>IF(A42="","",IF(H42&lt;=0,"Paid",IF(AND(D42&lt;&gt;"",TODAY()&gt;D42+Settings!$B$13),"Overdue",IF(G42&gt;0,"Partial","Open"))))</f>
        <v/>
      </c>
      <c r="J42" s="9">
        <f>IF(A42="","",IF(I42="Overdue",TODAY()-D42,0))</f>
        <v/>
      </c>
      <c r="K42" s="9">
        <f>IF(A42="","",IF(H42&lt;=0,"Paid",IF(OR(D42="",TODAY()&lt;=D42),"Current",IF(TODAY()-D42&lt;=30,"1-30",IF(TODAY()-D42&lt;=60,"31-60",IF(TODAY()-D42&lt;=90,"61-90","90+"))))))</f>
        <v/>
      </c>
      <c r="L42" s="9">
        <f>IF(A42="","",IF(COUNTIF(Invoices!$A$5:$A$204,A42)&gt;1,"Duplicate invoice #",IF(B42="","Missing Job ID",IF(COUNTIF(Jobs!$A$5:$A$44,B42)=0,"Unknown Job ID",IF(D42="","Missing due date",IF(E42="","Missing amount",""))))))</f>
        <v/>
      </c>
      <c r="M42" s="9">
        <f>IF(A42="","",IFERROR(INDEX(Jobs!$B$5:$B$44,MATCH(B42,Jobs!$A$5:$A$44,0)),""))</f>
        <v/>
      </c>
      <c r="N42" s="9">
        <f>IF(AND(A42&lt;&gt;"",M42&lt;&gt;"",M42='Client Statement'!$L$2),COUNTIF(M$5:M42,'Client Statement'!$L$2),"")</f>
        <v/>
      </c>
      <c r="O42" s="35" t="n"/>
    </row>
    <row r="43">
      <c r="A43" s="35" t="n"/>
      <c r="B43" s="35" t="n"/>
      <c r="C43" s="40" t="n"/>
      <c r="D43" s="40" t="n"/>
      <c r="E43" s="37" t="n"/>
      <c r="F43" s="35" t="n"/>
      <c r="G43" s="39">
        <f>IF(A43="","",SUMIFS(Payments!$D$5:$D$304,Payments!$C$5:$C$304,A43))</f>
        <v/>
      </c>
      <c r="H43" s="39">
        <f>IF(A43="","",E43-G43)</f>
        <v/>
      </c>
      <c r="I43" s="9">
        <f>IF(A43="","",IF(H43&lt;=0,"Paid",IF(AND(D43&lt;&gt;"",TODAY()&gt;D43+Settings!$B$13),"Overdue",IF(G43&gt;0,"Partial","Open"))))</f>
        <v/>
      </c>
      <c r="J43" s="9">
        <f>IF(A43="","",IF(I43="Overdue",TODAY()-D43,0))</f>
        <v/>
      </c>
      <c r="K43" s="9">
        <f>IF(A43="","",IF(H43&lt;=0,"Paid",IF(OR(D43="",TODAY()&lt;=D43),"Current",IF(TODAY()-D43&lt;=30,"1-30",IF(TODAY()-D43&lt;=60,"31-60",IF(TODAY()-D43&lt;=90,"61-90","90+"))))))</f>
        <v/>
      </c>
      <c r="L43" s="9">
        <f>IF(A43="","",IF(COUNTIF(Invoices!$A$5:$A$204,A43)&gt;1,"Duplicate invoice #",IF(B43="","Missing Job ID",IF(COUNTIF(Jobs!$A$5:$A$44,B43)=0,"Unknown Job ID",IF(D43="","Missing due date",IF(E43="","Missing amount",""))))))</f>
        <v/>
      </c>
      <c r="M43" s="9">
        <f>IF(A43="","",IFERROR(INDEX(Jobs!$B$5:$B$44,MATCH(B43,Jobs!$A$5:$A$44,0)),""))</f>
        <v/>
      </c>
      <c r="N43" s="9">
        <f>IF(AND(A43&lt;&gt;"",M43&lt;&gt;"",M43='Client Statement'!$L$2),COUNTIF(M$5:M43,'Client Statement'!$L$2),"")</f>
        <v/>
      </c>
      <c r="O43" s="35" t="n"/>
    </row>
    <row r="44">
      <c r="A44" s="35" t="n"/>
      <c r="B44" s="35" t="n"/>
      <c r="C44" s="40" t="n"/>
      <c r="D44" s="40" t="n"/>
      <c r="E44" s="37" t="n"/>
      <c r="F44" s="35" t="n"/>
      <c r="G44" s="39">
        <f>IF(A44="","",SUMIFS(Payments!$D$5:$D$304,Payments!$C$5:$C$304,A44))</f>
        <v/>
      </c>
      <c r="H44" s="39">
        <f>IF(A44="","",E44-G44)</f>
        <v/>
      </c>
      <c r="I44" s="9">
        <f>IF(A44="","",IF(H44&lt;=0,"Paid",IF(AND(D44&lt;&gt;"",TODAY()&gt;D44+Settings!$B$13),"Overdue",IF(G44&gt;0,"Partial","Open"))))</f>
        <v/>
      </c>
      <c r="J44" s="9">
        <f>IF(A44="","",IF(I44="Overdue",TODAY()-D44,0))</f>
        <v/>
      </c>
      <c r="K44" s="9">
        <f>IF(A44="","",IF(H44&lt;=0,"Paid",IF(OR(D44="",TODAY()&lt;=D44),"Current",IF(TODAY()-D44&lt;=30,"1-30",IF(TODAY()-D44&lt;=60,"31-60",IF(TODAY()-D44&lt;=90,"61-90","90+"))))))</f>
        <v/>
      </c>
      <c r="L44" s="9">
        <f>IF(A44="","",IF(COUNTIF(Invoices!$A$5:$A$204,A44)&gt;1,"Duplicate invoice #",IF(B44="","Missing Job ID",IF(COUNTIF(Jobs!$A$5:$A$44,B44)=0,"Unknown Job ID",IF(D44="","Missing due date",IF(E44="","Missing amount",""))))))</f>
        <v/>
      </c>
      <c r="M44" s="9">
        <f>IF(A44="","",IFERROR(INDEX(Jobs!$B$5:$B$44,MATCH(B44,Jobs!$A$5:$A$44,0)),""))</f>
        <v/>
      </c>
      <c r="N44" s="9">
        <f>IF(AND(A44&lt;&gt;"",M44&lt;&gt;"",M44='Client Statement'!$L$2),COUNTIF(M$5:M44,'Client Statement'!$L$2),"")</f>
        <v/>
      </c>
      <c r="O44" s="35" t="n"/>
    </row>
    <row r="45">
      <c r="A45" s="35" t="n"/>
      <c r="B45" s="35" t="n"/>
      <c r="C45" s="40" t="n"/>
      <c r="D45" s="40" t="n"/>
      <c r="E45" s="37" t="n"/>
      <c r="F45" s="35" t="n"/>
      <c r="G45" s="39">
        <f>IF(A45="","",SUMIFS(Payments!$D$5:$D$304,Payments!$C$5:$C$304,A45))</f>
        <v/>
      </c>
      <c r="H45" s="39">
        <f>IF(A45="","",E45-G45)</f>
        <v/>
      </c>
      <c r="I45" s="9">
        <f>IF(A45="","",IF(H45&lt;=0,"Paid",IF(AND(D45&lt;&gt;"",TODAY()&gt;D45+Settings!$B$13),"Overdue",IF(G45&gt;0,"Partial","Open"))))</f>
        <v/>
      </c>
      <c r="J45" s="9">
        <f>IF(A45="","",IF(I45="Overdue",TODAY()-D45,0))</f>
        <v/>
      </c>
      <c r="K45" s="9">
        <f>IF(A45="","",IF(H45&lt;=0,"Paid",IF(OR(D45="",TODAY()&lt;=D45),"Current",IF(TODAY()-D45&lt;=30,"1-30",IF(TODAY()-D45&lt;=60,"31-60",IF(TODAY()-D45&lt;=90,"61-90","90+"))))))</f>
        <v/>
      </c>
      <c r="L45" s="9">
        <f>IF(A45="","",IF(COUNTIF(Invoices!$A$5:$A$204,A45)&gt;1,"Duplicate invoice #",IF(B45="","Missing Job ID",IF(COUNTIF(Jobs!$A$5:$A$44,B45)=0,"Unknown Job ID",IF(D45="","Missing due date",IF(E45="","Missing amount",""))))))</f>
        <v/>
      </c>
      <c r="M45" s="9">
        <f>IF(A45="","",IFERROR(INDEX(Jobs!$B$5:$B$44,MATCH(B45,Jobs!$A$5:$A$44,0)),""))</f>
        <v/>
      </c>
      <c r="N45" s="9">
        <f>IF(AND(A45&lt;&gt;"",M45&lt;&gt;"",M45='Client Statement'!$L$2),COUNTIF(M$5:M45,'Client Statement'!$L$2),"")</f>
        <v/>
      </c>
      <c r="O45" s="35" t="n"/>
    </row>
    <row r="46">
      <c r="A46" s="35" t="n"/>
      <c r="B46" s="35" t="n"/>
      <c r="C46" s="40" t="n"/>
      <c r="D46" s="40" t="n"/>
      <c r="E46" s="37" t="n"/>
      <c r="F46" s="35" t="n"/>
      <c r="G46" s="39">
        <f>IF(A46="","",SUMIFS(Payments!$D$5:$D$304,Payments!$C$5:$C$304,A46))</f>
        <v/>
      </c>
      <c r="H46" s="39">
        <f>IF(A46="","",E46-G46)</f>
        <v/>
      </c>
      <c r="I46" s="9">
        <f>IF(A46="","",IF(H46&lt;=0,"Paid",IF(AND(D46&lt;&gt;"",TODAY()&gt;D46+Settings!$B$13),"Overdue",IF(G46&gt;0,"Partial","Open"))))</f>
        <v/>
      </c>
      <c r="J46" s="9">
        <f>IF(A46="","",IF(I46="Overdue",TODAY()-D46,0))</f>
        <v/>
      </c>
      <c r="K46" s="9">
        <f>IF(A46="","",IF(H46&lt;=0,"Paid",IF(OR(D46="",TODAY()&lt;=D46),"Current",IF(TODAY()-D46&lt;=30,"1-30",IF(TODAY()-D46&lt;=60,"31-60",IF(TODAY()-D46&lt;=90,"61-90","90+"))))))</f>
        <v/>
      </c>
      <c r="L46" s="9">
        <f>IF(A46="","",IF(COUNTIF(Invoices!$A$5:$A$204,A46)&gt;1,"Duplicate invoice #",IF(B46="","Missing Job ID",IF(COUNTIF(Jobs!$A$5:$A$44,B46)=0,"Unknown Job ID",IF(D46="","Missing due date",IF(E46="","Missing amount",""))))))</f>
        <v/>
      </c>
      <c r="M46" s="9">
        <f>IF(A46="","",IFERROR(INDEX(Jobs!$B$5:$B$44,MATCH(B46,Jobs!$A$5:$A$44,0)),""))</f>
        <v/>
      </c>
      <c r="N46" s="9">
        <f>IF(AND(A46&lt;&gt;"",M46&lt;&gt;"",M46='Client Statement'!$L$2),COUNTIF(M$5:M46,'Client Statement'!$L$2),"")</f>
        <v/>
      </c>
      <c r="O46" s="35" t="n"/>
    </row>
    <row r="47">
      <c r="A47" s="35" t="n"/>
      <c r="B47" s="35" t="n"/>
      <c r="C47" s="40" t="n"/>
      <c r="D47" s="40" t="n"/>
      <c r="E47" s="37" t="n"/>
      <c r="F47" s="35" t="n"/>
      <c r="G47" s="39">
        <f>IF(A47="","",SUMIFS(Payments!$D$5:$D$304,Payments!$C$5:$C$304,A47))</f>
        <v/>
      </c>
      <c r="H47" s="39">
        <f>IF(A47="","",E47-G47)</f>
        <v/>
      </c>
      <c r="I47" s="9">
        <f>IF(A47="","",IF(H47&lt;=0,"Paid",IF(AND(D47&lt;&gt;"",TODAY()&gt;D47+Settings!$B$13),"Overdue",IF(G47&gt;0,"Partial","Open"))))</f>
        <v/>
      </c>
      <c r="J47" s="9">
        <f>IF(A47="","",IF(I47="Overdue",TODAY()-D47,0))</f>
        <v/>
      </c>
      <c r="K47" s="9">
        <f>IF(A47="","",IF(H47&lt;=0,"Paid",IF(OR(D47="",TODAY()&lt;=D47),"Current",IF(TODAY()-D47&lt;=30,"1-30",IF(TODAY()-D47&lt;=60,"31-60",IF(TODAY()-D47&lt;=90,"61-90","90+"))))))</f>
        <v/>
      </c>
      <c r="L47" s="9">
        <f>IF(A47="","",IF(COUNTIF(Invoices!$A$5:$A$204,A47)&gt;1,"Duplicate invoice #",IF(B47="","Missing Job ID",IF(COUNTIF(Jobs!$A$5:$A$44,B47)=0,"Unknown Job ID",IF(D47="","Missing due date",IF(E47="","Missing amount",""))))))</f>
        <v/>
      </c>
      <c r="M47" s="9">
        <f>IF(A47="","",IFERROR(INDEX(Jobs!$B$5:$B$44,MATCH(B47,Jobs!$A$5:$A$44,0)),""))</f>
        <v/>
      </c>
      <c r="N47" s="9">
        <f>IF(AND(A47&lt;&gt;"",M47&lt;&gt;"",M47='Client Statement'!$L$2),COUNTIF(M$5:M47,'Client Statement'!$L$2),"")</f>
        <v/>
      </c>
      <c r="O47" s="35" t="n"/>
    </row>
    <row r="48">
      <c r="A48" s="35" t="n"/>
      <c r="B48" s="35" t="n"/>
      <c r="C48" s="40" t="n"/>
      <c r="D48" s="40" t="n"/>
      <c r="E48" s="37" t="n"/>
      <c r="F48" s="35" t="n"/>
      <c r="G48" s="39">
        <f>IF(A48="","",SUMIFS(Payments!$D$5:$D$304,Payments!$C$5:$C$304,A48))</f>
        <v/>
      </c>
      <c r="H48" s="39">
        <f>IF(A48="","",E48-G48)</f>
        <v/>
      </c>
      <c r="I48" s="9">
        <f>IF(A48="","",IF(H48&lt;=0,"Paid",IF(AND(D48&lt;&gt;"",TODAY()&gt;D48+Settings!$B$13),"Overdue",IF(G48&gt;0,"Partial","Open"))))</f>
        <v/>
      </c>
      <c r="J48" s="9">
        <f>IF(A48="","",IF(I48="Overdue",TODAY()-D48,0))</f>
        <v/>
      </c>
      <c r="K48" s="9">
        <f>IF(A48="","",IF(H48&lt;=0,"Paid",IF(OR(D48="",TODAY()&lt;=D48),"Current",IF(TODAY()-D48&lt;=30,"1-30",IF(TODAY()-D48&lt;=60,"31-60",IF(TODAY()-D48&lt;=90,"61-90","90+"))))))</f>
        <v/>
      </c>
      <c r="L48" s="9">
        <f>IF(A48="","",IF(COUNTIF(Invoices!$A$5:$A$204,A48)&gt;1,"Duplicate invoice #",IF(B48="","Missing Job ID",IF(COUNTIF(Jobs!$A$5:$A$44,B48)=0,"Unknown Job ID",IF(D48="","Missing due date",IF(E48="","Missing amount",""))))))</f>
        <v/>
      </c>
      <c r="M48" s="9">
        <f>IF(A48="","",IFERROR(INDEX(Jobs!$B$5:$B$44,MATCH(B48,Jobs!$A$5:$A$44,0)),""))</f>
        <v/>
      </c>
      <c r="N48" s="9">
        <f>IF(AND(A48&lt;&gt;"",M48&lt;&gt;"",M48='Client Statement'!$L$2),COUNTIF(M$5:M48,'Client Statement'!$L$2),"")</f>
        <v/>
      </c>
      <c r="O48" s="35" t="n"/>
    </row>
    <row r="49">
      <c r="A49" s="35" t="n"/>
      <c r="B49" s="35" t="n"/>
      <c r="C49" s="40" t="n"/>
      <c r="D49" s="40" t="n"/>
      <c r="E49" s="37" t="n"/>
      <c r="F49" s="35" t="n"/>
      <c r="G49" s="39">
        <f>IF(A49="","",SUMIFS(Payments!$D$5:$D$304,Payments!$C$5:$C$304,A49))</f>
        <v/>
      </c>
      <c r="H49" s="39">
        <f>IF(A49="","",E49-G49)</f>
        <v/>
      </c>
      <c r="I49" s="9">
        <f>IF(A49="","",IF(H49&lt;=0,"Paid",IF(AND(D49&lt;&gt;"",TODAY()&gt;D49+Settings!$B$13),"Overdue",IF(G49&gt;0,"Partial","Open"))))</f>
        <v/>
      </c>
      <c r="J49" s="9">
        <f>IF(A49="","",IF(I49="Overdue",TODAY()-D49,0))</f>
        <v/>
      </c>
      <c r="K49" s="9">
        <f>IF(A49="","",IF(H49&lt;=0,"Paid",IF(OR(D49="",TODAY()&lt;=D49),"Current",IF(TODAY()-D49&lt;=30,"1-30",IF(TODAY()-D49&lt;=60,"31-60",IF(TODAY()-D49&lt;=90,"61-90","90+"))))))</f>
        <v/>
      </c>
      <c r="L49" s="9">
        <f>IF(A49="","",IF(COUNTIF(Invoices!$A$5:$A$204,A49)&gt;1,"Duplicate invoice #",IF(B49="","Missing Job ID",IF(COUNTIF(Jobs!$A$5:$A$44,B49)=0,"Unknown Job ID",IF(D49="","Missing due date",IF(E49="","Missing amount",""))))))</f>
        <v/>
      </c>
      <c r="M49" s="9">
        <f>IF(A49="","",IFERROR(INDEX(Jobs!$B$5:$B$44,MATCH(B49,Jobs!$A$5:$A$44,0)),""))</f>
        <v/>
      </c>
      <c r="N49" s="9">
        <f>IF(AND(A49&lt;&gt;"",M49&lt;&gt;"",M49='Client Statement'!$L$2),COUNTIF(M$5:M49,'Client Statement'!$L$2),"")</f>
        <v/>
      </c>
      <c r="O49" s="35" t="n"/>
    </row>
    <row r="50">
      <c r="A50" s="35" t="n"/>
      <c r="B50" s="35" t="n"/>
      <c r="C50" s="40" t="n"/>
      <c r="D50" s="40" t="n"/>
      <c r="E50" s="37" t="n"/>
      <c r="F50" s="35" t="n"/>
      <c r="G50" s="39">
        <f>IF(A50="","",SUMIFS(Payments!$D$5:$D$304,Payments!$C$5:$C$304,A50))</f>
        <v/>
      </c>
      <c r="H50" s="39">
        <f>IF(A50="","",E50-G50)</f>
        <v/>
      </c>
      <c r="I50" s="9">
        <f>IF(A50="","",IF(H50&lt;=0,"Paid",IF(AND(D50&lt;&gt;"",TODAY()&gt;D50+Settings!$B$13),"Overdue",IF(G50&gt;0,"Partial","Open"))))</f>
        <v/>
      </c>
      <c r="J50" s="9">
        <f>IF(A50="","",IF(I50="Overdue",TODAY()-D50,0))</f>
        <v/>
      </c>
      <c r="K50" s="9">
        <f>IF(A50="","",IF(H50&lt;=0,"Paid",IF(OR(D50="",TODAY()&lt;=D50),"Current",IF(TODAY()-D50&lt;=30,"1-30",IF(TODAY()-D50&lt;=60,"31-60",IF(TODAY()-D50&lt;=90,"61-90","90+"))))))</f>
        <v/>
      </c>
      <c r="L50" s="9">
        <f>IF(A50="","",IF(COUNTIF(Invoices!$A$5:$A$204,A50)&gt;1,"Duplicate invoice #",IF(B50="","Missing Job ID",IF(COUNTIF(Jobs!$A$5:$A$44,B50)=0,"Unknown Job ID",IF(D50="","Missing due date",IF(E50="","Missing amount",""))))))</f>
        <v/>
      </c>
      <c r="M50" s="9">
        <f>IF(A50="","",IFERROR(INDEX(Jobs!$B$5:$B$44,MATCH(B50,Jobs!$A$5:$A$44,0)),""))</f>
        <v/>
      </c>
      <c r="N50" s="9">
        <f>IF(AND(A50&lt;&gt;"",M50&lt;&gt;"",M50='Client Statement'!$L$2),COUNTIF(M$5:M50,'Client Statement'!$L$2),"")</f>
        <v/>
      </c>
      <c r="O50" s="35" t="n"/>
    </row>
    <row r="51">
      <c r="A51" s="35" t="n"/>
      <c r="B51" s="35" t="n"/>
      <c r="C51" s="40" t="n"/>
      <c r="D51" s="40" t="n"/>
      <c r="E51" s="37" t="n"/>
      <c r="F51" s="35" t="n"/>
      <c r="G51" s="39">
        <f>IF(A51="","",SUMIFS(Payments!$D$5:$D$304,Payments!$C$5:$C$304,A51))</f>
        <v/>
      </c>
      <c r="H51" s="39">
        <f>IF(A51="","",E51-G51)</f>
        <v/>
      </c>
      <c r="I51" s="9">
        <f>IF(A51="","",IF(H51&lt;=0,"Paid",IF(AND(D51&lt;&gt;"",TODAY()&gt;D51+Settings!$B$13),"Overdue",IF(G51&gt;0,"Partial","Open"))))</f>
        <v/>
      </c>
      <c r="J51" s="9">
        <f>IF(A51="","",IF(I51="Overdue",TODAY()-D51,0))</f>
        <v/>
      </c>
      <c r="K51" s="9">
        <f>IF(A51="","",IF(H51&lt;=0,"Paid",IF(OR(D51="",TODAY()&lt;=D51),"Current",IF(TODAY()-D51&lt;=30,"1-30",IF(TODAY()-D51&lt;=60,"31-60",IF(TODAY()-D51&lt;=90,"61-90","90+"))))))</f>
        <v/>
      </c>
      <c r="L51" s="9">
        <f>IF(A51="","",IF(COUNTIF(Invoices!$A$5:$A$204,A51)&gt;1,"Duplicate invoice #",IF(B51="","Missing Job ID",IF(COUNTIF(Jobs!$A$5:$A$44,B51)=0,"Unknown Job ID",IF(D51="","Missing due date",IF(E51="","Missing amount",""))))))</f>
        <v/>
      </c>
      <c r="M51" s="9">
        <f>IF(A51="","",IFERROR(INDEX(Jobs!$B$5:$B$44,MATCH(B51,Jobs!$A$5:$A$44,0)),""))</f>
        <v/>
      </c>
      <c r="N51" s="9">
        <f>IF(AND(A51&lt;&gt;"",M51&lt;&gt;"",M51='Client Statement'!$L$2),COUNTIF(M$5:M51,'Client Statement'!$L$2),"")</f>
        <v/>
      </c>
      <c r="O51" s="35" t="n"/>
    </row>
    <row r="52">
      <c r="A52" s="35" t="n"/>
      <c r="B52" s="35" t="n"/>
      <c r="C52" s="40" t="n"/>
      <c r="D52" s="40" t="n"/>
      <c r="E52" s="37" t="n"/>
      <c r="F52" s="35" t="n"/>
      <c r="G52" s="39">
        <f>IF(A52="","",SUMIFS(Payments!$D$5:$D$304,Payments!$C$5:$C$304,A52))</f>
        <v/>
      </c>
      <c r="H52" s="39">
        <f>IF(A52="","",E52-G52)</f>
        <v/>
      </c>
      <c r="I52" s="9">
        <f>IF(A52="","",IF(H52&lt;=0,"Paid",IF(AND(D52&lt;&gt;"",TODAY()&gt;D52+Settings!$B$13),"Overdue",IF(G52&gt;0,"Partial","Open"))))</f>
        <v/>
      </c>
      <c r="J52" s="9">
        <f>IF(A52="","",IF(I52="Overdue",TODAY()-D52,0))</f>
        <v/>
      </c>
      <c r="K52" s="9">
        <f>IF(A52="","",IF(H52&lt;=0,"Paid",IF(OR(D52="",TODAY()&lt;=D52),"Current",IF(TODAY()-D52&lt;=30,"1-30",IF(TODAY()-D52&lt;=60,"31-60",IF(TODAY()-D52&lt;=90,"61-90","90+"))))))</f>
        <v/>
      </c>
      <c r="L52" s="9">
        <f>IF(A52="","",IF(COUNTIF(Invoices!$A$5:$A$204,A52)&gt;1,"Duplicate invoice #",IF(B52="","Missing Job ID",IF(COUNTIF(Jobs!$A$5:$A$44,B52)=0,"Unknown Job ID",IF(D52="","Missing due date",IF(E52="","Missing amount",""))))))</f>
        <v/>
      </c>
      <c r="M52" s="9">
        <f>IF(A52="","",IFERROR(INDEX(Jobs!$B$5:$B$44,MATCH(B52,Jobs!$A$5:$A$44,0)),""))</f>
        <v/>
      </c>
      <c r="N52" s="9">
        <f>IF(AND(A52&lt;&gt;"",M52&lt;&gt;"",M52='Client Statement'!$L$2),COUNTIF(M$5:M52,'Client Statement'!$L$2),"")</f>
        <v/>
      </c>
      <c r="O52" s="35" t="n"/>
    </row>
    <row r="53">
      <c r="A53" s="35" t="n"/>
      <c r="B53" s="35" t="n"/>
      <c r="C53" s="40" t="n"/>
      <c r="D53" s="40" t="n"/>
      <c r="E53" s="37" t="n"/>
      <c r="F53" s="35" t="n"/>
      <c r="G53" s="39">
        <f>IF(A53="","",SUMIFS(Payments!$D$5:$D$304,Payments!$C$5:$C$304,A53))</f>
        <v/>
      </c>
      <c r="H53" s="39">
        <f>IF(A53="","",E53-G53)</f>
        <v/>
      </c>
      <c r="I53" s="9">
        <f>IF(A53="","",IF(H53&lt;=0,"Paid",IF(AND(D53&lt;&gt;"",TODAY()&gt;D53+Settings!$B$13),"Overdue",IF(G53&gt;0,"Partial","Open"))))</f>
        <v/>
      </c>
      <c r="J53" s="9">
        <f>IF(A53="","",IF(I53="Overdue",TODAY()-D53,0))</f>
        <v/>
      </c>
      <c r="K53" s="9">
        <f>IF(A53="","",IF(H53&lt;=0,"Paid",IF(OR(D53="",TODAY()&lt;=D53),"Current",IF(TODAY()-D53&lt;=30,"1-30",IF(TODAY()-D53&lt;=60,"31-60",IF(TODAY()-D53&lt;=90,"61-90","90+"))))))</f>
        <v/>
      </c>
      <c r="L53" s="9">
        <f>IF(A53="","",IF(COUNTIF(Invoices!$A$5:$A$204,A53)&gt;1,"Duplicate invoice #",IF(B53="","Missing Job ID",IF(COUNTIF(Jobs!$A$5:$A$44,B53)=0,"Unknown Job ID",IF(D53="","Missing due date",IF(E53="","Missing amount",""))))))</f>
        <v/>
      </c>
      <c r="M53" s="9">
        <f>IF(A53="","",IFERROR(INDEX(Jobs!$B$5:$B$44,MATCH(B53,Jobs!$A$5:$A$44,0)),""))</f>
        <v/>
      </c>
      <c r="N53" s="9">
        <f>IF(AND(A53&lt;&gt;"",M53&lt;&gt;"",M53='Client Statement'!$L$2),COUNTIF(M$5:M53,'Client Statement'!$L$2),"")</f>
        <v/>
      </c>
      <c r="O53" s="35" t="n"/>
    </row>
    <row r="54">
      <c r="A54" s="35" t="n"/>
      <c r="B54" s="35" t="n"/>
      <c r="C54" s="40" t="n"/>
      <c r="D54" s="40" t="n"/>
      <c r="E54" s="37" t="n"/>
      <c r="F54" s="35" t="n"/>
      <c r="G54" s="39">
        <f>IF(A54="","",SUMIFS(Payments!$D$5:$D$304,Payments!$C$5:$C$304,A54))</f>
        <v/>
      </c>
      <c r="H54" s="39">
        <f>IF(A54="","",E54-G54)</f>
        <v/>
      </c>
      <c r="I54" s="9">
        <f>IF(A54="","",IF(H54&lt;=0,"Paid",IF(AND(D54&lt;&gt;"",TODAY()&gt;D54+Settings!$B$13),"Overdue",IF(G54&gt;0,"Partial","Open"))))</f>
        <v/>
      </c>
      <c r="J54" s="9">
        <f>IF(A54="","",IF(I54="Overdue",TODAY()-D54,0))</f>
        <v/>
      </c>
      <c r="K54" s="9">
        <f>IF(A54="","",IF(H54&lt;=0,"Paid",IF(OR(D54="",TODAY()&lt;=D54),"Current",IF(TODAY()-D54&lt;=30,"1-30",IF(TODAY()-D54&lt;=60,"31-60",IF(TODAY()-D54&lt;=90,"61-90","90+"))))))</f>
        <v/>
      </c>
      <c r="L54" s="9">
        <f>IF(A54="","",IF(COUNTIF(Invoices!$A$5:$A$204,A54)&gt;1,"Duplicate invoice #",IF(B54="","Missing Job ID",IF(COUNTIF(Jobs!$A$5:$A$44,B54)=0,"Unknown Job ID",IF(D54="","Missing due date",IF(E54="","Missing amount",""))))))</f>
        <v/>
      </c>
      <c r="M54" s="9">
        <f>IF(A54="","",IFERROR(INDEX(Jobs!$B$5:$B$44,MATCH(B54,Jobs!$A$5:$A$44,0)),""))</f>
        <v/>
      </c>
      <c r="N54" s="9">
        <f>IF(AND(A54&lt;&gt;"",M54&lt;&gt;"",M54='Client Statement'!$L$2),COUNTIF(M$5:M54,'Client Statement'!$L$2),"")</f>
        <v/>
      </c>
      <c r="O54" s="35" t="n"/>
    </row>
    <row r="55">
      <c r="A55" s="35" t="n"/>
      <c r="B55" s="35" t="n"/>
      <c r="C55" s="40" t="n"/>
      <c r="D55" s="40" t="n"/>
      <c r="E55" s="37" t="n"/>
      <c r="F55" s="35" t="n"/>
      <c r="G55" s="39">
        <f>IF(A55="","",SUMIFS(Payments!$D$5:$D$304,Payments!$C$5:$C$304,A55))</f>
        <v/>
      </c>
      <c r="H55" s="39">
        <f>IF(A55="","",E55-G55)</f>
        <v/>
      </c>
      <c r="I55" s="9">
        <f>IF(A55="","",IF(H55&lt;=0,"Paid",IF(AND(D55&lt;&gt;"",TODAY()&gt;D55+Settings!$B$13),"Overdue",IF(G55&gt;0,"Partial","Open"))))</f>
        <v/>
      </c>
      <c r="J55" s="9">
        <f>IF(A55="","",IF(I55="Overdue",TODAY()-D55,0))</f>
        <v/>
      </c>
      <c r="K55" s="9">
        <f>IF(A55="","",IF(H55&lt;=0,"Paid",IF(OR(D55="",TODAY()&lt;=D55),"Current",IF(TODAY()-D55&lt;=30,"1-30",IF(TODAY()-D55&lt;=60,"31-60",IF(TODAY()-D55&lt;=90,"61-90","90+"))))))</f>
        <v/>
      </c>
      <c r="L55" s="9">
        <f>IF(A55="","",IF(COUNTIF(Invoices!$A$5:$A$204,A55)&gt;1,"Duplicate invoice #",IF(B55="","Missing Job ID",IF(COUNTIF(Jobs!$A$5:$A$44,B55)=0,"Unknown Job ID",IF(D55="","Missing due date",IF(E55="","Missing amount",""))))))</f>
        <v/>
      </c>
      <c r="M55" s="9">
        <f>IF(A55="","",IFERROR(INDEX(Jobs!$B$5:$B$44,MATCH(B55,Jobs!$A$5:$A$44,0)),""))</f>
        <v/>
      </c>
      <c r="N55" s="9">
        <f>IF(AND(A55&lt;&gt;"",M55&lt;&gt;"",M55='Client Statement'!$L$2),COUNTIF(M$5:M55,'Client Statement'!$L$2),"")</f>
        <v/>
      </c>
      <c r="O55" s="35" t="n"/>
    </row>
    <row r="56">
      <c r="A56" s="35" t="n"/>
      <c r="B56" s="35" t="n"/>
      <c r="C56" s="40" t="n"/>
      <c r="D56" s="40" t="n"/>
      <c r="E56" s="37" t="n"/>
      <c r="F56" s="35" t="n"/>
      <c r="G56" s="39">
        <f>IF(A56="","",SUMIFS(Payments!$D$5:$D$304,Payments!$C$5:$C$304,A56))</f>
        <v/>
      </c>
      <c r="H56" s="39">
        <f>IF(A56="","",E56-G56)</f>
        <v/>
      </c>
      <c r="I56" s="9">
        <f>IF(A56="","",IF(H56&lt;=0,"Paid",IF(AND(D56&lt;&gt;"",TODAY()&gt;D56+Settings!$B$13),"Overdue",IF(G56&gt;0,"Partial","Open"))))</f>
        <v/>
      </c>
      <c r="J56" s="9">
        <f>IF(A56="","",IF(I56="Overdue",TODAY()-D56,0))</f>
        <v/>
      </c>
      <c r="K56" s="9">
        <f>IF(A56="","",IF(H56&lt;=0,"Paid",IF(OR(D56="",TODAY()&lt;=D56),"Current",IF(TODAY()-D56&lt;=30,"1-30",IF(TODAY()-D56&lt;=60,"31-60",IF(TODAY()-D56&lt;=90,"61-90","90+"))))))</f>
        <v/>
      </c>
      <c r="L56" s="9">
        <f>IF(A56="","",IF(COUNTIF(Invoices!$A$5:$A$204,A56)&gt;1,"Duplicate invoice #",IF(B56="","Missing Job ID",IF(COUNTIF(Jobs!$A$5:$A$44,B56)=0,"Unknown Job ID",IF(D56="","Missing due date",IF(E56="","Missing amount",""))))))</f>
        <v/>
      </c>
      <c r="M56" s="9">
        <f>IF(A56="","",IFERROR(INDEX(Jobs!$B$5:$B$44,MATCH(B56,Jobs!$A$5:$A$44,0)),""))</f>
        <v/>
      </c>
      <c r="N56" s="9">
        <f>IF(AND(A56&lt;&gt;"",M56&lt;&gt;"",M56='Client Statement'!$L$2),COUNTIF(M$5:M56,'Client Statement'!$L$2),"")</f>
        <v/>
      </c>
      <c r="O56" s="35" t="n"/>
    </row>
    <row r="57">
      <c r="A57" s="35" t="n"/>
      <c r="B57" s="35" t="n"/>
      <c r="C57" s="40" t="n"/>
      <c r="D57" s="40" t="n"/>
      <c r="E57" s="37" t="n"/>
      <c r="F57" s="35" t="n"/>
      <c r="G57" s="39">
        <f>IF(A57="","",SUMIFS(Payments!$D$5:$D$304,Payments!$C$5:$C$304,A57))</f>
        <v/>
      </c>
      <c r="H57" s="39">
        <f>IF(A57="","",E57-G57)</f>
        <v/>
      </c>
      <c r="I57" s="9">
        <f>IF(A57="","",IF(H57&lt;=0,"Paid",IF(AND(D57&lt;&gt;"",TODAY()&gt;D57+Settings!$B$13),"Overdue",IF(G57&gt;0,"Partial","Open"))))</f>
        <v/>
      </c>
      <c r="J57" s="9">
        <f>IF(A57="","",IF(I57="Overdue",TODAY()-D57,0))</f>
        <v/>
      </c>
      <c r="K57" s="9">
        <f>IF(A57="","",IF(H57&lt;=0,"Paid",IF(OR(D57="",TODAY()&lt;=D57),"Current",IF(TODAY()-D57&lt;=30,"1-30",IF(TODAY()-D57&lt;=60,"31-60",IF(TODAY()-D57&lt;=90,"61-90","90+"))))))</f>
        <v/>
      </c>
      <c r="L57" s="9">
        <f>IF(A57="","",IF(COUNTIF(Invoices!$A$5:$A$204,A57)&gt;1,"Duplicate invoice #",IF(B57="","Missing Job ID",IF(COUNTIF(Jobs!$A$5:$A$44,B57)=0,"Unknown Job ID",IF(D57="","Missing due date",IF(E57="","Missing amount",""))))))</f>
        <v/>
      </c>
      <c r="M57" s="9">
        <f>IF(A57="","",IFERROR(INDEX(Jobs!$B$5:$B$44,MATCH(B57,Jobs!$A$5:$A$44,0)),""))</f>
        <v/>
      </c>
      <c r="N57" s="9">
        <f>IF(AND(A57&lt;&gt;"",M57&lt;&gt;"",M57='Client Statement'!$L$2),COUNTIF(M$5:M57,'Client Statement'!$L$2),"")</f>
        <v/>
      </c>
      <c r="O57" s="35" t="n"/>
    </row>
    <row r="58">
      <c r="A58" s="35" t="n"/>
      <c r="B58" s="35" t="n"/>
      <c r="C58" s="40" t="n"/>
      <c r="D58" s="40" t="n"/>
      <c r="E58" s="37" t="n"/>
      <c r="F58" s="35" t="n"/>
      <c r="G58" s="39">
        <f>IF(A58="","",SUMIFS(Payments!$D$5:$D$304,Payments!$C$5:$C$304,A58))</f>
        <v/>
      </c>
      <c r="H58" s="39">
        <f>IF(A58="","",E58-G58)</f>
        <v/>
      </c>
      <c r="I58" s="9">
        <f>IF(A58="","",IF(H58&lt;=0,"Paid",IF(AND(D58&lt;&gt;"",TODAY()&gt;D58+Settings!$B$13),"Overdue",IF(G58&gt;0,"Partial","Open"))))</f>
        <v/>
      </c>
      <c r="J58" s="9">
        <f>IF(A58="","",IF(I58="Overdue",TODAY()-D58,0))</f>
        <v/>
      </c>
      <c r="K58" s="9">
        <f>IF(A58="","",IF(H58&lt;=0,"Paid",IF(OR(D58="",TODAY()&lt;=D58),"Current",IF(TODAY()-D58&lt;=30,"1-30",IF(TODAY()-D58&lt;=60,"31-60",IF(TODAY()-D58&lt;=90,"61-90","90+"))))))</f>
        <v/>
      </c>
      <c r="L58" s="9">
        <f>IF(A58="","",IF(COUNTIF(Invoices!$A$5:$A$204,A58)&gt;1,"Duplicate invoice #",IF(B58="","Missing Job ID",IF(COUNTIF(Jobs!$A$5:$A$44,B58)=0,"Unknown Job ID",IF(D58="","Missing due date",IF(E58="","Missing amount",""))))))</f>
        <v/>
      </c>
      <c r="M58" s="9">
        <f>IF(A58="","",IFERROR(INDEX(Jobs!$B$5:$B$44,MATCH(B58,Jobs!$A$5:$A$44,0)),""))</f>
        <v/>
      </c>
      <c r="N58" s="9">
        <f>IF(AND(A58&lt;&gt;"",M58&lt;&gt;"",M58='Client Statement'!$L$2),COUNTIF(M$5:M58,'Client Statement'!$L$2),"")</f>
        <v/>
      </c>
      <c r="O58" s="35" t="n"/>
    </row>
    <row r="59">
      <c r="A59" s="35" t="n"/>
      <c r="B59" s="35" t="n"/>
      <c r="C59" s="40" t="n"/>
      <c r="D59" s="40" t="n"/>
      <c r="E59" s="37" t="n"/>
      <c r="F59" s="35" t="n"/>
      <c r="G59" s="39">
        <f>IF(A59="","",SUMIFS(Payments!$D$5:$D$304,Payments!$C$5:$C$304,A59))</f>
        <v/>
      </c>
      <c r="H59" s="39">
        <f>IF(A59="","",E59-G59)</f>
        <v/>
      </c>
      <c r="I59" s="9">
        <f>IF(A59="","",IF(H59&lt;=0,"Paid",IF(AND(D59&lt;&gt;"",TODAY()&gt;D59+Settings!$B$13),"Overdue",IF(G59&gt;0,"Partial","Open"))))</f>
        <v/>
      </c>
      <c r="J59" s="9">
        <f>IF(A59="","",IF(I59="Overdue",TODAY()-D59,0))</f>
        <v/>
      </c>
      <c r="K59" s="9">
        <f>IF(A59="","",IF(H59&lt;=0,"Paid",IF(OR(D59="",TODAY()&lt;=D59),"Current",IF(TODAY()-D59&lt;=30,"1-30",IF(TODAY()-D59&lt;=60,"31-60",IF(TODAY()-D59&lt;=90,"61-90","90+"))))))</f>
        <v/>
      </c>
      <c r="L59" s="9">
        <f>IF(A59="","",IF(COUNTIF(Invoices!$A$5:$A$204,A59)&gt;1,"Duplicate invoice #",IF(B59="","Missing Job ID",IF(COUNTIF(Jobs!$A$5:$A$44,B59)=0,"Unknown Job ID",IF(D59="","Missing due date",IF(E59="","Missing amount",""))))))</f>
        <v/>
      </c>
      <c r="M59" s="9">
        <f>IF(A59="","",IFERROR(INDEX(Jobs!$B$5:$B$44,MATCH(B59,Jobs!$A$5:$A$44,0)),""))</f>
        <v/>
      </c>
      <c r="N59" s="9">
        <f>IF(AND(A59&lt;&gt;"",M59&lt;&gt;"",M59='Client Statement'!$L$2),COUNTIF(M$5:M59,'Client Statement'!$L$2),"")</f>
        <v/>
      </c>
      <c r="O59" s="35" t="n"/>
    </row>
    <row r="60">
      <c r="A60" s="35" t="n"/>
      <c r="B60" s="35" t="n"/>
      <c r="C60" s="40" t="n"/>
      <c r="D60" s="40" t="n"/>
      <c r="E60" s="37" t="n"/>
      <c r="F60" s="35" t="n"/>
      <c r="G60" s="39">
        <f>IF(A60="","",SUMIFS(Payments!$D$5:$D$304,Payments!$C$5:$C$304,A60))</f>
        <v/>
      </c>
      <c r="H60" s="39">
        <f>IF(A60="","",E60-G60)</f>
        <v/>
      </c>
      <c r="I60" s="9">
        <f>IF(A60="","",IF(H60&lt;=0,"Paid",IF(AND(D60&lt;&gt;"",TODAY()&gt;D60+Settings!$B$13),"Overdue",IF(G60&gt;0,"Partial","Open"))))</f>
        <v/>
      </c>
      <c r="J60" s="9">
        <f>IF(A60="","",IF(I60="Overdue",TODAY()-D60,0))</f>
        <v/>
      </c>
      <c r="K60" s="9">
        <f>IF(A60="","",IF(H60&lt;=0,"Paid",IF(OR(D60="",TODAY()&lt;=D60),"Current",IF(TODAY()-D60&lt;=30,"1-30",IF(TODAY()-D60&lt;=60,"31-60",IF(TODAY()-D60&lt;=90,"61-90","90+"))))))</f>
        <v/>
      </c>
      <c r="L60" s="9">
        <f>IF(A60="","",IF(COUNTIF(Invoices!$A$5:$A$204,A60)&gt;1,"Duplicate invoice #",IF(B60="","Missing Job ID",IF(COUNTIF(Jobs!$A$5:$A$44,B60)=0,"Unknown Job ID",IF(D60="","Missing due date",IF(E60="","Missing amount",""))))))</f>
        <v/>
      </c>
      <c r="M60" s="9">
        <f>IF(A60="","",IFERROR(INDEX(Jobs!$B$5:$B$44,MATCH(B60,Jobs!$A$5:$A$44,0)),""))</f>
        <v/>
      </c>
      <c r="N60" s="9">
        <f>IF(AND(A60&lt;&gt;"",M60&lt;&gt;"",M60='Client Statement'!$L$2),COUNTIF(M$5:M60,'Client Statement'!$L$2),"")</f>
        <v/>
      </c>
      <c r="O60" s="35" t="n"/>
    </row>
    <row r="61">
      <c r="A61" s="35" t="n"/>
      <c r="B61" s="35" t="n"/>
      <c r="C61" s="40" t="n"/>
      <c r="D61" s="40" t="n"/>
      <c r="E61" s="37" t="n"/>
      <c r="F61" s="35" t="n"/>
      <c r="G61" s="39">
        <f>IF(A61="","",SUMIFS(Payments!$D$5:$D$304,Payments!$C$5:$C$304,A61))</f>
        <v/>
      </c>
      <c r="H61" s="39">
        <f>IF(A61="","",E61-G61)</f>
        <v/>
      </c>
      <c r="I61" s="9">
        <f>IF(A61="","",IF(H61&lt;=0,"Paid",IF(AND(D61&lt;&gt;"",TODAY()&gt;D61+Settings!$B$13),"Overdue",IF(G61&gt;0,"Partial","Open"))))</f>
        <v/>
      </c>
      <c r="J61" s="9">
        <f>IF(A61="","",IF(I61="Overdue",TODAY()-D61,0))</f>
        <v/>
      </c>
      <c r="K61" s="9">
        <f>IF(A61="","",IF(H61&lt;=0,"Paid",IF(OR(D61="",TODAY()&lt;=D61),"Current",IF(TODAY()-D61&lt;=30,"1-30",IF(TODAY()-D61&lt;=60,"31-60",IF(TODAY()-D61&lt;=90,"61-90","90+"))))))</f>
        <v/>
      </c>
      <c r="L61" s="9">
        <f>IF(A61="","",IF(COUNTIF(Invoices!$A$5:$A$204,A61)&gt;1,"Duplicate invoice #",IF(B61="","Missing Job ID",IF(COUNTIF(Jobs!$A$5:$A$44,B61)=0,"Unknown Job ID",IF(D61="","Missing due date",IF(E61="","Missing amount",""))))))</f>
        <v/>
      </c>
      <c r="M61" s="9">
        <f>IF(A61="","",IFERROR(INDEX(Jobs!$B$5:$B$44,MATCH(B61,Jobs!$A$5:$A$44,0)),""))</f>
        <v/>
      </c>
      <c r="N61" s="9">
        <f>IF(AND(A61&lt;&gt;"",M61&lt;&gt;"",M61='Client Statement'!$L$2),COUNTIF(M$5:M61,'Client Statement'!$L$2),"")</f>
        <v/>
      </c>
      <c r="O61" s="35" t="n"/>
    </row>
    <row r="62">
      <c r="A62" s="35" t="n"/>
      <c r="B62" s="35" t="n"/>
      <c r="C62" s="40" t="n"/>
      <c r="D62" s="40" t="n"/>
      <c r="E62" s="37" t="n"/>
      <c r="F62" s="35" t="n"/>
      <c r="G62" s="39">
        <f>IF(A62="","",SUMIFS(Payments!$D$5:$D$304,Payments!$C$5:$C$304,A62))</f>
        <v/>
      </c>
      <c r="H62" s="39">
        <f>IF(A62="","",E62-G62)</f>
        <v/>
      </c>
      <c r="I62" s="9">
        <f>IF(A62="","",IF(H62&lt;=0,"Paid",IF(AND(D62&lt;&gt;"",TODAY()&gt;D62+Settings!$B$13),"Overdue",IF(G62&gt;0,"Partial","Open"))))</f>
        <v/>
      </c>
      <c r="J62" s="9">
        <f>IF(A62="","",IF(I62="Overdue",TODAY()-D62,0))</f>
        <v/>
      </c>
      <c r="K62" s="9">
        <f>IF(A62="","",IF(H62&lt;=0,"Paid",IF(OR(D62="",TODAY()&lt;=D62),"Current",IF(TODAY()-D62&lt;=30,"1-30",IF(TODAY()-D62&lt;=60,"31-60",IF(TODAY()-D62&lt;=90,"61-90","90+"))))))</f>
        <v/>
      </c>
      <c r="L62" s="9">
        <f>IF(A62="","",IF(COUNTIF(Invoices!$A$5:$A$204,A62)&gt;1,"Duplicate invoice #",IF(B62="","Missing Job ID",IF(COUNTIF(Jobs!$A$5:$A$44,B62)=0,"Unknown Job ID",IF(D62="","Missing due date",IF(E62="","Missing amount",""))))))</f>
        <v/>
      </c>
      <c r="M62" s="9">
        <f>IF(A62="","",IFERROR(INDEX(Jobs!$B$5:$B$44,MATCH(B62,Jobs!$A$5:$A$44,0)),""))</f>
        <v/>
      </c>
      <c r="N62" s="9">
        <f>IF(AND(A62&lt;&gt;"",M62&lt;&gt;"",M62='Client Statement'!$L$2),COUNTIF(M$5:M62,'Client Statement'!$L$2),"")</f>
        <v/>
      </c>
      <c r="O62" s="35" t="n"/>
    </row>
    <row r="63">
      <c r="A63" s="35" t="n"/>
      <c r="B63" s="35" t="n"/>
      <c r="C63" s="40" t="n"/>
      <c r="D63" s="40" t="n"/>
      <c r="E63" s="37" t="n"/>
      <c r="F63" s="35" t="n"/>
      <c r="G63" s="39">
        <f>IF(A63="","",SUMIFS(Payments!$D$5:$D$304,Payments!$C$5:$C$304,A63))</f>
        <v/>
      </c>
      <c r="H63" s="39">
        <f>IF(A63="","",E63-G63)</f>
        <v/>
      </c>
      <c r="I63" s="9">
        <f>IF(A63="","",IF(H63&lt;=0,"Paid",IF(AND(D63&lt;&gt;"",TODAY()&gt;D63+Settings!$B$13),"Overdue",IF(G63&gt;0,"Partial","Open"))))</f>
        <v/>
      </c>
      <c r="J63" s="9">
        <f>IF(A63="","",IF(I63="Overdue",TODAY()-D63,0))</f>
        <v/>
      </c>
      <c r="K63" s="9">
        <f>IF(A63="","",IF(H63&lt;=0,"Paid",IF(OR(D63="",TODAY()&lt;=D63),"Current",IF(TODAY()-D63&lt;=30,"1-30",IF(TODAY()-D63&lt;=60,"31-60",IF(TODAY()-D63&lt;=90,"61-90","90+"))))))</f>
        <v/>
      </c>
      <c r="L63" s="9">
        <f>IF(A63="","",IF(COUNTIF(Invoices!$A$5:$A$204,A63)&gt;1,"Duplicate invoice #",IF(B63="","Missing Job ID",IF(COUNTIF(Jobs!$A$5:$A$44,B63)=0,"Unknown Job ID",IF(D63="","Missing due date",IF(E63="","Missing amount",""))))))</f>
        <v/>
      </c>
      <c r="M63" s="9">
        <f>IF(A63="","",IFERROR(INDEX(Jobs!$B$5:$B$44,MATCH(B63,Jobs!$A$5:$A$44,0)),""))</f>
        <v/>
      </c>
      <c r="N63" s="9">
        <f>IF(AND(A63&lt;&gt;"",M63&lt;&gt;"",M63='Client Statement'!$L$2),COUNTIF(M$5:M63,'Client Statement'!$L$2),"")</f>
        <v/>
      </c>
      <c r="O63" s="35" t="n"/>
    </row>
    <row r="64">
      <c r="A64" s="35" t="n"/>
      <c r="B64" s="35" t="n"/>
      <c r="C64" s="40" t="n"/>
      <c r="D64" s="40" t="n"/>
      <c r="E64" s="37" t="n"/>
      <c r="F64" s="35" t="n"/>
      <c r="G64" s="39">
        <f>IF(A64="","",SUMIFS(Payments!$D$5:$D$304,Payments!$C$5:$C$304,A64))</f>
        <v/>
      </c>
      <c r="H64" s="39">
        <f>IF(A64="","",E64-G64)</f>
        <v/>
      </c>
      <c r="I64" s="9">
        <f>IF(A64="","",IF(H64&lt;=0,"Paid",IF(AND(D64&lt;&gt;"",TODAY()&gt;D64+Settings!$B$13),"Overdue",IF(G64&gt;0,"Partial","Open"))))</f>
        <v/>
      </c>
      <c r="J64" s="9">
        <f>IF(A64="","",IF(I64="Overdue",TODAY()-D64,0))</f>
        <v/>
      </c>
      <c r="K64" s="9">
        <f>IF(A64="","",IF(H64&lt;=0,"Paid",IF(OR(D64="",TODAY()&lt;=D64),"Current",IF(TODAY()-D64&lt;=30,"1-30",IF(TODAY()-D64&lt;=60,"31-60",IF(TODAY()-D64&lt;=90,"61-90","90+"))))))</f>
        <v/>
      </c>
      <c r="L64" s="9">
        <f>IF(A64="","",IF(COUNTIF(Invoices!$A$5:$A$204,A64)&gt;1,"Duplicate invoice #",IF(B64="","Missing Job ID",IF(COUNTIF(Jobs!$A$5:$A$44,B64)=0,"Unknown Job ID",IF(D64="","Missing due date",IF(E64="","Missing amount",""))))))</f>
        <v/>
      </c>
      <c r="M64" s="9">
        <f>IF(A64="","",IFERROR(INDEX(Jobs!$B$5:$B$44,MATCH(B64,Jobs!$A$5:$A$44,0)),""))</f>
        <v/>
      </c>
      <c r="N64" s="9">
        <f>IF(AND(A64&lt;&gt;"",M64&lt;&gt;"",M64='Client Statement'!$L$2),COUNTIF(M$5:M64,'Client Statement'!$L$2),"")</f>
        <v/>
      </c>
      <c r="O64" s="35" t="n"/>
    </row>
    <row r="65">
      <c r="A65" s="35" t="n"/>
      <c r="B65" s="35" t="n"/>
      <c r="C65" s="40" t="n"/>
      <c r="D65" s="40" t="n"/>
      <c r="E65" s="37" t="n"/>
      <c r="F65" s="35" t="n"/>
      <c r="G65" s="39">
        <f>IF(A65="","",SUMIFS(Payments!$D$5:$D$304,Payments!$C$5:$C$304,A65))</f>
        <v/>
      </c>
      <c r="H65" s="39">
        <f>IF(A65="","",E65-G65)</f>
        <v/>
      </c>
      <c r="I65" s="9">
        <f>IF(A65="","",IF(H65&lt;=0,"Paid",IF(AND(D65&lt;&gt;"",TODAY()&gt;D65+Settings!$B$13),"Overdue",IF(G65&gt;0,"Partial","Open"))))</f>
        <v/>
      </c>
      <c r="J65" s="9">
        <f>IF(A65="","",IF(I65="Overdue",TODAY()-D65,0))</f>
        <v/>
      </c>
      <c r="K65" s="9">
        <f>IF(A65="","",IF(H65&lt;=0,"Paid",IF(OR(D65="",TODAY()&lt;=D65),"Current",IF(TODAY()-D65&lt;=30,"1-30",IF(TODAY()-D65&lt;=60,"31-60",IF(TODAY()-D65&lt;=90,"61-90","90+"))))))</f>
        <v/>
      </c>
      <c r="L65" s="9">
        <f>IF(A65="","",IF(COUNTIF(Invoices!$A$5:$A$204,A65)&gt;1,"Duplicate invoice #",IF(B65="","Missing Job ID",IF(COUNTIF(Jobs!$A$5:$A$44,B65)=0,"Unknown Job ID",IF(D65="","Missing due date",IF(E65="","Missing amount",""))))))</f>
        <v/>
      </c>
      <c r="M65" s="9">
        <f>IF(A65="","",IFERROR(INDEX(Jobs!$B$5:$B$44,MATCH(B65,Jobs!$A$5:$A$44,0)),""))</f>
        <v/>
      </c>
      <c r="N65" s="9">
        <f>IF(AND(A65&lt;&gt;"",M65&lt;&gt;"",M65='Client Statement'!$L$2),COUNTIF(M$5:M65,'Client Statement'!$L$2),"")</f>
        <v/>
      </c>
      <c r="O65" s="35" t="n"/>
    </row>
    <row r="66">
      <c r="A66" s="35" t="n"/>
      <c r="B66" s="35" t="n"/>
      <c r="C66" s="40" t="n"/>
      <c r="D66" s="40" t="n"/>
      <c r="E66" s="37" t="n"/>
      <c r="F66" s="35" t="n"/>
      <c r="G66" s="39">
        <f>IF(A66="","",SUMIFS(Payments!$D$5:$D$304,Payments!$C$5:$C$304,A66))</f>
        <v/>
      </c>
      <c r="H66" s="39">
        <f>IF(A66="","",E66-G66)</f>
        <v/>
      </c>
      <c r="I66" s="9">
        <f>IF(A66="","",IF(H66&lt;=0,"Paid",IF(AND(D66&lt;&gt;"",TODAY()&gt;D66+Settings!$B$13),"Overdue",IF(G66&gt;0,"Partial","Open"))))</f>
        <v/>
      </c>
      <c r="J66" s="9">
        <f>IF(A66="","",IF(I66="Overdue",TODAY()-D66,0))</f>
        <v/>
      </c>
      <c r="K66" s="9">
        <f>IF(A66="","",IF(H66&lt;=0,"Paid",IF(OR(D66="",TODAY()&lt;=D66),"Current",IF(TODAY()-D66&lt;=30,"1-30",IF(TODAY()-D66&lt;=60,"31-60",IF(TODAY()-D66&lt;=90,"61-90","90+"))))))</f>
        <v/>
      </c>
      <c r="L66" s="9">
        <f>IF(A66="","",IF(COUNTIF(Invoices!$A$5:$A$204,A66)&gt;1,"Duplicate invoice #",IF(B66="","Missing Job ID",IF(COUNTIF(Jobs!$A$5:$A$44,B66)=0,"Unknown Job ID",IF(D66="","Missing due date",IF(E66="","Missing amount",""))))))</f>
        <v/>
      </c>
      <c r="M66" s="9">
        <f>IF(A66="","",IFERROR(INDEX(Jobs!$B$5:$B$44,MATCH(B66,Jobs!$A$5:$A$44,0)),""))</f>
        <v/>
      </c>
      <c r="N66" s="9">
        <f>IF(AND(A66&lt;&gt;"",M66&lt;&gt;"",M66='Client Statement'!$L$2),COUNTIF(M$5:M66,'Client Statement'!$L$2),"")</f>
        <v/>
      </c>
      <c r="O66" s="35" t="n"/>
    </row>
    <row r="67">
      <c r="A67" s="35" t="n"/>
      <c r="B67" s="35" t="n"/>
      <c r="C67" s="40" t="n"/>
      <c r="D67" s="40" t="n"/>
      <c r="E67" s="37" t="n"/>
      <c r="F67" s="35" t="n"/>
      <c r="G67" s="39">
        <f>IF(A67="","",SUMIFS(Payments!$D$5:$D$304,Payments!$C$5:$C$304,A67))</f>
        <v/>
      </c>
      <c r="H67" s="39">
        <f>IF(A67="","",E67-G67)</f>
        <v/>
      </c>
      <c r="I67" s="9">
        <f>IF(A67="","",IF(H67&lt;=0,"Paid",IF(AND(D67&lt;&gt;"",TODAY()&gt;D67+Settings!$B$13),"Overdue",IF(G67&gt;0,"Partial","Open"))))</f>
        <v/>
      </c>
      <c r="J67" s="9">
        <f>IF(A67="","",IF(I67="Overdue",TODAY()-D67,0))</f>
        <v/>
      </c>
      <c r="K67" s="9">
        <f>IF(A67="","",IF(H67&lt;=0,"Paid",IF(OR(D67="",TODAY()&lt;=D67),"Current",IF(TODAY()-D67&lt;=30,"1-30",IF(TODAY()-D67&lt;=60,"31-60",IF(TODAY()-D67&lt;=90,"61-90","90+"))))))</f>
        <v/>
      </c>
      <c r="L67" s="9">
        <f>IF(A67="","",IF(COUNTIF(Invoices!$A$5:$A$204,A67)&gt;1,"Duplicate invoice #",IF(B67="","Missing Job ID",IF(COUNTIF(Jobs!$A$5:$A$44,B67)=0,"Unknown Job ID",IF(D67="","Missing due date",IF(E67="","Missing amount",""))))))</f>
        <v/>
      </c>
      <c r="M67" s="9">
        <f>IF(A67="","",IFERROR(INDEX(Jobs!$B$5:$B$44,MATCH(B67,Jobs!$A$5:$A$44,0)),""))</f>
        <v/>
      </c>
      <c r="N67" s="9">
        <f>IF(AND(A67&lt;&gt;"",M67&lt;&gt;"",M67='Client Statement'!$L$2),COUNTIF(M$5:M67,'Client Statement'!$L$2),"")</f>
        <v/>
      </c>
      <c r="O67" s="35" t="n"/>
    </row>
    <row r="68">
      <c r="A68" s="35" t="n"/>
      <c r="B68" s="35" t="n"/>
      <c r="C68" s="40" t="n"/>
      <c r="D68" s="40" t="n"/>
      <c r="E68" s="37" t="n"/>
      <c r="F68" s="35" t="n"/>
      <c r="G68" s="39">
        <f>IF(A68="","",SUMIFS(Payments!$D$5:$D$304,Payments!$C$5:$C$304,A68))</f>
        <v/>
      </c>
      <c r="H68" s="39">
        <f>IF(A68="","",E68-G68)</f>
        <v/>
      </c>
      <c r="I68" s="9">
        <f>IF(A68="","",IF(H68&lt;=0,"Paid",IF(AND(D68&lt;&gt;"",TODAY()&gt;D68+Settings!$B$13),"Overdue",IF(G68&gt;0,"Partial","Open"))))</f>
        <v/>
      </c>
      <c r="J68" s="9">
        <f>IF(A68="","",IF(I68="Overdue",TODAY()-D68,0))</f>
        <v/>
      </c>
      <c r="K68" s="9">
        <f>IF(A68="","",IF(H68&lt;=0,"Paid",IF(OR(D68="",TODAY()&lt;=D68),"Current",IF(TODAY()-D68&lt;=30,"1-30",IF(TODAY()-D68&lt;=60,"31-60",IF(TODAY()-D68&lt;=90,"61-90","90+"))))))</f>
        <v/>
      </c>
      <c r="L68" s="9">
        <f>IF(A68="","",IF(COUNTIF(Invoices!$A$5:$A$204,A68)&gt;1,"Duplicate invoice #",IF(B68="","Missing Job ID",IF(COUNTIF(Jobs!$A$5:$A$44,B68)=0,"Unknown Job ID",IF(D68="","Missing due date",IF(E68="","Missing amount",""))))))</f>
        <v/>
      </c>
      <c r="M68" s="9">
        <f>IF(A68="","",IFERROR(INDEX(Jobs!$B$5:$B$44,MATCH(B68,Jobs!$A$5:$A$44,0)),""))</f>
        <v/>
      </c>
      <c r="N68" s="9">
        <f>IF(AND(A68&lt;&gt;"",M68&lt;&gt;"",M68='Client Statement'!$L$2),COUNTIF(M$5:M68,'Client Statement'!$L$2),"")</f>
        <v/>
      </c>
      <c r="O68" s="35" t="n"/>
    </row>
    <row r="69">
      <c r="A69" s="35" t="n"/>
      <c r="B69" s="35" t="n"/>
      <c r="C69" s="40" t="n"/>
      <c r="D69" s="40" t="n"/>
      <c r="E69" s="37" t="n"/>
      <c r="F69" s="35" t="n"/>
      <c r="G69" s="39">
        <f>IF(A69="","",SUMIFS(Payments!$D$5:$D$304,Payments!$C$5:$C$304,A69))</f>
        <v/>
      </c>
      <c r="H69" s="39">
        <f>IF(A69="","",E69-G69)</f>
        <v/>
      </c>
      <c r="I69" s="9">
        <f>IF(A69="","",IF(H69&lt;=0,"Paid",IF(AND(D69&lt;&gt;"",TODAY()&gt;D69+Settings!$B$13),"Overdue",IF(G69&gt;0,"Partial","Open"))))</f>
        <v/>
      </c>
      <c r="J69" s="9">
        <f>IF(A69="","",IF(I69="Overdue",TODAY()-D69,0))</f>
        <v/>
      </c>
      <c r="K69" s="9">
        <f>IF(A69="","",IF(H69&lt;=0,"Paid",IF(OR(D69="",TODAY()&lt;=D69),"Current",IF(TODAY()-D69&lt;=30,"1-30",IF(TODAY()-D69&lt;=60,"31-60",IF(TODAY()-D69&lt;=90,"61-90","90+"))))))</f>
        <v/>
      </c>
      <c r="L69" s="9">
        <f>IF(A69="","",IF(COUNTIF(Invoices!$A$5:$A$204,A69)&gt;1,"Duplicate invoice #",IF(B69="","Missing Job ID",IF(COUNTIF(Jobs!$A$5:$A$44,B69)=0,"Unknown Job ID",IF(D69="","Missing due date",IF(E69="","Missing amount",""))))))</f>
        <v/>
      </c>
      <c r="M69" s="9">
        <f>IF(A69="","",IFERROR(INDEX(Jobs!$B$5:$B$44,MATCH(B69,Jobs!$A$5:$A$44,0)),""))</f>
        <v/>
      </c>
      <c r="N69" s="9">
        <f>IF(AND(A69&lt;&gt;"",M69&lt;&gt;"",M69='Client Statement'!$L$2),COUNTIF(M$5:M69,'Client Statement'!$L$2),"")</f>
        <v/>
      </c>
      <c r="O69" s="35" t="n"/>
    </row>
    <row r="70">
      <c r="A70" s="35" t="n"/>
      <c r="B70" s="35" t="n"/>
      <c r="C70" s="40" t="n"/>
      <c r="D70" s="40" t="n"/>
      <c r="E70" s="37" t="n"/>
      <c r="F70" s="35" t="n"/>
      <c r="G70" s="39">
        <f>IF(A70="","",SUMIFS(Payments!$D$5:$D$304,Payments!$C$5:$C$304,A70))</f>
        <v/>
      </c>
      <c r="H70" s="39">
        <f>IF(A70="","",E70-G70)</f>
        <v/>
      </c>
      <c r="I70" s="9">
        <f>IF(A70="","",IF(H70&lt;=0,"Paid",IF(AND(D70&lt;&gt;"",TODAY()&gt;D70+Settings!$B$13),"Overdue",IF(G70&gt;0,"Partial","Open"))))</f>
        <v/>
      </c>
      <c r="J70" s="9">
        <f>IF(A70="","",IF(I70="Overdue",TODAY()-D70,0))</f>
        <v/>
      </c>
      <c r="K70" s="9">
        <f>IF(A70="","",IF(H70&lt;=0,"Paid",IF(OR(D70="",TODAY()&lt;=D70),"Current",IF(TODAY()-D70&lt;=30,"1-30",IF(TODAY()-D70&lt;=60,"31-60",IF(TODAY()-D70&lt;=90,"61-90","90+"))))))</f>
        <v/>
      </c>
      <c r="L70" s="9">
        <f>IF(A70="","",IF(COUNTIF(Invoices!$A$5:$A$204,A70)&gt;1,"Duplicate invoice #",IF(B70="","Missing Job ID",IF(COUNTIF(Jobs!$A$5:$A$44,B70)=0,"Unknown Job ID",IF(D70="","Missing due date",IF(E70="","Missing amount",""))))))</f>
        <v/>
      </c>
      <c r="M70" s="9">
        <f>IF(A70="","",IFERROR(INDEX(Jobs!$B$5:$B$44,MATCH(B70,Jobs!$A$5:$A$44,0)),""))</f>
        <v/>
      </c>
      <c r="N70" s="9">
        <f>IF(AND(A70&lt;&gt;"",M70&lt;&gt;"",M70='Client Statement'!$L$2),COUNTIF(M$5:M70,'Client Statement'!$L$2),"")</f>
        <v/>
      </c>
      <c r="O70" s="35" t="n"/>
    </row>
    <row r="71">
      <c r="A71" s="35" t="n"/>
      <c r="B71" s="35" t="n"/>
      <c r="C71" s="40" t="n"/>
      <c r="D71" s="40" t="n"/>
      <c r="E71" s="37" t="n"/>
      <c r="F71" s="35" t="n"/>
      <c r="G71" s="39">
        <f>IF(A71="","",SUMIFS(Payments!$D$5:$D$304,Payments!$C$5:$C$304,A71))</f>
        <v/>
      </c>
      <c r="H71" s="39">
        <f>IF(A71="","",E71-G71)</f>
        <v/>
      </c>
      <c r="I71" s="9">
        <f>IF(A71="","",IF(H71&lt;=0,"Paid",IF(AND(D71&lt;&gt;"",TODAY()&gt;D71+Settings!$B$13),"Overdue",IF(G71&gt;0,"Partial","Open"))))</f>
        <v/>
      </c>
      <c r="J71" s="9">
        <f>IF(A71="","",IF(I71="Overdue",TODAY()-D71,0))</f>
        <v/>
      </c>
      <c r="K71" s="9">
        <f>IF(A71="","",IF(H71&lt;=0,"Paid",IF(OR(D71="",TODAY()&lt;=D71),"Current",IF(TODAY()-D71&lt;=30,"1-30",IF(TODAY()-D71&lt;=60,"31-60",IF(TODAY()-D71&lt;=90,"61-90","90+"))))))</f>
        <v/>
      </c>
      <c r="L71" s="9">
        <f>IF(A71="","",IF(COUNTIF(Invoices!$A$5:$A$204,A71)&gt;1,"Duplicate invoice #",IF(B71="","Missing Job ID",IF(COUNTIF(Jobs!$A$5:$A$44,B71)=0,"Unknown Job ID",IF(D71="","Missing due date",IF(E71="","Missing amount",""))))))</f>
        <v/>
      </c>
      <c r="M71" s="9">
        <f>IF(A71="","",IFERROR(INDEX(Jobs!$B$5:$B$44,MATCH(B71,Jobs!$A$5:$A$44,0)),""))</f>
        <v/>
      </c>
      <c r="N71" s="9">
        <f>IF(AND(A71&lt;&gt;"",M71&lt;&gt;"",M71='Client Statement'!$L$2),COUNTIF(M$5:M71,'Client Statement'!$L$2),"")</f>
        <v/>
      </c>
      <c r="O71" s="35" t="n"/>
    </row>
    <row r="72">
      <c r="A72" s="35" t="n"/>
      <c r="B72" s="35" t="n"/>
      <c r="C72" s="40" t="n"/>
      <c r="D72" s="40" t="n"/>
      <c r="E72" s="37" t="n"/>
      <c r="F72" s="35" t="n"/>
      <c r="G72" s="39">
        <f>IF(A72="","",SUMIFS(Payments!$D$5:$D$304,Payments!$C$5:$C$304,A72))</f>
        <v/>
      </c>
      <c r="H72" s="39">
        <f>IF(A72="","",E72-G72)</f>
        <v/>
      </c>
      <c r="I72" s="9">
        <f>IF(A72="","",IF(H72&lt;=0,"Paid",IF(AND(D72&lt;&gt;"",TODAY()&gt;D72+Settings!$B$13),"Overdue",IF(G72&gt;0,"Partial","Open"))))</f>
        <v/>
      </c>
      <c r="J72" s="9">
        <f>IF(A72="","",IF(I72="Overdue",TODAY()-D72,0))</f>
        <v/>
      </c>
      <c r="K72" s="9">
        <f>IF(A72="","",IF(H72&lt;=0,"Paid",IF(OR(D72="",TODAY()&lt;=D72),"Current",IF(TODAY()-D72&lt;=30,"1-30",IF(TODAY()-D72&lt;=60,"31-60",IF(TODAY()-D72&lt;=90,"61-90","90+"))))))</f>
        <v/>
      </c>
      <c r="L72" s="9">
        <f>IF(A72="","",IF(COUNTIF(Invoices!$A$5:$A$204,A72)&gt;1,"Duplicate invoice #",IF(B72="","Missing Job ID",IF(COUNTIF(Jobs!$A$5:$A$44,B72)=0,"Unknown Job ID",IF(D72="","Missing due date",IF(E72="","Missing amount",""))))))</f>
        <v/>
      </c>
      <c r="M72" s="9">
        <f>IF(A72="","",IFERROR(INDEX(Jobs!$B$5:$B$44,MATCH(B72,Jobs!$A$5:$A$44,0)),""))</f>
        <v/>
      </c>
      <c r="N72" s="9">
        <f>IF(AND(A72&lt;&gt;"",M72&lt;&gt;"",M72='Client Statement'!$L$2),COUNTIF(M$5:M72,'Client Statement'!$L$2),"")</f>
        <v/>
      </c>
      <c r="O72" s="35" t="n"/>
    </row>
    <row r="73">
      <c r="A73" s="35" t="n"/>
      <c r="B73" s="35" t="n"/>
      <c r="C73" s="40" t="n"/>
      <c r="D73" s="40" t="n"/>
      <c r="E73" s="37" t="n"/>
      <c r="F73" s="35" t="n"/>
      <c r="G73" s="39">
        <f>IF(A73="","",SUMIFS(Payments!$D$5:$D$304,Payments!$C$5:$C$304,A73))</f>
        <v/>
      </c>
      <c r="H73" s="39">
        <f>IF(A73="","",E73-G73)</f>
        <v/>
      </c>
      <c r="I73" s="9">
        <f>IF(A73="","",IF(H73&lt;=0,"Paid",IF(AND(D73&lt;&gt;"",TODAY()&gt;D73+Settings!$B$13),"Overdue",IF(G73&gt;0,"Partial","Open"))))</f>
        <v/>
      </c>
      <c r="J73" s="9">
        <f>IF(A73="","",IF(I73="Overdue",TODAY()-D73,0))</f>
        <v/>
      </c>
      <c r="K73" s="9">
        <f>IF(A73="","",IF(H73&lt;=0,"Paid",IF(OR(D73="",TODAY()&lt;=D73),"Current",IF(TODAY()-D73&lt;=30,"1-30",IF(TODAY()-D73&lt;=60,"31-60",IF(TODAY()-D73&lt;=90,"61-90","90+"))))))</f>
        <v/>
      </c>
      <c r="L73" s="9">
        <f>IF(A73="","",IF(COUNTIF(Invoices!$A$5:$A$204,A73)&gt;1,"Duplicate invoice #",IF(B73="","Missing Job ID",IF(COUNTIF(Jobs!$A$5:$A$44,B73)=0,"Unknown Job ID",IF(D73="","Missing due date",IF(E73="","Missing amount",""))))))</f>
        <v/>
      </c>
      <c r="M73" s="9">
        <f>IF(A73="","",IFERROR(INDEX(Jobs!$B$5:$B$44,MATCH(B73,Jobs!$A$5:$A$44,0)),""))</f>
        <v/>
      </c>
      <c r="N73" s="9">
        <f>IF(AND(A73&lt;&gt;"",M73&lt;&gt;"",M73='Client Statement'!$L$2),COUNTIF(M$5:M73,'Client Statement'!$L$2),"")</f>
        <v/>
      </c>
      <c r="O73" s="35" t="n"/>
    </row>
    <row r="74">
      <c r="A74" s="35" t="n"/>
      <c r="B74" s="35" t="n"/>
      <c r="C74" s="40" t="n"/>
      <c r="D74" s="40" t="n"/>
      <c r="E74" s="37" t="n"/>
      <c r="F74" s="35" t="n"/>
      <c r="G74" s="39">
        <f>IF(A74="","",SUMIFS(Payments!$D$5:$D$304,Payments!$C$5:$C$304,A74))</f>
        <v/>
      </c>
      <c r="H74" s="39">
        <f>IF(A74="","",E74-G74)</f>
        <v/>
      </c>
      <c r="I74" s="9">
        <f>IF(A74="","",IF(H74&lt;=0,"Paid",IF(AND(D74&lt;&gt;"",TODAY()&gt;D74+Settings!$B$13),"Overdue",IF(G74&gt;0,"Partial","Open"))))</f>
        <v/>
      </c>
      <c r="J74" s="9">
        <f>IF(A74="","",IF(I74="Overdue",TODAY()-D74,0))</f>
        <v/>
      </c>
      <c r="K74" s="9">
        <f>IF(A74="","",IF(H74&lt;=0,"Paid",IF(OR(D74="",TODAY()&lt;=D74),"Current",IF(TODAY()-D74&lt;=30,"1-30",IF(TODAY()-D74&lt;=60,"31-60",IF(TODAY()-D74&lt;=90,"61-90","90+"))))))</f>
        <v/>
      </c>
      <c r="L74" s="9">
        <f>IF(A74="","",IF(COUNTIF(Invoices!$A$5:$A$204,A74)&gt;1,"Duplicate invoice #",IF(B74="","Missing Job ID",IF(COUNTIF(Jobs!$A$5:$A$44,B74)=0,"Unknown Job ID",IF(D74="","Missing due date",IF(E74="","Missing amount",""))))))</f>
        <v/>
      </c>
      <c r="M74" s="9">
        <f>IF(A74="","",IFERROR(INDEX(Jobs!$B$5:$B$44,MATCH(B74,Jobs!$A$5:$A$44,0)),""))</f>
        <v/>
      </c>
      <c r="N74" s="9">
        <f>IF(AND(A74&lt;&gt;"",M74&lt;&gt;"",M74='Client Statement'!$L$2),COUNTIF(M$5:M74,'Client Statement'!$L$2),"")</f>
        <v/>
      </c>
      <c r="O74" s="35" t="n"/>
    </row>
    <row r="75">
      <c r="A75" s="35" t="n"/>
      <c r="B75" s="35" t="n"/>
      <c r="C75" s="40" t="n"/>
      <c r="D75" s="40" t="n"/>
      <c r="E75" s="37" t="n"/>
      <c r="F75" s="35" t="n"/>
      <c r="G75" s="39">
        <f>IF(A75="","",SUMIFS(Payments!$D$5:$D$304,Payments!$C$5:$C$304,A75))</f>
        <v/>
      </c>
      <c r="H75" s="39">
        <f>IF(A75="","",E75-G75)</f>
        <v/>
      </c>
      <c r="I75" s="9">
        <f>IF(A75="","",IF(H75&lt;=0,"Paid",IF(AND(D75&lt;&gt;"",TODAY()&gt;D75+Settings!$B$13),"Overdue",IF(G75&gt;0,"Partial","Open"))))</f>
        <v/>
      </c>
      <c r="J75" s="9">
        <f>IF(A75="","",IF(I75="Overdue",TODAY()-D75,0))</f>
        <v/>
      </c>
      <c r="K75" s="9">
        <f>IF(A75="","",IF(H75&lt;=0,"Paid",IF(OR(D75="",TODAY()&lt;=D75),"Current",IF(TODAY()-D75&lt;=30,"1-30",IF(TODAY()-D75&lt;=60,"31-60",IF(TODAY()-D75&lt;=90,"61-90","90+"))))))</f>
        <v/>
      </c>
      <c r="L75" s="9">
        <f>IF(A75="","",IF(COUNTIF(Invoices!$A$5:$A$204,A75)&gt;1,"Duplicate invoice #",IF(B75="","Missing Job ID",IF(COUNTIF(Jobs!$A$5:$A$44,B75)=0,"Unknown Job ID",IF(D75="","Missing due date",IF(E75="","Missing amount",""))))))</f>
        <v/>
      </c>
      <c r="M75" s="9">
        <f>IF(A75="","",IFERROR(INDEX(Jobs!$B$5:$B$44,MATCH(B75,Jobs!$A$5:$A$44,0)),""))</f>
        <v/>
      </c>
      <c r="N75" s="9">
        <f>IF(AND(A75&lt;&gt;"",M75&lt;&gt;"",M75='Client Statement'!$L$2),COUNTIF(M$5:M75,'Client Statement'!$L$2),"")</f>
        <v/>
      </c>
      <c r="O75" s="35" t="n"/>
    </row>
    <row r="76">
      <c r="A76" s="35" t="n"/>
      <c r="B76" s="35" t="n"/>
      <c r="C76" s="40" t="n"/>
      <c r="D76" s="40" t="n"/>
      <c r="E76" s="37" t="n"/>
      <c r="F76" s="35" t="n"/>
      <c r="G76" s="39">
        <f>IF(A76="","",SUMIFS(Payments!$D$5:$D$304,Payments!$C$5:$C$304,A76))</f>
        <v/>
      </c>
      <c r="H76" s="39">
        <f>IF(A76="","",E76-G76)</f>
        <v/>
      </c>
      <c r="I76" s="9">
        <f>IF(A76="","",IF(H76&lt;=0,"Paid",IF(AND(D76&lt;&gt;"",TODAY()&gt;D76+Settings!$B$13),"Overdue",IF(G76&gt;0,"Partial","Open"))))</f>
        <v/>
      </c>
      <c r="J76" s="9">
        <f>IF(A76="","",IF(I76="Overdue",TODAY()-D76,0))</f>
        <v/>
      </c>
      <c r="K76" s="9">
        <f>IF(A76="","",IF(H76&lt;=0,"Paid",IF(OR(D76="",TODAY()&lt;=D76),"Current",IF(TODAY()-D76&lt;=30,"1-30",IF(TODAY()-D76&lt;=60,"31-60",IF(TODAY()-D76&lt;=90,"61-90","90+"))))))</f>
        <v/>
      </c>
      <c r="L76" s="9">
        <f>IF(A76="","",IF(COUNTIF(Invoices!$A$5:$A$204,A76)&gt;1,"Duplicate invoice #",IF(B76="","Missing Job ID",IF(COUNTIF(Jobs!$A$5:$A$44,B76)=0,"Unknown Job ID",IF(D76="","Missing due date",IF(E76="","Missing amount",""))))))</f>
        <v/>
      </c>
      <c r="M76" s="9">
        <f>IF(A76="","",IFERROR(INDEX(Jobs!$B$5:$B$44,MATCH(B76,Jobs!$A$5:$A$44,0)),""))</f>
        <v/>
      </c>
      <c r="N76" s="9">
        <f>IF(AND(A76&lt;&gt;"",M76&lt;&gt;"",M76='Client Statement'!$L$2),COUNTIF(M$5:M76,'Client Statement'!$L$2),"")</f>
        <v/>
      </c>
      <c r="O76" s="35" t="n"/>
    </row>
    <row r="77">
      <c r="A77" s="35" t="n"/>
      <c r="B77" s="35" t="n"/>
      <c r="C77" s="40" t="n"/>
      <c r="D77" s="40" t="n"/>
      <c r="E77" s="37" t="n"/>
      <c r="F77" s="35" t="n"/>
      <c r="G77" s="39">
        <f>IF(A77="","",SUMIFS(Payments!$D$5:$D$304,Payments!$C$5:$C$304,A77))</f>
        <v/>
      </c>
      <c r="H77" s="39">
        <f>IF(A77="","",E77-G77)</f>
        <v/>
      </c>
      <c r="I77" s="9">
        <f>IF(A77="","",IF(H77&lt;=0,"Paid",IF(AND(D77&lt;&gt;"",TODAY()&gt;D77+Settings!$B$13),"Overdue",IF(G77&gt;0,"Partial","Open"))))</f>
        <v/>
      </c>
      <c r="J77" s="9">
        <f>IF(A77="","",IF(I77="Overdue",TODAY()-D77,0))</f>
        <v/>
      </c>
      <c r="K77" s="9">
        <f>IF(A77="","",IF(H77&lt;=0,"Paid",IF(OR(D77="",TODAY()&lt;=D77),"Current",IF(TODAY()-D77&lt;=30,"1-30",IF(TODAY()-D77&lt;=60,"31-60",IF(TODAY()-D77&lt;=90,"61-90","90+"))))))</f>
        <v/>
      </c>
      <c r="L77" s="9">
        <f>IF(A77="","",IF(COUNTIF(Invoices!$A$5:$A$204,A77)&gt;1,"Duplicate invoice #",IF(B77="","Missing Job ID",IF(COUNTIF(Jobs!$A$5:$A$44,B77)=0,"Unknown Job ID",IF(D77="","Missing due date",IF(E77="","Missing amount",""))))))</f>
        <v/>
      </c>
      <c r="M77" s="9">
        <f>IF(A77="","",IFERROR(INDEX(Jobs!$B$5:$B$44,MATCH(B77,Jobs!$A$5:$A$44,0)),""))</f>
        <v/>
      </c>
      <c r="N77" s="9">
        <f>IF(AND(A77&lt;&gt;"",M77&lt;&gt;"",M77='Client Statement'!$L$2),COUNTIF(M$5:M77,'Client Statement'!$L$2),"")</f>
        <v/>
      </c>
      <c r="O77" s="35" t="n"/>
    </row>
    <row r="78">
      <c r="A78" s="35" t="n"/>
      <c r="B78" s="35" t="n"/>
      <c r="C78" s="40" t="n"/>
      <c r="D78" s="40" t="n"/>
      <c r="E78" s="37" t="n"/>
      <c r="F78" s="35" t="n"/>
      <c r="G78" s="39">
        <f>IF(A78="","",SUMIFS(Payments!$D$5:$D$304,Payments!$C$5:$C$304,A78))</f>
        <v/>
      </c>
      <c r="H78" s="39">
        <f>IF(A78="","",E78-G78)</f>
        <v/>
      </c>
      <c r="I78" s="9">
        <f>IF(A78="","",IF(H78&lt;=0,"Paid",IF(AND(D78&lt;&gt;"",TODAY()&gt;D78+Settings!$B$13),"Overdue",IF(G78&gt;0,"Partial","Open"))))</f>
        <v/>
      </c>
      <c r="J78" s="9">
        <f>IF(A78="","",IF(I78="Overdue",TODAY()-D78,0))</f>
        <v/>
      </c>
      <c r="K78" s="9">
        <f>IF(A78="","",IF(H78&lt;=0,"Paid",IF(OR(D78="",TODAY()&lt;=D78),"Current",IF(TODAY()-D78&lt;=30,"1-30",IF(TODAY()-D78&lt;=60,"31-60",IF(TODAY()-D78&lt;=90,"61-90","90+"))))))</f>
        <v/>
      </c>
      <c r="L78" s="9">
        <f>IF(A78="","",IF(COUNTIF(Invoices!$A$5:$A$204,A78)&gt;1,"Duplicate invoice #",IF(B78="","Missing Job ID",IF(COUNTIF(Jobs!$A$5:$A$44,B78)=0,"Unknown Job ID",IF(D78="","Missing due date",IF(E78="","Missing amount",""))))))</f>
        <v/>
      </c>
      <c r="M78" s="9">
        <f>IF(A78="","",IFERROR(INDEX(Jobs!$B$5:$B$44,MATCH(B78,Jobs!$A$5:$A$44,0)),""))</f>
        <v/>
      </c>
      <c r="N78" s="9">
        <f>IF(AND(A78&lt;&gt;"",M78&lt;&gt;"",M78='Client Statement'!$L$2),COUNTIF(M$5:M78,'Client Statement'!$L$2),"")</f>
        <v/>
      </c>
      <c r="O78" s="35" t="n"/>
    </row>
    <row r="79">
      <c r="A79" s="35" t="n"/>
      <c r="B79" s="35" t="n"/>
      <c r="C79" s="40" t="n"/>
      <c r="D79" s="40" t="n"/>
      <c r="E79" s="37" t="n"/>
      <c r="F79" s="35" t="n"/>
      <c r="G79" s="39">
        <f>IF(A79="","",SUMIFS(Payments!$D$5:$D$304,Payments!$C$5:$C$304,A79))</f>
        <v/>
      </c>
      <c r="H79" s="39">
        <f>IF(A79="","",E79-G79)</f>
        <v/>
      </c>
      <c r="I79" s="9">
        <f>IF(A79="","",IF(H79&lt;=0,"Paid",IF(AND(D79&lt;&gt;"",TODAY()&gt;D79+Settings!$B$13),"Overdue",IF(G79&gt;0,"Partial","Open"))))</f>
        <v/>
      </c>
      <c r="J79" s="9">
        <f>IF(A79="","",IF(I79="Overdue",TODAY()-D79,0))</f>
        <v/>
      </c>
      <c r="K79" s="9">
        <f>IF(A79="","",IF(H79&lt;=0,"Paid",IF(OR(D79="",TODAY()&lt;=D79),"Current",IF(TODAY()-D79&lt;=30,"1-30",IF(TODAY()-D79&lt;=60,"31-60",IF(TODAY()-D79&lt;=90,"61-90","90+"))))))</f>
        <v/>
      </c>
      <c r="L79" s="9">
        <f>IF(A79="","",IF(COUNTIF(Invoices!$A$5:$A$204,A79)&gt;1,"Duplicate invoice #",IF(B79="","Missing Job ID",IF(COUNTIF(Jobs!$A$5:$A$44,B79)=0,"Unknown Job ID",IF(D79="","Missing due date",IF(E79="","Missing amount",""))))))</f>
        <v/>
      </c>
      <c r="M79" s="9">
        <f>IF(A79="","",IFERROR(INDEX(Jobs!$B$5:$B$44,MATCH(B79,Jobs!$A$5:$A$44,0)),""))</f>
        <v/>
      </c>
      <c r="N79" s="9">
        <f>IF(AND(A79&lt;&gt;"",M79&lt;&gt;"",M79='Client Statement'!$L$2),COUNTIF(M$5:M79,'Client Statement'!$L$2),"")</f>
        <v/>
      </c>
      <c r="O79" s="35" t="n"/>
    </row>
    <row r="80">
      <c r="A80" s="35" t="n"/>
      <c r="B80" s="35" t="n"/>
      <c r="C80" s="40" t="n"/>
      <c r="D80" s="40" t="n"/>
      <c r="E80" s="37" t="n"/>
      <c r="F80" s="35" t="n"/>
      <c r="G80" s="39">
        <f>IF(A80="","",SUMIFS(Payments!$D$5:$D$304,Payments!$C$5:$C$304,A80))</f>
        <v/>
      </c>
      <c r="H80" s="39">
        <f>IF(A80="","",E80-G80)</f>
        <v/>
      </c>
      <c r="I80" s="9">
        <f>IF(A80="","",IF(H80&lt;=0,"Paid",IF(AND(D80&lt;&gt;"",TODAY()&gt;D80+Settings!$B$13),"Overdue",IF(G80&gt;0,"Partial","Open"))))</f>
        <v/>
      </c>
      <c r="J80" s="9">
        <f>IF(A80="","",IF(I80="Overdue",TODAY()-D80,0))</f>
        <v/>
      </c>
      <c r="K80" s="9">
        <f>IF(A80="","",IF(H80&lt;=0,"Paid",IF(OR(D80="",TODAY()&lt;=D80),"Current",IF(TODAY()-D80&lt;=30,"1-30",IF(TODAY()-D80&lt;=60,"31-60",IF(TODAY()-D80&lt;=90,"61-90","90+"))))))</f>
        <v/>
      </c>
      <c r="L80" s="9">
        <f>IF(A80="","",IF(COUNTIF(Invoices!$A$5:$A$204,A80)&gt;1,"Duplicate invoice #",IF(B80="","Missing Job ID",IF(COUNTIF(Jobs!$A$5:$A$44,B80)=0,"Unknown Job ID",IF(D80="","Missing due date",IF(E80="","Missing amount",""))))))</f>
        <v/>
      </c>
      <c r="M80" s="9">
        <f>IF(A80="","",IFERROR(INDEX(Jobs!$B$5:$B$44,MATCH(B80,Jobs!$A$5:$A$44,0)),""))</f>
        <v/>
      </c>
      <c r="N80" s="9">
        <f>IF(AND(A80&lt;&gt;"",M80&lt;&gt;"",M80='Client Statement'!$L$2),COUNTIF(M$5:M80,'Client Statement'!$L$2),"")</f>
        <v/>
      </c>
      <c r="O80" s="35" t="n"/>
    </row>
    <row r="81">
      <c r="A81" s="35" t="n"/>
      <c r="B81" s="35" t="n"/>
      <c r="C81" s="40" t="n"/>
      <c r="D81" s="40" t="n"/>
      <c r="E81" s="37" t="n"/>
      <c r="F81" s="35" t="n"/>
      <c r="G81" s="39">
        <f>IF(A81="","",SUMIFS(Payments!$D$5:$D$304,Payments!$C$5:$C$304,A81))</f>
        <v/>
      </c>
      <c r="H81" s="39">
        <f>IF(A81="","",E81-G81)</f>
        <v/>
      </c>
      <c r="I81" s="9">
        <f>IF(A81="","",IF(H81&lt;=0,"Paid",IF(AND(D81&lt;&gt;"",TODAY()&gt;D81+Settings!$B$13),"Overdue",IF(G81&gt;0,"Partial","Open"))))</f>
        <v/>
      </c>
      <c r="J81" s="9">
        <f>IF(A81="","",IF(I81="Overdue",TODAY()-D81,0))</f>
        <v/>
      </c>
      <c r="K81" s="9">
        <f>IF(A81="","",IF(H81&lt;=0,"Paid",IF(OR(D81="",TODAY()&lt;=D81),"Current",IF(TODAY()-D81&lt;=30,"1-30",IF(TODAY()-D81&lt;=60,"31-60",IF(TODAY()-D81&lt;=90,"61-90","90+"))))))</f>
        <v/>
      </c>
      <c r="L81" s="9">
        <f>IF(A81="","",IF(COUNTIF(Invoices!$A$5:$A$204,A81)&gt;1,"Duplicate invoice #",IF(B81="","Missing Job ID",IF(COUNTIF(Jobs!$A$5:$A$44,B81)=0,"Unknown Job ID",IF(D81="","Missing due date",IF(E81="","Missing amount",""))))))</f>
        <v/>
      </c>
      <c r="M81" s="9">
        <f>IF(A81="","",IFERROR(INDEX(Jobs!$B$5:$B$44,MATCH(B81,Jobs!$A$5:$A$44,0)),""))</f>
        <v/>
      </c>
      <c r="N81" s="9">
        <f>IF(AND(A81&lt;&gt;"",M81&lt;&gt;"",M81='Client Statement'!$L$2),COUNTIF(M$5:M81,'Client Statement'!$L$2),"")</f>
        <v/>
      </c>
      <c r="O81" s="35" t="n"/>
    </row>
    <row r="82">
      <c r="A82" s="35" t="n"/>
      <c r="B82" s="35" t="n"/>
      <c r="C82" s="40" t="n"/>
      <c r="D82" s="40" t="n"/>
      <c r="E82" s="37" t="n"/>
      <c r="F82" s="35" t="n"/>
      <c r="G82" s="39">
        <f>IF(A82="","",SUMIFS(Payments!$D$5:$D$304,Payments!$C$5:$C$304,A82))</f>
        <v/>
      </c>
      <c r="H82" s="39">
        <f>IF(A82="","",E82-G82)</f>
        <v/>
      </c>
      <c r="I82" s="9">
        <f>IF(A82="","",IF(H82&lt;=0,"Paid",IF(AND(D82&lt;&gt;"",TODAY()&gt;D82+Settings!$B$13),"Overdue",IF(G82&gt;0,"Partial","Open"))))</f>
        <v/>
      </c>
      <c r="J82" s="9">
        <f>IF(A82="","",IF(I82="Overdue",TODAY()-D82,0))</f>
        <v/>
      </c>
      <c r="K82" s="9">
        <f>IF(A82="","",IF(H82&lt;=0,"Paid",IF(OR(D82="",TODAY()&lt;=D82),"Current",IF(TODAY()-D82&lt;=30,"1-30",IF(TODAY()-D82&lt;=60,"31-60",IF(TODAY()-D82&lt;=90,"61-90","90+"))))))</f>
        <v/>
      </c>
      <c r="L82" s="9">
        <f>IF(A82="","",IF(COUNTIF(Invoices!$A$5:$A$204,A82)&gt;1,"Duplicate invoice #",IF(B82="","Missing Job ID",IF(COUNTIF(Jobs!$A$5:$A$44,B82)=0,"Unknown Job ID",IF(D82="","Missing due date",IF(E82="","Missing amount",""))))))</f>
        <v/>
      </c>
      <c r="M82" s="9">
        <f>IF(A82="","",IFERROR(INDEX(Jobs!$B$5:$B$44,MATCH(B82,Jobs!$A$5:$A$44,0)),""))</f>
        <v/>
      </c>
      <c r="N82" s="9">
        <f>IF(AND(A82&lt;&gt;"",M82&lt;&gt;"",M82='Client Statement'!$L$2),COUNTIF(M$5:M82,'Client Statement'!$L$2),"")</f>
        <v/>
      </c>
      <c r="O82" s="35" t="n"/>
    </row>
    <row r="83">
      <c r="A83" s="35" t="n"/>
      <c r="B83" s="35" t="n"/>
      <c r="C83" s="40" t="n"/>
      <c r="D83" s="40" t="n"/>
      <c r="E83" s="37" t="n"/>
      <c r="F83" s="35" t="n"/>
      <c r="G83" s="39">
        <f>IF(A83="","",SUMIFS(Payments!$D$5:$D$304,Payments!$C$5:$C$304,A83))</f>
        <v/>
      </c>
      <c r="H83" s="39">
        <f>IF(A83="","",E83-G83)</f>
        <v/>
      </c>
      <c r="I83" s="9">
        <f>IF(A83="","",IF(H83&lt;=0,"Paid",IF(AND(D83&lt;&gt;"",TODAY()&gt;D83+Settings!$B$13),"Overdue",IF(G83&gt;0,"Partial","Open"))))</f>
        <v/>
      </c>
      <c r="J83" s="9">
        <f>IF(A83="","",IF(I83="Overdue",TODAY()-D83,0))</f>
        <v/>
      </c>
      <c r="K83" s="9">
        <f>IF(A83="","",IF(H83&lt;=0,"Paid",IF(OR(D83="",TODAY()&lt;=D83),"Current",IF(TODAY()-D83&lt;=30,"1-30",IF(TODAY()-D83&lt;=60,"31-60",IF(TODAY()-D83&lt;=90,"61-90","90+"))))))</f>
        <v/>
      </c>
      <c r="L83" s="9">
        <f>IF(A83="","",IF(COUNTIF(Invoices!$A$5:$A$204,A83)&gt;1,"Duplicate invoice #",IF(B83="","Missing Job ID",IF(COUNTIF(Jobs!$A$5:$A$44,B83)=0,"Unknown Job ID",IF(D83="","Missing due date",IF(E83="","Missing amount",""))))))</f>
        <v/>
      </c>
      <c r="M83" s="9">
        <f>IF(A83="","",IFERROR(INDEX(Jobs!$B$5:$B$44,MATCH(B83,Jobs!$A$5:$A$44,0)),""))</f>
        <v/>
      </c>
      <c r="N83" s="9">
        <f>IF(AND(A83&lt;&gt;"",M83&lt;&gt;"",M83='Client Statement'!$L$2),COUNTIF(M$5:M83,'Client Statement'!$L$2),"")</f>
        <v/>
      </c>
      <c r="O83" s="35" t="n"/>
    </row>
    <row r="84">
      <c r="A84" s="35" t="n"/>
      <c r="B84" s="35" t="n"/>
      <c r="C84" s="40" t="n"/>
      <c r="D84" s="40" t="n"/>
      <c r="E84" s="37" t="n"/>
      <c r="F84" s="35" t="n"/>
      <c r="G84" s="39">
        <f>IF(A84="","",SUMIFS(Payments!$D$5:$D$304,Payments!$C$5:$C$304,A84))</f>
        <v/>
      </c>
      <c r="H84" s="39">
        <f>IF(A84="","",E84-G84)</f>
        <v/>
      </c>
      <c r="I84" s="9">
        <f>IF(A84="","",IF(H84&lt;=0,"Paid",IF(AND(D84&lt;&gt;"",TODAY()&gt;D84+Settings!$B$13),"Overdue",IF(G84&gt;0,"Partial","Open"))))</f>
        <v/>
      </c>
      <c r="J84" s="9">
        <f>IF(A84="","",IF(I84="Overdue",TODAY()-D84,0))</f>
        <v/>
      </c>
      <c r="K84" s="9">
        <f>IF(A84="","",IF(H84&lt;=0,"Paid",IF(OR(D84="",TODAY()&lt;=D84),"Current",IF(TODAY()-D84&lt;=30,"1-30",IF(TODAY()-D84&lt;=60,"31-60",IF(TODAY()-D84&lt;=90,"61-90","90+"))))))</f>
        <v/>
      </c>
      <c r="L84" s="9">
        <f>IF(A84="","",IF(COUNTIF(Invoices!$A$5:$A$204,A84)&gt;1,"Duplicate invoice #",IF(B84="","Missing Job ID",IF(COUNTIF(Jobs!$A$5:$A$44,B84)=0,"Unknown Job ID",IF(D84="","Missing due date",IF(E84="","Missing amount",""))))))</f>
        <v/>
      </c>
      <c r="M84" s="9">
        <f>IF(A84="","",IFERROR(INDEX(Jobs!$B$5:$B$44,MATCH(B84,Jobs!$A$5:$A$44,0)),""))</f>
        <v/>
      </c>
      <c r="N84" s="9">
        <f>IF(AND(A84&lt;&gt;"",M84&lt;&gt;"",M84='Client Statement'!$L$2),COUNTIF(M$5:M84,'Client Statement'!$L$2),"")</f>
        <v/>
      </c>
      <c r="O84" s="35" t="n"/>
    </row>
    <row r="85">
      <c r="A85" s="35" t="n"/>
      <c r="B85" s="35" t="n"/>
      <c r="C85" s="40" t="n"/>
      <c r="D85" s="40" t="n"/>
      <c r="E85" s="37" t="n"/>
      <c r="F85" s="35" t="n"/>
      <c r="G85" s="39">
        <f>IF(A85="","",SUMIFS(Payments!$D$5:$D$304,Payments!$C$5:$C$304,A85))</f>
        <v/>
      </c>
      <c r="H85" s="39">
        <f>IF(A85="","",E85-G85)</f>
        <v/>
      </c>
      <c r="I85" s="9">
        <f>IF(A85="","",IF(H85&lt;=0,"Paid",IF(AND(D85&lt;&gt;"",TODAY()&gt;D85+Settings!$B$13),"Overdue",IF(G85&gt;0,"Partial","Open"))))</f>
        <v/>
      </c>
      <c r="J85" s="9">
        <f>IF(A85="","",IF(I85="Overdue",TODAY()-D85,0))</f>
        <v/>
      </c>
      <c r="K85" s="9">
        <f>IF(A85="","",IF(H85&lt;=0,"Paid",IF(OR(D85="",TODAY()&lt;=D85),"Current",IF(TODAY()-D85&lt;=30,"1-30",IF(TODAY()-D85&lt;=60,"31-60",IF(TODAY()-D85&lt;=90,"61-90","90+"))))))</f>
        <v/>
      </c>
      <c r="L85" s="9">
        <f>IF(A85="","",IF(COUNTIF(Invoices!$A$5:$A$204,A85)&gt;1,"Duplicate invoice #",IF(B85="","Missing Job ID",IF(COUNTIF(Jobs!$A$5:$A$44,B85)=0,"Unknown Job ID",IF(D85="","Missing due date",IF(E85="","Missing amount",""))))))</f>
        <v/>
      </c>
      <c r="M85" s="9">
        <f>IF(A85="","",IFERROR(INDEX(Jobs!$B$5:$B$44,MATCH(B85,Jobs!$A$5:$A$44,0)),""))</f>
        <v/>
      </c>
      <c r="N85" s="9">
        <f>IF(AND(A85&lt;&gt;"",M85&lt;&gt;"",M85='Client Statement'!$L$2),COUNTIF(M$5:M85,'Client Statement'!$L$2),"")</f>
        <v/>
      </c>
      <c r="O85" s="35" t="n"/>
    </row>
    <row r="86">
      <c r="A86" s="35" t="n"/>
      <c r="B86" s="35" t="n"/>
      <c r="C86" s="40" t="n"/>
      <c r="D86" s="40" t="n"/>
      <c r="E86" s="37" t="n"/>
      <c r="F86" s="35" t="n"/>
      <c r="G86" s="39">
        <f>IF(A86="","",SUMIFS(Payments!$D$5:$D$304,Payments!$C$5:$C$304,A86))</f>
        <v/>
      </c>
      <c r="H86" s="39">
        <f>IF(A86="","",E86-G86)</f>
        <v/>
      </c>
      <c r="I86" s="9">
        <f>IF(A86="","",IF(H86&lt;=0,"Paid",IF(AND(D86&lt;&gt;"",TODAY()&gt;D86+Settings!$B$13),"Overdue",IF(G86&gt;0,"Partial","Open"))))</f>
        <v/>
      </c>
      <c r="J86" s="9">
        <f>IF(A86="","",IF(I86="Overdue",TODAY()-D86,0))</f>
        <v/>
      </c>
      <c r="K86" s="9">
        <f>IF(A86="","",IF(H86&lt;=0,"Paid",IF(OR(D86="",TODAY()&lt;=D86),"Current",IF(TODAY()-D86&lt;=30,"1-30",IF(TODAY()-D86&lt;=60,"31-60",IF(TODAY()-D86&lt;=90,"61-90","90+"))))))</f>
        <v/>
      </c>
      <c r="L86" s="9">
        <f>IF(A86="","",IF(COUNTIF(Invoices!$A$5:$A$204,A86)&gt;1,"Duplicate invoice #",IF(B86="","Missing Job ID",IF(COUNTIF(Jobs!$A$5:$A$44,B86)=0,"Unknown Job ID",IF(D86="","Missing due date",IF(E86="","Missing amount",""))))))</f>
        <v/>
      </c>
      <c r="M86" s="9">
        <f>IF(A86="","",IFERROR(INDEX(Jobs!$B$5:$B$44,MATCH(B86,Jobs!$A$5:$A$44,0)),""))</f>
        <v/>
      </c>
      <c r="N86" s="9">
        <f>IF(AND(A86&lt;&gt;"",M86&lt;&gt;"",M86='Client Statement'!$L$2),COUNTIF(M$5:M86,'Client Statement'!$L$2),"")</f>
        <v/>
      </c>
      <c r="O86" s="35" t="n"/>
    </row>
    <row r="87">
      <c r="A87" s="35" t="n"/>
      <c r="B87" s="35" t="n"/>
      <c r="C87" s="40" t="n"/>
      <c r="D87" s="40" t="n"/>
      <c r="E87" s="37" t="n"/>
      <c r="F87" s="35" t="n"/>
      <c r="G87" s="39">
        <f>IF(A87="","",SUMIFS(Payments!$D$5:$D$304,Payments!$C$5:$C$304,A87))</f>
        <v/>
      </c>
      <c r="H87" s="39">
        <f>IF(A87="","",E87-G87)</f>
        <v/>
      </c>
      <c r="I87" s="9">
        <f>IF(A87="","",IF(H87&lt;=0,"Paid",IF(AND(D87&lt;&gt;"",TODAY()&gt;D87+Settings!$B$13),"Overdue",IF(G87&gt;0,"Partial","Open"))))</f>
        <v/>
      </c>
      <c r="J87" s="9">
        <f>IF(A87="","",IF(I87="Overdue",TODAY()-D87,0))</f>
        <v/>
      </c>
      <c r="K87" s="9">
        <f>IF(A87="","",IF(H87&lt;=0,"Paid",IF(OR(D87="",TODAY()&lt;=D87),"Current",IF(TODAY()-D87&lt;=30,"1-30",IF(TODAY()-D87&lt;=60,"31-60",IF(TODAY()-D87&lt;=90,"61-90","90+"))))))</f>
        <v/>
      </c>
      <c r="L87" s="9">
        <f>IF(A87="","",IF(COUNTIF(Invoices!$A$5:$A$204,A87)&gt;1,"Duplicate invoice #",IF(B87="","Missing Job ID",IF(COUNTIF(Jobs!$A$5:$A$44,B87)=0,"Unknown Job ID",IF(D87="","Missing due date",IF(E87="","Missing amount",""))))))</f>
        <v/>
      </c>
      <c r="M87" s="9">
        <f>IF(A87="","",IFERROR(INDEX(Jobs!$B$5:$B$44,MATCH(B87,Jobs!$A$5:$A$44,0)),""))</f>
        <v/>
      </c>
      <c r="N87" s="9">
        <f>IF(AND(A87&lt;&gt;"",M87&lt;&gt;"",M87='Client Statement'!$L$2),COUNTIF(M$5:M87,'Client Statement'!$L$2),"")</f>
        <v/>
      </c>
      <c r="O87" s="35" t="n"/>
    </row>
    <row r="88">
      <c r="A88" s="35" t="n"/>
      <c r="B88" s="35" t="n"/>
      <c r="C88" s="40" t="n"/>
      <c r="D88" s="40" t="n"/>
      <c r="E88" s="37" t="n"/>
      <c r="F88" s="35" t="n"/>
      <c r="G88" s="39">
        <f>IF(A88="","",SUMIFS(Payments!$D$5:$D$304,Payments!$C$5:$C$304,A88))</f>
        <v/>
      </c>
      <c r="H88" s="39">
        <f>IF(A88="","",E88-G88)</f>
        <v/>
      </c>
      <c r="I88" s="9">
        <f>IF(A88="","",IF(H88&lt;=0,"Paid",IF(AND(D88&lt;&gt;"",TODAY()&gt;D88+Settings!$B$13),"Overdue",IF(G88&gt;0,"Partial","Open"))))</f>
        <v/>
      </c>
      <c r="J88" s="9">
        <f>IF(A88="","",IF(I88="Overdue",TODAY()-D88,0))</f>
        <v/>
      </c>
      <c r="K88" s="9">
        <f>IF(A88="","",IF(H88&lt;=0,"Paid",IF(OR(D88="",TODAY()&lt;=D88),"Current",IF(TODAY()-D88&lt;=30,"1-30",IF(TODAY()-D88&lt;=60,"31-60",IF(TODAY()-D88&lt;=90,"61-90","90+"))))))</f>
        <v/>
      </c>
      <c r="L88" s="9">
        <f>IF(A88="","",IF(COUNTIF(Invoices!$A$5:$A$204,A88)&gt;1,"Duplicate invoice #",IF(B88="","Missing Job ID",IF(COUNTIF(Jobs!$A$5:$A$44,B88)=0,"Unknown Job ID",IF(D88="","Missing due date",IF(E88="","Missing amount",""))))))</f>
        <v/>
      </c>
      <c r="M88" s="9">
        <f>IF(A88="","",IFERROR(INDEX(Jobs!$B$5:$B$44,MATCH(B88,Jobs!$A$5:$A$44,0)),""))</f>
        <v/>
      </c>
      <c r="N88" s="9">
        <f>IF(AND(A88&lt;&gt;"",M88&lt;&gt;"",M88='Client Statement'!$L$2),COUNTIF(M$5:M88,'Client Statement'!$L$2),"")</f>
        <v/>
      </c>
      <c r="O88" s="35" t="n"/>
    </row>
    <row r="89">
      <c r="A89" s="35" t="n"/>
      <c r="B89" s="35" t="n"/>
      <c r="C89" s="40" t="n"/>
      <c r="D89" s="40" t="n"/>
      <c r="E89" s="37" t="n"/>
      <c r="F89" s="35" t="n"/>
      <c r="G89" s="39">
        <f>IF(A89="","",SUMIFS(Payments!$D$5:$D$304,Payments!$C$5:$C$304,A89))</f>
        <v/>
      </c>
      <c r="H89" s="39">
        <f>IF(A89="","",E89-G89)</f>
        <v/>
      </c>
      <c r="I89" s="9">
        <f>IF(A89="","",IF(H89&lt;=0,"Paid",IF(AND(D89&lt;&gt;"",TODAY()&gt;D89+Settings!$B$13),"Overdue",IF(G89&gt;0,"Partial","Open"))))</f>
        <v/>
      </c>
      <c r="J89" s="9">
        <f>IF(A89="","",IF(I89="Overdue",TODAY()-D89,0))</f>
        <v/>
      </c>
      <c r="K89" s="9">
        <f>IF(A89="","",IF(H89&lt;=0,"Paid",IF(OR(D89="",TODAY()&lt;=D89),"Current",IF(TODAY()-D89&lt;=30,"1-30",IF(TODAY()-D89&lt;=60,"31-60",IF(TODAY()-D89&lt;=90,"61-90","90+"))))))</f>
        <v/>
      </c>
      <c r="L89" s="9">
        <f>IF(A89="","",IF(COUNTIF(Invoices!$A$5:$A$204,A89)&gt;1,"Duplicate invoice #",IF(B89="","Missing Job ID",IF(COUNTIF(Jobs!$A$5:$A$44,B89)=0,"Unknown Job ID",IF(D89="","Missing due date",IF(E89="","Missing amount",""))))))</f>
        <v/>
      </c>
      <c r="M89" s="9">
        <f>IF(A89="","",IFERROR(INDEX(Jobs!$B$5:$B$44,MATCH(B89,Jobs!$A$5:$A$44,0)),""))</f>
        <v/>
      </c>
      <c r="N89" s="9">
        <f>IF(AND(A89&lt;&gt;"",M89&lt;&gt;"",M89='Client Statement'!$L$2),COUNTIF(M$5:M89,'Client Statement'!$L$2),"")</f>
        <v/>
      </c>
      <c r="O89" s="35" t="n"/>
    </row>
    <row r="90">
      <c r="A90" s="35" t="n"/>
      <c r="B90" s="35" t="n"/>
      <c r="C90" s="40" t="n"/>
      <c r="D90" s="40" t="n"/>
      <c r="E90" s="37" t="n"/>
      <c r="F90" s="35" t="n"/>
      <c r="G90" s="39">
        <f>IF(A90="","",SUMIFS(Payments!$D$5:$D$304,Payments!$C$5:$C$304,A90))</f>
        <v/>
      </c>
      <c r="H90" s="39">
        <f>IF(A90="","",E90-G90)</f>
        <v/>
      </c>
      <c r="I90" s="9">
        <f>IF(A90="","",IF(H90&lt;=0,"Paid",IF(AND(D90&lt;&gt;"",TODAY()&gt;D90+Settings!$B$13),"Overdue",IF(G90&gt;0,"Partial","Open"))))</f>
        <v/>
      </c>
      <c r="J90" s="9">
        <f>IF(A90="","",IF(I90="Overdue",TODAY()-D90,0))</f>
        <v/>
      </c>
      <c r="K90" s="9">
        <f>IF(A90="","",IF(H90&lt;=0,"Paid",IF(OR(D90="",TODAY()&lt;=D90),"Current",IF(TODAY()-D90&lt;=30,"1-30",IF(TODAY()-D90&lt;=60,"31-60",IF(TODAY()-D90&lt;=90,"61-90","90+"))))))</f>
        <v/>
      </c>
      <c r="L90" s="9">
        <f>IF(A90="","",IF(COUNTIF(Invoices!$A$5:$A$204,A90)&gt;1,"Duplicate invoice #",IF(B90="","Missing Job ID",IF(COUNTIF(Jobs!$A$5:$A$44,B90)=0,"Unknown Job ID",IF(D90="","Missing due date",IF(E90="","Missing amount",""))))))</f>
        <v/>
      </c>
      <c r="M90" s="9">
        <f>IF(A90="","",IFERROR(INDEX(Jobs!$B$5:$B$44,MATCH(B90,Jobs!$A$5:$A$44,0)),""))</f>
        <v/>
      </c>
      <c r="N90" s="9">
        <f>IF(AND(A90&lt;&gt;"",M90&lt;&gt;"",M90='Client Statement'!$L$2),COUNTIF(M$5:M90,'Client Statement'!$L$2),"")</f>
        <v/>
      </c>
      <c r="O90" s="35" t="n"/>
    </row>
    <row r="91">
      <c r="A91" s="35" t="n"/>
      <c r="B91" s="35" t="n"/>
      <c r="C91" s="40" t="n"/>
      <c r="D91" s="40" t="n"/>
      <c r="E91" s="37" t="n"/>
      <c r="F91" s="35" t="n"/>
      <c r="G91" s="39">
        <f>IF(A91="","",SUMIFS(Payments!$D$5:$D$304,Payments!$C$5:$C$304,A91))</f>
        <v/>
      </c>
      <c r="H91" s="39">
        <f>IF(A91="","",E91-G91)</f>
        <v/>
      </c>
      <c r="I91" s="9">
        <f>IF(A91="","",IF(H91&lt;=0,"Paid",IF(AND(D91&lt;&gt;"",TODAY()&gt;D91+Settings!$B$13),"Overdue",IF(G91&gt;0,"Partial","Open"))))</f>
        <v/>
      </c>
      <c r="J91" s="9">
        <f>IF(A91="","",IF(I91="Overdue",TODAY()-D91,0))</f>
        <v/>
      </c>
      <c r="K91" s="9">
        <f>IF(A91="","",IF(H91&lt;=0,"Paid",IF(OR(D91="",TODAY()&lt;=D91),"Current",IF(TODAY()-D91&lt;=30,"1-30",IF(TODAY()-D91&lt;=60,"31-60",IF(TODAY()-D91&lt;=90,"61-90","90+"))))))</f>
        <v/>
      </c>
      <c r="L91" s="9">
        <f>IF(A91="","",IF(COUNTIF(Invoices!$A$5:$A$204,A91)&gt;1,"Duplicate invoice #",IF(B91="","Missing Job ID",IF(COUNTIF(Jobs!$A$5:$A$44,B91)=0,"Unknown Job ID",IF(D91="","Missing due date",IF(E91="","Missing amount",""))))))</f>
        <v/>
      </c>
      <c r="M91" s="9">
        <f>IF(A91="","",IFERROR(INDEX(Jobs!$B$5:$B$44,MATCH(B91,Jobs!$A$5:$A$44,0)),""))</f>
        <v/>
      </c>
      <c r="N91" s="9">
        <f>IF(AND(A91&lt;&gt;"",M91&lt;&gt;"",M91='Client Statement'!$L$2),COUNTIF(M$5:M91,'Client Statement'!$L$2),"")</f>
        <v/>
      </c>
      <c r="O91" s="35" t="n"/>
    </row>
    <row r="92">
      <c r="A92" s="35" t="n"/>
      <c r="B92" s="35" t="n"/>
      <c r="C92" s="40" t="n"/>
      <c r="D92" s="40" t="n"/>
      <c r="E92" s="37" t="n"/>
      <c r="F92" s="35" t="n"/>
      <c r="G92" s="39">
        <f>IF(A92="","",SUMIFS(Payments!$D$5:$D$304,Payments!$C$5:$C$304,A92))</f>
        <v/>
      </c>
      <c r="H92" s="39">
        <f>IF(A92="","",E92-G92)</f>
        <v/>
      </c>
      <c r="I92" s="9">
        <f>IF(A92="","",IF(H92&lt;=0,"Paid",IF(AND(D92&lt;&gt;"",TODAY()&gt;D92+Settings!$B$13),"Overdue",IF(G92&gt;0,"Partial","Open"))))</f>
        <v/>
      </c>
      <c r="J92" s="9">
        <f>IF(A92="","",IF(I92="Overdue",TODAY()-D92,0))</f>
        <v/>
      </c>
      <c r="K92" s="9">
        <f>IF(A92="","",IF(H92&lt;=0,"Paid",IF(OR(D92="",TODAY()&lt;=D92),"Current",IF(TODAY()-D92&lt;=30,"1-30",IF(TODAY()-D92&lt;=60,"31-60",IF(TODAY()-D92&lt;=90,"61-90","90+"))))))</f>
        <v/>
      </c>
      <c r="L92" s="9">
        <f>IF(A92="","",IF(COUNTIF(Invoices!$A$5:$A$204,A92)&gt;1,"Duplicate invoice #",IF(B92="","Missing Job ID",IF(COUNTIF(Jobs!$A$5:$A$44,B92)=0,"Unknown Job ID",IF(D92="","Missing due date",IF(E92="","Missing amount",""))))))</f>
        <v/>
      </c>
      <c r="M92" s="9">
        <f>IF(A92="","",IFERROR(INDEX(Jobs!$B$5:$B$44,MATCH(B92,Jobs!$A$5:$A$44,0)),""))</f>
        <v/>
      </c>
      <c r="N92" s="9">
        <f>IF(AND(A92&lt;&gt;"",M92&lt;&gt;"",M92='Client Statement'!$L$2),COUNTIF(M$5:M92,'Client Statement'!$L$2),"")</f>
        <v/>
      </c>
      <c r="O92" s="35" t="n"/>
    </row>
    <row r="93">
      <c r="A93" s="35" t="n"/>
      <c r="B93" s="35" t="n"/>
      <c r="C93" s="40" t="n"/>
      <c r="D93" s="40" t="n"/>
      <c r="E93" s="37" t="n"/>
      <c r="F93" s="35" t="n"/>
      <c r="G93" s="39">
        <f>IF(A93="","",SUMIFS(Payments!$D$5:$D$304,Payments!$C$5:$C$304,A93))</f>
        <v/>
      </c>
      <c r="H93" s="39">
        <f>IF(A93="","",E93-G93)</f>
        <v/>
      </c>
      <c r="I93" s="9">
        <f>IF(A93="","",IF(H93&lt;=0,"Paid",IF(AND(D93&lt;&gt;"",TODAY()&gt;D93+Settings!$B$13),"Overdue",IF(G93&gt;0,"Partial","Open"))))</f>
        <v/>
      </c>
      <c r="J93" s="9">
        <f>IF(A93="","",IF(I93="Overdue",TODAY()-D93,0))</f>
        <v/>
      </c>
      <c r="K93" s="9">
        <f>IF(A93="","",IF(H93&lt;=0,"Paid",IF(OR(D93="",TODAY()&lt;=D93),"Current",IF(TODAY()-D93&lt;=30,"1-30",IF(TODAY()-D93&lt;=60,"31-60",IF(TODAY()-D93&lt;=90,"61-90","90+"))))))</f>
        <v/>
      </c>
      <c r="L93" s="9">
        <f>IF(A93="","",IF(COUNTIF(Invoices!$A$5:$A$204,A93)&gt;1,"Duplicate invoice #",IF(B93="","Missing Job ID",IF(COUNTIF(Jobs!$A$5:$A$44,B93)=0,"Unknown Job ID",IF(D93="","Missing due date",IF(E93="","Missing amount",""))))))</f>
        <v/>
      </c>
      <c r="M93" s="9">
        <f>IF(A93="","",IFERROR(INDEX(Jobs!$B$5:$B$44,MATCH(B93,Jobs!$A$5:$A$44,0)),""))</f>
        <v/>
      </c>
      <c r="N93" s="9">
        <f>IF(AND(A93&lt;&gt;"",M93&lt;&gt;"",M93='Client Statement'!$L$2),COUNTIF(M$5:M93,'Client Statement'!$L$2),"")</f>
        <v/>
      </c>
      <c r="O93" s="35" t="n"/>
    </row>
    <row r="94">
      <c r="A94" s="35" t="n"/>
      <c r="B94" s="35" t="n"/>
      <c r="C94" s="40" t="n"/>
      <c r="D94" s="40" t="n"/>
      <c r="E94" s="37" t="n"/>
      <c r="F94" s="35" t="n"/>
      <c r="G94" s="39">
        <f>IF(A94="","",SUMIFS(Payments!$D$5:$D$304,Payments!$C$5:$C$304,A94))</f>
        <v/>
      </c>
      <c r="H94" s="39">
        <f>IF(A94="","",E94-G94)</f>
        <v/>
      </c>
      <c r="I94" s="9">
        <f>IF(A94="","",IF(H94&lt;=0,"Paid",IF(AND(D94&lt;&gt;"",TODAY()&gt;D94+Settings!$B$13),"Overdue",IF(G94&gt;0,"Partial","Open"))))</f>
        <v/>
      </c>
      <c r="J94" s="9">
        <f>IF(A94="","",IF(I94="Overdue",TODAY()-D94,0))</f>
        <v/>
      </c>
      <c r="K94" s="9">
        <f>IF(A94="","",IF(H94&lt;=0,"Paid",IF(OR(D94="",TODAY()&lt;=D94),"Current",IF(TODAY()-D94&lt;=30,"1-30",IF(TODAY()-D94&lt;=60,"31-60",IF(TODAY()-D94&lt;=90,"61-90","90+"))))))</f>
        <v/>
      </c>
      <c r="L94" s="9">
        <f>IF(A94="","",IF(COUNTIF(Invoices!$A$5:$A$204,A94)&gt;1,"Duplicate invoice #",IF(B94="","Missing Job ID",IF(COUNTIF(Jobs!$A$5:$A$44,B94)=0,"Unknown Job ID",IF(D94="","Missing due date",IF(E94="","Missing amount",""))))))</f>
        <v/>
      </c>
      <c r="M94" s="9">
        <f>IF(A94="","",IFERROR(INDEX(Jobs!$B$5:$B$44,MATCH(B94,Jobs!$A$5:$A$44,0)),""))</f>
        <v/>
      </c>
      <c r="N94" s="9">
        <f>IF(AND(A94&lt;&gt;"",M94&lt;&gt;"",M94='Client Statement'!$L$2),COUNTIF(M$5:M94,'Client Statement'!$L$2),"")</f>
        <v/>
      </c>
      <c r="O94" s="35" t="n"/>
    </row>
    <row r="95">
      <c r="A95" s="35" t="n"/>
      <c r="B95" s="35" t="n"/>
      <c r="C95" s="40" t="n"/>
      <c r="D95" s="40" t="n"/>
      <c r="E95" s="37" t="n"/>
      <c r="F95" s="35" t="n"/>
      <c r="G95" s="39">
        <f>IF(A95="","",SUMIFS(Payments!$D$5:$D$304,Payments!$C$5:$C$304,A95))</f>
        <v/>
      </c>
      <c r="H95" s="39">
        <f>IF(A95="","",E95-G95)</f>
        <v/>
      </c>
      <c r="I95" s="9">
        <f>IF(A95="","",IF(H95&lt;=0,"Paid",IF(AND(D95&lt;&gt;"",TODAY()&gt;D95+Settings!$B$13),"Overdue",IF(G95&gt;0,"Partial","Open"))))</f>
        <v/>
      </c>
      <c r="J95" s="9">
        <f>IF(A95="","",IF(I95="Overdue",TODAY()-D95,0))</f>
        <v/>
      </c>
      <c r="K95" s="9">
        <f>IF(A95="","",IF(H95&lt;=0,"Paid",IF(OR(D95="",TODAY()&lt;=D95),"Current",IF(TODAY()-D95&lt;=30,"1-30",IF(TODAY()-D95&lt;=60,"31-60",IF(TODAY()-D95&lt;=90,"61-90","90+"))))))</f>
        <v/>
      </c>
      <c r="L95" s="9">
        <f>IF(A95="","",IF(COUNTIF(Invoices!$A$5:$A$204,A95)&gt;1,"Duplicate invoice #",IF(B95="","Missing Job ID",IF(COUNTIF(Jobs!$A$5:$A$44,B95)=0,"Unknown Job ID",IF(D95="","Missing due date",IF(E95="","Missing amount",""))))))</f>
        <v/>
      </c>
      <c r="M95" s="9">
        <f>IF(A95="","",IFERROR(INDEX(Jobs!$B$5:$B$44,MATCH(B95,Jobs!$A$5:$A$44,0)),""))</f>
        <v/>
      </c>
      <c r="N95" s="9">
        <f>IF(AND(A95&lt;&gt;"",M95&lt;&gt;"",M95='Client Statement'!$L$2),COUNTIF(M$5:M95,'Client Statement'!$L$2),"")</f>
        <v/>
      </c>
      <c r="O95" s="35" t="n"/>
    </row>
    <row r="96">
      <c r="A96" s="35" t="n"/>
      <c r="B96" s="35" t="n"/>
      <c r="C96" s="40" t="n"/>
      <c r="D96" s="40" t="n"/>
      <c r="E96" s="37" t="n"/>
      <c r="F96" s="35" t="n"/>
      <c r="G96" s="39">
        <f>IF(A96="","",SUMIFS(Payments!$D$5:$D$304,Payments!$C$5:$C$304,A96))</f>
        <v/>
      </c>
      <c r="H96" s="39">
        <f>IF(A96="","",E96-G96)</f>
        <v/>
      </c>
      <c r="I96" s="9">
        <f>IF(A96="","",IF(H96&lt;=0,"Paid",IF(AND(D96&lt;&gt;"",TODAY()&gt;D96+Settings!$B$13),"Overdue",IF(G96&gt;0,"Partial","Open"))))</f>
        <v/>
      </c>
      <c r="J96" s="9">
        <f>IF(A96="","",IF(I96="Overdue",TODAY()-D96,0))</f>
        <v/>
      </c>
      <c r="K96" s="9">
        <f>IF(A96="","",IF(H96&lt;=0,"Paid",IF(OR(D96="",TODAY()&lt;=D96),"Current",IF(TODAY()-D96&lt;=30,"1-30",IF(TODAY()-D96&lt;=60,"31-60",IF(TODAY()-D96&lt;=90,"61-90","90+"))))))</f>
        <v/>
      </c>
      <c r="L96" s="9">
        <f>IF(A96="","",IF(COUNTIF(Invoices!$A$5:$A$204,A96)&gt;1,"Duplicate invoice #",IF(B96="","Missing Job ID",IF(COUNTIF(Jobs!$A$5:$A$44,B96)=0,"Unknown Job ID",IF(D96="","Missing due date",IF(E96="","Missing amount",""))))))</f>
        <v/>
      </c>
      <c r="M96" s="9">
        <f>IF(A96="","",IFERROR(INDEX(Jobs!$B$5:$B$44,MATCH(B96,Jobs!$A$5:$A$44,0)),""))</f>
        <v/>
      </c>
      <c r="N96" s="9">
        <f>IF(AND(A96&lt;&gt;"",M96&lt;&gt;"",M96='Client Statement'!$L$2),COUNTIF(M$5:M96,'Client Statement'!$L$2),"")</f>
        <v/>
      </c>
      <c r="O96" s="35" t="n"/>
    </row>
    <row r="97">
      <c r="A97" s="35" t="n"/>
      <c r="B97" s="35" t="n"/>
      <c r="C97" s="40" t="n"/>
      <c r="D97" s="40" t="n"/>
      <c r="E97" s="37" t="n"/>
      <c r="F97" s="35" t="n"/>
      <c r="G97" s="39">
        <f>IF(A97="","",SUMIFS(Payments!$D$5:$D$304,Payments!$C$5:$C$304,A97))</f>
        <v/>
      </c>
      <c r="H97" s="39">
        <f>IF(A97="","",E97-G97)</f>
        <v/>
      </c>
      <c r="I97" s="9">
        <f>IF(A97="","",IF(H97&lt;=0,"Paid",IF(AND(D97&lt;&gt;"",TODAY()&gt;D97+Settings!$B$13),"Overdue",IF(G97&gt;0,"Partial","Open"))))</f>
        <v/>
      </c>
      <c r="J97" s="9">
        <f>IF(A97="","",IF(I97="Overdue",TODAY()-D97,0))</f>
        <v/>
      </c>
      <c r="K97" s="9">
        <f>IF(A97="","",IF(H97&lt;=0,"Paid",IF(OR(D97="",TODAY()&lt;=D97),"Current",IF(TODAY()-D97&lt;=30,"1-30",IF(TODAY()-D97&lt;=60,"31-60",IF(TODAY()-D97&lt;=90,"61-90","90+"))))))</f>
        <v/>
      </c>
      <c r="L97" s="9">
        <f>IF(A97="","",IF(COUNTIF(Invoices!$A$5:$A$204,A97)&gt;1,"Duplicate invoice #",IF(B97="","Missing Job ID",IF(COUNTIF(Jobs!$A$5:$A$44,B97)=0,"Unknown Job ID",IF(D97="","Missing due date",IF(E97="","Missing amount",""))))))</f>
        <v/>
      </c>
      <c r="M97" s="9">
        <f>IF(A97="","",IFERROR(INDEX(Jobs!$B$5:$B$44,MATCH(B97,Jobs!$A$5:$A$44,0)),""))</f>
        <v/>
      </c>
      <c r="N97" s="9">
        <f>IF(AND(A97&lt;&gt;"",M97&lt;&gt;"",M97='Client Statement'!$L$2),COUNTIF(M$5:M97,'Client Statement'!$L$2),"")</f>
        <v/>
      </c>
      <c r="O97" s="35" t="n"/>
    </row>
    <row r="98">
      <c r="A98" s="35" t="n"/>
      <c r="B98" s="35" t="n"/>
      <c r="C98" s="40" t="n"/>
      <c r="D98" s="40" t="n"/>
      <c r="E98" s="37" t="n"/>
      <c r="F98" s="35" t="n"/>
      <c r="G98" s="39">
        <f>IF(A98="","",SUMIFS(Payments!$D$5:$D$304,Payments!$C$5:$C$304,A98))</f>
        <v/>
      </c>
      <c r="H98" s="39">
        <f>IF(A98="","",E98-G98)</f>
        <v/>
      </c>
      <c r="I98" s="9">
        <f>IF(A98="","",IF(H98&lt;=0,"Paid",IF(AND(D98&lt;&gt;"",TODAY()&gt;D98+Settings!$B$13),"Overdue",IF(G98&gt;0,"Partial","Open"))))</f>
        <v/>
      </c>
      <c r="J98" s="9">
        <f>IF(A98="","",IF(I98="Overdue",TODAY()-D98,0))</f>
        <v/>
      </c>
      <c r="K98" s="9">
        <f>IF(A98="","",IF(H98&lt;=0,"Paid",IF(OR(D98="",TODAY()&lt;=D98),"Current",IF(TODAY()-D98&lt;=30,"1-30",IF(TODAY()-D98&lt;=60,"31-60",IF(TODAY()-D98&lt;=90,"61-90","90+"))))))</f>
        <v/>
      </c>
      <c r="L98" s="9">
        <f>IF(A98="","",IF(COUNTIF(Invoices!$A$5:$A$204,A98)&gt;1,"Duplicate invoice #",IF(B98="","Missing Job ID",IF(COUNTIF(Jobs!$A$5:$A$44,B98)=0,"Unknown Job ID",IF(D98="","Missing due date",IF(E98="","Missing amount",""))))))</f>
        <v/>
      </c>
      <c r="M98" s="9">
        <f>IF(A98="","",IFERROR(INDEX(Jobs!$B$5:$B$44,MATCH(B98,Jobs!$A$5:$A$44,0)),""))</f>
        <v/>
      </c>
      <c r="N98" s="9">
        <f>IF(AND(A98&lt;&gt;"",M98&lt;&gt;"",M98='Client Statement'!$L$2),COUNTIF(M$5:M98,'Client Statement'!$L$2),"")</f>
        <v/>
      </c>
      <c r="O98" s="35" t="n"/>
    </row>
    <row r="99">
      <c r="A99" s="35" t="n"/>
      <c r="B99" s="35" t="n"/>
      <c r="C99" s="40" t="n"/>
      <c r="D99" s="40" t="n"/>
      <c r="E99" s="37" t="n"/>
      <c r="F99" s="35" t="n"/>
      <c r="G99" s="39">
        <f>IF(A99="","",SUMIFS(Payments!$D$5:$D$304,Payments!$C$5:$C$304,A99))</f>
        <v/>
      </c>
      <c r="H99" s="39">
        <f>IF(A99="","",E99-G99)</f>
        <v/>
      </c>
      <c r="I99" s="9">
        <f>IF(A99="","",IF(H99&lt;=0,"Paid",IF(AND(D99&lt;&gt;"",TODAY()&gt;D99+Settings!$B$13),"Overdue",IF(G99&gt;0,"Partial","Open"))))</f>
        <v/>
      </c>
      <c r="J99" s="9">
        <f>IF(A99="","",IF(I99="Overdue",TODAY()-D99,0))</f>
        <v/>
      </c>
      <c r="K99" s="9">
        <f>IF(A99="","",IF(H99&lt;=0,"Paid",IF(OR(D99="",TODAY()&lt;=D99),"Current",IF(TODAY()-D99&lt;=30,"1-30",IF(TODAY()-D99&lt;=60,"31-60",IF(TODAY()-D99&lt;=90,"61-90","90+"))))))</f>
        <v/>
      </c>
      <c r="L99" s="9">
        <f>IF(A99="","",IF(COUNTIF(Invoices!$A$5:$A$204,A99)&gt;1,"Duplicate invoice #",IF(B99="","Missing Job ID",IF(COUNTIF(Jobs!$A$5:$A$44,B99)=0,"Unknown Job ID",IF(D99="","Missing due date",IF(E99="","Missing amount",""))))))</f>
        <v/>
      </c>
      <c r="M99" s="9">
        <f>IF(A99="","",IFERROR(INDEX(Jobs!$B$5:$B$44,MATCH(B99,Jobs!$A$5:$A$44,0)),""))</f>
        <v/>
      </c>
      <c r="N99" s="9">
        <f>IF(AND(A99&lt;&gt;"",M99&lt;&gt;"",M99='Client Statement'!$L$2),COUNTIF(M$5:M99,'Client Statement'!$L$2),"")</f>
        <v/>
      </c>
      <c r="O99" s="35" t="n"/>
    </row>
    <row r="100">
      <c r="A100" s="35" t="n"/>
      <c r="B100" s="35" t="n"/>
      <c r="C100" s="40" t="n"/>
      <c r="D100" s="40" t="n"/>
      <c r="E100" s="37" t="n"/>
      <c r="F100" s="35" t="n"/>
      <c r="G100" s="39">
        <f>IF(A100="","",SUMIFS(Payments!$D$5:$D$304,Payments!$C$5:$C$304,A100))</f>
        <v/>
      </c>
      <c r="H100" s="39">
        <f>IF(A100="","",E100-G100)</f>
        <v/>
      </c>
      <c r="I100" s="9">
        <f>IF(A100="","",IF(H100&lt;=0,"Paid",IF(AND(D100&lt;&gt;"",TODAY()&gt;D100+Settings!$B$13),"Overdue",IF(G100&gt;0,"Partial","Open"))))</f>
        <v/>
      </c>
      <c r="J100" s="9">
        <f>IF(A100="","",IF(I100="Overdue",TODAY()-D100,0))</f>
        <v/>
      </c>
      <c r="K100" s="9">
        <f>IF(A100="","",IF(H100&lt;=0,"Paid",IF(OR(D100="",TODAY()&lt;=D100),"Current",IF(TODAY()-D100&lt;=30,"1-30",IF(TODAY()-D100&lt;=60,"31-60",IF(TODAY()-D100&lt;=90,"61-90","90+"))))))</f>
        <v/>
      </c>
      <c r="L100" s="9">
        <f>IF(A100="","",IF(COUNTIF(Invoices!$A$5:$A$204,A100)&gt;1,"Duplicate invoice #",IF(B100="","Missing Job ID",IF(COUNTIF(Jobs!$A$5:$A$44,B100)=0,"Unknown Job ID",IF(D100="","Missing due date",IF(E100="","Missing amount",""))))))</f>
        <v/>
      </c>
      <c r="M100" s="9">
        <f>IF(A100="","",IFERROR(INDEX(Jobs!$B$5:$B$44,MATCH(B100,Jobs!$A$5:$A$44,0)),""))</f>
        <v/>
      </c>
      <c r="N100" s="9">
        <f>IF(AND(A100&lt;&gt;"",M100&lt;&gt;"",M100='Client Statement'!$L$2),COUNTIF(M$5:M100,'Client Statement'!$L$2),"")</f>
        <v/>
      </c>
      <c r="O100" s="35" t="n"/>
    </row>
    <row r="101">
      <c r="A101" s="35" t="n"/>
      <c r="B101" s="35" t="n"/>
      <c r="C101" s="40" t="n"/>
      <c r="D101" s="40" t="n"/>
      <c r="E101" s="37" t="n"/>
      <c r="F101" s="35" t="n"/>
      <c r="G101" s="39">
        <f>IF(A101="","",SUMIFS(Payments!$D$5:$D$304,Payments!$C$5:$C$304,A101))</f>
        <v/>
      </c>
      <c r="H101" s="39">
        <f>IF(A101="","",E101-G101)</f>
        <v/>
      </c>
      <c r="I101" s="9">
        <f>IF(A101="","",IF(H101&lt;=0,"Paid",IF(AND(D101&lt;&gt;"",TODAY()&gt;D101+Settings!$B$13),"Overdue",IF(G101&gt;0,"Partial","Open"))))</f>
        <v/>
      </c>
      <c r="J101" s="9">
        <f>IF(A101="","",IF(I101="Overdue",TODAY()-D101,0))</f>
        <v/>
      </c>
      <c r="K101" s="9">
        <f>IF(A101="","",IF(H101&lt;=0,"Paid",IF(OR(D101="",TODAY()&lt;=D101),"Current",IF(TODAY()-D101&lt;=30,"1-30",IF(TODAY()-D101&lt;=60,"31-60",IF(TODAY()-D101&lt;=90,"61-90","90+"))))))</f>
        <v/>
      </c>
      <c r="L101" s="9">
        <f>IF(A101="","",IF(COUNTIF(Invoices!$A$5:$A$204,A101)&gt;1,"Duplicate invoice #",IF(B101="","Missing Job ID",IF(COUNTIF(Jobs!$A$5:$A$44,B101)=0,"Unknown Job ID",IF(D101="","Missing due date",IF(E101="","Missing amount",""))))))</f>
        <v/>
      </c>
      <c r="M101" s="9">
        <f>IF(A101="","",IFERROR(INDEX(Jobs!$B$5:$B$44,MATCH(B101,Jobs!$A$5:$A$44,0)),""))</f>
        <v/>
      </c>
      <c r="N101" s="9">
        <f>IF(AND(A101&lt;&gt;"",M101&lt;&gt;"",M101='Client Statement'!$L$2),COUNTIF(M$5:M101,'Client Statement'!$L$2),"")</f>
        <v/>
      </c>
      <c r="O101" s="35" t="n"/>
    </row>
    <row r="102">
      <c r="A102" s="35" t="n"/>
      <c r="B102" s="35" t="n"/>
      <c r="C102" s="40" t="n"/>
      <c r="D102" s="40" t="n"/>
      <c r="E102" s="37" t="n"/>
      <c r="F102" s="35" t="n"/>
      <c r="G102" s="39">
        <f>IF(A102="","",SUMIFS(Payments!$D$5:$D$304,Payments!$C$5:$C$304,A102))</f>
        <v/>
      </c>
      <c r="H102" s="39">
        <f>IF(A102="","",E102-G102)</f>
        <v/>
      </c>
      <c r="I102" s="9">
        <f>IF(A102="","",IF(H102&lt;=0,"Paid",IF(AND(D102&lt;&gt;"",TODAY()&gt;D102+Settings!$B$13),"Overdue",IF(G102&gt;0,"Partial","Open"))))</f>
        <v/>
      </c>
      <c r="J102" s="9">
        <f>IF(A102="","",IF(I102="Overdue",TODAY()-D102,0))</f>
        <v/>
      </c>
      <c r="K102" s="9">
        <f>IF(A102="","",IF(H102&lt;=0,"Paid",IF(OR(D102="",TODAY()&lt;=D102),"Current",IF(TODAY()-D102&lt;=30,"1-30",IF(TODAY()-D102&lt;=60,"31-60",IF(TODAY()-D102&lt;=90,"61-90","90+"))))))</f>
        <v/>
      </c>
      <c r="L102" s="9">
        <f>IF(A102="","",IF(COUNTIF(Invoices!$A$5:$A$204,A102)&gt;1,"Duplicate invoice #",IF(B102="","Missing Job ID",IF(COUNTIF(Jobs!$A$5:$A$44,B102)=0,"Unknown Job ID",IF(D102="","Missing due date",IF(E102="","Missing amount",""))))))</f>
        <v/>
      </c>
      <c r="M102" s="9">
        <f>IF(A102="","",IFERROR(INDEX(Jobs!$B$5:$B$44,MATCH(B102,Jobs!$A$5:$A$44,0)),""))</f>
        <v/>
      </c>
      <c r="N102" s="9">
        <f>IF(AND(A102&lt;&gt;"",M102&lt;&gt;"",M102='Client Statement'!$L$2),COUNTIF(M$5:M102,'Client Statement'!$L$2),"")</f>
        <v/>
      </c>
      <c r="O102" s="35" t="n"/>
    </row>
    <row r="103">
      <c r="A103" s="35" t="n"/>
      <c r="B103" s="35" t="n"/>
      <c r="C103" s="40" t="n"/>
      <c r="D103" s="40" t="n"/>
      <c r="E103" s="37" t="n"/>
      <c r="F103" s="35" t="n"/>
      <c r="G103" s="39">
        <f>IF(A103="","",SUMIFS(Payments!$D$5:$D$304,Payments!$C$5:$C$304,A103))</f>
        <v/>
      </c>
      <c r="H103" s="39">
        <f>IF(A103="","",E103-G103)</f>
        <v/>
      </c>
      <c r="I103" s="9">
        <f>IF(A103="","",IF(H103&lt;=0,"Paid",IF(AND(D103&lt;&gt;"",TODAY()&gt;D103+Settings!$B$13),"Overdue",IF(G103&gt;0,"Partial","Open"))))</f>
        <v/>
      </c>
      <c r="J103" s="9">
        <f>IF(A103="","",IF(I103="Overdue",TODAY()-D103,0))</f>
        <v/>
      </c>
      <c r="K103" s="9">
        <f>IF(A103="","",IF(H103&lt;=0,"Paid",IF(OR(D103="",TODAY()&lt;=D103),"Current",IF(TODAY()-D103&lt;=30,"1-30",IF(TODAY()-D103&lt;=60,"31-60",IF(TODAY()-D103&lt;=90,"61-90","90+"))))))</f>
        <v/>
      </c>
      <c r="L103" s="9">
        <f>IF(A103="","",IF(COUNTIF(Invoices!$A$5:$A$204,A103)&gt;1,"Duplicate invoice #",IF(B103="","Missing Job ID",IF(COUNTIF(Jobs!$A$5:$A$44,B103)=0,"Unknown Job ID",IF(D103="","Missing due date",IF(E103="","Missing amount",""))))))</f>
        <v/>
      </c>
      <c r="M103" s="9">
        <f>IF(A103="","",IFERROR(INDEX(Jobs!$B$5:$B$44,MATCH(B103,Jobs!$A$5:$A$44,0)),""))</f>
        <v/>
      </c>
      <c r="N103" s="9">
        <f>IF(AND(A103&lt;&gt;"",M103&lt;&gt;"",M103='Client Statement'!$L$2),COUNTIF(M$5:M103,'Client Statement'!$L$2),"")</f>
        <v/>
      </c>
      <c r="O103" s="35" t="n"/>
    </row>
    <row r="104">
      <c r="A104" s="35" t="n"/>
      <c r="B104" s="35" t="n"/>
      <c r="C104" s="40" t="n"/>
      <c r="D104" s="40" t="n"/>
      <c r="E104" s="37" t="n"/>
      <c r="F104" s="35" t="n"/>
      <c r="G104" s="39">
        <f>IF(A104="","",SUMIFS(Payments!$D$5:$D$304,Payments!$C$5:$C$304,A104))</f>
        <v/>
      </c>
      <c r="H104" s="39">
        <f>IF(A104="","",E104-G104)</f>
        <v/>
      </c>
      <c r="I104" s="9">
        <f>IF(A104="","",IF(H104&lt;=0,"Paid",IF(AND(D104&lt;&gt;"",TODAY()&gt;D104+Settings!$B$13),"Overdue",IF(G104&gt;0,"Partial","Open"))))</f>
        <v/>
      </c>
      <c r="J104" s="9">
        <f>IF(A104="","",IF(I104="Overdue",TODAY()-D104,0))</f>
        <v/>
      </c>
      <c r="K104" s="9">
        <f>IF(A104="","",IF(H104&lt;=0,"Paid",IF(OR(D104="",TODAY()&lt;=D104),"Current",IF(TODAY()-D104&lt;=30,"1-30",IF(TODAY()-D104&lt;=60,"31-60",IF(TODAY()-D104&lt;=90,"61-90","90+"))))))</f>
        <v/>
      </c>
      <c r="L104" s="9">
        <f>IF(A104="","",IF(COUNTIF(Invoices!$A$5:$A$204,A104)&gt;1,"Duplicate invoice #",IF(B104="","Missing Job ID",IF(COUNTIF(Jobs!$A$5:$A$44,B104)=0,"Unknown Job ID",IF(D104="","Missing due date",IF(E104="","Missing amount",""))))))</f>
        <v/>
      </c>
      <c r="M104" s="9">
        <f>IF(A104="","",IFERROR(INDEX(Jobs!$B$5:$B$44,MATCH(B104,Jobs!$A$5:$A$44,0)),""))</f>
        <v/>
      </c>
      <c r="N104" s="9">
        <f>IF(AND(A104&lt;&gt;"",M104&lt;&gt;"",M104='Client Statement'!$L$2),COUNTIF(M$5:M104,'Client Statement'!$L$2),"")</f>
        <v/>
      </c>
      <c r="O104" s="35" t="n"/>
    </row>
    <row r="105">
      <c r="A105" s="35" t="n"/>
      <c r="B105" s="35" t="n"/>
      <c r="C105" s="40" t="n"/>
      <c r="D105" s="40" t="n"/>
      <c r="E105" s="37" t="n"/>
      <c r="F105" s="35" t="n"/>
      <c r="G105" s="39">
        <f>IF(A105="","",SUMIFS(Payments!$D$5:$D$304,Payments!$C$5:$C$304,A105))</f>
        <v/>
      </c>
      <c r="H105" s="39">
        <f>IF(A105="","",E105-G105)</f>
        <v/>
      </c>
      <c r="I105" s="9">
        <f>IF(A105="","",IF(H105&lt;=0,"Paid",IF(AND(D105&lt;&gt;"",TODAY()&gt;D105+Settings!$B$13),"Overdue",IF(G105&gt;0,"Partial","Open"))))</f>
        <v/>
      </c>
      <c r="J105" s="9">
        <f>IF(A105="","",IF(I105="Overdue",TODAY()-D105,0))</f>
        <v/>
      </c>
      <c r="K105" s="9">
        <f>IF(A105="","",IF(H105&lt;=0,"Paid",IF(OR(D105="",TODAY()&lt;=D105),"Current",IF(TODAY()-D105&lt;=30,"1-30",IF(TODAY()-D105&lt;=60,"31-60",IF(TODAY()-D105&lt;=90,"61-90","90+"))))))</f>
        <v/>
      </c>
      <c r="L105" s="9">
        <f>IF(A105="","",IF(COUNTIF(Invoices!$A$5:$A$204,A105)&gt;1,"Duplicate invoice #",IF(B105="","Missing Job ID",IF(COUNTIF(Jobs!$A$5:$A$44,B105)=0,"Unknown Job ID",IF(D105="","Missing due date",IF(E105="","Missing amount",""))))))</f>
        <v/>
      </c>
      <c r="M105" s="9">
        <f>IF(A105="","",IFERROR(INDEX(Jobs!$B$5:$B$44,MATCH(B105,Jobs!$A$5:$A$44,0)),""))</f>
        <v/>
      </c>
      <c r="N105" s="9">
        <f>IF(AND(A105&lt;&gt;"",M105&lt;&gt;"",M105='Client Statement'!$L$2),COUNTIF(M$5:M105,'Client Statement'!$L$2),"")</f>
        <v/>
      </c>
      <c r="O105" s="35" t="n"/>
    </row>
    <row r="106">
      <c r="A106" s="35" t="n"/>
      <c r="B106" s="35" t="n"/>
      <c r="C106" s="40" t="n"/>
      <c r="D106" s="40" t="n"/>
      <c r="E106" s="37" t="n"/>
      <c r="F106" s="35" t="n"/>
      <c r="G106" s="39">
        <f>IF(A106="","",SUMIFS(Payments!$D$5:$D$304,Payments!$C$5:$C$304,A106))</f>
        <v/>
      </c>
      <c r="H106" s="39">
        <f>IF(A106="","",E106-G106)</f>
        <v/>
      </c>
      <c r="I106" s="9">
        <f>IF(A106="","",IF(H106&lt;=0,"Paid",IF(AND(D106&lt;&gt;"",TODAY()&gt;D106+Settings!$B$13),"Overdue",IF(G106&gt;0,"Partial","Open"))))</f>
        <v/>
      </c>
      <c r="J106" s="9">
        <f>IF(A106="","",IF(I106="Overdue",TODAY()-D106,0))</f>
        <v/>
      </c>
      <c r="K106" s="9">
        <f>IF(A106="","",IF(H106&lt;=0,"Paid",IF(OR(D106="",TODAY()&lt;=D106),"Current",IF(TODAY()-D106&lt;=30,"1-30",IF(TODAY()-D106&lt;=60,"31-60",IF(TODAY()-D106&lt;=90,"61-90","90+"))))))</f>
        <v/>
      </c>
      <c r="L106" s="9">
        <f>IF(A106="","",IF(COUNTIF(Invoices!$A$5:$A$204,A106)&gt;1,"Duplicate invoice #",IF(B106="","Missing Job ID",IF(COUNTIF(Jobs!$A$5:$A$44,B106)=0,"Unknown Job ID",IF(D106="","Missing due date",IF(E106="","Missing amount",""))))))</f>
        <v/>
      </c>
      <c r="M106" s="9">
        <f>IF(A106="","",IFERROR(INDEX(Jobs!$B$5:$B$44,MATCH(B106,Jobs!$A$5:$A$44,0)),""))</f>
        <v/>
      </c>
      <c r="N106" s="9">
        <f>IF(AND(A106&lt;&gt;"",M106&lt;&gt;"",M106='Client Statement'!$L$2),COUNTIF(M$5:M106,'Client Statement'!$L$2),"")</f>
        <v/>
      </c>
      <c r="O106" s="35" t="n"/>
    </row>
    <row r="107">
      <c r="A107" s="35" t="n"/>
      <c r="B107" s="35" t="n"/>
      <c r="C107" s="40" t="n"/>
      <c r="D107" s="40" t="n"/>
      <c r="E107" s="37" t="n"/>
      <c r="F107" s="35" t="n"/>
      <c r="G107" s="39">
        <f>IF(A107="","",SUMIFS(Payments!$D$5:$D$304,Payments!$C$5:$C$304,A107))</f>
        <v/>
      </c>
      <c r="H107" s="39">
        <f>IF(A107="","",E107-G107)</f>
        <v/>
      </c>
      <c r="I107" s="9">
        <f>IF(A107="","",IF(H107&lt;=0,"Paid",IF(AND(D107&lt;&gt;"",TODAY()&gt;D107+Settings!$B$13),"Overdue",IF(G107&gt;0,"Partial","Open"))))</f>
        <v/>
      </c>
      <c r="J107" s="9">
        <f>IF(A107="","",IF(I107="Overdue",TODAY()-D107,0))</f>
        <v/>
      </c>
      <c r="K107" s="9">
        <f>IF(A107="","",IF(H107&lt;=0,"Paid",IF(OR(D107="",TODAY()&lt;=D107),"Current",IF(TODAY()-D107&lt;=30,"1-30",IF(TODAY()-D107&lt;=60,"31-60",IF(TODAY()-D107&lt;=90,"61-90","90+"))))))</f>
        <v/>
      </c>
      <c r="L107" s="9">
        <f>IF(A107="","",IF(COUNTIF(Invoices!$A$5:$A$204,A107)&gt;1,"Duplicate invoice #",IF(B107="","Missing Job ID",IF(COUNTIF(Jobs!$A$5:$A$44,B107)=0,"Unknown Job ID",IF(D107="","Missing due date",IF(E107="","Missing amount",""))))))</f>
        <v/>
      </c>
      <c r="M107" s="9">
        <f>IF(A107="","",IFERROR(INDEX(Jobs!$B$5:$B$44,MATCH(B107,Jobs!$A$5:$A$44,0)),""))</f>
        <v/>
      </c>
      <c r="N107" s="9">
        <f>IF(AND(A107&lt;&gt;"",M107&lt;&gt;"",M107='Client Statement'!$L$2),COUNTIF(M$5:M107,'Client Statement'!$L$2),"")</f>
        <v/>
      </c>
      <c r="O107" s="35" t="n"/>
    </row>
    <row r="108">
      <c r="A108" s="35" t="n"/>
      <c r="B108" s="35" t="n"/>
      <c r="C108" s="40" t="n"/>
      <c r="D108" s="40" t="n"/>
      <c r="E108" s="37" t="n"/>
      <c r="F108" s="35" t="n"/>
      <c r="G108" s="39">
        <f>IF(A108="","",SUMIFS(Payments!$D$5:$D$304,Payments!$C$5:$C$304,A108))</f>
        <v/>
      </c>
      <c r="H108" s="39">
        <f>IF(A108="","",E108-G108)</f>
        <v/>
      </c>
      <c r="I108" s="9">
        <f>IF(A108="","",IF(H108&lt;=0,"Paid",IF(AND(D108&lt;&gt;"",TODAY()&gt;D108+Settings!$B$13),"Overdue",IF(G108&gt;0,"Partial","Open"))))</f>
        <v/>
      </c>
      <c r="J108" s="9">
        <f>IF(A108="","",IF(I108="Overdue",TODAY()-D108,0))</f>
        <v/>
      </c>
      <c r="K108" s="9">
        <f>IF(A108="","",IF(H108&lt;=0,"Paid",IF(OR(D108="",TODAY()&lt;=D108),"Current",IF(TODAY()-D108&lt;=30,"1-30",IF(TODAY()-D108&lt;=60,"31-60",IF(TODAY()-D108&lt;=90,"61-90","90+"))))))</f>
        <v/>
      </c>
      <c r="L108" s="9">
        <f>IF(A108="","",IF(COUNTIF(Invoices!$A$5:$A$204,A108)&gt;1,"Duplicate invoice #",IF(B108="","Missing Job ID",IF(COUNTIF(Jobs!$A$5:$A$44,B108)=0,"Unknown Job ID",IF(D108="","Missing due date",IF(E108="","Missing amount",""))))))</f>
        <v/>
      </c>
      <c r="M108" s="9">
        <f>IF(A108="","",IFERROR(INDEX(Jobs!$B$5:$B$44,MATCH(B108,Jobs!$A$5:$A$44,0)),""))</f>
        <v/>
      </c>
      <c r="N108" s="9">
        <f>IF(AND(A108&lt;&gt;"",M108&lt;&gt;"",M108='Client Statement'!$L$2),COUNTIF(M$5:M108,'Client Statement'!$L$2),"")</f>
        <v/>
      </c>
      <c r="O108" s="35" t="n"/>
    </row>
    <row r="109">
      <c r="A109" s="35" t="n"/>
      <c r="B109" s="35" t="n"/>
      <c r="C109" s="40" t="n"/>
      <c r="D109" s="40" t="n"/>
      <c r="E109" s="37" t="n"/>
      <c r="F109" s="35" t="n"/>
      <c r="G109" s="39">
        <f>IF(A109="","",SUMIFS(Payments!$D$5:$D$304,Payments!$C$5:$C$304,A109))</f>
        <v/>
      </c>
      <c r="H109" s="39">
        <f>IF(A109="","",E109-G109)</f>
        <v/>
      </c>
      <c r="I109" s="9">
        <f>IF(A109="","",IF(H109&lt;=0,"Paid",IF(AND(D109&lt;&gt;"",TODAY()&gt;D109+Settings!$B$13),"Overdue",IF(G109&gt;0,"Partial","Open"))))</f>
        <v/>
      </c>
      <c r="J109" s="9">
        <f>IF(A109="","",IF(I109="Overdue",TODAY()-D109,0))</f>
        <v/>
      </c>
      <c r="K109" s="9">
        <f>IF(A109="","",IF(H109&lt;=0,"Paid",IF(OR(D109="",TODAY()&lt;=D109),"Current",IF(TODAY()-D109&lt;=30,"1-30",IF(TODAY()-D109&lt;=60,"31-60",IF(TODAY()-D109&lt;=90,"61-90","90+"))))))</f>
        <v/>
      </c>
      <c r="L109" s="9">
        <f>IF(A109="","",IF(COUNTIF(Invoices!$A$5:$A$204,A109)&gt;1,"Duplicate invoice #",IF(B109="","Missing Job ID",IF(COUNTIF(Jobs!$A$5:$A$44,B109)=0,"Unknown Job ID",IF(D109="","Missing due date",IF(E109="","Missing amount",""))))))</f>
        <v/>
      </c>
      <c r="M109" s="9">
        <f>IF(A109="","",IFERROR(INDEX(Jobs!$B$5:$B$44,MATCH(B109,Jobs!$A$5:$A$44,0)),""))</f>
        <v/>
      </c>
      <c r="N109" s="9">
        <f>IF(AND(A109&lt;&gt;"",M109&lt;&gt;"",M109='Client Statement'!$L$2),COUNTIF(M$5:M109,'Client Statement'!$L$2),"")</f>
        <v/>
      </c>
      <c r="O109" s="35" t="n"/>
    </row>
    <row r="110">
      <c r="A110" s="35" t="n"/>
      <c r="B110" s="35" t="n"/>
      <c r="C110" s="40" t="n"/>
      <c r="D110" s="40" t="n"/>
      <c r="E110" s="37" t="n"/>
      <c r="F110" s="35" t="n"/>
      <c r="G110" s="39">
        <f>IF(A110="","",SUMIFS(Payments!$D$5:$D$304,Payments!$C$5:$C$304,A110))</f>
        <v/>
      </c>
      <c r="H110" s="39">
        <f>IF(A110="","",E110-G110)</f>
        <v/>
      </c>
      <c r="I110" s="9">
        <f>IF(A110="","",IF(H110&lt;=0,"Paid",IF(AND(D110&lt;&gt;"",TODAY()&gt;D110+Settings!$B$13),"Overdue",IF(G110&gt;0,"Partial","Open"))))</f>
        <v/>
      </c>
      <c r="J110" s="9">
        <f>IF(A110="","",IF(I110="Overdue",TODAY()-D110,0))</f>
        <v/>
      </c>
      <c r="K110" s="9">
        <f>IF(A110="","",IF(H110&lt;=0,"Paid",IF(OR(D110="",TODAY()&lt;=D110),"Current",IF(TODAY()-D110&lt;=30,"1-30",IF(TODAY()-D110&lt;=60,"31-60",IF(TODAY()-D110&lt;=90,"61-90","90+"))))))</f>
        <v/>
      </c>
      <c r="L110" s="9">
        <f>IF(A110="","",IF(COUNTIF(Invoices!$A$5:$A$204,A110)&gt;1,"Duplicate invoice #",IF(B110="","Missing Job ID",IF(COUNTIF(Jobs!$A$5:$A$44,B110)=0,"Unknown Job ID",IF(D110="","Missing due date",IF(E110="","Missing amount",""))))))</f>
        <v/>
      </c>
      <c r="M110" s="9">
        <f>IF(A110="","",IFERROR(INDEX(Jobs!$B$5:$B$44,MATCH(B110,Jobs!$A$5:$A$44,0)),""))</f>
        <v/>
      </c>
      <c r="N110" s="9">
        <f>IF(AND(A110&lt;&gt;"",M110&lt;&gt;"",M110='Client Statement'!$L$2),COUNTIF(M$5:M110,'Client Statement'!$L$2),"")</f>
        <v/>
      </c>
      <c r="O110" s="35" t="n"/>
    </row>
    <row r="111">
      <c r="A111" s="35" t="n"/>
      <c r="B111" s="35" t="n"/>
      <c r="C111" s="40" t="n"/>
      <c r="D111" s="40" t="n"/>
      <c r="E111" s="37" t="n"/>
      <c r="F111" s="35" t="n"/>
      <c r="G111" s="39">
        <f>IF(A111="","",SUMIFS(Payments!$D$5:$D$304,Payments!$C$5:$C$304,A111))</f>
        <v/>
      </c>
      <c r="H111" s="39">
        <f>IF(A111="","",E111-G111)</f>
        <v/>
      </c>
      <c r="I111" s="9">
        <f>IF(A111="","",IF(H111&lt;=0,"Paid",IF(AND(D111&lt;&gt;"",TODAY()&gt;D111+Settings!$B$13),"Overdue",IF(G111&gt;0,"Partial","Open"))))</f>
        <v/>
      </c>
      <c r="J111" s="9">
        <f>IF(A111="","",IF(I111="Overdue",TODAY()-D111,0))</f>
        <v/>
      </c>
      <c r="K111" s="9">
        <f>IF(A111="","",IF(H111&lt;=0,"Paid",IF(OR(D111="",TODAY()&lt;=D111),"Current",IF(TODAY()-D111&lt;=30,"1-30",IF(TODAY()-D111&lt;=60,"31-60",IF(TODAY()-D111&lt;=90,"61-90","90+"))))))</f>
        <v/>
      </c>
      <c r="L111" s="9">
        <f>IF(A111="","",IF(COUNTIF(Invoices!$A$5:$A$204,A111)&gt;1,"Duplicate invoice #",IF(B111="","Missing Job ID",IF(COUNTIF(Jobs!$A$5:$A$44,B111)=0,"Unknown Job ID",IF(D111="","Missing due date",IF(E111="","Missing amount",""))))))</f>
        <v/>
      </c>
      <c r="M111" s="9">
        <f>IF(A111="","",IFERROR(INDEX(Jobs!$B$5:$B$44,MATCH(B111,Jobs!$A$5:$A$44,0)),""))</f>
        <v/>
      </c>
      <c r="N111" s="9">
        <f>IF(AND(A111&lt;&gt;"",M111&lt;&gt;"",M111='Client Statement'!$L$2),COUNTIF(M$5:M111,'Client Statement'!$L$2),"")</f>
        <v/>
      </c>
      <c r="O111" s="35" t="n"/>
    </row>
    <row r="112">
      <c r="A112" s="35" t="n"/>
      <c r="B112" s="35" t="n"/>
      <c r="C112" s="40" t="n"/>
      <c r="D112" s="40" t="n"/>
      <c r="E112" s="37" t="n"/>
      <c r="F112" s="35" t="n"/>
      <c r="G112" s="39">
        <f>IF(A112="","",SUMIFS(Payments!$D$5:$D$304,Payments!$C$5:$C$304,A112))</f>
        <v/>
      </c>
      <c r="H112" s="39">
        <f>IF(A112="","",E112-G112)</f>
        <v/>
      </c>
      <c r="I112" s="9">
        <f>IF(A112="","",IF(H112&lt;=0,"Paid",IF(AND(D112&lt;&gt;"",TODAY()&gt;D112+Settings!$B$13),"Overdue",IF(G112&gt;0,"Partial","Open"))))</f>
        <v/>
      </c>
      <c r="J112" s="9">
        <f>IF(A112="","",IF(I112="Overdue",TODAY()-D112,0))</f>
        <v/>
      </c>
      <c r="K112" s="9">
        <f>IF(A112="","",IF(H112&lt;=0,"Paid",IF(OR(D112="",TODAY()&lt;=D112),"Current",IF(TODAY()-D112&lt;=30,"1-30",IF(TODAY()-D112&lt;=60,"31-60",IF(TODAY()-D112&lt;=90,"61-90","90+"))))))</f>
        <v/>
      </c>
      <c r="L112" s="9">
        <f>IF(A112="","",IF(COUNTIF(Invoices!$A$5:$A$204,A112)&gt;1,"Duplicate invoice #",IF(B112="","Missing Job ID",IF(COUNTIF(Jobs!$A$5:$A$44,B112)=0,"Unknown Job ID",IF(D112="","Missing due date",IF(E112="","Missing amount",""))))))</f>
        <v/>
      </c>
      <c r="M112" s="9">
        <f>IF(A112="","",IFERROR(INDEX(Jobs!$B$5:$B$44,MATCH(B112,Jobs!$A$5:$A$44,0)),""))</f>
        <v/>
      </c>
      <c r="N112" s="9">
        <f>IF(AND(A112&lt;&gt;"",M112&lt;&gt;"",M112='Client Statement'!$L$2),COUNTIF(M$5:M112,'Client Statement'!$L$2),"")</f>
        <v/>
      </c>
      <c r="O112" s="35" t="n"/>
    </row>
    <row r="113">
      <c r="A113" s="35" t="n"/>
      <c r="B113" s="35" t="n"/>
      <c r="C113" s="40" t="n"/>
      <c r="D113" s="40" t="n"/>
      <c r="E113" s="37" t="n"/>
      <c r="F113" s="35" t="n"/>
      <c r="G113" s="39">
        <f>IF(A113="","",SUMIFS(Payments!$D$5:$D$304,Payments!$C$5:$C$304,A113))</f>
        <v/>
      </c>
      <c r="H113" s="39">
        <f>IF(A113="","",E113-G113)</f>
        <v/>
      </c>
      <c r="I113" s="9">
        <f>IF(A113="","",IF(H113&lt;=0,"Paid",IF(AND(D113&lt;&gt;"",TODAY()&gt;D113+Settings!$B$13),"Overdue",IF(G113&gt;0,"Partial","Open"))))</f>
        <v/>
      </c>
      <c r="J113" s="9">
        <f>IF(A113="","",IF(I113="Overdue",TODAY()-D113,0))</f>
        <v/>
      </c>
      <c r="K113" s="9">
        <f>IF(A113="","",IF(H113&lt;=0,"Paid",IF(OR(D113="",TODAY()&lt;=D113),"Current",IF(TODAY()-D113&lt;=30,"1-30",IF(TODAY()-D113&lt;=60,"31-60",IF(TODAY()-D113&lt;=90,"61-90","90+"))))))</f>
        <v/>
      </c>
      <c r="L113" s="9">
        <f>IF(A113="","",IF(COUNTIF(Invoices!$A$5:$A$204,A113)&gt;1,"Duplicate invoice #",IF(B113="","Missing Job ID",IF(COUNTIF(Jobs!$A$5:$A$44,B113)=0,"Unknown Job ID",IF(D113="","Missing due date",IF(E113="","Missing amount",""))))))</f>
        <v/>
      </c>
      <c r="M113" s="9">
        <f>IF(A113="","",IFERROR(INDEX(Jobs!$B$5:$B$44,MATCH(B113,Jobs!$A$5:$A$44,0)),""))</f>
        <v/>
      </c>
      <c r="N113" s="9">
        <f>IF(AND(A113&lt;&gt;"",M113&lt;&gt;"",M113='Client Statement'!$L$2),COUNTIF(M$5:M113,'Client Statement'!$L$2),"")</f>
        <v/>
      </c>
      <c r="O113" s="35" t="n"/>
    </row>
    <row r="114">
      <c r="A114" s="35" t="n"/>
      <c r="B114" s="35" t="n"/>
      <c r="C114" s="40" t="n"/>
      <c r="D114" s="40" t="n"/>
      <c r="E114" s="37" t="n"/>
      <c r="F114" s="35" t="n"/>
      <c r="G114" s="39">
        <f>IF(A114="","",SUMIFS(Payments!$D$5:$D$304,Payments!$C$5:$C$304,A114))</f>
        <v/>
      </c>
      <c r="H114" s="39">
        <f>IF(A114="","",E114-G114)</f>
        <v/>
      </c>
      <c r="I114" s="9">
        <f>IF(A114="","",IF(H114&lt;=0,"Paid",IF(AND(D114&lt;&gt;"",TODAY()&gt;D114+Settings!$B$13),"Overdue",IF(G114&gt;0,"Partial","Open"))))</f>
        <v/>
      </c>
      <c r="J114" s="9">
        <f>IF(A114="","",IF(I114="Overdue",TODAY()-D114,0))</f>
        <v/>
      </c>
      <c r="K114" s="9">
        <f>IF(A114="","",IF(H114&lt;=0,"Paid",IF(OR(D114="",TODAY()&lt;=D114),"Current",IF(TODAY()-D114&lt;=30,"1-30",IF(TODAY()-D114&lt;=60,"31-60",IF(TODAY()-D114&lt;=90,"61-90","90+"))))))</f>
        <v/>
      </c>
      <c r="L114" s="9">
        <f>IF(A114="","",IF(COUNTIF(Invoices!$A$5:$A$204,A114)&gt;1,"Duplicate invoice #",IF(B114="","Missing Job ID",IF(COUNTIF(Jobs!$A$5:$A$44,B114)=0,"Unknown Job ID",IF(D114="","Missing due date",IF(E114="","Missing amount",""))))))</f>
        <v/>
      </c>
      <c r="M114" s="9">
        <f>IF(A114="","",IFERROR(INDEX(Jobs!$B$5:$B$44,MATCH(B114,Jobs!$A$5:$A$44,0)),""))</f>
        <v/>
      </c>
      <c r="N114" s="9">
        <f>IF(AND(A114&lt;&gt;"",M114&lt;&gt;"",M114='Client Statement'!$L$2),COUNTIF(M$5:M114,'Client Statement'!$L$2),"")</f>
        <v/>
      </c>
      <c r="O114" s="35" t="n"/>
    </row>
    <row r="115">
      <c r="A115" s="35" t="n"/>
      <c r="B115" s="35" t="n"/>
      <c r="C115" s="40" t="n"/>
      <c r="D115" s="40" t="n"/>
      <c r="E115" s="37" t="n"/>
      <c r="F115" s="35" t="n"/>
      <c r="G115" s="39">
        <f>IF(A115="","",SUMIFS(Payments!$D$5:$D$304,Payments!$C$5:$C$304,A115))</f>
        <v/>
      </c>
      <c r="H115" s="39">
        <f>IF(A115="","",E115-G115)</f>
        <v/>
      </c>
      <c r="I115" s="9">
        <f>IF(A115="","",IF(H115&lt;=0,"Paid",IF(AND(D115&lt;&gt;"",TODAY()&gt;D115+Settings!$B$13),"Overdue",IF(G115&gt;0,"Partial","Open"))))</f>
        <v/>
      </c>
      <c r="J115" s="9">
        <f>IF(A115="","",IF(I115="Overdue",TODAY()-D115,0))</f>
        <v/>
      </c>
      <c r="K115" s="9">
        <f>IF(A115="","",IF(H115&lt;=0,"Paid",IF(OR(D115="",TODAY()&lt;=D115),"Current",IF(TODAY()-D115&lt;=30,"1-30",IF(TODAY()-D115&lt;=60,"31-60",IF(TODAY()-D115&lt;=90,"61-90","90+"))))))</f>
        <v/>
      </c>
      <c r="L115" s="9">
        <f>IF(A115="","",IF(COUNTIF(Invoices!$A$5:$A$204,A115)&gt;1,"Duplicate invoice #",IF(B115="","Missing Job ID",IF(COUNTIF(Jobs!$A$5:$A$44,B115)=0,"Unknown Job ID",IF(D115="","Missing due date",IF(E115="","Missing amount",""))))))</f>
        <v/>
      </c>
      <c r="M115" s="9">
        <f>IF(A115="","",IFERROR(INDEX(Jobs!$B$5:$B$44,MATCH(B115,Jobs!$A$5:$A$44,0)),""))</f>
        <v/>
      </c>
      <c r="N115" s="9">
        <f>IF(AND(A115&lt;&gt;"",M115&lt;&gt;"",M115='Client Statement'!$L$2),COUNTIF(M$5:M115,'Client Statement'!$L$2),"")</f>
        <v/>
      </c>
      <c r="O115" s="35" t="n"/>
    </row>
    <row r="116">
      <c r="A116" s="35" t="n"/>
      <c r="B116" s="35" t="n"/>
      <c r="C116" s="40" t="n"/>
      <c r="D116" s="40" t="n"/>
      <c r="E116" s="37" t="n"/>
      <c r="F116" s="35" t="n"/>
      <c r="G116" s="39">
        <f>IF(A116="","",SUMIFS(Payments!$D$5:$D$304,Payments!$C$5:$C$304,A116))</f>
        <v/>
      </c>
      <c r="H116" s="39">
        <f>IF(A116="","",E116-G116)</f>
        <v/>
      </c>
      <c r="I116" s="9">
        <f>IF(A116="","",IF(H116&lt;=0,"Paid",IF(AND(D116&lt;&gt;"",TODAY()&gt;D116+Settings!$B$13),"Overdue",IF(G116&gt;0,"Partial","Open"))))</f>
        <v/>
      </c>
      <c r="J116" s="9">
        <f>IF(A116="","",IF(I116="Overdue",TODAY()-D116,0))</f>
        <v/>
      </c>
      <c r="K116" s="9">
        <f>IF(A116="","",IF(H116&lt;=0,"Paid",IF(OR(D116="",TODAY()&lt;=D116),"Current",IF(TODAY()-D116&lt;=30,"1-30",IF(TODAY()-D116&lt;=60,"31-60",IF(TODAY()-D116&lt;=90,"61-90","90+"))))))</f>
        <v/>
      </c>
      <c r="L116" s="9">
        <f>IF(A116="","",IF(COUNTIF(Invoices!$A$5:$A$204,A116)&gt;1,"Duplicate invoice #",IF(B116="","Missing Job ID",IF(COUNTIF(Jobs!$A$5:$A$44,B116)=0,"Unknown Job ID",IF(D116="","Missing due date",IF(E116="","Missing amount",""))))))</f>
        <v/>
      </c>
      <c r="M116" s="9">
        <f>IF(A116="","",IFERROR(INDEX(Jobs!$B$5:$B$44,MATCH(B116,Jobs!$A$5:$A$44,0)),""))</f>
        <v/>
      </c>
      <c r="N116" s="9">
        <f>IF(AND(A116&lt;&gt;"",M116&lt;&gt;"",M116='Client Statement'!$L$2),COUNTIF(M$5:M116,'Client Statement'!$L$2),"")</f>
        <v/>
      </c>
      <c r="O116" s="35" t="n"/>
    </row>
    <row r="117">
      <c r="A117" s="35" t="n"/>
      <c r="B117" s="35" t="n"/>
      <c r="C117" s="40" t="n"/>
      <c r="D117" s="40" t="n"/>
      <c r="E117" s="37" t="n"/>
      <c r="F117" s="35" t="n"/>
      <c r="G117" s="39">
        <f>IF(A117="","",SUMIFS(Payments!$D$5:$D$304,Payments!$C$5:$C$304,A117))</f>
        <v/>
      </c>
      <c r="H117" s="39">
        <f>IF(A117="","",E117-G117)</f>
        <v/>
      </c>
      <c r="I117" s="9">
        <f>IF(A117="","",IF(H117&lt;=0,"Paid",IF(AND(D117&lt;&gt;"",TODAY()&gt;D117+Settings!$B$13),"Overdue",IF(G117&gt;0,"Partial","Open"))))</f>
        <v/>
      </c>
      <c r="J117" s="9">
        <f>IF(A117="","",IF(I117="Overdue",TODAY()-D117,0))</f>
        <v/>
      </c>
      <c r="K117" s="9">
        <f>IF(A117="","",IF(H117&lt;=0,"Paid",IF(OR(D117="",TODAY()&lt;=D117),"Current",IF(TODAY()-D117&lt;=30,"1-30",IF(TODAY()-D117&lt;=60,"31-60",IF(TODAY()-D117&lt;=90,"61-90","90+"))))))</f>
        <v/>
      </c>
      <c r="L117" s="9">
        <f>IF(A117="","",IF(COUNTIF(Invoices!$A$5:$A$204,A117)&gt;1,"Duplicate invoice #",IF(B117="","Missing Job ID",IF(COUNTIF(Jobs!$A$5:$A$44,B117)=0,"Unknown Job ID",IF(D117="","Missing due date",IF(E117="","Missing amount",""))))))</f>
        <v/>
      </c>
      <c r="M117" s="9">
        <f>IF(A117="","",IFERROR(INDEX(Jobs!$B$5:$B$44,MATCH(B117,Jobs!$A$5:$A$44,0)),""))</f>
        <v/>
      </c>
      <c r="N117" s="9">
        <f>IF(AND(A117&lt;&gt;"",M117&lt;&gt;"",M117='Client Statement'!$L$2),COUNTIF(M$5:M117,'Client Statement'!$L$2),"")</f>
        <v/>
      </c>
      <c r="O117" s="35" t="n"/>
    </row>
    <row r="118">
      <c r="A118" s="35" t="n"/>
      <c r="B118" s="35" t="n"/>
      <c r="C118" s="40" t="n"/>
      <c r="D118" s="40" t="n"/>
      <c r="E118" s="37" t="n"/>
      <c r="F118" s="35" t="n"/>
      <c r="G118" s="39">
        <f>IF(A118="","",SUMIFS(Payments!$D$5:$D$304,Payments!$C$5:$C$304,A118))</f>
        <v/>
      </c>
      <c r="H118" s="39">
        <f>IF(A118="","",E118-G118)</f>
        <v/>
      </c>
      <c r="I118" s="9">
        <f>IF(A118="","",IF(H118&lt;=0,"Paid",IF(AND(D118&lt;&gt;"",TODAY()&gt;D118+Settings!$B$13),"Overdue",IF(G118&gt;0,"Partial","Open"))))</f>
        <v/>
      </c>
      <c r="J118" s="9">
        <f>IF(A118="","",IF(I118="Overdue",TODAY()-D118,0))</f>
        <v/>
      </c>
      <c r="K118" s="9">
        <f>IF(A118="","",IF(H118&lt;=0,"Paid",IF(OR(D118="",TODAY()&lt;=D118),"Current",IF(TODAY()-D118&lt;=30,"1-30",IF(TODAY()-D118&lt;=60,"31-60",IF(TODAY()-D118&lt;=90,"61-90","90+"))))))</f>
        <v/>
      </c>
      <c r="L118" s="9">
        <f>IF(A118="","",IF(COUNTIF(Invoices!$A$5:$A$204,A118)&gt;1,"Duplicate invoice #",IF(B118="","Missing Job ID",IF(COUNTIF(Jobs!$A$5:$A$44,B118)=0,"Unknown Job ID",IF(D118="","Missing due date",IF(E118="","Missing amount",""))))))</f>
        <v/>
      </c>
      <c r="M118" s="9">
        <f>IF(A118="","",IFERROR(INDEX(Jobs!$B$5:$B$44,MATCH(B118,Jobs!$A$5:$A$44,0)),""))</f>
        <v/>
      </c>
      <c r="N118" s="9">
        <f>IF(AND(A118&lt;&gt;"",M118&lt;&gt;"",M118='Client Statement'!$L$2),COUNTIF(M$5:M118,'Client Statement'!$L$2),"")</f>
        <v/>
      </c>
      <c r="O118" s="35" t="n"/>
    </row>
    <row r="119">
      <c r="A119" s="35" t="n"/>
      <c r="B119" s="35" t="n"/>
      <c r="C119" s="40" t="n"/>
      <c r="D119" s="40" t="n"/>
      <c r="E119" s="37" t="n"/>
      <c r="F119" s="35" t="n"/>
      <c r="G119" s="39">
        <f>IF(A119="","",SUMIFS(Payments!$D$5:$D$304,Payments!$C$5:$C$304,A119))</f>
        <v/>
      </c>
      <c r="H119" s="39">
        <f>IF(A119="","",E119-G119)</f>
        <v/>
      </c>
      <c r="I119" s="9">
        <f>IF(A119="","",IF(H119&lt;=0,"Paid",IF(AND(D119&lt;&gt;"",TODAY()&gt;D119+Settings!$B$13),"Overdue",IF(G119&gt;0,"Partial","Open"))))</f>
        <v/>
      </c>
      <c r="J119" s="9">
        <f>IF(A119="","",IF(I119="Overdue",TODAY()-D119,0))</f>
        <v/>
      </c>
      <c r="K119" s="9">
        <f>IF(A119="","",IF(H119&lt;=0,"Paid",IF(OR(D119="",TODAY()&lt;=D119),"Current",IF(TODAY()-D119&lt;=30,"1-30",IF(TODAY()-D119&lt;=60,"31-60",IF(TODAY()-D119&lt;=90,"61-90","90+"))))))</f>
        <v/>
      </c>
      <c r="L119" s="9">
        <f>IF(A119="","",IF(COUNTIF(Invoices!$A$5:$A$204,A119)&gt;1,"Duplicate invoice #",IF(B119="","Missing Job ID",IF(COUNTIF(Jobs!$A$5:$A$44,B119)=0,"Unknown Job ID",IF(D119="","Missing due date",IF(E119="","Missing amount",""))))))</f>
        <v/>
      </c>
      <c r="M119" s="9">
        <f>IF(A119="","",IFERROR(INDEX(Jobs!$B$5:$B$44,MATCH(B119,Jobs!$A$5:$A$44,0)),""))</f>
        <v/>
      </c>
      <c r="N119" s="9">
        <f>IF(AND(A119&lt;&gt;"",M119&lt;&gt;"",M119='Client Statement'!$L$2),COUNTIF(M$5:M119,'Client Statement'!$L$2),"")</f>
        <v/>
      </c>
      <c r="O119" s="35" t="n"/>
    </row>
    <row r="120">
      <c r="A120" s="35" t="n"/>
      <c r="B120" s="35" t="n"/>
      <c r="C120" s="40" t="n"/>
      <c r="D120" s="40" t="n"/>
      <c r="E120" s="37" t="n"/>
      <c r="F120" s="35" t="n"/>
      <c r="G120" s="39">
        <f>IF(A120="","",SUMIFS(Payments!$D$5:$D$304,Payments!$C$5:$C$304,A120))</f>
        <v/>
      </c>
      <c r="H120" s="39">
        <f>IF(A120="","",E120-G120)</f>
        <v/>
      </c>
      <c r="I120" s="9">
        <f>IF(A120="","",IF(H120&lt;=0,"Paid",IF(AND(D120&lt;&gt;"",TODAY()&gt;D120+Settings!$B$13),"Overdue",IF(G120&gt;0,"Partial","Open"))))</f>
        <v/>
      </c>
      <c r="J120" s="9">
        <f>IF(A120="","",IF(I120="Overdue",TODAY()-D120,0))</f>
        <v/>
      </c>
      <c r="K120" s="9">
        <f>IF(A120="","",IF(H120&lt;=0,"Paid",IF(OR(D120="",TODAY()&lt;=D120),"Current",IF(TODAY()-D120&lt;=30,"1-30",IF(TODAY()-D120&lt;=60,"31-60",IF(TODAY()-D120&lt;=90,"61-90","90+"))))))</f>
        <v/>
      </c>
      <c r="L120" s="9">
        <f>IF(A120="","",IF(COUNTIF(Invoices!$A$5:$A$204,A120)&gt;1,"Duplicate invoice #",IF(B120="","Missing Job ID",IF(COUNTIF(Jobs!$A$5:$A$44,B120)=0,"Unknown Job ID",IF(D120="","Missing due date",IF(E120="","Missing amount",""))))))</f>
        <v/>
      </c>
      <c r="M120" s="9">
        <f>IF(A120="","",IFERROR(INDEX(Jobs!$B$5:$B$44,MATCH(B120,Jobs!$A$5:$A$44,0)),""))</f>
        <v/>
      </c>
      <c r="N120" s="9">
        <f>IF(AND(A120&lt;&gt;"",M120&lt;&gt;"",M120='Client Statement'!$L$2),COUNTIF(M$5:M120,'Client Statement'!$L$2),"")</f>
        <v/>
      </c>
      <c r="O120" s="35" t="n"/>
    </row>
    <row r="121">
      <c r="A121" s="35" t="n"/>
      <c r="B121" s="35" t="n"/>
      <c r="C121" s="40" t="n"/>
      <c r="D121" s="40" t="n"/>
      <c r="E121" s="37" t="n"/>
      <c r="F121" s="35" t="n"/>
      <c r="G121" s="39">
        <f>IF(A121="","",SUMIFS(Payments!$D$5:$D$304,Payments!$C$5:$C$304,A121))</f>
        <v/>
      </c>
      <c r="H121" s="39">
        <f>IF(A121="","",E121-G121)</f>
        <v/>
      </c>
      <c r="I121" s="9">
        <f>IF(A121="","",IF(H121&lt;=0,"Paid",IF(AND(D121&lt;&gt;"",TODAY()&gt;D121+Settings!$B$13),"Overdue",IF(G121&gt;0,"Partial","Open"))))</f>
        <v/>
      </c>
      <c r="J121" s="9">
        <f>IF(A121="","",IF(I121="Overdue",TODAY()-D121,0))</f>
        <v/>
      </c>
      <c r="K121" s="9">
        <f>IF(A121="","",IF(H121&lt;=0,"Paid",IF(OR(D121="",TODAY()&lt;=D121),"Current",IF(TODAY()-D121&lt;=30,"1-30",IF(TODAY()-D121&lt;=60,"31-60",IF(TODAY()-D121&lt;=90,"61-90","90+"))))))</f>
        <v/>
      </c>
      <c r="L121" s="9">
        <f>IF(A121="","",IF(COUNTIF(Invoices!$A$5:$A$204,A121)&gt;1,"Duplicate invoice #",IF(B121="","Missing Job ID",IF(COUNTIF(Jobs!$A$5:$A$44,B121)=0,"Unknown Job ID",IF(D121="","Missing due date",IF(E121="","Missing amount",""))))))</f>
        <v/>
      </c>
      <c r="M121" s="9">
        <f>IF(A121="","",IFERROR(INDEX(Jobs!$B$5:$B$44,MATCH(B121,Jobs!$A$5:$A$44,0)),""))</f>
        <v/>
      </c>
      <c r="N121" s="9">
        <f>IF(AND(A121&lt;&gt;"",M121&lt;&gt;"",M121='Client Statement'!$L$2),COUNTIF(M$5:M121,'Client Statement'!$L$2),"")</f>
        <v/>
      </c>
      <c r="O121" s="35" t="n"/>
    </row>
    <row r="122">
      <c r="A122" s="35" t="n"/>
      <c r="B122" s="35" t="n"/>
      <c r="C122" s="40" t="n"/>
      <c r="D122" s="40" t="n"/>
      <c r="E122" s="37" t="n"/>
      <c r="F122" s="35" t="n"/>
      <c r="G122" s="39">
        <f>IF(A122="","",SUMIFS(Payments!$D$5:$D$304,Payments!$C$5:$C$304,A122))</f>
        <v/>
      </c>
      <c r="H122" s="39">
        <f>IF(A122="","",E122-G122)</f>
        <v/>
      </c>
      <c r="I122" s="9">
        <f>IF(A122="","",IF(H122&lt;=0,"Paid",IF(AND(D122&lt;&gt;"",TODAY()&gt;D122+Settings!$B$13),"Overdue",IF(G122&gt;0,"Partial","Open"))))</f>
        <v/>
      </c>
      <c r="J122" s="9">
        <f>IF(A122="","",IF(I122="Overdue",TODAY()-D122,0))</f>
        <v/>
      </c>
      <c r="K122" s="9">
        <f>IF(A122="","",IF(H122&lt;=0,"Paid",IF(OR(D122="",TODAY()&lt;=D122),"Current",IF(TODAY()-D122&lt;=30,"1-30",IF(TODAY()-D122&lt;=60,"31-60",IF(TODAY()-D122&lt;=90,"61-90","90+"))))))</f>
        <v/>
      </c>
      <c r="L122" s="9">
        <f>IF(A122="","",IF(COUNTIF(Invoices!$A$5:$A$204,A122)&gt;1,"Duplicate invoice #",IF(B122="","Missing Job ID",IF(COUNTIF(Jobs!$A$5:$A$44,B122)=0,"Unknown Job ID",IF(D122="","Missing due date",IF(E122="","Missing amount",""))))))</f>
        <v/>
      </c>
      <c r="M122" s="9">
        <f>IF(A122="","",IFERROR(INDEX(Jobs!$B$5:$B$44,MATCH(B122,Jobs!$A$5:$A$44,0)),""))</f>
        <v/>
      </c>
      <c r="N122" s="9">
        <f>IF(AND(A122&lt;&gt;"",M122&lt;&gt;"",M122='Client Statement'!$L$2),COUNTIF(M$5:M122,'Client Statement'!$L$2),"")</f>
        <v/>
      </c>
      <c r="O122" s="35" t="n"/>
    </row>
    <row r="123">
      <c r="A123" s="35" t="n"/>
      <c r="B123" s="35" t="n"/>
      <c r="C123" s="40" t="n"/>
      <c r="D123" s="40" t="n"/>
      <c r="E123" s="37" t="n"/>
      <c r="F123" s="35" t="n"/>
      <c r="G123" s="39">
        <f>IF(A123="","",SUMIFS(Payments!$D$5:$D$304,Payments!$C$5:$C$304,A123))</f>
        <v/>
      </c>
      <c r="H123" s="39">
        <f>IF(A123="","",E123-G123)</f>
        <v/>
      </c>
      <c r="I123" s="9">
        <f>IF(A123="","",IF(H123&lt;=0,"Paid",IF(AND(D123&lt;&gt;"",TODAY()&gt;D123+Settings!$B$13),"Overdue",IF(G123&gt;0,"Partial","Open"))))</f>
        <v/>
      </c>
      <c r="J123" s="9">
        <f>IF(A123="","",IF(I123="Overdue",TODAY()-D123,0))</f>
        <v/>
      </c>
      <c r="K123" s="9">
        <f>IF(A123="","",IF(H123&lt;=0,"Paid",IF(OR(D123="",TODAY()&lt;=D123),"Current",IF(TODAY()-D123&lt;=30,"1-30",IF(TODAY()-D123&lt;=60,"31-60",IF(TODAY()-D123&lt;=90,"61-90","90+"))))))</f>
        <v/>
      </c>
      <c r="L123" s="9">
        <f>IF(A123="","",IF(COUNTIF(Invoices!$A$5:$A$204,A123)&gt;1,"Duplicate invoice #",IF(B123="","Missing Job ID",IF(COUNTIF(Jobs!$A$5:$A$44,B123)=0,"Unknown Job ID",IF(D123="","Missing due date",IF(E123="","Missing amount",""))))))</f>
        <v/>
      </c>
      <c r="M123" s="9">
        <f>IF(A123="","",IFERROR(INDEX(Jobs!$B$5:$B$44,MATCH(B123,Jobs!$A$5:$A$44,0)),""))</f>
        <v/>
      </c>
      <c r="N123" s="9">
        <f>IF(AND(A123&lt;&gt;"",M123&lt;&gt;"",M123='Client Statement'!$L$2),COUNTIF(M$5:M123,'Client Statement'!$L$2),"")</f>
        <v/>
      </c>
      <c r="O123" s="35" t="n"/>
    </row>
    <row r="124">
      <c r="A124" s="35" t="n"/>
      <c r="B124" s="35" t="n"/>
      <c r="C124" s="40" t="n"/>
      <c r="D124" s="40" t="n"/>
      <c r="E124" s="37" t="n"/>
      <c r="F124" s="35" t="n"/>
      <c r="G124" s="39">
        <f>IF(A124="","",SUMIFS(Payments!$D$5:$D$304,Payments!$C$5:$C$304,A124))</f>
        <v/>
      </c>
      <c r="H124" s="39">
        <f>IF(A124="","",E124-G124)</f>
        <v/>
      </c>
      <c r="I124" s="9">
        <f>IF(A124="","",IF(H124&lt;=0,"Paid",IF(AND(D124&lt;&gt;"",TODAY()&gt;D124+Settings!$B$13),"Overdue",IF(G124&gt;0,"Partial","Open"))))</f>
        <v/>
      </c>
      <c r="J124" s="9">
        <f>IF(A124="","",IF(I124="Overdue",TODAY()-D124,0))</f>
        <v/>
      </c>
      <c r="K124" s="9">
        <f>IF(A124="","",IF(H124&lt;=0,"Paid",IF(OR(D124="",TODAY()&lt;=D124),"Current",IF(TODAY()-D124&lt;=30,"1-30",IF(TODAY()-D124&lt;=60,"31-60",IF(TODAY()-D124&lt;=90,"61-90","90+"))))))</f>
        <v/>
      </c>
      <c r="L124" s="9">
        <f>IF(A124="","",IF(COUNTIF(Invoices!$A$5:$A$204,A124)&gt;1,"Duplicate invoice #",IF(B124="","Missing Job ID",IF(COUNTIF(Jobs!$A$5:$A$44,B124)=0,"Unknown Job ID",IF(D124="","Missing due date",IF(E124="","Missing amount",""))))))</f>
        <v/>
      </c>
      <c r="M124" s="9">
        <f>IF(A124="","",IFERROR(INDEX(Jobs!$B$5:$B$44,MATCH(B124,Jobs!$A$5:$A$44,0)),""))</f>
        <v/>
      </c>
      <c r="N124" s="9">
        <f>IF(AND(A124&lt;&gt;"",M124&lt;&gt;"",M124='Client Statement'!$L$2),COUNTIF(M$5:M124,'Client Statement'!$L$2),"")</f>
        <v/>
      </c>
      <c r="O124" s="35" t="n"/>
    </row>
    <row r="125">
      <c r="A125" s="35" t="n"/>
      <c r="B125" s="35" t="n"/>
      <c r="C125" s="40" t="n"/>
      <c r="D125" s="40" t="n"/>
      <c r="E125" s="37" t="n"/>
      <c r="F125" s="35" t="n"/>
      <c r="G125" s="39">
        <f>IF(A125="","",SUMIFS(Payments!$D$5:$D$304,Payments!$C$5:$C$304,A125))</f>
        <v/>
      </c>
      <c r="H125" s="39">
        <f>IF(A125="","",E125-G125)</f>
        <v/>
      </c>
      <c r="I125" s="9">
        <f>IF(A125="","",IF(H125&lt;=0,"Paid",IF(AND(D125&lt;&gt;"",TODAY()&gt;D125+Settings!$B$13),"Overdue",IF(G125&gt;0,"Partial","Open"))))</f>
        <v/>
      </c>
      <c r="J125" s="9">
        <f>IF(A125="","",IF(I125="Overdue",TODAY()-D125,0))</f>
        <v/>
      </c>
      <c r="K125" s="9">
        <f>IF(A125="","",IF(H125&lt;=0,"Paid",IF(OR(D125="",TODAY()&lt;=D125),"Current",IF(TODAY()-D125&lt;=30,"1-30",IF(TODAY()-D125&lt;=60,"31-60",IF(TODAY()-D125&lt;=90,"61-90","90+"))))))</f>
        <v/>
      </c>
      <c r="L125" s="9">
        <f>IF(A125="","",IF(COUNTIF(Invoices!$A$5:$A$204,A125)&gt;1,"Duplicate invoice #",IF(B125="","Missing Job ID",IF(COUNTIF(Jobs!$A$5:$A$44,B125)=0,"Unknown Job ID",IF(D125="","Missing due date",IF(E125="","Missing amount",""))))))</f>
        <v/>
      </c>
      <c r="M125" s="9">
        <f>IF(A125="","",IFERROR(INDEX(Jobs!$B$5:$B$44,MATCH(B125,Jobs!$A$5:$A$44,0)),""))</f>
        <v/>
      </c>
      <c r="N125" s="9">
        <f>IF(AND(A125&lt;&gt;"",M125&lt;&gt;"",M125='Client Statement'!$L$2),COUNTIF(M$5:M125,'Client Statement'!$L$2),"")</f>
        <v/>
      </c>
      <c r="O125" s="35" t="n"/>
    </row>
    <row r="126">
      <c r="A126" s="35" t="n"/>
      <c r="B126" s="35" t="n"/>
      <c r="C126" s="40" t="n"/>
      <c r="D126" s="40" t="n"/>
      <c r="E126" s="37" t="n"/>
      <c r="F126" s="35" t="n"/>
      <c r="G126" s="39">
        <f>IF(A126="","",SUMIFS(Payments!$D$5:$D$304,Payments!$C$5:$C$304,A126))</f>
        <v/>
      </c>
      <c r="H126" s="39">
        <f>IF(A126="","",E126-G126)</f>
        <v/>
      </c>
      <c r="I126" s="9">
        <f>IF(A126="","",IF(H126&lt;=0,"Paid",IF(AND(D126&lt;&gt;"",TODAY()&gt;D126+Settings!$B$13),"Overdue",IF(G126&gt;0,"Partial","Open"))))</f>
        <v/>
      </c>
      <c r="J126" s="9">
        <f>IF(A126="","",IF(I126="Overdue",TODAY()-D126,0))</f>
        <v/>
      </c>
      <c r="K126" s="9">
        <f>IF(A126="","",IF(H126&lt;=0,"Paid",IF(OR(D126="",TODAY()&lt;=D126),"Current",IF(TODAY()-D126&lt;=30,"1-30",IF(TODAY()-D126&lt;=60,"31-60",IF(TODAY()-D126&lt;=90,"61-90","90+"))))))</f>
        <v/>
      </c>
      <c r="L126" s="9">
        <f>IF(A126="","",IF(COUNTIF(Invoices!$A$5:$A$204,A126)&gt;1,"Duplicate invoice #",IF(B126="","Missing Job ID",IF(COUNTIF(Jobs!$A$5:$A$44,B126)=0,"Unknown Job ID",IF(D126="","Missing due date",IF(E126="","Missing amount",""))))))</f>
        <v/>
      </c>
      <c r="M126" s="9">
        <f>IF(A126="","",IFERROR(INDEX(Jobs!$B$5:$B$44,MATCH(B126,Jobs!$A$5:$A$44,0)),""))</f>
        <v/>
      </c>
      <c r="N126" s="9">
        <f>IF(AND(A126&lt;&gt;"",M126&lt;&gt;"",M126='Client Statement'!$L$2),COUNTIF(M$5:M126,'Client Statement'!$L$2),"")</f>
        <v/>
      </c>
      <c r="O126" s="35" t="n"/>
    </row>
    <row r="127">
      <c r="A127" s="35" t="n"/>
      <c r="B127" s="35" t="n"/>
      <c r="C127" s="40" t="n"/>
      <c r="D127" s="40" t="n"/>
      <c r="E127" s="37" t="n"/>
      <c r="F127" s="35" t="n"/>
      <c r="G127" s="39">
        <f>IF(A127="","",SUMIFS(Payments!$D$5:$D$304,Payments!$C$5:$C$304,A127))</f>
        <v/>
      </c>
      <c r="H127" s="39">
        <f>IF(A127="","",E127-G127)</f>
        <v/>
      </c>
      <c r="I127" s="9">
        <f>IF(A127="","",IF(H127&lt;=0,"Paid",IF(AND(D127&lt;&gt;"",TODAY()&gt;D127+Settings!$B$13),"Overdue",IF(G127&gt;0,"Partial","Open"))))</f>
        <v/>
      </c>
      <c r="J127" s="9">
        <f>IF(A127="","",IF(I127="Overdue",TODAY()-D127,0))</f>
        <v/>
      </c>
      <c r="K127" s="9">
        <f>IF(A127="","",IF(H127&lt;=0,"Paid",IF(OR(D127="",TODAY()&lt;=D127),"Current",IF(TODAY()-D127&lt;=30,"1-30",IF(TODAY()-D127&lt;=60,"31-60",IF(TODAY()-D127&lt;=90,"61-90","90+"))))))</f>
        <v/>
      </c>
      <c r="L127" s="9">
        <f>IF(A127="","",IF(COUNTIF(Invoices!$A$5:$A$204,A127)&gt;1,"Duplicate invoice #",IF(B127="","Missing Job ID",IF(COUNTIF(Jobs!$A$5:$A$44,B127)=0,"Unknown Job ID",IF(D127="","Missing due date",IF(E127="","Missing amount",""))))))</f>
        <v/>
      </c>
      <c r="M127" s="9">
        <f>IF(A127="","",IFERROR(INDEX(Jobs!$B$5:$B$44,MATCH(B127,Jobs!$A$5:$A$44,0)),""))</f>
        <v/>
      </c>
      <c r="N127" s="9">
        <f>IF(AND(A127&lt;&gt;"",M127&lt;&gt;"",M127='Client Statement'!$L$2),COUNTIF(M$5:M127,'Client Statement'!$L$2),"")</f>
        <v/>
      </c>
      <c r="O127" s="35" t="n"/>
    </row>
    <row r="128">
      <c r="A128" s="35" t="n"/>
      <c r="B128" s="35" t="n"/>
      <c r="C128" s="40" t="n"/>
      <c r="D128" s="40" t="n"/>
      <c r="E128" s="37" t="n"/>
      <c r="F128" s="35" t="n"/>
      <c r="G128" s="39">
        <f>IF(A128="","",SUMIFS(Payments!$D$5:$D$304,Payments!$C$5:$C$304,A128))</f>
        <v/>
      </c>
      <c r="H128" s="39">
        <f>IF(A128="","",E128-G128)</f>
        <v/>
      </c>
      <c r="I128" s="9">
        <f>IF(A128="","",IF(H128&lt;=0,"Paid",IF(AND(D128&lt;&gt;"",TODAY()&gt;D128+Settings!$B$13),"Overdue",IF(G128&gt;0,"Partial","Open"))))</f>
        <v/>
      </c>
      <c r="J128" s="9">
        <f>IF(A128="","",IF(I128="Overdue",TODAY()-D128,0))</f>
        <v/>
      </c>
      <c r="K128" s="9">
        <f>IF(A128="","",IF(H128&lt;=0,"Paid",IF(OR(D128="",TODAY()&lt;=D128),"Current",IF(TODAY()-D128&lt;=30,"1-30",IF(TODAY()-D128&lt;=60,"31-60",IF(TODAY()-D128&lt;=90,"61-90","90+"))))))</f>
        <v/>
      </c>
      <c r="L128" s="9">
        <f>IF(A128="","",IF(COUNTIF(Invoices!$A$5:$A$204,A128)&gt;1,"Duplicate invoice #",IF(B128="","Missing Job ID",IF(COUNTIF(Jobs!$A$5:$A$44,B128)=0,"Unknown Job ID",IF(D128="","Missing due date",IF(E128="","Missing amount",""))))))</f>
        <v/>
      </c>
      <c r="M128" s="9">
        <f>IF(A128="","",IFERROR(INDEX(Jobs!$B$5:$B$44,MATCH(B128,Jobs!$A$5:$A$44,0)),""))</f>
        <v/>
      </c>
      <c r="N128" s="9">
        <f>IF(AND(A128&lt;&gt;"",M128&lt;&gt;"",M128='Client Statement'!$L$2),COUNTIF(M$5:M128,'Client Statement'!$L$2),"")</f>
        <v/>
      </c>
      <c r="O128" s="35" t="n"/>
    </row>
    <row r="129">
      <c r="A129" s="35" t="n"/>
      <c r="B129" s="35" t="n"/>
      <c r="C129" s="40" t="n"/>
      <c r="D129" s="40" t="n"/>
      <c r="E129" s="37" t="n"/>
      <c r="F129" s="35" t="n"/>
      <c r="G129" s="39">
        <f>IF(A129="","",SUMIFS(Payments!$D$5:$D$304,Payments!$C$5:$C$304,A129))</f>
        <v/>
      </c>
      <c r="H129" s="39">
        <f>IF(A129="","",E129-G129)</f>
        <v/>
      </c>
      <c r="I129" s="9">
        <f>IF(A129="","",IF(H129&lt;=0,"Paid",IF(AND(D129&lt;&gt;"",TODAY()&gt;D129+Settings!$B$13),"Overdue",IF(G129&gt;0,"Partial","Open"))))</f>
        <v/>
      </c>
      <c r="J129" s="9">
        <f>IF(A129="","",IF(I129="Overdue",TODAY()-D129,0))</f>
        <v/>
      </c>
      <c r="K129" s="9">
        <f>IF(A129="","",IF(H129&lt;=0,"Paid",IF(OR(D129="",TODAY()&lt;=D129),"Current",IF(TODAY()-D129&lt;=30,"1-30",IF(TODAY()-D129&lt;=60,"31-60",IF(TODAY()-D129&lt;=90,"61-90","90+"))))))</f>
        <v/>
      </c>
      <c r="L129" s="9">
        <f>IF(A129="","",IF(COUNTIF(Invoices!$A$5:$A$204,A129)&gt;1,"Duplicate invoice #",IF(B129="","Missing Job ID",IF(COUNTIF(Jobs!$A$5:$A$44,B129)=0,"Unknown Job ID",IF(D129="","Missing due date",IF(E129="","Missing amount",""))))))</f>
        <v/>
      </c>
      <c r="M129" s="9">
        <f>IF(A129="","",IFERROR(INDEX(Jobs!$B$5:$B$44,MATCH(B129,Jobs!$A$5:$A$44,0)),""))</f>
        <v/>
      </c>
      <c r="N129" s="9">
        <f>IF(AND(A129&lt;&gt;"",M129&lt;&gt;"",M129='Client Statement'!$L$2),COUNTIF(M$5:M129,'Client Statement'!$L$2),"")</f>
        <v/>
      </c>
      <c r="O129" s="35" t="n"/>
    </row>
    <row r="130">
      <c r="A130" s="35" t="n"/>
      <c r="B130" s="35" t="n"/>
      <c r="C130" s="40" t="n"/>
      <c r="D130" s="40" t="n"/>
      <c r="E130" s="37" t="n"/>
      <c r="F130" s="35" t="n"/>
      <c r="G130" s="39">
        <f>IF(A130="","",SUMIFS(Payments!$D$5:$D$304,Payments!$C$5:$C$304,A130))</f>
        <v/>
      </c>
      <c r="H130" s="39">
        <f>IF(A130="","",E130-G130)</f>
        <v/>
      </c>
      <c r="I130" s="9">
        <f>IF(A130="","",IF(H130&lt;=0,"Paid",IF(AND(D130&lt;&gt;"",TODAY()&gt;D130+Settings!$B$13),"Overdue",IF(G130&gt;0,"Partial","Open"))))</f>
        <v/>
      </c>
      <c r="J130" s="9">
        <f>IF(A130="","",IF(I130="Overdue",TODAY()-D130,0))</f>
        <v/>
      </c>
      <c r="K130" s="9">
        <f>IF(A130="","",IF(H130&lt;=0,"Paid",IF(OR(D130="",TODAY()&lt;=D130),"Current",IF(TODAY()-D130&lt;=30,"1-30",IF(TODAY()-D130&lt;=60,"31-60",IF(TODAY()-D130&lt;=90,"61-90","90+"))))))</f>
        <v/>
      </c>
      <c r="L130" s="9">
        <f>IF(A130="","",IF(COUNTIF(Invoices!$A$5:$A$204,A130)&gt;1,"Duplicate invoice #",IF(B130="","Missing Job ID",IF(COUNTIF(Jobs!$A$5:$A$44,B130)=0,"Unknown Job ID",IF(D130="","Missing due date",IF(E130="","Missing amount",""))))))</f>
        <v/>
      </c>
      <c r="M130" s="9">
        <f>IF(A130="","",IFERROR(INDEX(Jobs!$B$5:$B$44,MATCH(B130,Jobs!$A$5:$A$44,0)),""))</f>
        <v/>
      </c>
      <c r="N130" s="9">
        <f>IF(AND(A130&lt;&gt;"",M130&lt;&gt;"",M130='Client Statement'!$L$2),COUNTIF(M$5:M130,'Client Statement'!$L$2),"")</f>
        <v/>
      </c>
      <c r="O130" s="35" t="n"/>
    </row>
    <row r="131">
      <c r="A131" s="35" t="n"/>
      <c r="B131" s="35" t="n"/>
      <c r="C131" s="40" t="n"/>
      <c r="D131" s="40" t="n"/>
      <c r="E131" s="37" t="n"/>
      <c r="F131" s="35" t="n"/>
      <c r="G131" s="39">
        <f>IF(A131="","",SUMIFS(Payments!$D$5:$D$304,Payments!$C$5:$C$304,A131))</f>
        <v/>
      </c>
      <c r="H131" s="39">
        <f>IF(A131="","",E131-G131)</f>
        <v/>
      </c>
      <c r="I131" s="9">
        <f>IF(A131="","",IF(H131&lt;=0,"Paid",IF(AND(D131&lt;&gt;"",TODAY()&gt;D131+Settings!$B$13),"Overdue",IF(G131&gt;0,"Partial","Open"))))</f>
        <v/>
      </c>
      <c r="J131" s="9">
        <f>IF(A131="","",IF(I131="Overdue",TODAY()-D131,0))</f>
        <v/>
      </c>
      <c r="K131" s="9">
        <f>IF(A131="","",IF(H131&lt;=0,"Paid",IF(OR(D131="",TODAY()&lt;=D131),"Current",IF(TODAY()-D131&lt;=30,"1-30",IF(TODAY()-D131&lt;=60,"31-60",IF(TODAY()-D131&lt;=90,"61-90","90+"))))))</f>
        <v/>
      </c>
      <c r="L131" s="9">
        <f>IF(A131="","",IF(COUNTIF(Invoices!$A$5:$A$204,A131)&gt;1,"Duplicate invoice #",IF(B131="","Missing Job ID",IF(COUNTIF(Jobs!$A$5:$A$44,B131)=0,"Unknown Job ID",IF(D131="","Missing due date",IF(E131="","Missing amount",""))))))</f>
        <v/>
      </c>
      <c r="M131" s="9">
        <f>IF(A131="","",IFERROR(INDEX(Jobs!$B$5:$B$44,MATCH(B131,Jobs!$A$5:$A$44,0)),""))</f>
        <v/>
      </c>
      <c r="N131" s="9">
        <f>IF(AND(A131&lt;&gt;"",M131&lt;&gt;"",M131='Client Statement'!$L$2),COUNTIF(M$5:M131,'Client Statement'!$L$2),"")</f>
        <v/>
      </c>
      <c r="O131" s="35" t="n"/>
    </row>
    <row r="132">
      <c r="A132" s="35" t="n"/>
      <c r="B132" s="35" t="n"/>
      <c r="C132" s="40" t="n"/>
      <c r="D132" s="40" t="n"/>
      <c r="E132" s="37" t="n"/>
      <c r="F132" s="35" t="n"/>
      <c r="G132" s="39">
        <f>IF(A132="","",SUMIFS(Payments!$D$5:$D$304,Payments!$C$5:$C$304,A132))</f>
        <v/>
      </c>
      <c r="H132" s="39">
        <f>IF(A132="","",E132-G132)</f>
        <v/>
      </c>
      <c r="I132" s="9">
        <f>IF(A132="","",IF(H132&lt;=0,"Paid",IF(AND(D132&lt;&gt;"",TODAY()&gt;D132+Settings!$B$13),"Overdue",IF(G132&gt;0,"Partial","Open"))))</f>
        <v/>
      </c>
      <c r="J132" s="9">
        <f>IF(A132="","",IF(I132="Overdue",TODAY()-D132,0))</f>
        <v/>
      </c>
      <c r="K132" s="9">
        <f>IF(A132="","",IF(H132&lt;=0,"Paid",IF(OR(D132="",TODAY()&lt;=D132),"Current",IF(TODAY()-D132&lt;=30,"1-30",IF(TODAY()-D132&lt;=60,"31-60",IF(TODAY()-D132&lt;=90,"61-90","90+"))))))</f>
        <v/>
      </c>
      <c r="L132" s="9">
        <f>IF(A132="","",IF(COUNTIF(Invoices!$A$5:$A$204,A132)&gt;1,"Duplicate invoice #",IF(B132="","Missing Job ID",IF(COUNTIF(Jobs!$A$5:$A$44,B132)=0,"Unknown Job ID",IF(D132="","Missing due date",IF(E132="","Missing amount",""))))))</f>
        <v/>
      </c>
      <c r="M132" s="9">
        <f>IF(A132="","",IFERROR(INDEX(Jobs!$B$5:$B$44,MATCH(B132,Jobs!$A$5:$A$44,0)),""))</f>
        <v/>
      </c>
      <c r="N132" s="9">
        <f>IF(AND(A132&lt;&gt;"",M132&lt;&gt;"",M132='Client Statement'!$L$2),COUNTIF(M$5:M132,'Client Statement'!$L$2),"")</f>
        <v/>
      </c>
      <c r="O132" s="35" t="n"/>
    </row>
    <row r="133">
      <c r="A133" s="35" t="n"/>
      <c r="B133" s="35" t="n"/>
      <c r="C133" s="40" t="n"/>
      <c r="D133" s="40" t="n"/>
      <c r="E133" s="37" t="n"/>
      <c r="F133" s="35" t="n"/>
      <c r="G133" s="39">
        <f>IF(A133="","",SUMIFS(Payments!$D$5:$D$304,Payments!$C$5:$C$304,A133))</f>
        <v/>
      </c>
      <c r="H133" s="39">
        <f>IF(A133="","",E133-G133)</f>
        <v/>
      </c>
      <c r="I133" s="9">
        <f>IF(A133="","",IF(H133&lt;=0,"Paid",IF(AND(D133&lt;&gt;"",TODAY()&gt;D133+Settings!$B$13),"Overdue",IF(G133&gt;0,"Partial","Open"))))</f>
        <v/>
      </c>
      <c r="J133" s="9">
        <f>IF(A133="","",IF(I133="Overdue",TODAY()-D133,0))</f>
        <v/>
      </c>
      <c r="K133" s="9">
        <f>IF(A133="","",IF(H133&lt;=0,"Paid",IF(OR(D133="",TODAY()&lt;=D133),"Current",IF(TODAY()-D133&lt;=30,"1-30",IF(TODAY()-D133&lt;=60,"31-60",IF(TODAY()-D133&lt;=90,"61-90","90+"))))))</f>
        <v/>
      </c>
      <c r="L133" s="9">
        <f>IF(A133="","",IF(COUNTIF(Invoices!$A$5:$A$204,A133)&gt;1,"Duplicate invoice #",IF(B133="","Missing Job ID",IF(COUNTIF(Jobs!$A$5:$A$44,B133)=0,"Unknown Job ID",IF(D133="","Missing due date",IF(E133="","Missing amount",""))))))</f>
        <v/>
      </c>
      <c r="M133" s="9">
        <f>IF(A133="","",IFERROR(INDEX(Jobs!$B$5:$B$44,MATCH(B133,Jobs!$A$5:$A$44,0)),""))</f>
        <v/>
      </c>
      <c r="N133" s="9">
        <f>IF(AND(A133&lt;&gt;"",M133&lt;&gt;"",M133='Client Statement'!$L$2),COUNTIF(M$5:M133,'Client Statement'!$L$2),"")</f>
        <v/>
      </c>
      <c r="O133" s="35" t="n"/>
    </row>
    <row r="134">
      <c r="A134" s="35" t="n"/>
      <c r="B134" s="35" t="n"/>
      <c r="C134" s="40" t="n"/>
      <c r="D134" s="40" t="n"/>
      <c r="E134" s="37" t="n"/>
      <c r="F134" s="35" t="n"/>
      <c r="G134" s="39">
        <f>IF(A134="","",SUMIFS(Payments!$D$5:$D$304,Payments!$C$5:$C$304,A134))</f>
        <v/>
      </c>
      <c r="H134" s="39">
        <f>IF(A134="","",E134-G134)</f>
        <v/>
      </c>
      <c r="I134" s="9">
        <f>IF(A134="","",IF(H134&lt;=0,"Paid",IF(AND(D134&lt;&gt;"",TODAY()&gt;D134+Settings!$B$13),"Overdue",IF(G134&gt;0,"Partial","Open"))))</f>
        <v/>
      </c>
      <c r="J134" s="9">
        <f>IF(A134="","",IF(I134="Overdue",TODAY()-D134,0))</f>
        <v/>
      </c>
      <c r="K134" s="9">
        <f>IF(A134="","",IF(H134&lt;=0,"Paid",IF(OR(D134="",TODAY()&lt;=D134),"Current",IF(TODAY()-D134&lt;=30,"1-30",IF(TODAY()-D134&lt;=60,"31-60",IF(TODAY()-D134&lt;=90,"61-90","90+"))))))</f>
        <v/>
      </c>
      <c r="L134" s="9">
        <f>IF(A134="","",IF(COUNTIF(Invoices!$A$5:$A$204,A134)&gt;1,"Duplicate invoice #",IF(B134="","Missing Job ID",IF(COUNTIF(Jobs!$A$5:$A$44,B134)=0,"Unknown Job ID",IF(D134="","Missing due date",IF(E134="","Missing amount",""))))))</f>
        <v/>
      </c>
      <c r="M134" s="9">
        <f>IF(A134="","",IFERROR(INDEX(Jobs!$B$5:$B$44,MATCH(B134,Jobs!$A$5:$A$44,0)),""))</f>
        <v/>
      </c>
      <c r="N134" s="9">
        <f>IF(AND(A134&lt;&gt;"",M134&lt;&gt;"",M134='Client Statement'!$L$2),COUNTIF(M$5:M134,'Client Statement'!$L$2),"")</f>
        <v/>
      </c>
      <c r="O134" s="35" t="n"/>
    </row>
    <row r="135">
      <c r="A135" s="35" t="n"/>
      <c r="B135" s="35" t="n"/>
      <c r="C135" s="40" t="n"/>
      <c r="D135" s="40" t="n"/>
      <c r="E135" s="37" t="n"/>
      <c r="F135" s="35" t="n"/>
      <c r="G135" s="39">
        <f>IF(A135="","",SUMIFS(Payments!$D$5:$D$304,Payments!$C$5:$C$304,A135))</f>
        <v/>
      </c>
      <c r="H135" s="39">
        <f>IF(A135="","",E135-G135)</f>
        <v/>
      </c>
      <c r="I135" s="9">
        <f>IF(A135="","",IF(H135&lt;=0,"Paid",IF(AND(D135&lt;&gt;"",TODAY()&gt;D135+Settings!$B$13),"Overdue",IF(G135&gt;0,"Partial","Open"))))</f>
        <v/>
      </c>
      <c r="J135" s="9">
        <f>IF(A135="","",IF(I135="Overdue",TODAY()-D135,0))</f>
        <v/>
      </c>
      <c r="K135" s="9">
        <f>IF(A135="","",IF(H135&lt;=0,"Paid",IF(OR(D135="",TODAY()&lt;=D135),"Current",IF(TODAY()-D135&lt;=30,"1-30",IF(TODAY()-D135&lt;=60,"31-60",IF(TODAY()-D135&lt;=90,"61-90","90+"))))))</f>
        <v/>
      </c>
      <c r="L135" s="9">
        <f>IF(A135="","",IF(COUNTIF(Invoices!$A$5:$A$204,A135)&gt;1,"Duplicate invoice #",IF(B135="","Missing Job ID",IF(COUNTIF(Jobs!$A$5:$A$44,B135)=0,"Unknown Job ID",IF(D135="","Missing due date",IF(E135="","Missing amount",""))))))</f>
        <v/>
      </c>
      <c r="M135" s="9">
        <f>IF(A135="","",IFERROR(INDEX(Jobs!$B$5:$B$44,MATCH(B135,Jobs!$A$5:$A$44,0)),""))</f>
        <v/>
      </c>
      <c r="N135" s="9">
        <f>IF(AND(A135&lt;&gt;"",M135&lt;&gt;"",M135='Client Statement'!$L$2),COUNTIF(M$5:M135,'Client Statement'!$L$2),"")</f>
        <v/>
      </c>
      <c r="O135" s="35" t="n"/>
    </row>
    <row r="136">
      <c r="A136" s="35" t="n"/>
      <c r="B136" s="35" t="n"/>
      <c r="C136" s="40" t="n"/>
      <c r="D136" s="40" t="n"/>
      <c r="E136" s="37" t="n"/>
      <c r="F136" s="35" t="n"/>
      <c r="G136" s="39">
        <f>IF(A136="","",SUMIFS(Payments!$D$5:$D$304,Payments!$C$5:$C$304,A136))</f>
        <v/>
      </c>
      <c r="H136" s="39">
        <f>IF(A136="","",E136-G136)</f>
        <v/>
      </c>
      <c r="I136" s="9">
        <f>IF(A136="","",IF(H136&lt;=0,"Paid",IF(AND(D136&lt;&gt;"",TODAY()&gt;D136+Settings!$B$13),"Overdue",IF(G136&gt;0,"Partial","Open"))))</f>
        <v/>
      </c>
      <c r="J136" s="9">
        <f>IF(A136="","",IF(I136="Overdue",TODAY()-D136,0))</f>
        <v/>
      </c>
      <c r="K136" s="9">
        <f>IF(A136="","",IF(H136&lt;=0,"Paid",IF(OR(D136="",TODAY()&lt;=D136),"Current",IF(TODAY()-D136&lt;=30,"1-30",IF(TODAY()-D136&lt;=60,"31-60",IF(TODAY()-D136&lt;=90,"61-90","90+"))))))</f>
        <v/>
      </c>
      <c r="L136" s="9">
        <f>IF(A136="","",IF(COUNTIF(Invoices!$A$5:$A$204,A136)&gt;1,"Duplicate invoice #",IF(B136="","Missing Job ID",IF(COUNTIF(Jobs!$A$5:$A$44,B136)=0,"Unknown Job ID",IF(D136="","Missing due date",IF(E136="","Missing amount",""))))))</f>
        <v/>
      </c>
      <c r="M136" s="9">
        <f>IF(A136="","",IFERROR(INDEX(Jobs!$B$5:$B$44,MATCH(B136,Jobs!$A$5:$A$44,0)),""))</f>
        <v/>
      </c>
      <c r="N136" s="9">
        <f>IF(AND(A136&lt;&gt;"",M136&lt;&gt;"",M136='Client Statement'!$L$2),COUNTIF(M$5:M136,'Client Statement'!$L$2),"")</f>
        <v/>
      </c>
      <c r="O136" s="35" t="n"/>
    </row>
    <row r="137">
      <c r="A137" s="35" t="n"/>
      <c r="B137" s="35" t="n"/>
      <c r="C137" s="40" t="n"/>
      <c r="D137" s="40" t="n"/>
      <c r="E137" s="37" t="n"/>
      <c r="F137" s="35" t="n"/>
      <c r="G137" s="39">
        <f>IF(A137="","",SUMIFS(Payments!$D$5:$D$304,Payments!$C$5:$C$304,A137))</f>
        <v/>
      </c>
      <c r="H137" s="39">
        <f>IF(A137="","",E137-G137)</f>
        <v/>
      </c>
      <c r="I137" s="9">
        <f>IF(A137="","",IF(H137&lt;=0,"Paid",IF(AND(D137&lt;&gt;"",TODAY()&gt;D137+Settings!$B$13),"Overdue",IF(G137&gt;0,"Partial","Open"))))</f>
        <v/>
      </c>
      <c r="J137" s="9">
        <f>IF(A137="","",IF(I137="Overdue",TODAY()-D137,0))</f>
        <v/>
      </c>
      <c r="K137" s="9">
        <f>IF(A137="","",IF(H137&lt;=0,"Paid",IF(OR(D137="",TODAY()&lt;=D137),"Current",IF(TODAY()-D137&lt;=30,"1-30",IF(TODAY()-D137&lt;=60,"31-60",IF(TODAY()-D137&lt;=90,"61-90","90+"))))))</f>
        <v/>
      </c>
      <c r="L137" s="9">
        <f>IF(A137="","",IF(COUNTIF(Invoices!$A$5:$A$204,A137)&gt;1,"Duplicate invoice #",IF(B137="","Missing Job ID",IF(COUNTIF(Jobs!$A$5:$A$44,B137)=0,"Unknown Job ID",IF(D137="","Missing due date",IF(E137="","Missing amount",""))))))</f>
        <v/>
      </c>
      <c r="M137" s="9">
        <f>IF(A137="","",IFERROR(INDEX(Jobs!$B$5:$B$44,MATCH(B137,Jobs!$A$5:$A$44,0)),""))</f>
        <v/>
      </c>
      <c r="N137" s="9">
        <f>IF(AND(A137&lt;&gt;"",M137&lt;&gt;"",M137='Client Statement'!$L$2),COUNTIF(M$5:M137,'Client Statement'!$L$2),"")</f>
        <v/>
      </c>
      <c r="O137" s="35" t="n"/>
    </row>
    <row r="138">
      <c r="A138" s="35" t="n"/>
      <c r="B138" s="35" t="n"/>
      <c r="C138" s="40" t="n"/>
      <c r="D138" s="40" t="n"/>
      <c r="E138" s="37" t="n"/>
      <c r="F138" s="35" t="n"/>
      <c r="G138" s="39">
        <f>IF(A138="","",SUMIFS(Payments!$D$5:$D$304,Payments!$C$5:$C$304,A138))</f>
        <v/>
      </c>
      <c r="H138" s="39">
        <f>IF(A138="","",E138-G138)</f>
        <v/>
      </c>
      <c r="I138" s="9">
        <f>IF(A138="","",IF(H138&lt;=0,"Paid",IF(AND(D138&lt;&gt;"",TODAY()&gt;D138+Settings!$B$13),"Overdue",IF(G138&gt;0,"Partial","Open"))))</f>
        <v/>
      </c>
      <c r="J138" s="9">
        <f>IF(A138="","",IF(I138="Overdue",TODAY()-D138,0))</f>
        <v/>
      </c>
      <c r="K138" s="9">
        <f>IF(A138="","",IF(H138&lt;=0,"Paid",IF(OR(D138="",TODAY()&lt;=D138),"Current",IF(TODAY()-D138&lt;=30,"1-30",IF(TODAY()-D138&lt;=60,"31-60",IF(TODAY()-D138&lt;=90,"61-90","90+"))))))</f>
        <v/>
      </c>
      <c r="L138" s="9">
        <f>IF(A138="","",IF(COUNTIF(Invoices!$A$5:$A$204,A138)&gt;1,"Duplicate invoice #",IF(B138="","Missing Job ID",IF(COUNTIF(Jobs!$A$5:$A$44,B138)=0,"Unknown Job ID",IF(D138="","Missing due date",IF(E138="","Missing amount",""))))))</f>
        <v/>
      </c>
      <c r="M138" s="9">
        <f>IF(A138="","",IFERROR(INDEX(Jobs!$B$5:$B$44,MATCH(B138,Jobs!$A$5:$A$44,0)),""))</f>
        <v/>
      </c>
      <c r="N138" s="9">
        <f>IF(AND(A138&lt;&gt;"",M138&lt;&gt;"",M138='Client Statement'!$L$2),COUNTIF(M$5:M138,'Client Statement'!$L$2),"")</f>
        <v/>
      </c>
      <c r="O138" s="35" t="n"/>
    </row>
    <row r="139">
      <c r="A139" s="35" t="n"/>
      <c r="B139" s="35" t="n"/>
      <c r="C139" s="40" t="n"/>
      <c r="D139" s="40" t="n"/>
      <c r="E139" s="37" t="n"/>
      <c r="F139" s="35" t="n"/>
      <c r="G139" s="39">
        <f>IF(A139="","",SUMIFS(Payments!$D$5:$D$304,Payments!$C$5:$C$304,A139))</f>
        <v/>
      </c>
      <c r="H139" s="39">
        <f>IF(A139="","",E139-G139)</f>
        <v/>
      </c>
      <c r="I139" s="9">
        <f>IF(A139="","",IF(H139&lt;=0,"Paid",IF(AND(D139&lt;&gt;"",TODAY()&gt;D139+Settings!$B$13),"Overdue",IF(G139&gt;0,"Partial","Open"))))</f>
        <v/>
      </c>
      <c r="J139" s="9">
        <f>IF(A139="","",IF(I139="Overdue",TODAY()-D139,0))</f>
        <v/>
      </c>
      <c r="K139" s="9">
        <f>IF(A139="","",IF(H139&lt;=0,"Paid",IF(OR(D139="",TODAY()&lt;=D139),"Current",IF(TODAY()-D139&lt;=30,"1-30",IF(TODAY()-D139&lt;=60,"31-60",IF(TODAY()-D139&lt;=90,"61-90","90+"))))))</f>
        <v/>
      </c>
      <c r="L139" s="9">
        <f>IF(A139="","",IF(COUNTIF(Invoices!$A$5:$A$204,A139)&gt;1,"Duplicate invoice #",IF(B139="","Missing Job ID",IF(COUNTIF(Jobs!$A$5:$A$44,B139)=0,"Unknown Job ID",IF(D139="","Missing due date",IF(E139="","Missing amount",""))))))</f>
        <v/>
      </c>
      <c r="M139" s="9">
        <f>IF(A139="","",IFERROR(INDEX(Jobs!$B$5:$B$44,MATCH(B139,Jobs!$A$5:$A$44,0)),""))</f>
        <v/>
      </c>
      <c r="N139" s="9">
        <f>IF(AND(A139&lt;&gt;"",M139&lt;&gt;"",M139='Client Statement'!$L$2),COUNTIF(M$5:M139,'Client Statement'!$L$2),"")</f>
        <v/>
      </c>
      <c r="O139" s="35" t="n"/>
    </row>
    <row r="140">
      <c r="A140" s="35" t="n"/>
      <c r="B140" s="35" t="n"/>
      <c r="C140" s="40" t="n"/>
      <c r="D140" s="40" t="n"/>
      <c r="E140" s="37" t="n"/>
      <c r="F140" s="35" t="n"/>
      <c r="G140" s="39">
        <f>IF(A140="","",SUMIFS(Payments!$D$5:$D$304,Payments!$C$5:$C$304,A140))</f>
        <v/>
      </c>
      <c r="H140" s="39">
        <f>IF(A140="","",E140-G140)</f>
        <v/>
      </c>
      <c r="I140" s="9">
        <f>IF(A140="","",IF(H140&lt;=0,"Paid",IF(AND(D140&lt;&gt;"",TODAY()&gt;D140+Settings!$B$13),"Overdue",IF(G140&gt;0,"Partial","Open"))))</f>
        <v/>
      </c>
      <c r="J140" s="9">
        <f>IF(A140="","",IF(I140="Overdue",TODAY()-D140,0))</f>
        <v/>
      </c>
      <c r="K140" s="9">
        <f>IF(A140="","",IF(H140&lt;=0,"Paid",IF(OR(D140="",TODAY()&lt;=D140),"Current",IF(TODAY()-D140&lt;=30,"1-30",IF(TODAY()-D140&lt;=60,"31-60",IF(TODAY()-D140&lt;=90,"61-90","90+"))))))</f>
        <v/>
      </c>
      <c r="L140" s="9">
        <f>IF(A140="","",IF(COUNTIF(Invoices!$A$5:$A$204,A140)&gt;1,"Duplicate invoice #",IF(B140="","Missing Job ID",IF(COUNTIF(Jobs!$A$5:$A$44,B140)=0,"Unknown Job ID",IF(D140="","Missing due date",IF(E140="","Missing amount",""))))))</f>
        <v/>
      </c>
      <c r="M140" s="9">
        <f>IF(A140="","",IFERROR(INDEX(Jobs!$B$5:$B$44,MATCH(B140,Jobs!$A$5:$A$44,0)),""))</f>
        <v/>
      </c>
      <c r="N140" s="9">
        <f>IF(AND(A140&lt;&gt;"",M140&lt;&gt;"",M140='Client Statement'!$L$2),COUNTIF(M$5:M140,'Client Statement'!$L$2),"")</f>
        <v/>
      </c>
      <c r="O140" s="35" t="n"/>
    </row>
    <row r="141">
      <c r="A141" s="35" t="n"/>
      <c r="B141" s="35" t="n"/>
      <c r="C141" s="40" t="n"/>
      <c r="D141" s="40" t="n"/>
      <c r="E141" s="37" t="n"/>
      <c r="F141" s="35" t="n"/>
      <c r="G141" s="39">
        <f>IF(A141="","",SUMIFS(Payments!$D$5:$D$304,Payments!$C$5:$C$304,A141))</f>
        <v/>
      </c>
      <c r="H141" s="39">
        <f>IF(A141="","",E141-G141)</f>
        <v/>
      </c>
      <c r="I141" s="9">
        <f>IF(A141="","",IF(H141&lt;=0,"Paid",IF(AND(D141&lt;&gt;"",TODAY()&gt;D141+Settings!$B$13),"Overdue",IF(G141&gt;0,"Partial","Open"))))</f>
        <v/>
      </c>
      <c r="J141" s="9">
        <f>IF(A141="","",IF(I141="Overdue",TODAY()-D141,0))</f>
        <v/>
      </c>
      <c r="K141" s="9">
        <f>IF(A141="","",IF(H141&lt;=0,"Paid",IF(OR(D141="",TODAY()&lt;=D141),"Current",IF(TODAY()-D141&lt;=30,"1-30",IF(TODAY()-D141&lt;=60,"31-60",IF(TODAY()-D141&lt;=90,"61-90","90+"))))))</f>
        <v/>
      </c>
      <c r="L141" s="9">
        <f>IF(A141="","",IF(COUNTIF(Invoices!$A$5:$A$204,A141)&gt;1,"Duplicate invoice #",IF(B141="","Missing Job ID",IF(COUNTIF(Jobs!$A$5:$A$44,B141)=0,"Unknown Job ID",IF(D141="","Missing due date",IF(E141="","Missing amount",""))))))</f>
        <v/>
      </c>
      <c r="M141" s="9">
        <f>IF(A141="","",IFERROR(INDEX(Jobs!$B$5:$B$44,MATCH(B141,Jobs!$A$5:$A$44,0)),""))</f>
        <v/>
      </c>
      <c r="N141" s="9">
        <f>IF(AND(A141&lt;&gt;"",M141&lt;&gt;"",M141='Client Statement'!$L$2),COUNTIF(M$5:M141,'Client Statement'!$L$2),"")</f>
        <v/>
      </c>
      <c r="O141" s="35" t="n"/>
    </row>
    <row r="142">
      <c r="A142" s="35" t="n"/>
      <c r="B142" s="35" t="n"/>
      <c r="C142" s="40" t="n"/>
      <c r="D142" s="40" t="n"/>
      <c r="E142" s="37" t="n"/>
      <c r="F142" s="35" t="n"/>
      <c r="G142" s="39">
        <f>IF(A142="","",SUMIFS(Payments!$D$5:$D$304,Payments!$C$5:$C$304,A142))</f>
        <v/>
      </c>
      <c r="H142" s="39">
        <f>IF(A142="","",E142-G142)</f>
        <v/>
      </c>
      <c r="I142" s="9">
        <f>IF(A142="","",IF(H142&lt;=0,"Paid",IF(AND(D142&lt;&gt;"",TODAY()&gt;D142+Settings!$B$13),"Overdue",IF(G142&gt;0,"Partial","Open"))))</f>
        <v/>
      </c>
      <c r="J142" s="9">
        <f>IF(A142="","",IF(I142="Overdue",TODAY()-D142,0))</f>
        <v/>
      </c>
      <c r="K142" s="9">
        <f>IF(A142="","",IF(H142&lt;=0,"Paid",IF(OR(D142="",TODAY()&lt;=D142),"Current",IF(TODAY()-D142&lt;=30,"1-30",IF(TODAY()-D142&lt;=60,"31-60",IF(TODAY()-D142&lt;=90,"61-90","90+"))))))</f>
        <v/>
      </c>
      <c r="L142" s="9">
        <f>IF(A142="","",IF(COUNTIF(Invoices!$A$5:$A$204,A142)&gt;1,"Duplicate invoice #",IF(B142="","Missing Job ID",IF(COUNTIF(Jobs!$A$5:$A$44,B142)=0,"Unknown Job ID",IF(D142="","Missing due date",IF(E142="","Missing amount",""))))))</f>
        <v/>
      </c>
      <c r="M142" s="9">
        <f>IF(A142="","",IFERROR(INDEX(Jobs!$B$5:$B$44,MATCH(B142,Jobs!$A$5:$A$44,0)),""))</f>
        <v/>
      </c>
      <c r="N142" s="9">
        <f>IF(AND(A142&lt;&gt;"",M142&lt;&gt;"",M142='Client Statement'!$L$2),COUNTIF(M$5:M142,'Client Statement'!$L$2),"")</f>
        <v/>
      </c>
      <c r="O142" s="35" t="n"/>
    </row>
    <row r="143">
      <c r="A143" s="35" t="n"/>
      <c r="B143" s="35" t="n"/>
      <c r="C143" s="40" t="n"/>
      <c r="D143" s="40" t="n"/>
      <c r="E143" s="37" t="n"/>
      <c r="F143" s="35" t="n"/>
      <c r="G143" s="39">
        <f>IF(A143="","",SUMIFS(Payments!$D$5:$D$304,Payments!$C$5:$C$304,A143))</f>
        <v/>
      </c>
      <c r="H143" s="39">
        <f>IF(A143="","",E143-G143)</f>
        <v/>
      </c>
      <c r="I143" s="9">
        <f>IF(A143="","",IF(H143&lt;=0,"Paid",IF(AND(D143&lt;&gt;"",TODAY()&gt;D143+Settings!$B$13),"Overdue",IF(G143&gt;0,"Partial","Open"))))</f>
        <v/>
      </c>
      <c r="J143" s="9">
        <f>IF(A143="","",IF(I143="Overdue",TODAY()-D143,0))</f>
        <v/>
      </c>
      <c r="K143" s="9">
        <f>IF(A143="","",IF(H143&lt;=0,"Paid",IF(OR(D143="",TODAY()&lt;=D143),"Current",IF(TODAY()-D143&lt;=30,"1-30",IF(TODAY()-D143&lt;=60,"31-60",IF(TODAY()-D143&lt;=90,"61-90","90+"))))))</f>
        <v/>
      </c>
      <c r="L143" s="9">
        <f>IF(A143="","",IF(COUNTIF(Invoices!$A$5:$A$204,A143)&gt;1,"Duplicate invoice #",IF(B143="","Missing Job ID",IF(COUNTIF(Jobs!$A$5:$A$44,B143)=0,"Unknown Job ID",IF(D143="","Missing due date",IF(E143="","Missing amount",""))))))</f>
        <v/>
      </c>
      <c r="M143" s="9">
        <f>IF(A143="","",IFERROR(INDEX(Jobs!$B$5:$B$44,MATCH(B143,Jobs!$A$5:$A$44,0)),""))</f>
        <v/>
      </c>
      <c r="N143" s="9">
        <f>IF(AND(A143&lt;&gt;"",M143&lt;&gt;"",M143='Client Statement'!$L$2),COUNTIF(M$5:M143,'Client Statement'!$L$2),"")</f>
        <v/>
      </c>
      <c r="O143" s="35" t="n"/>
    </row>
    <row r="144">
      <c r="A144" s="35" t="n"/>
      <c r="B144" s="35" t="n"/>
      <c r="C144" s="40" t="n"/>
      <c r="D144" s="40" t="n"/>
      <c r="E144" s="37" t="n"/>
      <c r="F144" s="35" t="n"/>
      <c r="G144" s="39">
        <f>IF(A144="","",SUMIFS(Payments!$D$5:$D$304,Payments!$C$5:$C$304,A144))</f>
        <v/>
      </c>
      <c r="H144" s="39">
        <f>IF(A144="","",E144-G144)</f>
        <v/>
      </c>
      <c r="I144" s="9">
        <f>IF(A144="","",IF(H144&lt;=0,"Paid",IF(AND(D144&lt;&gt;"",TODAY()&gt;D144+Settings!$B$13),"Overdue",IF(G144&gt;0,"Partial","Open"))))</f>
        <v/>
      </c>
      <c r="J144" s="9">
        <f>IF(A144="","",IF(I144="Overdue",TODAY()-D144,0))</f>
        <v/>
      </c>
      <c r="K144" s="9">
        <f>IF(A144="","",IF(H144&lt;=0,"Paid",IF(OR(D144="",TODAY()&lt;=D144),"Current",IF(TODAY()-D144&lt;=30,"1-30",IF(TODAY()-D144&lt;=60,"31-60",IF(TODAY()-D144&lt;=90,"61-90","90+"))))))</f>
        <v/>
      </c>
      <c r="L144" s="9">
        <f>IF(A144="","",IF(COUNTIF(Invoices!$A$5:$A$204,A144)&gt;1,"Duplicate invoice #",IF(B144="","Missing Job ID",IF(COUNTIF(Jobs!$A$5:$A$44,B144)=0,"Unknown Job ID",IF(D144="","Missing due date",IF(E144="","Missing amount",""))))))</f>
        <v/>
      </c>
      <c r="M144" s="9">
        <f>IF(A144="","",IFERROR(INDEX(Jobs!$B$5:$B$44,MATCH(B144,Jobs!$A$5:$A$44,0)),""))</f>
        <v/>
      </c>
      <c r="N144" s="9">
        <f>IF(AND(A144&lt;&gt;"",M144&lt;&gt;"",M144='Client Statement'!$L$2),COUNTIF(M$5:M144,'Client Statement'!$L$2),"")</f>
        <v/>
      </c>
      <c r="O144" s="35" t="n"/>
    </row>
    <row r="145">
      <c r="A145" s="35" t="n"/>
      <c r="B145" s="35" t="n"/>
      <c r="C145" s="40" t="n"/>
      <c r="D145" s="40" t="n"/>
      <c r="E145" s="37" t="n"/>
      <c r="F145" s="35" t="n"/>
      <c r="G145" s="39">
        <f>IF(A145="","",SUMIFS(Payments!$D$5:$D$304,Payments!$C$5:$C$304,A145))</f>
        <v/>
      </c>
      <c r="H145" s="39">
        <f>IF(A145="","",E145-G145)</f>
        <v/>
      </c>
      <c r="I145" s="9">
        <f>IF(A145="","",IF(H145&lt;=0,"Paid",IF(AND(D145&lt;&gt;"",TODAY()&gt;D145+Settings!$B$13),"Overdue",IF(G145&gt;0,"Partial","Open"))))</f>
        <v/>
      </c>
      <c r="J145" s="9">
        <f>IF(A145="","",IF(I145="Overdue",TODAY()-D145,0))</f>
        <v/>
      </c>
      <c r="K145" s="9">
        <f>IF(A145="","",IF(H145&lt;=0,"Paid",IF(OR(D145="",TODAY()&lt;=D145),"Current",IF(TODAY()-D145&lt;=30,"1-30",IF(TODAY()-D145&lt;=60,"31-60",IF(TODAY()-D145&lt;=90,"61-90","90+"))))))</f>
        <v/>
      </c>
      <c r="L145" s="9">
        <f>IF(A145="","",IF(COUNTIF(Invoices!$A$5:$A$204,A145)&gt;1,"Duplicate invoice #",IF(B145="","Missing Job ID",IF(COUNTIF(Jobs!$A$5:$A$44,B145)=0,"Unknown Job ID",IF(D145="","Missing due date",IF(E145="","Missing amount",""))))))</f>
        <v/>
      </c>
      <c r="M145" s="9">
        <f>IF(A145="","",IFERROR(INDEX(Jobs!$B$5:$B$44,MATCH(B145,Jobs!$A$5:$A$44,0)),""))</f>
        <v/>
      </c>
      <c r="N145" s="9">
        <f>IF(AND(A145&lt;&gt;"",M145&lt;&gt;"",M145='Client Statement'!$L$2),COUNTIF(M$5:M145,'Client Statement'!$L$2),"")</f>
        <v/>
      </c>
      <c r="O145" s="35" t="n"/>
    </row>
    <row r="146">
      <c r="A146" s="35" t="n"/>
      <c r="B146" s="35" t="n"/>
      <c r="C146" s="40" t="n"/>
      <c r="D146" s="40" t="n"/>
      <c r="E146" s="37" t="n"/>
      <c r="F146" s="35" t="n"/>
      <c r="G146" s="39">
        <f>IF(A146="","",SUMIFS(Payments!$D$5:$D$304,Payments!$C$5:$C$304,A146))</f>
        <v/>
      </c>
      <c r="H146" s="39">
        <f>IF(A146="","",E146-G146)</f>
        <v/>
      </c>
      <c r="I146" s="9">
        <f>IF(A146="","",IF(H146&lt;=0,"Paid",IF(AND(D146&lt;&gt;"",TODAY()&gt;D146+Settings!$B$13),"Overdue",IF(G146&gt;0,"Partial","Open"))))</f>
        <v/>
      </c>
      <c r="J146" s="9">
        <f>IF(A146="","",IF(I146="Overdue",TODAY()-D146,0))</f>
        <v/>
      </c>
      <c r="K146" s="9">
        <f>IF(A146="","",IF(H146&lt;=0,"Paid",IF(OR(D146="",TODAY()&lt;=D146),"Current",IF(TODAY()-D146&lt;=30,"1-30",IF(TODAY()-D146&lt;=60,"31-60",IF(TODAY()-D146&lt;=90,"61-90","90+"))))))</f>
        <v/>
      </c>
      <c r="L146" s="9">
        <f>IF(A146="","",IF(COUNTIF(Invoices!$A$5:$A$204,A146)&gt;1,"Duplicate invoice #",IF(B146="","Missing Job ID",IF(COUNTIF(Jobs!$A$5:$A$44,B146)=0,"Unknown Job ID",IF(D146="","Missing due date",IF(E146="","Missing amount",""))))))</f>
        <v/>
      </c>
      <c r="M146" s="9">
        <f>IF(A146="","",IFERROR(INDEX(Jobs!$B$5:$B$44,MATCH(B146,Jobs!$A$5:$A$44,0)),""))</f>
        <v/>
      </c>
      <c r="N146" s="9">
        <f>IF(AND(A146&lt;&gt;"",M146&lt;&gt;"",M146='Client Statement'!$L$2),COUNTIF(M$5:M146,'Client Statement'!$L$2),"")</f>
        <v/>
      </c>
      <c r="O146" s="35" t="n"/>
    </row>
    <row r="147">
      <c r="A147" s="35" t="n"/>
      <c r="B147" s="35" t="n"/>
      <c r="C147" s="40" t="n"/>
      <c r="D147" s="40" t="n"/>
      <c r="E147" s="37" t="n"/>
      <c r="F147" s="35" t="n"/>
      <c r="G147" s="39">
        <f>IF(A147="","",SUMIFS(Payments!$D$5:$D$304,Payments!$C$5:$C$304,A147))</f>
        <v/>
      </c>
      <c r="H147" s="39">
        <f>IF(A147="","",E147-G147)</f>
        <v/>
      </c>
      <c r="I147" s="9">
        <f>IF(A147="","",IF(H147&lt;=0,"Paid",IF(AND(D147&lt;&gt;"",TODAY()&gt;D147+Settings!$B$13),"Overdue",IF(G147&gt;0,"Partial","Open"))))</f>
        <v/>
      </c>
      <c r="J147" s="9">
        <f>IF(A147="","",IF(I147="Overdue",TODAY()-D147,0))</f>
        <v/>
      </c>
      <c r="K147" s="9">
        <f>IF(A147="","",IF(H147&lt;=0,"Paid",IF(OR(D147="",TODAY()&lt;=D147),"Current",IF(TODAY()-D147&lt;=30,"1-30",IF(TODAY()-D147&lt;=60,"31-60",IF(TODAY()-D147&lt;=90,"61-90","90+"))))))</f>
        <v/>
      </c>
      <c r="L147" s="9">
        <f>IF(A147="","",IF(COUNTIF(Invoices!$A$5:$A$204,A147)&gt;1,"Duplicate invoice #",IF(B147="","Missing Job ID",IF(COUNTIF(Jobs!$A$5:$A$44,B147)=0,"Unknown Job ID",IF(D147="","Missing due date",IF(E147="","Missing amount",""))))))</f>
        <v/>
      </c>
      <c r="M147" s="9">
        <f>IF(A147="","",IFERROR(INDEX(Jobs!$B$5:$B$44,MATCH(B147,Jobs!$A$5:$A$44,0)),""))</f>
        <v/>
      </c>
      <c r="N147" s="9">
        <f>IF(AND(A147&lt;&gt;"",M147&lt;&gt;"",M147='Client Statement'!$L$2),COUNTIF(M$5:M147,'Client Statement'!$L$2),"")</f>
        <v/>
      </c>
      <c r="O147" s="35" t="n"/>
    </row>
    <row r="148">
      <c r="A148" s="35" t="n"/>
      <c r="B148" s="35" t="n"/>
      <c r="C148" s="40" t="n"/>
      <c r="D148" s="40" t="n"/>
      <c r="E148" s="37" t="n"/>
      <c r="F148" s="35" t="n"/>
      <c r="G148" s="39">
        <f>IF(A148="","",SUMIFS(Payments!$D$5:$D$304,Payments!$C$5:$C$304,A148))</f>
        <v/>
      </c>
      <c r="H148" s="39">
        <f>IF(A148="","",E148-G148)</f>
        <v/>
      </c>
      <c r="I148" s="9">
        <f>IF(A148="","",IF(H148&lt;=0,"Paid",IF(AND(D148&lt;&gt;"",TODAY()&gt;D148+Settings!$B$13),"Overdue",IF(G148&gt;0,"Partial","Open"))))</f>
        <v/>
      </c>
      <c r="J148" s="9">
        <f>IF(A148="","",IF(I148="Overdue",TODAY()-D148,0))</f>
        <v/>
      </c>
      <c r="K148" s="9">
        <f>IF(A148="","",IF(H148&lt;=0,"Paid",IF(OR(D148="",TODAY()&lt;=D148),"Current",IF(TODAY()-D148&lt;=30,"1-30",IF(TODAY()-D148&lt;=60,"31-60",IF(TODAY()-D148&lt;=90,"61-90","90+"))))))</f>
        <v/>
      </c>
      <c r="L148" s="9">
        <f>IF(A148="","",IF(COUNTIF(Invoices!$A$5:$A$204,A148)&gt;1,"Duplicate invoice #",IF(B148="","Missing Job ID",IF(COUNTIF(Jobs!$A$5:$A$44,B148)=0,"Unknown Job ID",IF(D148="","Missing due date",IF(E148="","Missing amount",""))))))</f>
        <v/>
      </c>
      <c r="M148" s="9">
        <f>IF(A148="","",IFERROR(INDEX(Jobs!$B$5:$B$44,MATCH(B148,Jobs!$A$5:$A$44,0)),""))</f>
        <v/>
      </c>
      <c r="N148" s="9">
        <f>IF(AND(A148&lt;&gt;"",M148&lt;&gt;"",M148='Client Statement'!$L$2),COUNTIF(M$5:M148,'Client Statement'!$L$2),"")</f>
        <v/>
      </c>
      <c r="O148" s="35" t="n"/>
    </row>
    <row r="149">
      <c r="A149" s="35" t="n"/>
      <c r="B149" s="35" t="n"/>
      <c r="C149" s="40" t="n"/>
      <c r="D149" s="40" t="n"/>
      <c r="E149" s="37" t="n"/>
      <c r="F149" s="35" t="n"/>
      <c r="G149" s="39">
        <f>IF(A149="","",SUMIFS(Payments!$D$5:$D$304,Payments!$C$5:$C$304,A149))</f>
        <v/>
      </c>
      <c r="H149" s="39">
        <f>IF(A149="","",E149-G149)</f>
        <v/>
      </c>
      <c r="I149" s="9">
        <f>IF(A149="","",IF(H149&lt;=0,"Paid",IF(AND(D149&lt;&gt;"",TODAY()&gt;D149+Settings!$B$13),"Overdue",IF(G149&gt;0,"Partial","Open"))))</f>
        <v/>
      </c>
      <c r="J149" s="9">
        <f>IF(A149="","",IF(I149="Overdue",TODAY()-D149,0))</f>
        <v/>
      </c>
      <c r="K149" s="9">
        <f>IF(A149="","",IF(H149&lt;=0,"Paid",IF(OR(D149="",TODAY()&lt;=D149),"Current",IF(TODAY()-D149&lt;=30,"1-30",IF(TODAY()-D149&lt;=60,"31-60",IF(TODAY()-D149&lt;=90,"61-90","90+"))))))</f>
        <v/>
      </c>
      <c r="L149" s="9">
        <f>IF(A149="","",IF(COUNTIF(Invoices!$A$5:$A$204,A149)&gt;1,"Duplicate invoice #",IF(B149="","Missing Job ID",IF(COUNTIF(Jobs!$A$5:$A$44,B149)=0,"Unknown Job ID",IF(D149="","Missing due date",IF(E149="","Missing amount",""))))))</f>
        <v/>
      </c>
      <c r="M149" s="9">
        <f>IF(A149="","",IFERROR(INDEX(Jobs!$B$5:$B$44,MATCH(B149,Jobs!$A$5:$A$44,0)),""))</f>
        <v/>
      </c>
      <c r="N149" s="9">
        <f>IF(AND(A149&lt;&gt;"",M149&lt;&gt;"",M149='Client Statement'!$L$2),COUNTIF(M$5:M149,'Client Statement'!$L$2),"")</f>
        <v/>
      </c>
      <c r="O149" s="35" t="n"/>
    </row>
    <row r="150">
      <c r="A150" s="35" t="n"/>
      <c r="B150" s="35" t="n"/>
      <c r="C150" s="40" t="n"/>
      <c r="D150" s="40" t="n"/>
      <c r="E150" s="37" t="n"/>
      <c r="F150" s="35" t="n"/>
      <c r="G150" s="39">
        <f>IF(A150="","",SUMIFS(Payments!$D$5:$D$304,Payments!$C$5:$C$304,A150))</f>
        <v/>
      </c>
      <c r="H150" s="39">
        <f>IF(A150="","",E150-G150)</f>
        <v/>
      </c>
      <c r="I150" s="9">
        <f>IF(A150="","",IF(H150&lt;=0,"Paid",IF(AND(D150&lt;&gt;"",TODAY()&gt;D150+Settings!$B$13),"Overdue",IF(G150&gt;0,"Partial","Open"))))</f>
        <v/>
      </c>
      <c r="J150" s="9">
        <f>IF(A150="","",IF(I150="Overdue",TODAY()-D150,0))</f>
        <v/>
      </c>
      <c r="K150" s="9">
        <f>IF(A150="","",IF(H150&lt;=0,"Paid",IF(OR(D150="",TODAY()&lt;=D150),"Current",IF(TODAY()-D150&lt;=30,"1-30",IF(TODAY()-D150&lt;=60,"31-60",IF(TODAY()-D150&lt;=90,"61-90","90+"))))))</f>
        <v/>
      </c>
      <c r="L150" s="9">
        <f>IF(A150="","",IF(COUNTIF(Invoices!$A$5:$A$204,A150)&gt;1,"Duplicate invoice #",IF(B150="","Missing Job ID",IF(COUNTIF(Jobs!$A$5:$A$44,B150)=0,"Unknown Job ID",IF(D150="","Missing due date",IF(E150="","Missing amount",""))))))</f>
        <v/>
      </c>
      <c r="M150" s="9">
        <f>IF(A150="","",IFERROR(INDEX(Jobs!$B$5:$B$44,MATCH(B150,Jobs!$A$5:$A$44,0)),""))</f>
        <v/>
      </c>
      <c r="N150" s="9">
        <f>IF(AND(A150&lt;&gt;"",M150&lt;&gt;"",M150='Client Statement'!$L$2),COUNTIF(M$5:M150,'Client Statement'!$L$2),"")</f>
        <v/>
      </c>
      <c r="O150" s="35" t="n"/>
    </row>
    <row r="151">
      <c r="A151" s="35" t="n"/>
      <c r="B151" s="35" t="n"/>
      <c r="C151" s="40" t="n"/>
      <c r="D151" s="40" t="n"/>
      <c r="E151" s="37" t="n"/>
      <c r="F151" s="35" t="n"/>
      <c r="G151" s="39">
        <f>IF(A151="","",SUMIFS(Payments!$D$5:$D$304,Payments!$C$5:$C$304,A151))</f>
        <v/>
      </c>
      <c r="H151" s="39">
        <f>IF(A151="","",E151-G151)</f>
        <v/>
      </c>
      <c r="I151" s="9">
        <f>IF(A151="","",IF(H151&lt;=0,"Paid",IF(AND(D151&lt;&gt;"",TODAY()&gt;D151+Settings!$B$13),"Overdue",IF(G151&gt;0,"Partial","Open"))))</f>
        <v/>
      </c>
      <c r="J151" s="9">
        <f>IF(A151="","",IF(I151="Overdue",TODAY()-D151,0))</f>
        <v/>
      </c>
      <c r="K151" s="9">
        <f>IF(A151="","",IF(H151&lt;=0,"Paid",IF(OR(D151="",TODAY()&lt;=D151),"Current",IF(TODAY()-D151&lt;=30,"1-30",IF(TODAY()-D151&lt;=60,"31-60",IF(TODAY()-D151&lt;=90,"61-90","90+"))))))</f>
        <v/>
      </c>
      <c r="L151" s="9">
        <f>IF(A151="","",IF(COUNTIF(Invoices!$A$5:$A$204,A151)&gt;1,"Duplicate invoice #",IF(B151="","Missing Job ID",IF(COUNTIF(Jobs!$A$5:$A$44,B151)=0,"Unknown Job ID",IF(D151="","Missing due date",IF(E151="","Missing amount",""))))))</f>
        <v/>
      </c>
      <c r="M151" s="9">
        <f>IF(A151="","",IFERROR(INDEX(Jobs!$B$5:$B$44,MATCH(B151,Jobs!$A$5:$A$44,0)),""))</f>
        <v/>
      </c>
      <c r="N151" s="9">
        <f>IF(AND(A151&lt;&gt;"",M151&lt;&gt;"",M151='Client Statement'!$L$2),COUNTIF(M$5:M151,'Client Statement'!$L$2),"")</f>
        <v/>
      </c>
      <c r="O151" s="35" t="n"/>
    </row>
    <row r="152">
      <c r="A152" s="35" t="n"/>
      <c r="B152" s="35" t="n"/>
      <c r="C152" s="40" t="n"/>
      <c r="D152" s="40" t="n"/>
      <c r="E152" s="37" t="n"/>
      <c r="F152" s="35" t="n"/>
      <c r="G152" s="39">
        <f>IF(A152="","",SUMIFS(Payments!$D$5:$D$304,Payments!$C$5:$C$304,A152))</f>
        <v/>
      </c>
      <c r="H152" s="39">
        <f>IF(A152="","",E152-G152)</f>
        <v/>
      </c>
      <c r="I152" s="9">
        <f>IF(A152="","",IF(H152&lt;=0,"Paid",IF(AND(D152&lt;&gt;"",TODAY()&gt;D152+Settings!$B$13),"Overdue",IF(G152&gt;0,"Partial","Open"))))</f>
        <v/>
      </c>
      <c r="J152" s="9">
        <f>IF(A152="","",IF(I152="Overdue",TODAY()-D152,0))</f>
        <v/>
      </c>
      <c r="K152" s="9">
        <f>IF(A152="","",IF(H152&lt;=0,"Paid",IF(OR(D152="",TODAY()&lt;=D152),"Current",IF(TODAY()-D152&lt;=30,"1-30",IF(TODAY()-D152&lt;=60,"31-60",IF(TODAY()-D152&lt;=90,"61-90","90+"))))))</f>
        <v/>
      </c>
      <c r="L152" s="9">
        <f>IF(A152="","",IF(COUNTIF(Invoices!$A$5:$A$204,A152)&gt;1,"Duplicate invoice #",IF(B152="","Missing Job ID",IF(COUNTIF(Jobs!$A$5:$A$44,B152)=0,"Unknown Job ID",IF(D152="","Missing due date",IF(E152="","Missing amount",""))))))</f>
        <v/>
      </c>
      <c r="M152" s="9">
        <f>IF(A152="","",IFERROR(INDEX(Jobs!$B$5:$B$44,MATCH(B152,Jobs!$A$5:$A$44,0)),""))</f>
        <v/>
      </c>
      <c r="N152" s="9">
        <f>IF(AND(A152&lt;&gt;"",M152&lt;&gt;"",M152='Client Statement'!$L$2),COUNTIF(M$5:M152,'Client Statement'!$L$2),"")</f>
        <v/>
      </c>
      <c r="O152" s="35" t="n"/>
    </row>
    <row r="153">
      <c r="A153" s="35" t="n"/>
      <c r="B153" s="35" t="n"/>
      <c r="C153" s="40" t="n"/>
      <c r="D153" s="40" t="n"/>
      <c r="E153" s="37" t="n"/>
      <c r="F153" s="35" t="n"/>
      <c r="G153" s="39">
        <f>IF(A153="","",SUMIFS(Payments!$D$5:$D$304,Payments!$C$5:$C$304,A153))</f>
        <v/>
      </c>
      <c r="H153" s="39">
        <f>IF(A153="","",E153-G153)</f>
        <v/>
      </c>
      <c r="I153" s="9">
        <f>IF(A153="","",IF(H153&lt;=0,"Paid",IF(AND(D153&lt;&gt;"",TODAY()&gt;D153+Settings!$B$13),"Overdue",IF(G153&gt;0,"Partial","Open"))))</f>
        <v/>
      </c>
      <c r="J153" s="9">
        <f>IF(A153="","",IF(I153="Overdue",TODAY()-D153,0))</f>
        <v/>
      </c>
      <c r="K153" s="9">
        <f>IF(A153="","",IF(H153&lt;=0,"Paid",IF(OR(D153="",TODAY()&lt;=D153),"Current",IF(TODAY()-D153&lt;=30,"1-30",IF(TODAY()-D153&lt;=60,"31-60",IF(TODAY()-D153&lt;=90,"61-90","90+"))))))</f>
        <v/>
      </c>
      <c r="L153" s="9">
        <f>IF(A153="","",IF(COUNTIF(Invoices!$A$5:$A$204,A153)&gt;1,"Duplicate invoice #",IF(B153="","Missing Job ID",IF(COUNTIF(Jobs!$A$5:$A$44,B153)=0,"Unknown Job ID",IF(D153="","Missing due date",IF(E153="","Missing amount",""))))))</f>
        <v/>
      </c>
      <c r="M153" s="9">
        <f>IF(A153="","",IFERROR(INDEX(Jobs!$B$5:$B$44,MATCH(B153,Jobs!$A$5:$A$44,0)),""))</f>
        <v/>
      </c>
      <c r="N153" s="9">
        <f>IF(AND(A153&lt;&gt;"",M153&lt;&gt;"",M153='Client Statement'!$L$2),COUNTIF(M$5:M153,'Client Statement'!$L$2),"")</f>
        <v/>
      </c>
      <c r="O153" s="35" t="n"/>
    </row>
    <row r="154">
      <c r="A154" s="35" t="n"/>
      <c r="B154" s="35" t="n"/>
      <c r="C154" s="40" t="n"/>
      <c r="D154" s="40" t="n"/>
      <c r="E154" s="37" t="n"/>
      <c r="F154" s="35" t="n"/>
      <c r="G154" s="39">
        <f>IF(A154="","",SUMIFS(Payments!$D$5:$D$304,Payments!$C$5:$C$304,A154))</f>
        <v/>
      </c>
      <c r="H154" s="39">
        <f>IF(A154="","",E154-G154)</f>
        <v/>
      </c>
      <c r="I154" s="9">
        <f>IF(A154="","",IF(H154&lt;=0,"Paid",IF(AND(D154&lt;&gt;"",TODAY()&gt;D154+Settings!$B$13),"Overdue",IF(G154&gt;0,"Partial","Open"))))</f>
        <v/>
      </c>
      <c r="J154" s="9">
        <f>IF(A154="","",IF(I154="Overdue",TODAY()-D154,0))</f>
        <v/>
      </c>
      <c r="K154" s="9">
        <f>IF(A154="","",IF(H154&lt;=0,"Paid",IF(OR(D154="",TODAY()&lt;=D154),"Current",IF(TODAY()-D154&lt;=30,"1-30",IF(TODAY()-D154&lt;=60,"31-60",IF(TODAY()-D154&lt;=90,"61-90","90+"))))))</f>
        <v/>
      </c>
      <c r="L154" s="9">
        <f>IF(A154="","",IF(COUNTIF(Invoices!$A$5:$A$204,A154)&gt;1,"Duplicate invoice #",IF(B154="","Missing Job ID",IF(COUNTIF(Jobs!$A$5:$A$44,B154)=0,"Unknown Job ID",IF(D154="","Missing due date",IF(E154="","Missing amount",""))))))</f>
        <v/>
      </c>
      <c r="M154" s="9">
        <f>IF(A154="","",IFERROR(INDEX(Jobs!$B$5:$B$44,MATCH(B154,Jobs!$A$5:$A$44,0)),""))</f>
        <v/>
      </c>
      <c r="N154" s="9">
        <f>IF(AND(A154&lt;&gt;"",M154&lt;&gt;"",M154='Client Statement'!$L$2),COUNTIF(M$5:M154,'Client Statement'!$L$2),"")</f>
        <v/>
      </c>
      <c r="O154" s="35" t="n"/>
    </row>
    <row r="155">
      <c r="A155" s="35" t="n"/>
      <c r="B155" s="35" t="n"/>
      <c r="C155" s="40" t="n"/>
      <c r="D155" s="40" t="n"/>
      <c r="E155" s="37" t="n"/>
      <c r="F155" s="35" t="n"/>
      <c r="G155" s="39">
        <f>IF(A155="","",SUMIFS(Payments!$D$5:$D$304,Payments!$C$5:$C$304,A155))</f>
        <v/>
      </c>
      <c r="H155" s="39">
        <f>IF(A155="","",E155-G155)</f>
        <v/>
      </c>
      <c r="I155" s="9">
        <f>IF(A155="","",IF(H155&lt;=0,"Paid",IF(AND(D155&lt;&gt;"",TODAY()&gt;D155+Settings!$B$13),"Overdue",IF(G155&gt;0,"Partial","Open"))))</f>
        <v/>
      </c>
      <c r="J155" s="9">
        <f>IF(A155="","",IF(I155="Overdue",TODAY()-D155,0))</f>
        <v/>
      </c>
      <c r="K155" s="9">
        <f>IF(A155="","",IF(H155&lt;=0,"Paid",IF(OR(D155="",TODAY()&lt;=D155),"Current",IF(TODAY()-D155&lt;=30,"1-30",IF(TODAY()-D155&lt;=60,"31-60",IF(TODAY()-D155&lt;=90,"61-90","90+"))))))</f>
        <v/>
      </c>
      <c r="L155" s="9">
        <f>IF(A155="","",IF(COUNTIF(Invoices!$A$5:$A$204,A155)&gt;1,"Duplicate invoice #",IF(B155="","Missing Job ID",IF(COUNTIF(Jobs!$A$5:$A$44,B155)=0,"Unknown Job ID",IF(D155="","Missing due date",IF(E155="","Missing amount",""))))))</f>
        <v/>
      </c>
      <c r="M155" s="9">
        <f>IF(A155="","",IFERROR(INDEX(Jobs!$B$5:$B$44,MATCH(B155,Jobs!$A$5:$A$44,0)),""))</f>
        <v/>
      </c>
      <c r="N155" s="9">
        <f>IF(AND(A155&lt;&gt;"",M155&lt;&gt;"",M155='Client Statement'!$L$2),COUNTIF(M$5:M155,'Client Statement'!$L$2),"")</f>
        <v/>
      </c>
      <c r="O155" s="35" t="n"/>
    </row>
    <row r="156">
      <c r="A156" s="35" t="n"/>
      <c r="B156" s="35" t="n"/>
      <c r="C156" s="40" t="n"/>
      <c r="D156" s="40" t="n"/>
      <c r="E156" s="37" t="n"/>
      <c r="F156" s="35" t="n"/>
      <c r="G156" s="39">
        <f>IF(A156="","",SUMIFS(Payments!$D$5:$D$304,Payments!$C$5:$C$304,A156))</f>
        <v/>
      </c>
      <c r="H156" s="39">
        <f>IF(A156="","",E156-G156)</f>
        <v/>
      </c>
      <c r="I156" s="9">
        <f>IF(A156="","",IF(H156&lt;=0,"Paid",IF(AND(D156&lt;&gt;"",TODAY()&gt;D156+Settings!$B$13),"Overdue",IF(G156&gt;0,"Partial","Open"))))</f>
        <v/>
      </c>
      <c r="J156" s="9">
        <f>IF(A156="","",IF(I156="Overdue",TODAY()-D156,0))</f>
        <v/>
      </c>
      <c r="K156" s="9">
        <f>IF(A156="","",IF(H156&lt;=0,"Paid",IF(OR(D156="",TODAY()&lt;=D156),"Current",IF(TODAY()-D156&lt;=30,"1-30",IF(TODAY()-D156&lt;=60,"31-60",IF(TODAY()-D156&lt;=90,"61-90","90+"))))))</f>
        <v/>
      </c>
      <c r="L156" s="9">
        <f>IF(A156="","",IF(COUNTIF(Invoices!$A$5:$A$204,A156)&gt;1,"Duplicate invoice #",IF(B156="","Missing Job ID",IF(COUNTIF(Jobs!$A$5:$A$44,B156)=0,"Unknown Job ID",IF(D156="","Missing due date",IF(E156="","Missing amount",""))))))</f>
        <v/>
      </c>
      <c r="M156" s="9">
        <f>IF(A156="","",IFERROR(INDEX(Jobs!$B$5:$B$44,MATCH(B156,Jobs!$A$5:$A$44,0)),""))</f>
        <v/>
      </c>
      <c r="N156" s="9">
        <f>IF(AND(A156&lt;&gt;"",M156&lt;&gt;"",M156='Client Statement'!$L$2),COUNTIF(M$5:M156,'Client Statement'!$L$2),"")</f>
        <v/>
      </c>
      <c r="O156" s="35" t="n"/>
    </row>
    <row r="157">
      <c r="A157" s="35" t="n"/>
      <c r="B157" s="35" t="n"/>
      <c r="C157" s="40" t="n"/>
      <c r="D157" s="40" t="n"/>
      <c r="E157" s="37" t="n"/>
      <c r="F157" s="35" t="n"/>
      <c r="G157" s="39">
        <f>IF(A157="","",SUMIFS(Payments!$D$5:$D$304,Payments!$C$5:$C$304,A157))</f>
        <v/>
      </c>
      <c r="H157" s="39">
        <f>IF(A157="","",E157-G157)</f>
        <v/>
      </c>
      <c r="I157" s="9">
        <f>IF(A157="","",IF(H157&lt;=0,"Paid",IF(AND(D157&lt;&gt;"",TODAY()&gt;D157+Settings!$B$13),"Overdue",IF(G157&gt;0,"Partial","Open"))))</f>
        <v/>
      </c>
      <c r="J157" s="9">
        <f>IF(A157="","",IF(I157="Overdue",TODAY()-D157,0))</f>
        <v/>
      </c>
      <c r="K157" s="9">
        <f>IF(A157="","",IF(H157&lt;=0,"Paid",IF(OR(D157="",TODAY()&lt;=D157),"Current",IF(TODAY()-D157&lt;=30,"1-30",IF(TODAY()-D157&lt;=60,"31-60",IF(TODAY()-D157&lt;=90,"61-90","90+"))))))</f>
        <v/>
      </c>
      <c r="L157" s="9">
        <f>IF(A157="","",IF(COUNTIF(Invoices!$A$5:$A$204,A157)&gt;1,"Duplicate invoice #",IF(B157="","Missing Job ID",IF(COUNTIF(Jobs!$A$5:$A$44,B157)=0,"Unknown Job ID",IF(D157="","Missing due date",IF(E157="","Missing amount",""))))))</f>
        <v/>
      </c>
      <c r="M157" s="9">
        <f>IF(A157="","",IFERROR(INDEX(Jobs!$B$5:$B$44,MATCH(B157,Jobs!$A$5:$A$44,0)),""))</f>
        <v/>
      </c>
      <c r="N157" s="9">
        <f>IF(AND(A157&lt;&gt;"",M157&lt;&gt;"",M157='Client Statement'!$L$2),COUNTIF(M$5:M157,'Client Statement'!$L$2),"")</f>
        <v/>
      </c>
      <c r="O157" s="35" t="n"/>
    </row>
    <row r="158">
      <c r="A158" s="35" t="n"/>
      <c r="B158" s="35" t="n"/>
      <c r="C158" s="40" t="n"/>
      <c r="D158" s="40" t="n"/>
      <c r="E158" s="37" t="n"/>
      <c r="F158" s="35" t="n"/>
      <c r="G158" s="39">
        <f>IF(A158="","",SUMIFS(Payments!$D$5:$D$304,Payments!$C$5:$C$304,A158))</f>
        <v/>
      </c>
      <c r="H158" s="39">
        <f>IF(A158="","",E158-G158)</f>
        <v/>
      </c>
      <c r="I158" s="9">
        <f>IF(A158="","",IF(H158&lt;=0,"Paid",IF(AND(D158&lt;&gt;"",TODAY()&gt;D158+Settings!$B$13),"Overdue",IF(G158&gt;0,"Partial","Open"))))</f>
        <v/>
      </c>
      <c r="J158" s="9">
        <f>IF(A158="","",IF(I158="Overdue",TODAY()-D158,0))</f>
        <v/>
      </c>
      <c r="K158" s="9">
        <f>IF(A158="","",IF(H158&lt;=0,"Paid",IF(OR(D158="",TODAY()&lt;=D158),"Current",IF(TODAY()-D158&lt;=30,"1-30",IF(TODAY()-D158&lt;=60,"31-60",IF(TODAY()-D158&lt;=90,"61-90","90+"))))))</f>
        <v/>
      </c>
      <c r="L158" s="9">
        <f>IF(A158="","",IF(COUNTIF(Invoices!$A$5:$A$204,A158)&gt;1,"Duplicate invoice #",IF(B158="","Missing Job ID",IF(COUNTIF(Jobs!$A$5:$A$44,B158)=0,"Unknown Job ID",IF(D158="","Missing due date",IF(E158="","Missing amount",""))))))</f>
        <v/>
      </c>
      <c r="M158" s="9">
        <f>IF(A158="","",IFERROR(INDEX(Jobs!$B$5:$B$44,MATCH(B158,Jobs!$A$5:$A$44,0)),""))</f>
        <v/>
      </c>
      <c r="N158" s="9">
        <f>IF(AND(A158&lt;&gt;"",M158&lt;&gt;"",M158='Client Statement'!$L$2),COUNTIF(M$5:M158,'Client Statement'!$L$2),"")</f>
        <v/>
      </c>
      <c r="O158" s="35" t="n"/>
    </row>
    <row r="159">
      <c r="A159" s="35" t="n"/>
      <c r="B159" s="35" t="n"/>
      <c r="C159" s="40" t="n"/>
      <c r="D159" s="40" t="n"/>
      <c r="E159" s="37" t="n"/>
      <c r="F159" s="35" t="n"/>
      <c r="G159" s="39">
        <f>IF(A159="","",SUMIFS(Payments!$D$5:$D$304,Payments!$C$5:$C$304,A159))</f>
        <v/>
      </c>
      <c r="H159" s="39">
        <f>IF(A159="","",E159-G159)</f>
        <v/>
      </c>
      <c r="I159" s="9">
        <f>IF(A159="","",IF(H159&lt;=0,"Paid",IF(AND(D159&lt;&gt;"",TODAY()&gt;D159+Settings!$B$13),"Overdue",IF(G159&gt;0,"Partial","Open"))))</f>
        <v/>
      </c>
      <c r="J159" s="9">
        <f>IF(A159="","",IF(I159="Overdue",TODAY()-D159,0))</f>
        <v/>
      </c>
      <c r="K159" s="9">
        <f>IF(A159="","",IF(H159&lt;=0,"Paid",IF(OR(D159="",TODAY()&lt;=D159),"Current",IF(TODAY()-D159&lt;=30,"1-30",IF(TODAY()-D159&lt;=60,"31-60",IF(TODAY()-D159&lt;=90,"61-90","90+"))))))</f>
        <v/>
      </c>
      <c r="L159" s="9">
        <f>IF(A159="","",IF(COUNTIF(Invoices!$A$5:$A$204,A159)&gt;1,"Duplicate invoice #",IF(B159="","Missing Job ID",IF(COUNTIF(Jobs!$A$5:$A$44,B159)=0,"Unknown Job ID",IF(D159="","Missing due date",IF(E159="","Missing amount",""))))))</f>
        <v/>
      </c>
      <c r="M159" s="9">
        <f>IF(A159="","",IFERROR(INDEX(Jobs!$B$5:$B$44,MATCH(B159,Jobs!$A$5:$A$44,0)),""))</f>
        <v/>
      </c>
      <c r="N159" s="9">
        <f>IF(AND(A159&lt;&gt;"",M159&lt;&gt;"",M159='Client Statement'!$L$2),COUNTIF(M$5:M159,'Client Statement'!$L$2),"")</f>
        <v/>
      </c>
      <c r="O159" s="35" t="n"/>
    </row>
    <row r="160">
      <c r="A160" s="35" t="n"/>
      <c r="B160" s="35" t="n"/>
      <c r="C160" s="40" t="n"/>
      <c r="D160" s="40" t="n"/>
      <c r="E160" s="37" t="n"/>
      <c r="F160" s="35" t="n"/>
      <c r="G160" s="39">
        <f>IF(A160="","",SUMIFS(Payments!$D$5:$D$304,Payments!$C$5:$C$304,A160))</f>
        <v/>
      </c>
      <c r="H160" s="39">
        <f>IF(A160="","",E160-G160)</f>
        <v/>
      </c>
      <c r="I160" s="9">
        <f>IF(A160="","",IF(H160&lt;=0,"Paid",IF(AND(D160&lt;&gt;"",TODAY()&gt;D160+Settings!$B$13),"Overdue",IF(G160&gt;0,"Partial","Open"))))</f>
        <v/>
      </c>
      <c r="J160" s="9">
        <f>IF(A160="","",IF(I160="Overdue",TODAY()-D160,0))</f>
        <v/>
      </c>
      <c r="K160" s="9">
        <f>IF(A160="","",IF(H160&lt;=0,"Paid",IF(OR(D160="",TODAY()&lt;=D160),"Current",IF(TODAY()-D160&lt;=30,"1-30",IF(TODAY()-D160&lt;=60,"31-60",IF(TODAY()-D160&lt;=90,"61-90","90+"))))))</f>
        <v/>
      </c>
      <c r="L160" s="9">
        <f>IF(A160="","",IF(COUNTIF(Invoices!$A$5:$A$204,A160)&gt;1,"Duplicate invoice #",IF(B160="","Missing Job ID",IF(COUNTIF(Jobs!$A$5:$A$44,B160)=0,"Unknown Job ID",IF(D160="","Missing due date",IF(E160="","Missing amount",""))))))</f>
        <v/>
      </c>
      <c r="M160" s="9">
        <f>IF(A160="","",IFERROR(INDEX(Jobs!$B$5:$B$44,MATCH(B160,Jobs!$A$5:$A$44,0)),""))</f>
        <v/>
      </c>
      <c r="N160" s="9">
        <f>IF(AND(A160&lt;&gt;"",M160&lt;&gt;"",M160='Client Statement'!$L$2),COUNTIF(M$5:M160,'Client Statement'!$L$2),"")</f>
        <v/>
      </c>
      <c r="O160" s="35" t="n"/>
    </row>
    <row r="161">
      <c r="A161" s="35" t="n"/>
      <c r="B161" s="35" t="n"/>
      <c r="C161" s="40" t="n"/>
      <c r="D161" s="40" t="n"/>
      <c r="E161" s="37" t="n"/>
      <c r="F161" s="35" t="n"/>
      <c r="G161" s="39">
        <f>IF(A161="","",SUMIFS(Payments!$D$5:$D$304,Payments!$C$5:$C$304,A161))</f>
        <v/>
      </c>
      <c r="H161" s="39">
        <f>IF(A161="","",E161-G161)</f>
        <v/>
      </c>
      <c r="I161" s="9">
        <f>IF(A161="","",IF(H161&lt;=0,"Paid",IF(AND(D161&lt;&gt;"",TODAY()&gt;D161+Settings!$B$13),"Overdue",IF(G161&gt;0,"Partial","Open"))))</f>
        <v/>
      </c>
      <c r="J161" s="9">
        <f>IF(A161="","",IF(I161="Overdue",TODAY()-D161,0))</f>
        <v/>
      </c>
      <c r="K161" s="9">
        <f>IF(A161="","",IF(H161&lt;=0,"Paid",IF(OR(D161="",TODAY()&lt;=D161),"Current",IF(TODAY()-D161&lt;=30,"1-30",IF(TODAY()-D161&lt;=60,"31-60",IF(TODAY()-D161&lt;=90,"61-90","90+"))))))</f>
        <v/>
      </c>
      <c r="L161" s="9">
        <f>IF(A161="","",IF(COUNTIF(Invoices!$A$5:$A$204,A161)&gt;1,"Duplicate invoice #",IF(B161="","Missing Job ID",IF(COUNTIF(Jobs!$A$5:$A$44,B161)=0,"Unknown Job ID",IF(D161="","Missing due date",IF(E161="","Missing amount",""))))))</f>
        <v/>
      </c>
      <c r="M161" s="9">
        <f>IF(A161="","",IFERROR(INDEX(Jobs!$B$5:$B$44,MATCH(B161,Jobs!$A$5:$A$44,0)),""))</f>
        <v/>
      </c>
      <c r="N161" s="9">
        <f>IF(AND(A161&lt;&gt;"",M161&lt;&gt;"",M161='Client Statement'!$L$2),COUNTIF(M$5:M161,'Client Statement'!$L$2),"")</f>
        <v/>
      </c>
      <c r="O161" s="35" t="n"/>
    </row>
    <row r="162">
      <c r="A162" s="35" t="n"/>
      <c r="B162" s="35" t="n"/>
      <c r="C162" s="40" t="n"/>
      <c r="D162" s="40" t="n"/>
      <c r="E162" s="37" t="n"/>
      <c r="F162" s="35" t="n"/>
      <c r="G162" s="39">
        <f>IF(A162="","",SUMIFS(Payments!$D$5:$D$304,Payments!$C$5:$C$304,A162))</f>
        <v/>
      </c>
      <c r="H162" s="39">
        <f>IF(A162="","",E162-G162)</f>
        <v/>
      </c>
      <c r="I162" s="9">
        <f>IF(A162="","",IF(H162&lt;=0,"Paid",IF(AND(D162&lt;&gt;"",TODAY()&gt;D162+Settings!$B$13),"Overdue",IF(G162&gt;0,"Partial","Open"))))</f>
        <v/>
      </c>
      <c r="J162" s="9">
        <f>IF(A162="","",IF(I162="Overdue",TODAY()-D162,0))</f>
        <v/>
      </c>
      <c r="K162" s="9">
        <f>IF(A162="","",IF(H162&lt;=0,"Paid",IF(OR(D162="",TODAY()&lt;=D162),"Current",IF(TODAY()-D162&lt;=30,"1-30",IF(TODAY()-D162&lt;=60,"31-60",IF(TODAY()-D162&lt;=90,"61-90","90+"))))))</f>
        <v/>
      </c>
      <c r="L162" s="9">
        <f>IF(A162="","",IF(COUNTIF(Invoices!$A$5:$A$204,A162)&gt;1,"Duplicate invoice #",IF(B162="","Missing Job ID",IF(COUNTIF(Jobs!$A$5:$A$44,B162)=0,"Unknown Job ID",IF(D162="","Missing due date",IF(E162="","Missing amount",""))))))</f>
        <v/>
      </c>
      <c r="M162" s="9">
        <f>IF(A162="","",IFERROR(INDEX(Jobs!$B$5:$B$44,MATCH(B162,Jobs!$A$5:$A$44,0)),""))</f>
        <v/>
      </c>
      <c r="N162" s="9">
        <f>IF(AND(A162&lt;&gt;"",M162&lt;&gt;"",M162='Client Statement'!$L$2),COUNTIF(M$5:M162,'Client Statement'!$L$2),"")</f>
        <v/>
      </c>
      <c r="O162" s="35" t="n"/>
    </row>
    <row r="163">
      <c r="A163" s="35" t="n"/>
      <c r="B163" s="35" t="n"/>
      <c r="C163" s="40" t="n"/>
      <c r="D163" s="40" t="n"/>
      <c r="E163" s="37" t="n"/>
      <c r="F163" s="35" t="n"/>
      <c r="G163" s="39">
        <f>IF(A163="","",SUMIFS(Payments!$D$5:$D$304,Payments!$C$5:$C$304,A163))</f>
        <v/>
      </c>
      <c r="H163" s="39">
        <f>IF(A163="","",E163-G163)</f>
        <v/>
      </c>
      <c r="I163" s="9">
        <f>IF(A163="","",IF(H163&lt;=0,"Paid",IF(AND(D163&lt;&gt;"",TODAY()&gt;D163+Settings!$B$13),"Overdue",IF(G163&gt;0,"Partial","Open"))))</f>
        <v/>
      </c>
      <c r="J163" s="9">
        <f>IF(A163="","",IF(I163="Overdue",TODAY()-D163,0))</f>
        <v/>
      </c>
      <c r="K163" s="9">
        <f>IF(A163="","",IF(H163&lt;=0,"Paid",IF(OR(D163="",TODAY()&lt;=D163),"Current",IF(TODAY()-D163&lt;=30,"1-30",IF(TODAY()-D163&lt;=60,"31-60",IF(TODAY()-D163&lt;=90,"61-90","90+"))))))</f>
        <v/>
      </c>
      <c r="L163" s="9">
        <f>IF(A163="","",IF(COUNTIF(Invoices!$A$5:$A$204,A163)&gt;1,"Duplicate invoice #",IF(B163="","Missing Job ID",IF(COUNTIF(Jobs!$A$5:$A$44,B163)=0,"Unknown Job ID",IF(D163="","Missing due date",IF(E163="","Missing amount",""))))))</f>
        <v/>
      </c>
      <c r="M163" s="9">
        <f>IF(A163="","",IFERROR(INDEX(Jobs!$B$5:$B$44,MATCH(B163,Jobs!$A$5:$A$44,0)),""))</f>
        <v/>
      </c>
      <c r="N163" s="9">
        <f>IF(AND(A163&lt;&gt;"",M163&lt;&gt;"",M163='Client Statement'!$L$2),COUNTIF(M$5:M163,'Client Statement'!$L$2),"")</f>
        <v/>
      </c>
      <c r="O163" s="35" t="n"/>
    </row>
    <row r="164">
      <c r="A164" s="35" t="n"/>
      <c r="B164" s="35" t="n"/>
      <c r="C164" s="40" t="n"/>
      <c r="D164" s="40" t="n"/>
      <c r="E164" s="37" t="n"/>
      <c r="F164" s="35" t="n"/>
      <c r="G164" s="39">
        <f>IF(A164="","",SUMIFS(Payments!$D$5:$D$304,Payments!$C$5:$C$304,A164))</f>
        <v/>
      </c>
      <c r="H164" s="39">
        <f>IF(A164="","",E164-G164)</f>
        <v/>
      </c>
      <c r="I164" s="9">
        <f>IF(A164="","",IF(H164&lt;=0,"Paid",IF(AND(D164&lt;&gt;"",TODAY()&gt;D164+Settings!$B$13),"Overdue",IF(G164&gt;0,"Partial","Open"))))</f>
        <v/>
      </c>
      <c r="J164" s="9">
        <f>IF(A164="","",IF(I164="Overdue",TODAY()-D164,0))</f>
        <v/>
      </c>
      <c r="K164" s="9">
        <f>IF(A164="","",IF(H164&lt;=0,"Paid",IF(OR(D164="",TODAY()&lt;=D164),"Current",IF(TODAY()-D164&lt;=30,"1-30",IF(TODAY()-D164&lt;=60,"31-60",IF(TODAY()-D164&lt;=90,"61-90","90+"))))))</f>
        <v/>
      </c>
      <c r="L164" s="9">
        <f>IF(A164="","",IF(COUNTIF(Invoices!$A$5:$A$204,A164)&gt;1,"Duplicate invoice #",IF(B164="","Missing Job ID",IF(COUNTIF(Jobs!$A$5:$A$44,B164)=0,"Unknown Job ID",IF(D164="","Missing due date",IF(E164="","Missing amount",""))))))</f>
        <v/>
      </c>
      <c r="M164" s="9">
        <f>IF(A164="","",IFERROR(INDEX(Jobs!$B$5:$B$44,MATCH(B164,Jobs!$A$5:$A$44,0)),""))</f>
        <v/>
      </c>
      <c r="N164" s="9">
        <f>IF(AND(A164&lt;&gt;"",M164&lt;&gt;"",M164='Client Statement'!$L$2),COUNTIF(M$5:M164,'Client Statement'!$L$2),"")</f>
        <v/>
      </c>
      <c r="O164" s="35" t="n"/>
    </row>
    <row r="165">
      <c r="A165" s="35" t="n"/>
      <c r="B165" s="35" t="n"/>
      <c r="C165" s="40" t="n"/>
      <c r="D165" s="40" t="n"/>
      <c r="E165" s="37" t="n"/>
      <c r="F165" s="35" t="n"/>
      <c r="G165" s="39">
        <f>IF(A165="","",SUMIFS(Payments!$D$5:$D$304,Payments!$C$5:$C$304,A165))</f>
        <v/>
      </c>
      <c r="H165" s="39">
        <f>IF(A165="","",E165-G165)</f>
        <v/>
      </c>
      <c r="I165" s="9">
        <f>IF(A165="","",IF(H165&lt;=0,"Paid",IF(AND(D165&lt;&gt;"",TODAY()&gt;D165+Settings!$B$13),"Overdue",IF(G165&gt;0,"Partial","Open"))))</f>
        <v/>
      </c>
      <c r="J165" s="9">
        <f>IF(A165="","",IF(I165="Overdue",TODAY()-D165,0))</f>
        <v/>
      </c>
      <c r="K165" s="9">
        <f>IF(A165="","",IF(H165&lt;=0,"Paid",IF(OR(D165="",TODAY()&lt;=D165),"Current",IF(TODAY()-D165&lt;=30,"1-30",IF(TODAY()-D165&lt;=60,"31-60",IF(TODAY()-D165&lt;=90,"61-90","90+"))))))</f>
        <v/>
      </c>
      <c r="L165" s="9">
        <f>IF(A165="","",IF(COUNTIF(Invoices!$A$5:$A$204,A165)&gt;1,"Duplicate invoice #",IF(B165="","Missing Job ID",IF(COUNTIF(Jobs!$A$5:$A$44,B165)=0,"Unknown Job ID",IF(D165="","Missing due date",IF(E165="","Missing amount",""))))))</f>
        <v/>
      </c>
      <c r="M165" s="9">
        <f>IF(A165="","",IFERROR(INDEX(Jobs!$B$5:$B$44,MATCH(B165,Jobs!$A$5:$A$44,0)),""))</f>
        <v/>
      </c>
      <c r="N165" s="9">
        <f>IF(AND(A165&lt;&gt;"",M165&lt;&gt;"",M165='Client Statement'!$L$2),COUNTIF(M$5:M165,'Client Statement'!$L$2),"")</f>
        <v/>
      </c>
      <c r="O165" s="35" t="n"/>
    </row>
    <row r="166">
      <c r="A166" s="35" t="n"/>
      <c r="B166" s="35" t="n"/>
      <c r="C166" s="40" t="n"/>
      <c r="D166" s="40" t="n"/>
      <c r="E166" s="37" t="n"/>
      <c r="F166" s="35" t="n"/>
      <c r="G166" s="39">
        <f>IF(A166="","",SUMIFS(Payments!$D$5:$D$304,Payments!$C$5:$C$304,A166))</f>
        <v/>
      </c>
      <c r="H166" s="39">
        <f>IF(A166="","",E166-G166)</f>
        <v/>
      </c>
      <c r="I166" s="9">
        <f>IF(A166="","",IF(H166&lt;=0,"Paid",IF(AND(D166&lt;&gt;"",TODAY()&gt;D166+Settings!$B$13),"Overdue",IF(G166&gt;0,"Partial","Open"))))</f>
        <v/>
      </c>
      <c r="J166" s="9">
        <f>IF(A166="","",IF(I166="Overdue",TODAY()-D166,0))</f>
        <v/>
      </c>
      <c r="K166" s="9">
        <f>IF(A166="","",IF(H166&lt;=0,"Paid",IF(OR(D166="",TODAY()&lt;=D166),"Current",IF(TODAY()-D166&lt;=30,"1-30",IF(TODAY()-D166&lt;=60,"31-60",IF(TODAY()-D166&lt;=90,"61-90","90+"))))))</f>
        <v/>
      </c>
      <c r="L166" s="9">
        <f>IF(A166="","",IF(COUNTIF(Invoices!$A$5:$A$204,A166)&gt;1,"Duplicate invoice #",IF(B166="","Missing Job ID",IF(COUNTIF(Jobs!$A$5:$A$44,B166)=0,"Unknown Job ID",IF(D166="","Missing due date",IF(E166="","Missing amount",""))))))</f>
        <v/>
      </c>
      <c r="M166" s="9">
        <f>IF(A166="","",IFERROR(INDEX(Jobs!$B$5:$B$44,MATCH(B166,Jobs!$A$5:$A$44,0)),""))</f>
        <v/>
      </c>
      <c r="N166" s="9">
        <f>IF(AND(A166&lt;&gt;"",M166&lt;&gt;"",M166='Client Statement'!$L$2),COUNTIF(M$5:M166,'Client Statement'!$L$2),"")</f>
        <v/>
      </c>
      <c r="O166" s="35" t="n"/>
    </row>
    <row r="167">
      <c r="A167" s="35" t="n"/>
      <c r="B167" s="35" t="n"/>
      <c r="C167" s="40" t="n"/>
      <c r="D167" s="40" t="n"/>
      <c r="E167" s="37" t="n"/>
      <c r="F167" s="35" t="n"/>
      <c r="G167" s="39">
        <f>IF(A167="","",SUMIFS(Payments!$D$5:$D$304,Payments!$C$5:$C$304,A167))</f>
        <v/>
      </c>
      <c r="H167" s="39">
        <f>IF(A167="","",E167-G167)</f>
        <v/>
      </c>
      <c r="I167" s="9">
        <f>IF(A167="","",IF(H167&lt;=0,"Paid",IF(AND(D167&lt;&gt;"",TODAY()&gt;D167+Settings!$B$13),"Overdue",IF(G167&gt;0,"Partial","Open"))))</f>
        <v/>
      </c>
      <c r="J167" s="9">
        <f>IF(A167="","",IF(I167="Overdue",TODAY()-D167,0))</f>
        <v/>
      </c>
      <c r="K167" s="9">
        <f>IF(A167="","",IF(H167&lt;=0,"Paid",IF(OR(D167="",TODAY()&lt;=D167),"Current",IF(TODAY()-D167&lt;=30,"1-30",IF(TODAY()-D167&lt;=60,"31-60",IF(TODAY()-D167&lt;=90,"61-90","90+"))))))</f>
        <v/>
      </c>
      <c r="L167" s="9">
        <f>IF(A167="","",IF(COUNTIF(Invoices!$A$5:$A$204,A167)&gt;1,"Duplicate invoice #",IF(B167="","Missing Job ID",IF(COUNTIF(Jobs!$A$5:$A$44,B167)=0,"Unknown Job ID",IF(D167="","Missing due date",IF(E167="","Missing amount",""))))))</f>
        <v/>
      </c>
      <c r="M167" s="9">
        <f>IF(A167="","",IFERROR(INDEX(Jobs!$B$5:$B$44,MATCH(B167,Jobs!$A$5:$A$44,0)),""))</f>
        <v/>
      </c>
      <c r="N167" s="9">
        <f>IF(AND(A167&lt;&gt;"",M167&lt;&gt;"",M167='Client Statement'!$L$2),COUNTIF(M$5:M167,'Client Statement'!$L$2),"")</f>
        <v/>
      </c>
      <c r="O167" s="35" t="n"/>
    </row>
    <row r="168">
      <c r="A168" s="35" t="n"/>
      <c r="B168" s="35" t="n"/>
      <c r="C168" s="40" t="n"/>
      <c r="D168" s="40" t="n"/>
      <c r="E168" s="37" t="n"/>
      <c r="F168" s="35" t="n"/>
      <c r="G168" s="39">
        <f>IF(A168="","",SUMIFS(Payments!$D$5:$D$304,Payments!$C$5:$C$304,A168))</f>
        <v/>
      </c>
      <c r="H168" s="39">
        <f>IF(A168="","",E168-G168)</f>
        <v/>
      </c>
      <c r="I168" s="9">
        <f>IF(A168="","",IF(H168&lt;=0,"Paid",IF(AND(D168&lt;&gt;"",TODAY()&gt;D168+Settings!$B$13),"Overdue",IF(G168&gt;0,"Partial","Open"))))</f>
        <v/>
      </c>
      <c r="J168" s="9">
        <f>IF(A168="","",IF(I168="Overdue",TODAY()-D168,0))</f>
        <v/>
      </c>
      <c r="K168" s="9">
        <f>IF(A168="","",IF(H168&lt;=0,"Paid",IF(OR(D168="",TODAY()&lt;=D168),"Current",IF(TODAY()-D168&lt;=30,"1-30",IF(TODAY()-D168&lt;=60,"31-60",IF(TODAY()-D168&lt;=90,"61-90","90+"))))))</f>
        <v/>
      </c>
      <c r="L168" s="9">
        <f>IF(A168="","",IF(COUNTIF(Invoices!$A$5:$A$204,A168)&gt;1,"Duplicate invoice #",IF(B168="","Missing Job ID",IF(COUNTIF(Jobs!$A$5:$A$44,B168)=0,"Unknown Job ID",IF(D168="","Missing due date",IF(E168="","Missing amount",""))))))</f>
        <v/>
      </c>
      <c r="M168" s="9">
        <f>IF(A168="","",IFERROR(INDEX(Jobs!$B$5:$B$44,MATCH(B168,Jobs!$A$5:$A$44,0)),""))</f>
        <v/>
      </c>
      <c r="N168" s="9">
        <f>IF(AND(A168&lt;&gt;"",M168&lt;&gt;"",M168='Client Statement'!$L$2),COUNTIF(M$5:M168,'Client Statement'!$L$2),"")</f>
        <v/>
      </c>
      <c r="O168" s="35" t="n"/>
    </row>
    <row r="169">
      <c r="A169" s="35" t="n"/>
      <c r="B169" s="35" t="n"/>
      <c r="C169" s="40" t="n"/>
      <c r="D169" s="40" t="n"/>
      <c r="E169" s="37" t="n"/>
      <c r="F169" s="35" t="n"/>
      <c r="G169" s="39">
        <f>IF(A169="","",SUMIFS(Payments!$D$5:$D$304,Payments!$C$5:$C$304,A169))</f>
        <v/>
      </c>
      <c r="H169" s="39">
        <f>IF(A169="","",E169-G169)</f>
        <v/>
      </c>
      <c r="I169" s="9">
        <f>IF(A169="","",IF(H169&lt;=0,"Paid",IF(AND(D169&lt;&gt;"",TODAY()&gt;D169+Settings!$B$13),"Overdue",IF(G169&gt;0,"Partial","Open"))))</f>
        <v/>
      </c>
      <c r="J169" s="9">
        <f>IF(A169="","",IF(I169="Overdue",TODAY()-D169,0))</f>
        <v/>
      </c>
      <c r="K169" s="9">
        <f>IF(A169="","",IF(H169&lt;=0,"Paid",IF(OR(D169="",TODAY()&lt;=D169),"Current",IF(TODAY()-D169&lt;=30,"1-30",IF(TODAY()-D169&lt;=60,"31-60",IF(TODAY()-D169&lt;=90,"61-90","90+"))))))</f>
        <v/>
      </c>
      <c r="L169" s="9">
        <f>IF(A169="","",IF(COUNTIF(Invoices!$A$5:$A$204,A169)&gt;1,"Duplicate invoice #",IF(B169="","Missing Job ID",IF(COUNTIF(Jobs!$A$5:$A$44,B169)=0,"Unknown Job ID",IF(D169="","Missing due date",IF(E169="","Missing amount",""))))))</f>
        <v/>
      </c>
      <c r="M169" s="9">
        <f>IF(A169="","",IFERROR(INDEX(Jobs!$B$5:$B$44,MATCH(B169,Jobs!$A$5:$A$44,0)),""))</f>
        <v/>
      </c>
      <c r="N169" s="9">
        <f>IF(AND(A169&lt;&gt;"",M169&lt;&gt;"",M169='Client Statement'!$L$2),COUNTIF(M$5:M169,'Client Statement'!$L$2),"")</f>
        <v/>
      </c>
      <c r="O169" s="35" t="n"/>
    </row>
    <row r="170">
      <c r="A170" s="35" t="n"/>
      <c r="B170" s="35" t="n"/>
      <c r="C170" s="40" t="n"/>
      <c r="D170" s="40" t="n"/>
      <c r="E170" s="37" t="n"/>
      <c r="F170" s="35" t="n"/>
      <c r="G170" s="39">
        <f>IF(A170="","",SUMIFS(Payments!$D$5:$D$304,Payments!$C$5:$C$304,A170))</f>
        <v/>
      </c>
      <c r="H170" s="39">
        <f>IF(A170="","",E170-G170)</f>
        <v/>
      </c>
      <c r="I170" s="9">
        <f>IF(A170="","",IF(H170&lt;=0,"Paid",IF(AND(D170&lt;&gt;"",TODAY()&gt;D170+Settings!$B$13),"Overdue",IF(G170&gt;0,"Partial","Open"))))</f>
        <v/>
      </c>
      <c r="J170" s="9">
        <f>IF(A170="","",IF(I170="Overdue",TODAY()-D170,0))</f>
        <v/>
      </c>
      <c r="K170" s="9">
        <f>IF(A170="","",IF(H170&lt;=0,"Paid",IF(OR(D170="",TODAY()&lt;=D170),"Current",IF(TODAY()-D170&lt;=30,"1-30",IF(TODAY()-D170&lt;=60,"31-60",IF(TODAY()-D170&lt;=90,"61-90","90+"))))))</f>
        <v/>
      </c>
      <c r="L170" s="9">
        <f>IF(A170="","",IF(COUNTIF(Invoices!$A$5:$A$204,A170)&gt;1,"Duplicate invoice #",IF(B170="","Missing Job ID",IF(COUNTIF(Jobs!$A$5:$A$44,B170)=0,"Unknown Job ID",IF(D170="","Missing due date",IF(E170="","Missing amount",""))))))</f>
        <v/>
      </c>
      <c r="M170" s="9">
        <f>IF(A170="","",IFERROR(INDEX(Jobs!$B$5:$B$44,MATCH(B170,Jobs!$A$5:$A$44,0)),""))</f>
        <v/>
      </c>
      <c r="N170" s="9">
        <f>IF(AND(A170&lt;&gt;"",M170&lt;&gt;"",M170='Client Statement'!$L$2),COUNTIF(M$5:M170,'Client Statement'!$L$2),"")</f>
        <v/>
      </c>
      <c r="O170" s="35" t="n"/>
    </row>
    <row r="171">
      <c r="A171" s="35" t="n"/>
      <c r="B171" s="35" t="n"/>
      <c r="C171" s="40" t="n"/>
      <c r="D171" s="40" t="n"/>
      <c r="E171" s="37" t="n"/>
      <c r="F171" s="35" t="n"/>
      <c r="G171" s="39">
        <f>IF(A171="","",SUMIFS(Payments!$D$5:$D$304,Payments!$C$5:$C$304,A171))</f>
        <v/>
      </c>
      <c r="H171" s="39">
        <f>IF(A171="","",E171-G171)</f>
        <v/>
      </c>
      <c r="I171" s="9">
        <f>IF(A171="","",IF(H171&lt;=0,"Paid",IF(AND(D171&lt;&gt;"",TODAY()&gt;D171+Settings!$B$13),"Overdue",IF(G171&gt;0,"Partial","Open"))))</f>
        <v/>
      </c>
      <c r="J171" s="9">
        <f>IF(A171="","",IF(I171="Overdue",TODAY()-D171,0))</f>
        <v/>
      </c>
      <c r="K171" s="9">
        <f>IF(A171="","",IF(H171&lt;=0,"Paid",IF(OR(D171="",TODAY()&lt;=D171),"Current",IF(TODAY()-D171&lt;=30,"1-30",IF(TODAY()-D171&lt;=60,"31-60",IF(TODAY()-D171&lt;=90,"61-90","90+"))))))</f>
        <v/>
      </c>
      <c r="L171" s="9">
        <f>IF(A171="","",IF(COUNTIF(Invoices!$A$5:$A$204,A171)&gt;1,"Duplicate invoice #",IF(B171="","Missing Job ID",IF(COUNTIF(Jobs!$A$5:$A$44,B171)=0,"Unknown Job ID",IF(D171="","Missing due date",IF(E171="","Missing amount",""))))))</f>
        <v/>
      </c>
      <c r="M171" s="9">
        <f>IF(A171="","",IFERROR(INDEX(Jobs!$B$5:$B$44,MATCH(B171,Jobs!$A$5:$A$44,0)),""))</f>
        <v/>
      </c>
      <c r="N171" s="9">
        <f>IF(AND(A171&lt;&gt;"",M171&lt;&gt;"",M171='Client Statement'!$L$2),COUNTIF(M$5:M171,'Client Statement'!$L$2),"")</f>
        <v/>
      </c>
      <c r="O171" s="35" t="n"/>
    </row>
    <row r="172">
      <c r="A172" s="35" t="n"/>
      <c r="B172" s="35" t="n"/>
      <c r="C172" s="40" t="n"/>
      <c r="D172" s="40" t="n"/>
      <c r="E172" s="37" t="n"/>
      <c r="F172" s="35" t="n"/>
      <c r="G172" s="39">
        <f>IF(A172="","",SUMIFS(Payments!$D$5:$D$304,Payments!$C$5:$C$304,A172))</f>
        <v/>
      </c>
      <c r="H172" s="39">
        <f>IF(A172="","",E172-G172)</f>
        <v/>
      </c>
      <c r="I172" s="9">
        <f>IF(A172="","",IF(H172&lt;=0,"Paid",IF(AND(D172&lt;&gt;"",TODAY()&gt;D172+Settings!$B$13),"Overdue",IF(G172&gt;0,"Partial","Open"))))</f>
        <v/>
      </c>
      <c r="J172" s="9">
        <f>IF(A172="","",IF(I172="Overdue",TODAY()-D172,0))</f>
        <v/>
      </c>
      <c r="K172" s="9">
        <f>IF(A172="","",IF(H172&lt;=0,"Paid",IF(OR(D172="",TODAY()&lt;=D172),"Current",IF(TODAY()-D172&lt;=30,"1-30",IF(TODAY()-D172&lt;=60,"31-60",IF(TODAY()-D172&lt;=90,"61-90","90+"))))))</f>
        <v/>
      </c>
      <c r="L172" s="9">
        <f>IF(A172="","",IF(COUNTIF(Invoices!$A$5:$A$204,A172)&gt;1,"Duplicate invoice #",IF(B172="","Missing Job ID",IF(COUNTIF(Jobs!$A$5:$A$44,B172)=0,"Unknown Job ID",IF(D172="","Missing due date",IF(E172="","Missing amount",""))))))</f>
        <v/>
      </c>
      <c r="M172" s="9">
        <f>IF(A172="","",IFERROR(INDEX(Jobs!$B$5:$B$44,MATCH(B172,Jobs!$A$5:$A$44,0)),""))</f>
        <v/>
      </c>
      <c r="N172" s="9">
        <f>IF(AND(A172&lt;&gt;"",M172&lt;&gt;"",M172='Client Statement'!$L$2),COUNTIF(M$5:M172,'Client Statement'!$L$2),"")</f>
        <v/>
      </c>
      <c r="O172" s="35" t="n"/>
    </row>
    <row r="173">
      <c r="A173" s="35" t="n"/>
      <c r="B173" s="35" t="n"/>
      <c r="C173" s="40" t="n"/>
      <c r="D173" s="40" t="n"/>
      <c r="E173" s="37" t="n"/>
      <c r="F173" s="35" t="n"/>
      <c r="G173" s="39">
        <f>IF(A173="","",SUMIFS(Payments!$D$5:$D$304,Payments!$C$5:$C$304,A173))</f>
        <v/>
      </c>
      <c r="H173" s="39">
        <f>IF(A173="","",E173-G173)</f>
        <v/>
      </c>
      <c r="I173" s="9">
        <f>IF(A173="","",IF(H173&lt;=0,"Paid",IF(AND(D173&lt;&gt;"",TODAY()&gt;D173+Settings!$B$13),"Overdue",IF(G173&gt;0,"Partial","Open"))))</f>
        <v/>
      </c>
      <c r="J173" s="9">
        <f>IF(A173="","",IF(I173="Overdue",TODAY()-D173,0))</f>
        <v/>
      </c>
      <c r="K173" s="9">
        <f>IF(A173="","",IF(H173&lt;=0,"Paid",IF(OR(D173="",TODAY()&lt;=D173),"Current",IF(TODAY()-D173&lt;=30,"1-30",IF(TODAY()-D173&lt;=60,"31-60",IF(TODAY()-D173&lt;=90,"61-90","90+"))))))</f>
        <v/>
      </c>
      <c r="L173" s="9">
        <f>IF(A173="","",IF(COUNTIF(Invoices!$A$5:$A$204,A173)&gt;1,"Duplicate invoice #",IF(B173="","Missing Job ID",IF(COUNTIF(Jobs!$A$5:$A$44,B173)=0,"Unknown Job ID",IF(D173="","Missing due date",IF(E173="","Missing amount",""))))))</f>
        <v/>
      </c>
      <c r="M173" s="9">
        <f>IF(A173="","",IFERROR(INDEX(Jobs!$B$5:$B$44,MATCH(B173,Jobs!$A$5:$A$44,0)),""))</f>
        <v/>
      </c>
      <c r="N173" s="9">
        <f>IF(AND(A173&lt;&gt;"",M173&lt;&gt;"",M173='Client Statement'!$L$2),COUNTIF(M$5:M173,'Client Statement'!$L$2),"")</f>
        <v/>
      </c>
      <c r="O173" s="35" t="n"/>
    </row>
    <row r="174">
      <c r="A174" s="35" t="n"/>
      <c r="B174" s="35" t="n"/>
      <c r="C174" s="40" t="n"/>
      <c r="D174" s="40" t="n"/>
      <c r="E174" s="37" t="n"/>
      <c r="F174" s="35" t="n"/>
      <c r="G174" s="39">
        <f>IF(A174="","",SUMIFS(Payments!$D$5:$D$304,Payments!$C$5:$C$304,A174))</f>
        <v/>
      </c>
      <c r="H174" s="39">
        <f>IF(A174="","",E174-G174)</f>
        <v/>
      </c>
      <c r="I174" s="9">
        <f>IF(A174="","",IF(H174&lt;=0,"Paid",IF(AND(D174&lt;&gt;"",TODAY()&gt;D174+Settings!$B$13),"Overdue",IF(G174&gt;0,"Partial","Open"))))</f>
        <v/>
      </c>
      <c r="J174" s="9">
        <f>IF(A174="","",IF(I174="Overdue",TODAY()-D174,0))</f>
        <v/>
      </c>
      <c r="K174" s="9">
        <f>IF(A174="","",IF(H174&lt;=0,"Paid",IF(OR(D174="",TODAY()&lt;=D174),"Current",IF(TODAY()-D174&lt;=30,"1-30",IF(TODAY()-D174&lt;=60,"31-60",IF(TODAY()-D174&lt;=90,"61-90","90+"))))))</f>
        <v/>
      </c>
      <c r="L174" s="9">
        <f>IF(A174="","",IF(COUNTIF(Invoices!$A$5:$A$204,A174)&gt;1,"Duplicate invoice #",IF(B174="","Missing Job ID",IF(COUNTIF(Jobs!$A$5:$A$44,B174)=0,"Unknown Job ID",IF(D174="","Missing due date",IF(E174="","Missing amount",""))))))</f>
        <v/>
      </c>
      <c r="M174" s="9">
        <f>IF(A174="","",IFERROR(INDEX(Jobs!$B$5:$B$44,MATCH(B174,Jobs!$A$5:$A$44,0)),""))</f>
        <v/>
      </c>
      <c r="N174" s="9">
        <f>IF(AND(A174&lt;&gt;"",M174&lt;&gt;"",M174='Client Statement'!$L$2),COUNTIF(M$5:M174,'Client Statement'!$L$2),"")</f>
        <v/>
      </c>
      <c r="O174" s="35" t="n"/>
    </row>
    <row r="175">
      <c r="A175" s="35" t="n"/>
      <c r="B175" s="35" t="n"/>
      <c r="C175" s="40" t="n"/>
      <c r="D175" s="40" t="n"/>
      <c r="E175" s="37" t="n"/>
      <c r="F175" s="35" t="n"/>
      <c r="G175" s="39">
        <f>IF(A175="","",SUMIFS(Payments!$D$5:$D$304,Payments!$C$5:$C$304,A175))</f>
        <v/>
      </c>
      <c r="H175" s="39">
        <f>IF(A175="","",E175-G175)</f>
        <v/>
      </c>
      <c r="I175" s="9">
        <f>IF(A175="","",IF(H175&lt;=0,"Paid",IF(AND(D175&lt;&gt;"",TODAY()&gt;D175+Settings!$B$13),"Overdue",IF(G175&gt;0,"Partial","Open"))))</f>
        <v/>
      </c>
      <c r="J175" s="9">
        <f>IF(A175="","",IF(I175="Overdue",TODAY()-D175,0))</f>
        <v/>
      </c>
      <c r="K175" s="9">
        <f>IF(A175="","",IF(H175&lt;=0,"Paid",IF(OR(D175="",TODAY()&lt;=D175),"Current",IF(TODAY()-D175&lt;=30,"1-30",IF(TODAY()-D175&lt;=60,"31-60",IF(TODAY()-D175&lt;=90,"61-90","90+"))))))</f>
        <v/>
      </c>
      <c r="L175" s="9">
        <f>IF(A175="","",IF(COUNTIF(Invoices!$A$5:$A$204,A175)&gt;1,"Duplicate invoice #",IF(B175="","Missing Job ID",IF(COUNTIF(Jobs!$A$5:$A$44,B175)=0,"Unknown Job ID",IF(D175="","Missing due date",IF(E175="","Missing amount",""))))))</f>
        <v/>
      </c>
      <c r="M175" s="9">
        <f>IF(A175="","",IFERROR(INDEX(Jobs!$B$5:$B$44,MATCH(B175,Jobs!$A$5:$A$44,0)),""))</f>
        <v/>
      </c>
      <c r="N175" s="9">
        <f>IF(AND(A175&lt;&gt;"",M175&lt;&gt;"",M175='Client Statement'!$L$2),COUNTIF(M$5:M175,'Client Statement'!$L$2),"")</f>
        <v/>
      </c>
      <c r="O175" s="35" t="n"/>
    </row>
    <row r="176">
      <c r="A176" s="35" t="n"/>
      <c r="B176" s="35" t="n"/>
      <c r="C176" s="40" t="n"/>
      <c r="D176" s="40" t="n"/>
      <c r="E176" s="37" t="n"/>
      <c r="F176" s="35" t="n"/>
      <c r="G176" s="39">
        <f>IF(A176="","",SUMIFS(Payments!$D$5:$D$304,Payments!$C$5:$C$304,A176))</f>
        <v/>
      </c>
      <c r="H176" s="39">
        <f>IF(A176="","",E176-G176)</f>
        <v/>
      </c>
      <c r="I176" s="9">
        <f>IF(A176="","",IF(H176&lt;=0,"Paid",IF(AND(D176&lt;&gt;"",TODAY()&gt;D176+Settings!$B$13),"Overdue",IF(G176&gt;0,"Partial","Open"))))</f>
        <v/>
      </c>
      <c r="J176" s="9">
        <f>IF(A176="","",IF(I176="Overdue",TODAY()-D176,0))</f>
        <v/>
      </c>
      <c r="K176" s="9">
        <f>IF(A176="","",IF(H176&lt;=0,"Paid",IF(OR(D176="",TODAY()&lt;=D176),"Current",IF(TODAY()-D176&lt;=30,"1-30",IF(TODAY()-D176&lt;=60,"31-60",IF(TODAY()-D176&lt;=90,"61-90","90+"))))))</f>
        <v/>
      </c>
      <c r="L176" s="9">
        <f>IF(A176="","",IF(COUNTIF(Invoices!$A$5:$A$204,A176)&gt;1,"Duplicate invoice #",IF(B176="","Missing Job ID",IF(COUNTIF(Jobs!$A$5:$A$44,B176)=0,"Unknown Job ID",IF(D176="","Missing due date",IF(E176="","Missing amount",""))))))</f>
        <v/>
      </c>
      <c r="M176" s="9">
        <f>IF(A176="","",IFERROR(INDEX(Jobs!$B$5:$B$44,MATCH(B176,Jobs!$A$5:$A$44,0)),""))</f>
        <v/>
      </c>
      <c r="N176" s="9">
        <f>IF(AND(A176&lt;&gt;"",M176&lt;&gt;"",M176='Client Statement'!$L$2),COUNTIF(M$5:M176,'Client Statement'!$L$2),"")</f>
        <v/>
      </c>
      <c r="O176" s="35" t="n"/>
    </row>
    <row r="177">
      <c r="A177" s="35" t="n"/>
      <c r="B177" s="35" t="n"/>
      <c r="C177" s="40" t="n"/>
      <c r="D177" s="40" t="n"/>
      <c r="E177" s="37" t="n"/>
      <c r="F177" s="35" t="n"/>
      <c r="G177" s="39">
        <f>IF(A177="","",SUMIFS(Payments!$D$5:$D$304,Payments!$C$5:$C$304,A177))</f>
        <v/>
      </c>
      <c r="H177" s="39">
        <f>IF(A177="","",E177-G177)</f>
        <v/>
      </c>
      <c r="I177" s="9">
        <f>IF(A177="","",IF(H177&lt;=0,"Paid",IF(AND(D177&lt;&gt;"",TODAY()&gt;D177+Settings!$B$13),"Overdue",IF(G177&gt;0,"Partial","Open"))))</f>
        <v/>
      </c>
      <c r="J177" s="9">
        <f>IF(A177="","",IF(I177="Overdue",TODAY()-D177,0))</f>
        <v/>
      </c>
      <c r="K177" s="9">
        <f>IF(A177="","",IF(H177&lt;=0,"Paid",IF(OR(D177="",TODAY()&lt;=D177),"Current",IF(TODAY()-D177&lt;=30,"1-30",IF(TODAY()-D177&lt;=60,"31-60",IF(TODAY()-D177&lt;=90,"61-90","90+"))))))</f>
        <v/>
      </c>
      <c r="L177" s="9">
        <f>IF(A177="","",IF(COUNTIF(Invoices!$A$5:$A$204,A177)&gt;1,"Duplicate invoice #",IF(B177="","Missing Job ID",IF(COUNTIF(Jobs!$A$5:$A$44,B177)=0,"Unknown Job ID",IF(D177="","Missing due date",IF(E177="","Missing amount",""))))))</f>
        <v/>
      </c>
      <c r="M177" s="9">
        <f>IF(A177="","",IFERROR(INDEX(Jobs!$B$5:$B$44,MATCH(B177,Jobs!$A$5:$A$44,0)),""))</f>
        <v/>
      </c>
      <c r="N177" s="9">
        <f>IF(AND(A177&lt;&gt;"",M177&lt;&gt;"",M177='Client Statement'!$L$2),COUNTIF(M$5:M177,'Client Statement'!$L$2),"")</f>
        <v/>
      </c>
      <c r="O177" s="35" t="n"/>
    </row>
    <row r="178">
      <c r="A178" s="35" t="n"/>
      <c r="B178" s="35" t="n"/>
      <c r="C178" s="40" t="n"/>
      <c r="D178" s="40" t="n"/>
      <c r="E178" s="37" t="n"/>
      <c r="F178" s="35" t="n"/>
      <c r="G178" s="39">
        <f>IF(A178="","",SUMIFS(Payments!$D$5:$D$304,Payments!$C$5:$C$304,A178))</f>
        <v/>
      </c>
      <c r="H178" s="39">
        <f>IF(A178="","",E178-G178)</f>
        <v/>
      </c>
      <c r="I178" s="9">
        <f>IF(A178="","",IF(H178&lt;=0,"Paid",IF(AND(D178&lt;&gt;"",TODAY()&gt;D178+Settings!$B$13),"Overdue",IF(G178&gt;0,"Partial","Open"))))</f>
        <v/>
      </c>
      <c r="J178" s="9">
        <f>IF(A178="","",IF(I178="Overdue",TODAY()-D178,0))</f>
        <v/>
      </c>
      <c r="K178" s="9">
        <f>IF(A178="","",IF(H178&lt;=0,"Paid",IF(OR(D178="",TODAY()&lt;=D178),"Current",IF(TODAY()-D178&lt;=30,"1-30",IF(TODAY()-D178&lt;=60,"31-60",IF(TODAY()-D178&lt;=90,"61-90","90+"))))))</f>
        <v/>
      </c>
      <c r="L178" s="9">
        <f>IF(A178="","",IF(COUNTIF(Invoices!$A$5:$A$204,A178)&gt;1,"Duplicate invoice #",IF(B178="","Missing Job ID",IF(COUNTIF(Jobs!$A$5:$A$44,B178)=0,"Unknown Job ID",IF(D178="","Missing due date",IF(E178="","Missing amount",""))))))</f>
        <v/>
      </c>
      <c r="M178" s="9">
        <f>IF(A178="","",IFERROR(INDEX(Jobs!$B$5:$B$44,MATCH(B178,Jobs!$A$5:$A$44,0)),""))</f>
        <v/>
      </c>
      <c r="N178" s="9">
        <f>IF(AND(A178&lt;&gt;"",M178&lt;&gt;"",M178='Client Statement'!$L$2),COUNTIF(M$5:M178,'Client Statement'!$L$2),"")</f>
        <v/>
      </c>
      <c r="O178" s="35" t="n"/>
    </row>
    <row r="179">
      <c r="A179" s="35" t="n"/>
      <c r="B179" s="35" t="n"/>
      <c r="C179" s="40" t="n"/>
      <c r="D179" s="40" t="n"/>
      <c r="E179" s="37" t="n"/>
      <c r="F179" s="35" t="n"/>
      <c r="G179" s="39">
        <f>IF(A179="","",SUMIFS(Payments!$D$5:$D$304,Payments!$C$5:$C$304,A179))</f>
        <v/>
      </c>
      <c r="H179" s="39">
        <f>IF(A179="","",E179-G179)</f>
        <v/>
      </c>
      <c r="I179" s="9">
        <f>IF(A179="","",IF(H179&lt;=0,"Paid",IF(AND(D179&lt;&gt;"",TODAY()&gt;D179+Settings!$B$13),"Overdue",IF(G179&gt;0,"Partial","Open"))))</f>
        <v/>
      </c>
      <c r="J179" s="9">
        <f>IF(A179="","",IF(I179="Overdue",TODAY()-D179,0))</f>
        <v/>
      </c>
      <c r="K179" s="9">
        <f>IF(A179="","",IF(H179&lt;=0,"Paid",IF(OR(D179="",TODAY()&lt;=D179),"Current",IF(TODAY()-D179&lt;=30,"1-30",IF(TODAY()-D179&lt;=60,"31-60",IF(TODAY()-D179&lt;=90,"61-90","90+"))))))</f>
        <v/>
      </c>
      <c r="L179" s="9">
        <f>IF(A179="","",IF(COUNTIF(Invoices!$A$5:$A$204,A179)&gt;1,"Duplicate invoice #",IF(B179="","Missing Job ID",IF(COUNTIF(Jobs!$A$5:$A$44,B179)=0,"Unknown Job ID",IF(D179="","Missing due date",IF(E179="","Missing amount",""))))))</f>
        <v/>
      </c>
      <c r="M179" s="9">
        <f>IF(A179="","",IFERROR(INDEX(Jobs!$B$5:$B$44,MATCH(B179,Jobs!$A$5:$A$44,0)),""))</f>
        <v/>
      </c>
      <c r="N179" s="9">
        <f>IF(AND(A179&lt;&gt;"",M179&lt;&gt;"",M179='Client Statement'!$L$2),COUNTIF(M$5:M179,'Client Statement'!$L$2),"")</f>
        <v/>
      </c>
      <c r="O179" s="35" t="n"/>
    </row>
    <row r="180">
      <c r="A180" s="35" t="n"/>
      <c r="B180" s="35" t="n"/>
      <c r="C180" s="40" t="n"/>
      <c r="D180" s="40" t="n"/>
      <c r="E180" s="37" t="n"/>
      <c r="F180" s="35" t="n"/>
      <c r="G180" s="39">
        <f>IF(A180="","",SUMIFS(Payments!$D$5:$D$304,Payments!$C$5:$C$304,A180))</f>
        <v/>
      </c>
      <c r="H180" s="39">
        <f>IF(A180="","",E180-G180)</f>
        <v/>
      </c>
      <c r="I180" s="9">
        <f>IF(A180="","",IF(H180&lt;=0,"Paid",IF(AND(D180&lt;&gt;"",TODAY()&gt;D180+Settings!$B$13),"Overdue",IF(G180&gt;0,"Partial","Open"))))</f>
        <v/>
      </c>
      <c r="J180" s="9">
        <f>IF(A180="","",IF(I180="Overdue",TODAY()-D180,0))</f>
        <v/>
      </c>
      <c r="K180" s="9">
        <f>IF(A180="","",IF(H180&lt;=0,"Paid",IF(OR(D180="",TODAY()&lt;=D180),"Current",IF(TODAY()-D180&lt;=30,"1-30",IF(TODAY()-D180&lt;=60,"31-60",IF(TODAY()-D180&lt;=90,"61-90","90+"))))))</f>
        <v/>
      </c>
      <c r="L180" s="9">
        <f>IF(A180="","",IF(COUNTIF(Invoices!$A$5:$A$204,A180)&gt;1,"Duplicate invoice #",IF(B180="","Missing Job ID",IF(COUNTIF(Jobs!$A$5:$A$44,B180)=0,"Unknown Job ID",IF(D180="","Missing due date",IF(E180="","Missing amount",""))))))</f>
        <v/>
      </c>
      <c r="M180" s="9">
        <f>IF(A180="","",IFERROR(INDEX(Jobs!$B$5:$B$44,MATCH(B180,Jobs!$A$5:$A$44,0)),""))</f>
        <v/>
      </c>
      <c r="N180" s="9">
        <f>IF(AND(A180&lt;&gt;"",M180&lt;&gt;"",M180='Client Statement'!$L$2),COUNTIF(M$5:M180,'Client Statement'!$L$2),"")</f>
        <v/>
      </c>
      <c r="O180" s="35" t="n"/>
    </row>
    <row r="181">
      <c r="A181" s="35" t="n"/>
      <c r="B181" s="35" t="n"/>
      <c r="C181" s="40" t="n"/>
      <c r="D181" s="40" t="n"/>
      <c r="E181" s="37" t="n"/>
      <c r="F181" s="35" t="n"/>
      <c r="G181" s="39">
        <f>IF(A181="","",SUMIFS(Payments!$D$5:$D$304,Payments!$C$5:$C$304,A181))</f>
        <v/>
      </c>
      <c r="H181" s="39">
        <f>IF(A181="","",E181-G181)</f>
        <v/>
      </c>
      <c r="I181" s="9">
        <f>IF(A181="","",IF(H181&lt;=0,"Paid",IF(AND(D181&lt;&gt;"",TODAY()&gt;D181+Settings!$B$13),"Overdue",IF(G181&gt;0,"Partial","Open"))))</f>
        <v/>
      </c>
      <c r="J181" s="9">
        <f>IF(A181="","",IF(I181="Overdue",TODAY()-D181,0))</f>
        <v/>
      </c>
      <c r="K181" s="9">
        <f>IF(A181="","",IF(H181&lt;=0,"Paid",IF(OR(D181="",TODAY()&lt;=D181),"Current",IF(TODAY()-D181&lt;=30,"1-30",IF(TODAY()-D181&lt;=60,"31-60",IF(TODAY()-D181&lt;=90,"61-90","90+"))))))</f>
        <v/>
      </c>
      <c r="L181" s="9">
        <f>IF(A181="","",IF(COUNTIF(Invoices!$A$5:$A$204,A181)&gt;1,"Duplicate invoice #",IF(B181="","Missing Job ID",IF(COUNTIF(Jobs!$A$5:$A$44,B181)=0,"Unknown Job ID",IF(D181="","Missing due date",IF(E181="","Missing amount",""))))))</f>
        <v/>
      </c>
      <c r="M181" s="9">
        <f>IF(A181="","",IFERROR(INDEX(Jobs!$B$5:$B$44,MATCH(B181,Jobs!$A$5:$A$44,0)),""))</f>
        <v/>
      </c>
      <c r="N181" s="9">
        <f>IF(AND(A181&lt;&gt;"",M181&lt;&gt;"",M181='Client Statement'!$L$2),COUNTIF(M$5:M181,'Client Statement'!$L$2),"")</f>
        <v/>
      </c>
      <c r="O181" s="35" t="n"/>
    </row>
    <row r="182">
      <c r="A182" s="35" t="n"/>
      <c r="B182" s="35" t="n"/>
      <c r="C182" s="40" t="n"/>
      <c r="D182" s="40" t="n"/>
      <c r="E182" s="37" t="n"/>
      <c r="F182" s="35" t="n"/>
      <c r="G182" s="39">
        <f>IF(A182="","",SUMIFS(Payments!$D$5:$D$304,Payments!$C$5:$C$304,A182))</f>
        <v/>
      </c>
      <c r="H182" s="39">
        <f>IF(A182="","",E182-G182)</f>
        <v/>
      </c>
      <c r="I182" s="9">
        <f>IF(A182="","",IF(H182&lt;=0,"Paid",IF(AND(D182&lt;&gt;"",TODAY()&gt;D182+Settings!$B$13),"Overdue",IF(G182&gt;0,"Partial","Open"))))</f>
        <v/>
      </c>
      <c r="J182" s="9">
        <f>IF(A182="","",IF(I182="Overdue",TODAY()-D182,0))</f>
        <v/>
      </c>
      <c r="K182" s="9">
        <f>IF(A182="","",IF(H182&lt;=0,"Paid",IF(OR(D182="",TODAY()&lt;=D182),"Current",IF(TODAY()-D182&lt;=30,"1-30",IF(TODAY()-D182&lt;=60,"31-60",IF(TODAY()-D182&lt;=90,"61-90","90+"))))))</f>
        <v/>
      </c>
      <c r="L182" s="9">
        <f>IF(A182="","",IF(COUNTIF(Invoices!$A$5:$A$204,A182)&gt;1,"Duplicate invoice #",IF(B182="","Missing Job ID",IF(COUNTIF(Jobs!$A$5:$A$44,B182)=0,"Unknown Job ID",IF(D182="","Missing due date",IF(E182="","Missing amount",""))))))</f>
        <v/>
      </c>
      <c r="M182" s="9">
        <f>IF(A182="","",IFERROR(INDEX(Jobs!$B$5:$B$44,MATCH(B182,Jobs!$A$5:$A$44,0)),""))</f>
        <v/>
      </c>
      <c r="N182" s="9">
        <f>IF(AND(A182&lt;&gt;"",M182&lt;&gt;"",M182='Client Statement'!$L$2),COUNTIF(M$5:M182,'Client Statement'!$L$2),"")</f>
        <v/>
      </c>
      <c r="O182" s="35" t="n"/>
    </row>
    <row r="183">
      <c r="A183" s="35" t="n"/>
      <c r="B183" s="35" t="n"/>
      <c r="C183" s="40" t="n"/>
      <c r="D183" s="40" t="n"/>
      <c r="E183" s="37" t="n"/>
      <c r="F183" s="35" t="n"/>
      <c r="G183" s="39">
        <f>IF(A183="","",SUMIFS(Payments!$D$5:$D$304,Payments!$C$5:$C$304,A183))</f>
        <v/>
      </c>
      <c r="H183" s="39">
        <f>IF(A183="","",E183-G183)</f>
        <v/>
      </c>
      <c r="I183" s="9">
        <f>IF(A183="","",IF(H183&lt;=0,"Paid",IF(AND(D183&lt;&gt;"",TODAY()&gt;D183+Settings!$B$13),"Overdue",IF(G183&gt;0,"Partial","Open"))))</f>
        <v/>
      </c>
      <c r="J183" s="9">
        <f>IF(A183="","",IF(I183="Overdue",TODAY()-D183,0))</f>
        <v/>
      </c>
      <c r="K183" s="9">
        <f>IF(A183="","",IF(H183&lt;=0,"Paid",IF(OR(D183="",TODAY()&lt;=D183),"Current",IF(TODAY()-D183&lt;=30,"1-30",IF(TODAY()-D183&lt;=60,"31-60",IF(TODAY()-D183&lt;=90,"61-90","90+"))))))</f>
        <v/>
      </c>
      <c r="L183" s="9">
        <f>IF(A183="","",IF(COUNTIF(Invoices!$A$5:$A$204,A183)&gt;1,"Duplicate invoice #",IF(B183="","Missing Job ID",IF(COUNTIF(Jobs!$A$5:$A$44,B183)=0,"Unknown Job ID",IF(D183="","Missing due date",IF(E183="","Missing amount",""))))))</f>
        <v/>
      </c>
      <c r="M183" s="9">
        <f>IF(A183="","",IFERROR(INDEX(Jobs!$B$5:$B$44,MATCH(B183,Jobs!$A$5:$A$44,0)),""))</f>
        <v/>
      </c>
      <c r="N183" s="9">
        <f>IF(AND(A183&lt;&gt;"",M183&lt;&gt;"",M183='Client Statement'!$L$2),COUNTIF(M$5:M183,'Client Statement'!$L$2),"")</f>
        <v/>
      </c>
      <c r="O183" s="35" t="n"/>
    </row>
    <row r="184">
      <c r="A184" s="35" t="n"/>
      <c r="B184" s="35" t="n"/>
      <c r="C184" s="40" t="n"/>
      <c r="D184" s="40" t="n"/>
      <c r="E184" s="37" t="n"/>
      <c r="F184" s="35" t="n"/>
      <c r="G184" s="39">
        <f>IF(A184="","",SUMIFS(Payments!$D$5:$D$304,Payments!$C$5:$C$304,A184))</f>
        <v/>
      </c>
      <c r="H184" s="39">
        <f>IF(A184="","",E184-G184)</f>
        <v/>
      </c>
      <c r="I184" s="9">
        <f>IF(A184="","",IF(H184&lt;=0,"Paid",IF(AND(D184&lt;&gt;"",TODAY()&gt;D184+Settings!$B$13),"Overdue",IF(G184&gt;0,"Partial","Open"))))</f>
        <v/>
      </c>
      <c r="J184" s="9">
        <f>IF(A184="","",IF(I184="Overdue",TODAY()-D184,0))</f>
        <v/>
      </c>
      <c r="K184" s="9">
        <f>IF(A184="","",IF(H184&lt;=0,"Paid",IF(OR(D184="",TODAY()&lt;=D184),"Current",IF(TODAY()-D184&lt;=30,"1-30",IF(TODAY()-D184&lt;=60,"31-60",IF(TODAY()-D184&lt;=90,"61-90","90+"))))))</f>
        <v/>
      </c>
      <c r="L184" s="9">
        <f>IF(A184="","",IF(COUNTIF(Invoices!$A$5:$A$204,A184)&gt;1,"Duplicate invoice #",IF(B184="","Missing Job ID",IF(COUNTIF(Jobs!$A$5:$A$44,B184)=0,"Unknown Job ID",IF(D184="","Missing due date",IF(E184="","Missing amount",""))))))</f>
        <v/>
      </c>
      <c r="M184" s="9">
        <f>IF(A184="","",IFERROR(INDEX(Jobs!$B$5:$B$44,MATCH(B184,Jobs!$A$5:$A$44,0)),""))</f>
        <v/>
      </c>
      <c r="N184" s="9">
        <f>IF(AND(A184&lt;&gt;"",M184&lt;&gt;"",M184='Client Statement'!$L$2),COUNTIF(M$5:M184,'Client Statement'!$L$2),"")</f>
        <v/>
      </c>
      <c r="O184" s="35" t="n"/>
    </row>
    <row r="185">
      <c r="A185" s="35" t="n"/>
      <c r="B185" s="35" t="n"/>
      <c r="C185" s="40" t="n"/>
      <c r="D185" s="40" t="n"/>
      <c r="E185" s="37" t="n"/>
      <c r="F185" s="35" t="n"/>
      <c r="G185" s="39">
        <f>IF(A185="","",SUMIFS(Payments!$D$5:$D$304,Payments!$C$5:$C$304,A185))</f>
        <v/>
      </c>
      <c r="H185" s="39">
        <f>IF(A185="","",E185-G185)</f>
        <v/>
      </c>
      <c r="I185" s="9">
        <f>IF(A185="","",IF(H185&lt;=0,"Paid",IF(AND(D185&lt;&gt;"",TODAY()&gt;D185+Settings!$B$13),"Overdue",IF(G185&gt;0,"Partial","Open"))))</f>
        <v/>
      </c>
      <c r="J185" s="9">
        <f>IF(A185="","",IF(I185="Overdue",TODAY()-D185,0))</f>
        <v/>
      </c>
      <c r="K185" s="9">
        <f>IF(A185="","",IF(H185&lt;=0,"Paid",IF(OR(D185="",TODAY()&lt;=D185),"Current",IF(TODAY()-D185&lt;=30,"1-30",IF(TODAY()-D185&lt;=60,"31-60",IF(TODAY()-D185&lt;=90,"61-90","90+"))))))</f>
        <v/>
      </c>
      <c r="L185" s="9">
        <f>IF(A185="","",IF(COUNTIF(Invoices!$A$5:$A$204,A185)&gt;1,"Duplicate invoice #",IF(B185="","Missing Job ID",IF(COUNTIF(Jobs!$A$5:$A$44,B185)=0,"Unknown Job ID",IF(D185="","Missing due date",IF(E185="","Missing amount",""))))))</f>
        <v/>
      </c>
      <c r="M185" s="9">
        <f>IF(A185="","",IFERROR(INDEX(Jobs!$B$5:$B$44,MATCH(B185,Jobs!$A$5:$A$44,0)),""))</f>
        <v/>
      </c>
      <c r="N185" s="9">
        <f>IF(AND(A185&lt;&gt;"",M185&lt;&gt;"",M185='Client Statement'!$L$2),COUNTIF(M$5:M185,'Client Statement'!$L$2),"")</f>
        <v/>
      </c>
      <c r="O185" s="35" t="n"/>
    </row>
    <row r="186">
      <c r="A186" s="35" t="n"/>
      <c r="B186" s="35" t="n"/>
      <c r="C186" s="40" t="n"/>
      <c r="D186" s="40" t="n"/>
      <c r="E186" s="37" t="n"/>
      <c r="F186" s="35" t="n"/>
      <c r="G186" s="39">
        <f>IF(A186="","",SUMIFS(Payments!$D$5:$D$304,Payments!$C$5:$C$304,A186))</f>
        <v/>
      </c>
      <c r="H186" s="39">
        <f>IF(A186="","",E186-G186)</f>
        <v/>
      </c>
      <c r="I186" s="9">
        <f>IF(A186="","",IF(H186&lt;=0,"Paid",IF(AND(D186&lt;&gt;"",TODAY()&gt;D186+Settings!$B$13),"Overdue",IF(G186&gt;0,"Partial","Open"))))</f>
        <v/>
      </c>
      <c r="J186" s="9">
        <f>IF(A186="","",IF(I186="Overdue",TODAY()-D186,0))</f>
        <v/>
      </c>
      <c r="K186" s="9">
        <f>IF(A186="","",IF(H186&lt;=0,"Paid",IF(OR(D186="",TODAY()&lt;=D186),"Current",IF(TODAY()-D186&lt;=30,"1-30",IF(TODAY()-D186&lt;=60,"31-60",IF(TODAY()-D186&lt;=90,"61-90","90+"))))))</f>
        <v/>
      </c>
      <c r="L186" s="9">
        <f>IF(A186="","",IF(COUNTIF(Invoices!$A$5:$A$204,A186)&gt;1,"Duplicate invoice #",IF(B186="","Missing Job ID",IF(COUNTIF(Jobs!$A$5:$A$44,B186)=0,"Unknown Job ID",IF(D186="","Missing due date",IF(E186="","Missing amount",""))))))</f>
        <v/>
      </c>
      <c r="M186" s="9">
        <f>IF(A186="","",IFERROR(INDEX(Jobs!$B$5:$B$44,MATCH(B186,Jobs!$A$5:$A$44,0)),""))</f>
        <v/>
      </c>
      <c r="N186" s="9">
        <f>IF(AND(A186&lt;&gt;"",M186&lt;&gt;"",M186='Client Statement'!$L$2),COUNTIF(M$5:M186,'Client Statement'!$L$2),"")</f>
        <v/>
      </c>
      <c r="O186" s="35" t="n"/>
    </row>
    <row r="187">
      <c r="A187" s="35" t="n"/>
      <c r="B187" s="35" t="n"/>
      <c r="C187" s="40" t="n"/>
      <c r="D187" s="40" t="n"/>
      <c r="E187" s="37" t="n"/>
      <c r="F187" s="35" t="n"/>
      <c r="G187" s="39">
        <f>IF(A187="","",SUMIFS(Payments!$D$5:$D$304,Payments!$C$5:$C$304,A187))</f>
        <v/>
      </c>
      <c r="H187" s="39">
        <f>IF(A187="","",E187-G187)</f>
        <v/>
      </c>
      <c r="I187" s="9">
        <f>IF(A187="","",IF(H187&lt;=0,"Paid",IF(AND(D187&lt;&gt;"",TODAY()&gt;D187+Settings!$B$13),"Overdue",IF(G187&gt;0,"Partial","Open"))))</f>
        <v/>
      </c>
      <c r="J187" s="9">
        <f>IF(A187="","",IF(I187="Overdue",TODAY()-D187,0))</f>
        <v/>
      </c>
      <c r="K187" s="9">
        <f>IF(A187="","",IF(H187&lt;=0,"Paid",IF(OR(D187="",TODAY()&lt;=D187),"Current",IF(TODAY()-D187&lt;=30,"1-30",IF(TODAY()-D187&lt;=60,"31-60",IF(TODAY()-D187&lt;=90,"61-90","90+"))))))</f>
        <v/>
      </c>
      <c r="L187" s="9">
        <f>IF(A187="","",IF(COUNTIF(Invoices!$A$5:$A$204,A187)&gt;1,"Duplicate invoice #",IF(B187="","Missing Job ID",IF(COUNTIF(Jobs!$A$5:$A$44,B187)=0,"Unknown Job ID",IF(D187="","Missing due date",IF(E187="","Missing amount",""))))))</f>
        <v/>
      </c>
      <c r="M187" s="9">
        <f>IF(A187="","",IFERROR(INDEX(Jobs!$B$5:$B$44,MATCH(B187,Jobs!$A$5:$A$44,0)),""))</f>
        <v/>
      </c>
      <c r="N187" s="9">
        <f>IF(AND(A187&lt;&gt;"",M187&lt;&gt;"",M187='Client Statement'!$L$2),COUNTIF(M$5:M187,'Client Statement'!$L$2),"")</f>
        <v/>
      </c>
      <c r="O187" s="35" t="n"/>
    </row>
    <row r="188">
      <c r="A188" s="35" t="n"/>
      <c r="B188" s="35" t="n"/>
      <c r="C188" s="40" t="n"/>
      <c r="D188" s="40" t="n"/>
      <c r="E188" s="37" t="n"/>
      <c r="F188" s="35" t="n"/>
      <c r="G188" s="39">
        <f>IF(A188="","",SUMIFS(Payments!$D$5:$D$304,Payments!$C$5:$C$304,A188))</f>
        <v/>
      </c>
      <c r="H188" s="39">
        <f>IF(A188="","",E188-G188)</f>
        <v/>
      </c>
      <c r="I188" s="9">
        <f>IF(A188="","",IF(H188&lt;=0,"Paid",IF(AND(D188&lt;&gt;"",TODAY()&gt;D188+Settings!$B$13),"Overdue",IF(G188&gt;0,"Partial","Open"))))</f>
        <v/>
      </c>
      <c r="J188" s="9">
        <f>IF(A188="","",IF(I188="Overdue",TODAY()-D188,0))</f>
        <v/>
      </c>
      <c r="K188" s="9">
        <f>IF(A188="","",IF(H188&lt;=0,"Paid",IF(OR(D188="",TODAY()&lt;=D188),"Current",IF(TODAY()-D188&lt;=30,"1-30",IF(TODAY()-D188&lt;=60,"31-60",IF(TODAY()-D188&lt;=90,"61-90","90+"))))))</f>
        <v/>
      </c>
      <c r="L188" s="9">
        <f>IF(A188="","",IF(COUNTIF(Invoices!$A$5:$A$204,A188)&gt;1,"Duplicate invoice #",IF(B188="","Missing Job ID",IF(COUNTIF(Jobs!$A$5:$A$44,B188)=0,"Unknown Job ID",IF(D188="","Missing due date",IF(E188="","Missing amount",""))))))</f>
        <v/>
      </c>
      <c r="M188" s="9">
        <f>IF(A188="","",IFERROR(INDEX(Jobs!$B$5:$B$44,MATCH(B188,Jobs!$A$5:$A$44,0)),""))</f>
        <v/>
      </c>
      <c r="N188" s="9">
        <f>IF(AND(A188&lt;&gt;"",M188&lt;&gt;"",M188='Client Statement'!$L$2),COUNTIF(M$5:M188,'Client Statement'!$L$2),"")</f>
        <v/>
      </c>
      <c r="O188" s="35" t="n"/>
    </row>
    <row r="189">
      <c r="A189" s="35" t="n"/>
      <c r="B189" s="35" t="n"/>
      <c r="C189" s="40" t="n"/>
      <c r="D189" s="40" t="n"/>
      <c r="E189" s="37" t="n"/>
      <c r="F189" s="35" t="n"/>
      <c r="G189" s="39">
        <f>IF(A189="","",SUMIFS(Payments!$D$5:$D$304,Payments!$C$5:$C$304,A189))</f>
        <v/>
      </c>
      <c r="H189" s="39">
        <f>IF(A189="","",E189-G189)</f>
        <v/>
      </c>
      <c r="I189" s="9">
        <f>IF(A189="","",IF(H189&lt;=0,"Paid",IF(AND(D189&lt;&gt;"",TODAY()&gt;D189+Settings!$B$13),"Overdue",IF(G189&gt;0,"Partial","Open"))))</f>
        <v/>
      </c>
      <c r="J189" s="9">
        <f>IF(A189="","",IF(I189="Overdue",TODAY()-D189,0))</f>
        <v/>
      </c>
      <c r="K189" s="9">
        <f>IF(A189="","",IF(H189&lt;=0,"Paid",IF(OR(D189="",TODAY()&lt;=D189),"Current",IF(TODAY()-D189&lt;=30,"1-30",IF(TODAY()-D189&lt;=60,"31-60",IF(TODAY()-D189&lt;=90,"61-90","90+"))))))</f>
        <v/>
      </c>
      <c r="L189" s="9">
        <f>IF(A189="","",IF(COUNTIF(Invoices!$A$5:$A$204,A189)&gt;1,"Duplicate invoice #",IF(B189="","Missing Job ID",IF(COUNTIF(Jobs!$A$5:$A$44,B189)=0,"Unknown Job ID",IF(D189="","Missing due date",IF(E189="","Missing amount",""))))))</f>
        <v/>
      </c>
      <c r="M189" s="9">
        <f>IF(A189="","",IFERROR(INDEX(Jobs!$B$5:$B$44,MATCH(B189,Jobs!$A$5:$A$44,0)),""))</f>
        <v/>
      </c>
      <c r="N189" s="9">
        <f>IF(AND(A189&lt;&gt;"",M189&lt;&gt;"",M189='Client Statement'!$L$2),COUNTIF(M$5:M189,'Client Statement'!$L$2),"")</f>
        <v/>
      </c>
      <c r="O189" s="35" t="n"/>
    </row>
    <row r="190">
      <c r="A190" s="35" t="n"/>
      <c r="B190" s="35" t="n"/>
      <c r="C190" s="40" t="n"/>
      <c r="D190" s="40" t="n"/>
      <c r="E190" s="37" t="n"/>
      <c r="F190" s="35" t="n"/>
      <c r="G190" s="39">
        <f>IF(A190="","",SUMIFS(Payments!$D$5:$D$304,Payments!$C$5:$C$304,A190))</f>
        <v/>
      </c>
      <c r="H190" s="39">
        <f>IF(A190="","",E190-G190)</f>
        <v/>
      </c>
      <c r="I190" s="9">
        <f>IF(A190="","",IF(H190&lt;=0,"Paid",IF(AND(D190&lt;&gt;"",TODAY()&gt;D190+Settings!$B$13),"Overdue",IF(G190&gt;0,"Partial","Open"))))</f>
        <v/>
      </c>
      <c r="J190" s="9">
        <f>IF(A190="","",IF(I190="Overdue",TODAY()-D190,0))</f>
        <v/>
      </c>
      <c r="K190" s="9">
        <f>IF(A190="","",IF(H190&lt;=0,"Paid",IF(OR(D190="",TODAY()&lt;=D190),"Current",IF(TODAY()-D190&lt;=30,"1-30",IF(TODAY()-D190&lt;=60,"31-60",IF(TODAY()-D190&lt;=90,"61-90","90+"))))))</f>
        <v/>
      </c>
      <c r="L190" s="9">
        <f>IF(A190="","",IF(COUNTIF(Invoices!$A$5:$A$204,A190)&gt;1,"Duplicate invoice #",IF(B190="","Missing Job ID",IF(COUNTIF(Jobs!$A$5:$A$44,B190)=0,"Unknown Job ID",IF(D190="","Missing due date",IF(E190="","Missing amount",""))))))</f>
        <v/>
      </c>
      <c r="M190" s="9">
        <f>IF(A190="","",IFERROR(INDEX(Jobs!$B$5:$B$44,MATCH(B190,Jobs!$A$5:$A$44,0)),""))</f>
        <v/>
      </c>
      <c r="N190" s="9">
        <f>IF(AND(A190&lt;&gt;"",M190&lt;&gt;"",M190='Client Statement'!$L$2),COUNTIF(M$5:M190,'Client Statement'!$L$2),"")</f>
        <v/>
      </c>
      <c r="O190" s="35" t="n"/>
    </row>
    <row r="191">
      <c r="A191" s="35" t="n"/>
      <c r="B191" s="35" t="n"/>
      <c r="C191" s="40" t="n"/>
      <c r="D191" s="40" t="n"/>
      <c r="E191" s="37" t="n"/>
      <c r="F191" s="35" t="n"/>
      <c r="G191" s="39">
        <f>IF(A191="","",SUMIFS(Payments!$D$5:$D$304,Payments!$C$5:$C$304,A191))</f>
        <v/>
      </c>
      <c r="H191" s="39">
        <f>IF(A191="","",E191-G191)</f>
        <v/>
      </c>
      <c r="I191" s="9">
        <f>IF(A191="","",IF(H191&lt;=0,"Paid",IF(AND(D191&lt;&gt;"",TODAY()&gt;D191+Settings!$B$13),"Overdue",IF(G191&gt;0,"Partial","Open"))))</f>
        <v/>
      </c>
      <c r="J191" s="9">
        <f>IF(A191="","",IF(I191="Overdue",TODAY()-D191,0))</f>
        <v/>
      </c>
      <c r="K191" s="9">
        <f>IF(A191="","",IF(H191&lt;=0,"Paid",IF(OR(D191="",TODAY()&lt;=D191),"Current",IF(TODAY()-D191&lt;=30,"1-30",IF(TODAY()-D191&lt;=60,"31-60",IF(TODAY()-D191&lt;=90,"61-90","90+"))))))</f>
        <v/>
      </c>
      <c r="L191" s="9">
        <f>IF(A191="","",IF(COUNTIF(Invoices!$A$5:$A$204,A191)&gt;1,"Duplicate invoice #",IF(B191="","Missing Job ID",IF(COUNTIF(Jobs!$A$5:$A$44,B191)=0,"Unknown Job ID",IF(D191="","Missing due date",IF(E191="","Missing amount",""))))))</f>
        <v/>
      </c>
      <c r="M191" s="9">
        <f>IF(A191="","",IFERROR(INDEX(Jobs!$B$5:$B$44,MATCH(B191,Jobs!$A$5:$A$44,0)),""))</f>
        <v/>
      </c>
      <c r="N191" s="9">
        <f>IF(AND(A191&lt;&gt;"",M191&lt;&gt;"",M191='Client Statement'!$L$2),COUNTIF(M$5:M191,'Client Statement'!$L$2),"")</f>
        <v/>
      </c>
      <c r="O191" s="35" t="n"/>
    </row>
    <row r="192">
      <c r="A192" s="35" t="n"/>
      <c r="B192" s="35" t="n"/>
      <c r="C192" s="40" t="n"/>
      <c r="D192" s="40" t="n"/>
      <c r="E192" s="37" t="n"/>
      <c r="F192" s="35" t="n"/>
      <c r="G192" s="39">
        <f>IF(A192="","",SUMIFS(Payments!$D$5:$D$304,Payments!$C$5:$C$304,A192))</f>
        <v/>
      </c>
      <c r="H192" s="39">
        <f>IF(A192="","",E192-G192)</f>
        <v/>
      </c>
      <c r="I192" s="9">
        <f>IF(A192="","",IF(H192&lt;=0,"Paid",IF(AND(D192&lt;&gt;"",TODAY()&gt;D192+Settings!$B$13),"Overdue",IF(G192&gt;0,"Partial","Open"))))</f>
        <v/>
      </c>
      <c r="J192" s="9">
        <f>IF(A192="","",IF(I192="Overdue",TODAY()-D192,0))</f>
        <v/>
      </c>
      <c r="K192" s="9">
        <f>IF(A192="","",IF(H192&lt;=0,"Paid",IF(OR(D192="",TODAY()&lt;=D192),"Current",IF(TODAY()-D192&lt;=30,"1-30",IF(TODAY()-D192&lt;=60,"31-60",IF(TODAY()-D192&lt;=90,"61-90","90+"))))))</f>
        <v/>
      </c>
      <c r="L192" s="9">
        <f>IF(A192="","",IF(COUNTIF(Invoices!$A$5:$A$204,A192)&gt;1,"Duplicate invoice #",IF(B192="","Missing Job ID",IF(COUNTIF(Jobs!$A$5:$A$44,B192)=0,"Unknown Job ID",IF(D192="","Missing due date",IF(E192="","Missing amount",""))))))</f>
        <v/>
      </c>
      <c r="M192" s="9">
        <f>IF(A192="","",IFERROR(INDEX(Jobs!$B$5:$B$44,MATCH(B192,Jobs!$A$5:$A$44,0)),""))</f>
        <v/>
      </c>
      <c r="N192" s="9">
        <f>IF(AND(A192&lt;&gt;"",M192&lt;&gt;"",M192='Client Statement'!$L$2),COUNTIF(M$5:M192,'Client Statement'!$L$2),"")</f>
        <v/>
      </c>
      <c r="O192" s="35" t="n"/>
    </row>
    <row r="193">
      <c r="A193" s="35" t="n"/>
      <c r="B193" s="35" t="n"/>
      <c r="C193" s="40" t="n"/>
      <c r="D193" s="40" t="n"/>
      <c r="E193" s="37" t="n"/>
      <c r="F193" s="35" t="n"/>
      <c r="G193" s="39">
        <f>IF(A193="","",SUMIFS(Payments!$D$5:$D$304,Payments!$C$5:$C$304,A193))</f>
        <v/>
      </c>
      <c r="H193" s="39">
        <f>IF(A193="","",E193-G193)</f>
        <v/>
      </c>
      <c r="I193" s="9">
        <f>IF(A193="","",IF(H193&lt;=0,"Paid",IF(AND(D193&lt;&gt;"",TODAY()&gt;D193+Settings!$B$13),"Overdue",IF(G193&gt;0,"Partial","Open"))))</f>
        <v/>
      </c>
      <c r="J193" s="9">
        <f>IF(A193="","",IF(I193="Overdue",TODAY()-D193,0))</f>
        <v/>
      </c>
      <c r="K193" s="9">
        <f>IF(A193="","",IF(H193&lt;=0,"Paid",IF(OR(D193="",TODAY()&lt;=D193),"Current",IF(TODAY()-D193&lt;=30,"1-30",IF(TODAY()-D193&lt;=60,"31-60",IF(TODAY()-D193&lt;=90,"61-90","90+"))))))</f>
        <v/>
      </c>
      <c r="L193" s="9">
        <f>IF(A193="","",IF(COUNTIF(Invoices!$A$5:$A$204,A193)&gt;1,"Duplicate invoice #",IF(B193="","Missing Job ID",IF(COUNTIF(Jobs!$A$5:$A$44,B193)=0,"Unknown Job ID",IF(D193="","Missing due date",IF(E193="","Missing amount",""))))))</f>
        <v/>
      </c>
      <c r="M193" s="9">
        <f>IF(A193="","",IFERROR(INDEX(Jobs!$B$5:$B$44,MATCH(B193,Jobs!$A$5:$A$44,0)),""))</f>
        <v/>
      </c>
      <c r="N193" s="9">
        <f>IF(AND(A193&lt;&gt;"",M193&lt;&gt;"",M193='Client Statement'!$L$2),COUNTIF(M$5:M193,'Client Statement'!$L$2),"")</f>
        <v/>
      </c>
      <c r="O193" s="35" t="n"/>
    </row>
    <row r="194">
      <c r="A194" s="35" t="n"/>
      <c r="B194" s="35" t="n"/>
      <c r="C194" s="40" t="n"/>
      <c r="D194" s="40" t="n"/>
      <c r="E194" s="37" t="n"/>
      <c r="F194" s="35" t="n"/>
      <c r="G194" s="39">
        <f>IF(A194="","",SUMIFS(Payments!$D$5:$D$304,Payments!$C$5:$C$304,A194))</f>
        <v/>
      </c>
      <c r="H194" s="39">
        <f>IF(A194="","",E194-G194)</f>
        <v/>
      </c>
      <c r="I194" s="9">
        <f>IF(A194="","",IF(H194&lt;=0,"Paid",IF(AND(D194&lt;&gt;"",TODAY()&gt;D194+Settings!$B$13),"Overdue",IF(G194&gt;0,"Partial","Open"))))</f>
        <v/>
      </c>
      <c r="J194" s="9">
        <f>IF(A194="","",IF(I194="Overdue",TODAY()-D194,0))</f>
        <v/>
      </c>
      <c r="K194" s="9">
        <f>IF(A194="","",IF(H194&lt;=0,"Paid",IF(OR(D194="",TODAY()&lt;=D194),"Current",IF(TODAY()-D194&lt;=30,"1-30",IF(TODAY()-D194&lt;=60,"31-60",IF(TODAY()-D194&lt;=90,"61-90","90+"))))))</f>
        <v/>
      </c>
      <c r="L194" s="9">
        <f>IF(A194="","",IF(COUNTIF(Invoices!$A$5:$A$204,A194)&gt;1,"Duplicate invoice #",IF(B194="","Missing Job ID",IF(COUNTIF(Jobs!$A$5:$A$44,B194)=0,"Unknown Job ID",IF(D194="","Missing due date",IF(E194="","Missing amount",""))))))</f>
        <v/>
      </c>
      <c r="M194" s="9">
        <f>IF(A194="","",IFERROR(INDEX(Jobs!$B$5:$B$44,MATCH(B194,Jobs!$A$5:$A$44,0)),""))</f>
        <v/>
      </c>
      <c r="N194" s="9">
        <f>IF(AND(A194&lt;&gt;"",M194&lt;&gt;"",M194='Client Statement'!$L$2),COUNTIF(M$5:M194,'Client Statement'!$L$2),"")</f>
        <v/>
      </c>
      <c r="O194" s="35" t="n"/>
    </row>
    <row r="195">
      <c r="A195" s="35" t="n"/>
      <c r="B195" s="35" t="n"/>
      <c r="C195" s="40" t="n"/>
      <c r="D195" s="40" t="n"/>
      <c r="E195" s="37" t="n"/>
      <c r="F195" s="35" t="n"/>
      <c r="G195" s="39">
        <f>IF(A195="","",SUMIFS(Payments!$D$5:$D$304,Payments!$C$5:$C$304,A195))</f>
        <v/>
      </c>
      <c r="H195" s="39">
        <f>IF(A195="","",E195-G195)</f>
        <v/>
      </c>
      <c r="I195" s="9">
        <f>IF(A195="","",IF(H195&lt;=0,"Paid",IF(AND(D195&lt;&gt;"",TODAY()&gt;D195+Settings!$B$13),"Overdue",IF(G195&gt;0,"Partial","Open"))))</f>
        <v/>
      </c>
      <c r="J195" s="9">
        <f>IF(A195="","",IF(I195="Overdue",TODAY()-D195,0))</f>
        <v/>
      </c>
      <c r="K195" s="9">
        <f>IF(A195="","",IF(H195&lt;=0,"Paid",IF(OR(D195="",TODAY()&lt;=D195),"Current",IF(TODAY()-D195&lt;=30,"1-30",IF(TODAY()-D195&lt;=60,"31-60",IF(TODAY()-D195&lt;=90,"61-90","90+"))))))</f>
        <v/>
      </c>
      <c r="L195" s="9">
        <f>IF(A195="","",IF(COUNTIF(Invoices!$A$5:$A$204,A195)&gt;1,"Duplicate invoice #",IF(B195="","Missing Job ID",IF(COUNTIF(Jobs!$A$5:$A$44,B195)=0,"Unknown Job ID",IF(D195="","Missing due date",IF(E195="","Missing amount",""))))))</f>
        <v/>
      </c>
      <c r="M195" s="9">
        <f>IF(A195="","",IFERROR(INDEX(Jobs!$B$5:$B$44,MATCH(B195,Jobs!$A$5:$A$44,0)),""))</f>
        <v/>
      </c>
      <c r="N195" s="9">
        <f>IF(AND(A195&lt;&gt;"",M195&lt;&gt;"",M195='Client Statement'!$L$2),COUNTIF(M$5:M195,'Client Statement'!$L$2),"")</f>
        <v/>
      </c>
      <c r="O195" s="35" t="n"/>
    </row>
    <row r="196">
      <c r="A196" s="35" t="n"/>
      <c r="B196" s="35" t="n"/>
      <c r="C196" s="40" t="n"/>
      <c r="D196" s="40" t="n"/>
      <c r="E196" s="37" t="n"/>
      <c r="F196" s="35" t="n"/>
      <c r="G196" s="39">
        <f>IF(A196="","",SUMIFS(Payments!$D$5:$D$304,Payments!$C$5:$C$304,A196))</f>
        <v/>
      </c>
      <c r="H196" s="39">
        <f>IF(A196="","",E196-G196)</f>
        <v/>
      </c>
      <c r="I196" s="9">
        <f>IF(A196="","",IF(H196&lt;=0,"Paid",IF(AND(D196&lt;&gt;"",TODAY()&gt;D196+Settings!$B$13),"Overdue",IF(G196&gt;0,"Partial","Open"))))</f>
        <v/>
      </c>
      <c r="J196" s="9">
        <f>IF(A196="","",IF(I196="Overdue",TODAY()-D196,0))</f>
        <v/>
      </c>
      <c r="K196" s="9">
        <f>IF(A196="","",IF(H196&lt;=0,"Paid",IF(OR(D196="",TODAY()&lt;=D196),"Current",IF(TODAY()-D196&lt;=30,"1-30",IF(TODAY()-D196&lt;=60,"31-60",IF(TODAY()-D196&lt;=90,"61-90","90+"))))))</f>
        <v/>
      </c>
      <c r="L196" s="9">
        <f>IF(A196="","",IF(COUNTIF(Invoices!$A$5:$A$204,A196)&gt;1,"Duplicate invoice #",IF(B196="","Missing Job ID",IF(COUNTIF(Jobs!$A$5:$A$44,B196)=0,"Unknown Job ID",IF(D196="","Missing due date",IF(E196="","Missing amount",""))))))</f>
        <v/>
      </c>
      <c r="M196" s="9">
        <f>IF(A196="","",IFERROR(INDEX(Jobs!$B$5:$B$44,MATCH(B196,Jobs!$A$5:$A$44,0)),""))</f>
        <v/>
      </c>
      <c r="N196" s="9">
        <f>IF(AND(A196&lt;&gt;"",M196&lt;&gt;"",M196='Client Statement'!$L$2),COUNTIF(M$5:M196,'Client Statement'!$L$2),"")</f>
        <v/>
      </c>
      <c r="O196" s="35" t="n"/>
    </row>
    <row r="197">
      <c r="A197" s="35" t="n"/>
      <c r="B197" s="35" t="n"/>
      <c r="C197" s="40" t="n"/>
      <c r="D197" s="40" t="n"/>
      <c r="E197" s="37" t="n"/>
      <c r="F197" s="35" t="n"/>
      <c r="G197" s="39">
        <f>IF(A197="","",SUMIFS(Payments!$D$5:$D$304,Payments!$C$5:$C$304,A197))</f>
        <v/>
      </c>
      <c r="H197" s="39">
        <f>IF(A197="","",E197-G197)</f>
        <v/>
      </c>
      <c r="I197" s="9">
        <f>IF(A197="","",IF(H197&lt;=0,"Paid",IF(AND(D197&lt;&gt;"",TODAY()&gt;D197+Settings!$B$13),"Overdue",IF(G197&gt;0,"Partial","Open"))))</f>
        <v/>
      </c>
      <c r="J197" s="9">
        <f>IF(A197="","",IF(I197="Overdue",TODAY()-D197,0))</f>
        <v/>
      </c>
      <c r="K197" s="9">
        <f>IF(A197="","",IF(H197&lt;=0,"Paid",IF(OR(D197="",TODAY()&lt;=D197),"Current",IF(TODAY()-D197&lt;=30,"1-30",IF(TODAY()-D197&lt;=60,"31-60",IF(TODAY()-D197&lt;=90,"61-90","90+"))))))</f>
        <v/>
      </c>
      <c r="L197" s="9">
        <f>IF(A197="","",IF(COUNTIF(Invoices!$A$5:$A$204,A197)&gt;1,"Duplicate invoice #",IF(B197="","Missing Job ID",IF(COUNTIF(Jobs!$A$5:$A$44,B197)=0,"Unknown Job ID",IF(D197="","Missing due date",IF(E197="","Missing amount",""))))))</f>
        <v/>
      </c>
      <c r="M197" s="9">
        <f>IF(A197="","",IFERROR(INDEX(Jobs!$B$5:$B$44,MATCH(B197,Jobs!$A$5:$A$44,0)),""))</f>
        <v/>
      </c>
      <c r="N197" s="9">
        <f>IF(AND(A197&lt;&gt;"",M197&lt;&gt;"",M197='Client Statement'!$L$2),COUNTIF(M$5:M197,'Client Statement'!$L$2),"")</f>
        <v/>
      </c>
      <c r="O197" s="35" t="n"/>
    </row>
    <row r="198">
      <c r="A198" s="35" t="n"/>
      <c r="B198" s="35" t="n"/>
      <c r="C198" s="40" t="n"/>
      <c r="D198" s="40" t="n"/>
      <c r="E198" s="37" t="n"/>
      <c r="F198" s="35" t="n"/>
      <c r="G198" s="39">
        <f>IF(A198="","",SUMIFS(Payments!$D$5:$D$304,Payments!$C$5:$C$304,A198))</f>
        <v/>
      </c>
      <c r="H198" s="39">
        <f>IF(A198="","",E198-G198)</f>
        <v/>
      </c>
      <c r="I198" s="9">
        <f>IF(A198="","",IF(H198&lt;=0,"Paid",IF(AND(D198&lt;&gt;"",TODAY()&gt;D198+Settings!$B$13),"Overdue",IF(G198&gt;0,"Partial","Open"))))</f>
        <v/>
      </c>
      <c r="J198" s="9">
        <f>IF(A198="","",IF(I198="Overdue",TODAY()-D198,0))</f>
        <v/>
      </c>
      <c r="K198" s="9">
        <f>IF(A198="","",IF(H198&lt;=0,"Paid",IF(OR(D198="",TODAY()&lt;=D198),"Current",IF(TODAY()-D198&lt;=30,"1-30",IF(TODAY()-D198&lt;=60,"31-60",IF(TODAY()-D198&lt;=90,"61-90","90+"))))))</f>
        <v/>
      </c>
      <c r="L198" s="9">
        <f>IF(A198="","",IF(COUNTIF(Invoices!$A$5:$A$204,A198)&gt;1,"Duplicate invoice #",IF(B198="","Missing Job ID",IF(COUNTIF(Jobs!$A$5:$A$44,B198)=0,"Unknown Job ID",IF(D198="","Missing due date",IF(E198="","Missing amount",""))))))</f>
        <v/>
      </c>
      <c r="M198" s="9">
        <f>IF(A198="","",IFERROR(INDEX(Jobs!$B$5:$B$44,MATCH(B198,Jobs!$A$5:$A$44,0)),""))</f>
        <v/>
      </c>
      <c r="N198" s="9">
        <f>IF(AND(A198&lt;&gt;"",M198&lt;&gt;"",M198='Client Statement'!$L$2),COUNTIF(M$5:M198,'Client Statement'!$L$2),"")</f>
        <v/>
      </c>
      <c r="O198" s="35" t="n"/>
    </row>
    <row r="199">
      <c r="A199" s="35" t="n"/>
      <c r="B199" s="35" t="n"/>
      <c r="C199" s="40" t="n"/>
      <c r="D199" s="40" t="n"/>
      <c r="E199" s="37" t="n"/>
      <c r="F199" s="35" t="n"/>
      <c r="G199" s="39">
        <f>IF(A199="","",SUMIFS(Payments!$D$5:$D$304,Payments!$C$5:$C$304,A199))</f>
        <v/>
      </c>
      <c r="H199" s="39">
        <f>IF(A199="","",E199-G199)</f>
        <v/>
      </c>
      <c r="I199" s="9">
        <f>IF(A199="","",IF(H199&lt;=0,"Paid",IF(AND(D199&lt;&gt;"",TODAY()&gt;D199+Settings!$B$13),"Overdue",IF(G199&gt;0,"Partial","Open"))))</f>
        <v/>
      </c>
      <c r="J199" s="9">
        <f>IF(A199="","",IF(I199="Overdue",TODAY()-D199,0))</f>
        <v/>
      </c>
      <c r="K199" s="9">
        <f>IF(A199="","",IF(H199&lt;=0,"Paid",IF(OR(D199="",TODAY()&lt;=D199),"Current",IF(TODAY()-D199&lt;=30,"1-30",IF(TODAY()-D199&lt;=60,"31-60",IF(TODAY()-D199&lt;=90,"61-90","90+"))))))</f>
        <v/>
      </c>
      <c r="L199" s="9">
        <f>IF(A199="","",IF(COUNTIF(Invoices!$A$5:$A$204,A199)&gt;1,"Duplicate invoice #",IF(B199="","Missing Job ID",IF(COUNTIF(Jobs!$A$5:$A$44,B199)=0,"Unknown Job ID",IF(D199="","Missing due date",IF(E199="","Missing amount",""))))))</f>
        <v/>
      </c>
      <c r="M199" s="9">
        <f>IF(A199="","",IFERROR(INDEX(Jobs!$B$5:$B$44,MATCH(B199,Jobs!$A$5:$A$44,0)),""))</f>
        <v/>
      </c>
      <c r="N199" s="9">
        <f>IF(AND(A199&lt;&gt;"",M199&lt;&gt;"",M199='Client Statement'!$L$2),COUNTIF(M$5:M199,'Client Statement'!$L$2),"")</f>
        <v/>
      </c>
      <c r="O199" s="35" t="n"/>
    </row>
    <row r="200">
      <c r="A200" s="35" t="n"/>
      <c r="B200" s="35" t="n"/>
      <c r="C200" s="40" t="n"/>
      <c r="D200" s="40" t="n"/>
      <c r="E200" s="37" t="n"/>
      <c r="F200" s="35" t="n"/>
      <c r="G200" s="39">
        <f>IF(A200="","",SUMIFS(Payments!$D$5:$D$304,Payments!$C$5:$C$304,A200))</f>
        <v/>
      </c>
      <c r="H200" s="39">
        <f>IF(A200="","",E200-G200)</f>
        <v/>
      </c>
      <c r="I200" s="9">
        <f>IF(A200="","",IF(H200&lt;=0,"Paid",IF(AND(D200&lt;&gt;"",TODAY()&gt;D200+Settings!$B$13),"Overdue",IF(G200&gt;0,"Partial","Open"))))</f>
        <v/>
      </c>
      <c r="J200" s="9">
        <f>IF(A200="","",IF(I200="Overdue",TODAY()-D200,0))</f>
        <v/>
      </c>
      <c r="K200" s="9">
        <f>IF(A200="","",IF(H200&lt;=0,"Paid",IF(OR(D200="",TODAY()&lt;=D200),"Current",IF(TODAY()-D200&lt;=30,"1-30",IF(TODAY()-D200&lt;=60,"31-60",IF(TODAY()-D200&lt;=90,"61-90","90+"))))))</f>
        <v/>
      </c>
      <c r="L200" s="9">
        <f>IF(A200="","",IF(COUNTIF(Invoices!$A$5:$A$204,A200)&gt;1,"Duplicate invoice #",IF(B200="","Missing Job ID",IF(COUNTIF(Jobs!$A$5:$A$44,B200)=0,"Unknown Job ID",IF(D200="","Missing due date",IF(E200="","Missing amount",""))))))</f>
        <v/>
      </c>
      <c r="M200" s="9">
        <f>IF(A200="","",IFERROR(INDEX(Jobs!$B$5:$B$44,MATCH(B200,Jobs!$A$5:$A$44,0)),""))</f>
        <v/>
      </c>
      <c r="N200" s="9">
        <f>IF(AND(A200&lt;&gt;"",M200&lt;&gt;"",M200='Client Statement'!$L$2),COUNTIF(M$5:M200,'Client Statement'!$L$2),"")</f>
        <v/>
      </c>
      <c r="O200" s="35" t="n"/>
    </row>
    <row r="201">
      <c r="A201" s="35" t="n"/>
      <c r="B201" s="35" t="n"/>
      <c r="C201" s="40" t="n"/>
      <c r="D201" s="40" t="n"/>
      <c r="E201" s="37" t="n"/>
      <c r="F201" s="35" t="n"/>
      <c r="G201" s="39">
        <f>IF(A201="","",SUMIFS(Payments!$D$5:$D$304,Payments!$C$5:$C$304,A201))</f>
        <v/>
      </c>
      <c r="H201" s="39">
        <f>IF(A201="","",E201-G201)</f>
        <v/>
      </c>
      <c r="I201" s="9">
        <f>IF(A201="","",IF(H201&lt;=0,"Paid",IF(AND(D201&lt;&gt;"",TODAY()&gt;D201+Settings!$B$13),"Overdue",IF(G201&gt;0,"Partial","Open"))))</f>
        <v/>
      </c>
      <c r="J201" s="9">
        <f>IF(A201="","",IF(I201="Overdue",TODAY()-D201,0))</f>
        <v/>
      </c>
      <c r="K201" s="9">
        <f>IF(A201="","",IF(H201&lt;=0,"Paid",IF(OR(D201="",TODAY()&lt;=D201),"Current",IF(TODAY()-D201&lt;=30,"1-30",IF(TODAY()-D201&lt;=60,"31-60",IF(TODAY()-D201&lt;=90,"61-90","90+"))))))</f>
        <v/>
      </c>
      <c r="L201" s="9">
        <f>IF(A201="","",IF(COUNTIF(Invoices!$A$5:$A$204,A201)&gt;1,"Duplicate invoice #",IF(B201="","Missing Job ID",IF(COUNTIF(Jobs!$A$5:$A$44,B201)=0,"Unknown Job ID",IF(D201="","Missing due date",IF(E201="","Missing amount",""))))))</f>
        <v/>
      </c>
      <c r="M201" s="9">
        <f>IF(A201="","",IFERROR(INDEX(Jobs!$B$5:$B$44,MATCH(B201,Jobs!$A$5:$A$44,0)),""))</f>
        <v/>
      </c>
      <c r="N201" s="9">
        <f>IF(AND(A201&lt;&gt;"",M201&lt;&gt;"",M201='Client Statement'!$L$2),COUNTIF(M$5:M201,'Client Statement'!$L$2),"")</f>
        <v/>
      </c>
      <c r="O201" s="35" t="n"/>
    </row>
    <row r="202">
      <c r="A202" s="35" t="n"/>
      <c r="B202" s="35" t="n"/>
      <c r="C202" s="40" t="n"/>
      <c r="D202" s="40" t="n"/>
      <c r="E202" s="37" t="n"/>
      <c r="F202" s="35" t="n"/>
      <c r="G202" s="39">
        <f>IF(A202="","",SUMIFS(Payments!$D$5:$D$304,Payments!$C$5:$C$304,A202))</f>
        <v/>
      </c>
      <c r="H202" s="39">
        <f>IF(A202="","",E202-G202)</f>
        <v/>
      </c>
      <c r="I202" s="9">
        <f>IF(A202="","",IF(H202&lt;=0,"Paid",IF(AND(D202&lt;&gt;"",TODAY()&gt;D202+Settings!$B$13),"Overdue",IF(G202&gt;0,"Partial","Open"))))</f>
        <v/>
      </c>
      <c r="J202" s="9">
        <f>IF(A202="","",IF(I202="Overdue",TODAY()-D202,0))</f>
        <v/>
      </c>
      <c r="K202" s="9">
        <f>IF(A202="","",IF(H202&lt;=0,"Paid",IF(OR(D202="",TODAY()&lt;=D202),"Current",IF(TODAY()-D202&lt;=30,"1-30",IF(TODAY()-D202&lt;=60,"31-60",IF(TODAY()-D202&lt;=90,"61-90","90+"))))))</f>
        <v/>
      </c>
      <c r="L202" s="9">
        <f>IF(A202="","",IF(COUNTIF(Invoices!$A$5:$A$204,A202)&gt;1,"Duplicate invoice #",IF(B202="","Missing Job ID",IF(COUNTIF(Jobs!$A$5:$A$44,B202)=0,"Unknown Job ID",IF(D202="","Missing due date",IF(E202="","Missing amount",""))))))</f>
        <v/>
      </c>
      <c r="M202" s="9">
        <f>IF(A202="","",IFERROR(INDEX(Jobs!$B$5:$B$44,MATCH(B202,Jobs!$A$5:$A$44,0)),""))</f>
        <v/>
      </c>
      <c r="N202" s="9">
        <f>IF(AND(A202&lt;&gt;"",M202&lt;&gt;"",M202='Client Statement'!$L$2),COUNTIF(M$5:M202,'Client Statement'!$L$2),"")</f>
        <v/>
      </c>
      <c r="O202" s="35" t="n"/>
    </row>
    <row r="203">
      <c r="A203" s="35" t="n"/>
      <c r="B203" s="35" t="n"/>
      <c r="C203" s="40" t="n"/>
      <c r="D203" s="40" t="n"/>
      <c r="E203" s="37" t="n"/>
      <c r="F203" s="35" t="n"/>
      <c r="G203" s="39">
        <f>IF(A203="","",SUMIFS(Payments!$D$5:$D$304,Payments!$C$5:$C$304,A203))</f>
        <v/>
      </c>
      <c r="H203" s="39">
        <f>IF(A203="","",E203-G203)</f>
        <v/>
      </c>
      <c r="I203" s="9">
        <f>IF(A203="","",IF(H203&lt;=0,"Paid",IF(AND(D203&lt;&gt;"",TODAY()&gt;D203+Settings!$B$13),"Overdue",IF(G203&gt;0,"Partial","Open"))))</f>
        <v/>
      </c>
      <c r="J203" s="9">
        <f>IF(A203="","",IF(I203="Overdue",TODAY()-D203,0))</f>
        <v/>
      </c>
      <c r="K203" s="9">
        <f>IF(A203="","",IF(H203&lt;=0,"Paid",IF(OR(D203="",TODAY()&lt;=D203),"Current",IF(TODAY()-D203&lt;=30,"1-30",IF(TODAY()-D203&lt;=60,"31-60",IF(TODAY()-D203&lt;=90,"61-90","90+"))))))</f>
        <v/>
      </c>
      <c r="L203" s="9">
        <f>IF(A203="","",IF(COUNTIF(Invoices!$A$5:$A$204,A203)&gt;1,"Duplicate invoice #",IF(B203="","Missing Job ID",IF(COUNTIF(Jobs!$A$5:$A$44,B203)=0,"Unknown Job ID",IF(D203="","Missing due date",IF(E203="","Missing amount",""))))))</f>
        <v/>
      </c>
      <c r="M203" s="9">
        <f>IF(A203="","",IFERROR(INDEX(Jobs!$B$5:$B$44,MATCH(B203,Jobs!$A$5:$A$44,0)),""))</f>
        <v/>
      </c>
      <c r="N203" s="9">
        <f>IF(AND(A203&lt;&gt;"",M203&lt;&gt;"",M203='Client Statement'!$L$2),COUNTIF(M$5:M203,'Client Statement'!$L$2),"")</f>
        <v/>
      </c>
      <c r="O203" s="35" t="n"/>
    </row>
    <row r="204">
      <c r="A204" s="35" t="n"/>
      <c r="B204" s="35" t="n"/>
      <c r="C204" s="40" t="n"/>
      <c r="D204" s="40" t="n"/>
      <c r="E204" s="37" t="n"/>
      <c r="F204" s="35" t="n"/>
      <c r="G204" s="39">
        <f>IF(A204="","",SUMIFS(Payments!$D$5:$D$304,Payments!$C$5:$C$304,A204))</f>
        <v/>
      </c>
      <c r="H204" s="39">
        <f>IF(A204="","",E204-G204)</f>
        <v/>
      </c>
      <c r="I204" s="9">
        <f>IF(A204="","",IF(H204&lt;=0,"Paid",IF(AND(D204&lt;&gt;"",TODAY()&gt;D204+Settings!$B$13),"Overdue",IF(G204&gt;0,"Partial","Open"))))</f>
        <v/>
      </c>
      <c r="J204" s="9">
        <f>IF(A204="","",IF(I204="Overdue",TODAY()-D204,0))</f>
        <v/>
      </c>
      <c r="K204" s="9">
        <f>IF(A204="","",IF(H204&lt;=0,"Paid",IF(OR(D204="",TODAY()&lt;=D204),"Current",IF(TODAY()-D204&lt;=30,"1-30",IF(TODAY()-D204&lt;=60,"31-60",IF(TODAY()-D204&lt;=90,"61-90","90+"))))))</f>
        <v/>
      </c>
      <c r="L204" s="9">
        <f>IF(A204="","",IF(COUNTIF(Invoices!$A$5:$A$204,A204)&gt;1,"Duplicate invoice #",IF(B204="","Missing Job ID",IF(COUNTIF(Jobs!$A$5:$A$44,B204)=0,"Unknown Job ID",IF(D204="","Missing due date",IF(E204="","Missing amount",""))))))</f>
        <v/>
      </c>
      <c r="M204" s="9">
        <f>IF(A204="","",IFERROR(INDEX(Jobs!$B$5:$B$44,MATCH(B204,Jobs!$A$5:$A$44,0)),""))</f>
        <v/>
      </c>
      <c r="N204" s="9">
        <f>IF(AND(A204&lt;&gt;"",M204&lt;&gt;"",M204='Client Statement'!$L$2),COUNTIF(M$5:M204,'Client Statement'!$L$2),"")</f>
        <v/>
      </c>
      <c r="O204" s="35" t="n"/>
    </row>
    <row r="205">
      <c r="A205" s="31" t="inlineStr">
        <is>
          <t>TOTAL</t>
        </is>
      </c>
      <c r="B205" s="31" t="n"/>
      <c r="C205" s="31" t="n"/>
      <c r="D205" s="31" t="n"/>
      <c r="E205" s="41">
        <f>SUM(E5:E204)</f>
        <v/>
      </c>
      <c r="F205" s="31" t="n"/>
      <c r="G205" s="41">
        <f>SUM(G5:G204)</f>
        <v/>
      </c>
      <c r="H205" s="41">
        <f>SUM(H5:H204)</f>
        <v/>
      </c>
      <c r="I205" s="31" t="n"/>
      <c r="J205" s="31" t="n"/>
      <c r="K205" s="31" t="n"/>
      <c r="L205" s="31" t="n"/>
      <c r="M205" s="31" t="n"/>
      <c r="N205" s="31" t="n"/>
      <c r="O205" s="31" t="n"/>
    </row>
  </sheetData>
  <conditionalFormatting sqref="I5:I204">
    <cfRule type="cellIs" priority="1" operator="equal" dxfId="1">
      <formula>"Overdue"</formula>
    </cfRule>
    <cfRule type="cellIs" priority="2" operator="equal" dxfId="2">
      <formula>"Paid"</formula>
    </cfRule>
    <cfRule type="cellIs" priority="3" operator="equal" dxfId="0">
      <formula>"Partial"</formula>
    </cfRule>
  </conditionalFormatting>
  <conditionalFormatting sqref="L5:L204">
    <cfRule type="expression" priority="4" dxfId="1">
      <formula>L5&lt;&gt;""</formula>
    </cfRule>
  </conditionalFormatting>
  <dataValidations count="1">
    <dataValidation sqref="B5:B204" showDropDown="0" showInputMessage="1" showErrorMessage="0" allowBlank="1" promptTitle="Pick from the list" prompt="Job IDs come from the Jobs sheet." type="list">
      <formula1>=Jobs!$A$5:$A$44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8.xml><?xml version="1.0" encoding="utf-8"?>
<worksheet xmlns="http://schemas.openxmlformats.org/spreadsheetml/2006/main">
  <sheetPr>
    <tabColor rgb="003A9D5D"/>
    <outlinePr summaryBelow="1" summaryRight="1"/>
    <pageSetUpPr fitToPage="1"/>
  </sheetPr>
  <dimension ref="A1:I35"/>
  <sheetViews>
    <sheetView showGridLines="0" tabSelected="0" workbookViewId="0">
      <selection activeCell="I2" sqref="I2"/>
    </sheetView>
  </sheetViews>
  <sheetFormatPr baseColWidth="8" defaultRowHeight="15"/>
  <cols>
    <col width="10" customWidth="1" min="1" max="1"/>
    <col width="40" customWidth="1" min="2" max="2"/>
    <col width="14" customWidth="1" min="3" max="3"/>
    <col width="14" customWidth="1" min="4" max="4"/>
    <col width="18" customWidth="1" min="5" max="5"/>
    <col width="14" customWidth="1" min="6" max="6"/>
    <col width="3" customWidth="1" min="7" max="7"/>
    <col width="12" customWidth="1" min="8" max="8"/>
    <col width="20" customWidth="1" min="9" max="9"/>
  </cols>
  <sheetData>
    <row r="1">
      <c r="A1" s="43" t="inlineStr">
        <is>
          <t>INVOICE</t>
        </is>
      </c>
    </row>
    <row r="2">
      <c r="H2" s="44" t="inlineStr">
        <is>
          <t>Invoice #</t>
        </is>
      </c>
      <c r="I2" s="35" t="n"/>
    </row>
    <row r="3">
      <c r="H3" s="14" t="inlineStr">
        <is>
          <t>← pick an invoice; print or save as PDF. Columns H–I never print.</t>
        </is>
      </c>
    </row>
    <row r="4">
      <c r="B4" s="45" t="inlineStr">
        <is>
          <t>FROM</t>
        </is>
      </c>
      <c r="E4" s="45" t="inlineStr">
        <is>
          <t>BILL TO</t>
        </is>
      </c>
    </row>
    <row r="5">
      <c r="B5" s="44">
        <f>Settings!$B$5&amp;""</f>
        <v/>
      </c>
      <c r="E5" s="44">
        <f>IFERROR(INDEX(Jobs!$B$5:$B$44,MATCH(IFERROR(INDEX(Invoices!$B$5:$B$204,MATCH($I$2,Invoices!$A$5:$A$204,0)),""),Jobs!$A$5:$A$44,0)),"")</f>
        <v/>
      </c>
    </row>
    <row r="6">
      <c r="B6">
        <f>Settings!$B$6&amp;""</f>
        <v/>
      </c>
      <c r="E6">
        <f>IFERROR(INDEX(Clients!$B$5:$B$104,MATCH(IFERROR(INDEX(Jobs!$B$5:$B$44,MATCH(IFERROR(INDEX(Invoices!$B$5:$B$204,MATCH($I$2,Invoices!$A$5:$A$204,0)),""),Jobs!$A$5:$A$44,0)),""),Clients!$A$5:$A$104,0)),"")</f>
        <v/>
      </c>
    </row>
    <row r="7">
      <c r="B7">
        <f>Settings!$B$7&amp;""</f>
        <v/>
      </c>
      <c r="E7">
        <f>IFERROR(INDEX(Clients!$E$5:$E$104,MATCH(IFERROR(INDEX(Jobs!$B$5:$B$44,MATCH(IFERROR(INDEX(Invoices!$B$5:$B$204,MATCH($I$2,Invoices!$A$5:$A$204,0)),""),Jobs!$A$5:$A$44,0)),""),Clients!$A$5:$A$104,0)),"")</f>
        <v/>
      </c>
    </row>
    <row r="8">
      <c r="B8">
        <f>IF(Settings!$B$8="","","License # "&amp;Settings!$B$8)</f>
        <v/>
      </c>
      <c r="E8">
        <f>IFERROR(INDEX(Clients!$D$5:$D$104,MATCH(IFERROR(INDEX(Jobs!$B$5:$B$44,MATCH(IFERROR(INDEX(Invoices!$B$5:$B$204,MATCH($I$2,Invoices!$A$5:$A$204,0)),""),Jobs!$A$5:$A$44,0)),""),Clients!$A$5:$A$104,0)),"")</f>
        <v/>
      </c>
    </row>
    <row r="10">
      <c r="B10" s="72" t="inlineStr">
        <is>
          <t>Invoice number</t>
        </is>
      </c>
      <c r="C10" s="48" t="n"/>
      <c r="D10" s="49" t="n"/>
      <c r="E10" s="9">
        <f>$I$2&amp;""</f>
        <v/>
      </c>
      <c r="F10" s="9" t="n"/>
    </row>
    <row r="11">
      <c r="B11" s="72" t="inlineStr">
        <is>
          <t>Invoice date</t>
        </is>
      </c>
      <c r="C11" s="48" t="n"/>
      <c r="D11" s="49" t="n"/>
      <c r="E11" s="59">
        <f>IFERROR(INDEX(Invoices!$C$5:$C$204,MATCH($I$2,Invoices!$A$5:$A$204,0)),"")</f>
        <v/>
      </c>
      <c r="F11" s="9" t="n"/>
    </row>
    <row r="12">
      <c r="B12" s="72" t="inlineStr">
        <is>
          <t>Due date</t>
        </is>
      </c>
      <c r="C12" s="48" t="n"/>
      <c r="D12" s="49" t="n"/>
      <c r="E12" s="59">
        <f>IFERROR(INDEX(Invoices!$D$5:$D$204,MATCH($I$2,Invoices!$A$5:$A$204,0)),"")</f>
        <v/>
      </c>
      <c r="F12" s="9" t="n"/>
    </row>
    <row r="13" ht="30" customHeight="1">
      <c r="B13" s="66" t="inlineStr">
        <is>
          <t>Job</t>
        </is>
      </c>
      <c r="C13" s="48" t="n"/>
      <c r="D13" s="49" t="n"/>
      <c r="E13" s="67">
        <f>IF($I$2="","",IFERROR(INDEX(Invoices!$B$5:$B$204,MATCH($I$2,Invoices!$A$5:$A$204,0)),"")&amp;"  —  "&amp;IFERROR(INDEX(Jobs!$C$5:$C$44,MATCH(IFERROR(INDEX(Invoices!$B$5:$B$204,MATCH($I$2,Invoices!$A$5:$A$204,0)),""),Jobs!$A$5:$A$44,0)),""))</f>
        <v/>
      </c>
      <c r="F13" s="9" t="n"/>
    </row>
    <row r="15" ht="30" customHeight="1">
      <c r="B15" s="24" t="inlineStr">
        <is>
          <t>Description</t>
        </is>
      </c>
      <c r="C15" s="48" t="n"/>
      <c r="D15" s="49" t="n"/>
      <c r="E15" s="24" t="inlineStr">
        <is>
          <t>Amount</t>
        </is>
      </c>
      <c r="F15" s="49" t="n"/>
    </row>
    <row r="16">
      <c r="B16" s="9">
        <f>IF(IFERROR(INDEX(Invoices!$F$5:$F$204,MATCH($I$2,Invoices!$A$5:$A$204,0)),"")="","Services per contract",IFERROR(INDEX(Invoices!$F$5:$F$204,MATCH($I$2,Invoices!$A$5:$A$204,0)),""))</f>
        <v/>
      </c>
      <c r="C16" s="48" t="n"/>
      <c r="D16" s="49" t="n"/>
      <c r="E16" s="39">
        <f>IFERROR(INDEX(Invoices!$E$5:$E$204,MATCH($I$2,Invoices!$A$5:$A$204,0)),"")</f>
        <v/>
      </c>
      <c r="F16" s="49" t="n"/>
    </row>
    <row r="17">
      <c r="B17" s="9" t="inlineStr">
        <is>
          <t>Less: payments received on this invoice</t>
        </is>
      </c>
      <c r="C17" s="48" t="n"/>
      <c r="D17" s="49" t="n"/>
      <c r="E17" s="39">
        <f>IF($I$2="","",-IFERROR(INDEX(Invoices!$G$5:$G$204,MATCH($I$2,Invoices!$A$5:$A$204,0)),""))</f>
        <v/>
      </c>
      <c r="F17" s="49" t="n"/>
    </row>
    <row r="18">
      <c r="B18" s="31" t="inlineStr">
        <is>
          <t>BALANCE DUE</t>
        </is>
      </c>
      <c r="C18" s="31" t="n"/>
      <c r="D18" s="31" t="n"/>
      <c r="E18" s="41">
        <f>IFERROR(INDEX(Invoices!$H$5:$H$204,MATCH($I$2,Invoices!$A$5:$A$204,0)),"")</f>
        <v/>
      </c>
      <c r="F18" s="31" t="n"/>
    </row>
    <row r="19">
      <c r="B19" s="73">
        <f>IF(AND($I$2&lt;&gt;"",E16&lt;&gt;"",E16&gt;0,E18=0),"PAID IN FULL — thank you","")</f>
        <v/>
      </c>
    </row>
    <row r="20">
      <c r="B20" s="45" t="inlineStr">
        <is>
          <t>Contract summary</t>
        </is>
      </c>
    </row>
    <row r="21">
      <c r="B21" s="9" t="inlineStr">
        <is>
          <t>Revised contract value</t>
        </is>
      </c>
      <c r="C21" s="48" t="n"/>
      <c r="D21" s="49" t="n"/>
      <c r="E21" s="39">
        <f>IFERROR(INDEX(Jobs!$K$5:$K$44,MATCH(IFERROR(INDEX(Invoices!$B$5:$B$204,MATCH($I$2,Invoices!$A$5:$A$204,0)),""),Jobs!$A$5:$A$44,0)),"")</f>
        <v/>
      </c>
      <c r="F21" s="49" t="n"/>
    </row>
    <row r="22">
      <c r="B22" s="9" t="inlineStr">
        <is>
          <t>Invoiced to date (all invoices)</t>
        </is>
      </c>
      <c r="C22" s="48" t="n"/>
      <c r="D22" s="49" t="n"/>
      <c r="E22" s="39">
        <f>IFERROR(INDEX(Jobs!$Q$5:$Q$44,MATCH(IFERROR(INDEX(Invoices!$B$5:$B$204,MATCH($I$2,Invoices!$A$5:$A$204,0)),""),Jobs!$A$5:$A$44,0)),"")</f>
        <v/>
      </c>
      <c r="F22" s="49" t="n"/>
    </row>
    <row r="23">
      <c r="B23" s="9" t="inlineStr">
        <is>
          <t>Paid to date (all invoices)</t>
        </is>
      </c>
      <c r="C23" s="48" t="n"/>
      <c r="D23" s="49" t="n"/>
      <c r="E23" s="39">
        <f>IFERROR(INDEX(Jobs!$R$5:$R$44,MATCH(IFERROR(INDEX(Invoices!$B$5:$B$204,MATCH($I$2,Invoices!$A$5:$A$204,0)),""),Jobs!$A$5:$A$44,0)),"")</f>
        <v/>
      </c>
      <c r="F23" s="49" t="n"/>
    </row>
    <row r="24">
      <c r="B24" s="9" t="inlineStr">
        <is>
          <t>Remaining to invoice</t>
        </is>
      </c>
      <c r="C24" s="48" t="n"/>
      <c r="D24" s="49" t="n"/>
      <c r="E24" s="39">
        <f>IF($I$2="","",IFERROR(INDEX(Jobs!$K$5:$K$44,MATCH(IFERROR(INDEX(Invoices!$B$5:$B$204,MATCH($I$2,Invoices!$A$5:$A$204,0)),""),Jobs!$A$5:$A$44,0)),"")-IFERROR(INDEX(Jobs!$Q$5:$Q$44,MATCH(IFERROR(INDEX(Invoices!$B$5:$B$204,MATCH($I$2,Invoices!$A$5:$A$204,0)),""),Jobs!$A$5:$A$44,0)),""))</f>
        <v/>
      </c>
      <c r="F24" s="49" t="n"/>
    </row>
    <row r="26">
      <c r="B26" s="45" t="inlineStr">
        <is>
          <t>Payment instructions</t>
        </is>
      </c>
    </row>
    <row r="27" ht="40" customHeight="1">
      <c r="B27" s="12">
        <f>Settings!$B$31</f>
        <v/>
      </c>
    </row>
    <row r="29">
      <c r="B29" s="14">
        <f>Settings!$B$32</f>
        <v/>
      </c>
    </row>
    <row r="31">
      <c r="B31" s="45" t="inlineStr">
        <is>
          <t>REMITTANCE — detach and return with payment</t>
        </is>
      </c>
    </row>
    <row r="32">
      <c r="B32" s="72" t="inlineStr">
        <is>
          <t>Payable to</t>
        </is>
      </c>
      <c r="C32" s="9" t="n"/>
      <c r="D32" s="9" t="n"/>
      <c r="E32" s="9">
        <f>Settings!$B$5&amp;""</f>
        <v/>
      </c>
      <c r="F32" s="9" t="n"/>
    </row>
    <row r="33">
      <c r="B33" s="72" t="inlineStr">
        <is>
          <t>Invoice number</t>
        </is>
      </c>
      <c r="C33" s="9" t="n"/>
      <c r="D33" s="9" t="n"/>
      <c r="E33" s="9">
        <f>$I$2&amp;""</f>
        <v/>
      </c>
      <c r="F33" s="9" t="n"/>
    </row>
    <row r="34">
      <c r="B34" s="72" t="inlineStr">
        <is>
          <t>Balance due</t>
        </is>
      </c>
      <c r="C34" s="9" t="n"/>
      <c r="D34" s="9" t="n"/>
      <c r="E34" s="39">
        <f>IFERROR(INDEX(Invoices!$H$5:$H$204,MATCH($I$2,Invoices!$A$5:$A$204,0)),"")</f>
        <v/>
      </c>
      <c r="F34" s="9" t="n"/>
    </row>
    <row r="35">
      <c r="B35" s="72" t="inlineStr">
        <is>
          <t>Amount enclosed</t>
        </is>
      </c>
      <c r="C35" s="9" t="n"/>
      <c r="D35" s="9" t="n"/>
      <c r="E35" s="9" t="inlineStr">
        <is>
          <t>$ ______________</t>
        </is>
      </c>
      <c r="F35" s="9" t="n"/>
    </row>
  </sheetData>
  <mergeCells count="33">
    <mergeCell ref="E12:F12"/>
    <mergeCell ref="B11:D11"/>
    <mergeCell ref="B23:D23"/>
    <mergeCell ref="E24:F24"/>
    <mergeCell ref="E33:F33"/>
    <mergeCell ref="B17:D17"/>
    <mergeCell ref="B13:D13"/>
    <mergeCell ref="E23:F23"/>
    <mergeCell ref="E17:F17"/>
    <mergeCell ref="B27:F27"/>
    <mergeCell ref="B34:D34"/>
    <mergeCell ref="B10:D10"/>
    <mergeCell ref="E35:F35"/>
    <mergeCell ref="E10:F10"/>
    <mergeCell ref="E13:F13"/>
    <mergeCell ref="B15:D15"/>
    <mergeCell ref="B24:D24"/>
    <mergeCell ref="B33:D33"/>
    <mergeCell ref="E34:F34"/>
    <mergeCell ref="E15:F15"/>
    <mergeCell ref="B32:D32"/>
    <mergeCell ref="E11:F11"/>
    <mergeCell ref="B35:D35"/>
    <mergeCell ref="B16:D16"/>
    <mergeCell ref="E16:F16"/>
    <mergeCell ref="E32:F32"/>
    <mergeCell ref="B22:D22"/>
    <mergeCell ref="B18:D18"/>
    <mergeCell ref="E22:F22"/>
    <mergeCell ref="B21:D21"/>
    <mergeCell ref="B12:D12"/>
    <mergeCell ref="E18:F18"/>
    <mergeCell ref="E21:F21"/>
  </mergeCells>
  <dataValidations count="1">
    <dataValidation sqref="I2" showDropDown="0" showInputMessage="1" showErrorMessage="0" allowBlank="1" promptTitle="Pick from the list" prompt="Pick an invoice number; the invoice fills in." type="list">
      <formula1>=Invoices!$A$5:$A$204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9.xml><?xml version="1.0" encoding="utf-8"?>
<worksheet xmlns="http://schemas.openxmlformats.org/spreadsheetml/2006/main">
  <sheetPr>
    <tabColor rgb="004A86C8"/>
    <outlinePr summaryBelow="1" summaryRight="1"/>
    <pageSetUpPr fitToPage="1"/>
  </sheetPr>
  <dimension ref="A1:H30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4" customWidth="1" min="3" max="3"/>
    <col width="14" customWidth="1" min="4" max="4"/>
    <col width="14" customWidth="1" min="5" max="5"/>
    <col width="18" customWidth="1" min="6" max="6"/>
    <col width="24" customWidth="1" min="7" max="7"/>
    <col width="30" customWidth="1" min="8" max="8"/>
  </cols>
  <sheetData>
    <row r="1">
      <c r="A1" s="13" t="inlineStr">
        <is>
          <t>Payments received</t>
        </is>
      </c>
    </row>
    <row r="2">
      <c r="A2" s="14" t="inlineStr">
        <is>
          <t>Every client payment. Invoice # links it to an invoice; Job ID drives the job's Collected total and the cash P&amp;L.</t>
        </is>
      </c>
    </row>
    <row r="4" ht="30" customHeight="1">
      <c r="A4" s="24" t="inlineStr">
        <is>
          <t>Date</t>
        </is>
      </c>
      <c r="B4" s="24" t="inlineStr">
        <is>
          <t>Job ID</t>
        </is>
      </c>
      <c r="C4" s="24" t="inlineStr">
        <is>
          <t>Invoice #</t>
        </is>
      </c>
      <c r="D4" s="24" t="inlineStr">
        <is>
          <t>Amount</t>
        </is>
      </c>
      <c r="E4" s="24" t="inlineStr">
        <is>
          <t>Method</t>
        </is>
      </c>
      <c r="F4" s="24" t="inlineStr">
        <is>
          <t>Reference / Check #</t>
        </is>
      </c>
      <c r="G4" s="24" t="inlineStr">
        <is>
          <t>Check</t>
        </is>
      </c>
      <c r="H4" s="24" t="inlineStr">
        <is>
          <t>Notes</t>
        </is>
      </c>
    </row>
    <row r="5">
      <c r="A5" s="40" t="n"/>
      <c r="B5" s="35" t="n"/>
      <c r="C5" s="35" t="n"/>
      <c r="D5" s="37" t="n"/>
      <c r="E5" s="35" t="n"/>
      <c r="F5" s="35" t="n"/>
      <c r="G5" s="9">
        <f>IF(AND(B5="",D5=""),"",IF(B5="","Missing Job ID",IF(COUNTIF(Jobs!$A$5:$A$44,B5)=0,"Unknown Job ID",IF(AND(C5&lt;&gt;"",COUNTIF(Invoices!$A$5:$A$204,C5)=0),"Invoice # not in Invoices",IF(A5="","Missing date","")))))</f>
        <v/>
      </c>
      <c r="H5" s="35" t="n"/>
    </row>
    <row r="6">
      <c r="A6" s="40" t="n"/>
      <c r="B6" s="35" t="n"/>
      <c r="C6" s="35" t="n"/>
      <c r="D6" s="37" t="n"/>
      <c r="E6" s="35" t="n"/>
      <c r="F6" s="35" t="n"/>
      <c r="G6" s="9">
        <f>IF(AND(B6="",D6=""),"",IF(B6="","Missing Job ID",IF(COUNTIF(Jobs!$A$5:$A$44,B6)=0,"Unknown Job ID",IF(AND(C6&lt;&gt;"",COUNTIF(Invoices!$A$5:$A$204,C6)=0),"Invoice # not in Invoices",IF(A6="","Missing date","")))))</f>
        <v/>
      </c>
      <c r="H6" s="35" t="n"/>
    </row>
    <row r="7">
      <c r="A7" s="40" t="n"/>
      <c r="B7" s="35" t="n"/>
      <c r="C7" s="35" t="n"/>
      <c r="D7" s="37" t="n"/>
      <c r="E7" s="35" t="n"/>
      <c r="F7" s="35" t="n"/>
      <c r="G7" s="9">
        <f>IF(AND(B7="",D7=""),"",IF(B7="","Missing Job ID",IF(COUNTIF(Jobs!$A$5:$A$44,B7)=0,"Unknown Job ID",IF(AND(C7&lt;&gt;"",COUNTIF(Invoices!$A$5:$A$204,C7)=0),"Invoice # not in Invoices",IF(A7="","Missing date","")))))</f>
        <v/>
      </c>
      <c r="H7" s="35" t="n"/>
    </row>
    <row r="8">
      <c r="A8" s="40" t="n"/>
      <c r="B8" s="35" t="n"/>
      <c r="C8" s="35" t="n"/>
      <c r="D8" s="37" t="n"/>
      <c r="E8" s="35" t="n"/>
      <c r="F8" s="35" t="n"/>
      <c r="G8" s="9">
        <f>IF(AND(B8="",D8=""),"",IF(B8="","Missing Job ID",IF(COUNTIF(Jobs!$A$5:$A$44,B8)=0,"Unknown Job ID",IF(AND(C8&lt;&gt;"",COUNTIF(Invoices!$A$5:$A$204,C8)=0),"Invoice # not in Invoices",IF(A8="","Missing date","")))))</f>
        <v/>
      </c>
      <c r="H8" s="35" t="n"/>
    </row>
    <row r="9">
      <c r="A9" s="40" t="n"/>
      <c r="B9" s="35" t="n"/>
      <c r="C9" s="35" t="n"/>
      <c r="D9" s="37" t="n"/>
      <c r="E9" s="35" t="n"/>
      <c r="F9" s="35" t="n"/>
      <c r="G9" s="9">
        <f>IF(AND(B9="",D9=""),"",IF(B9="","Missing Job ID",IF(COUNTIF(Jobs!$A$5:$A$44,B9)=0,"Unknown Job ID",IF(AND(C9&lt;&gt;"",COUNTIF(Invoices!$A$5:$A$204,C9)=0),"Invoice # not in Invoices",IF(A9="","Missing date","")))))</f>
        <v/>
      </c>
      <c r="H9" s="35" t="n"/>
    </row>
    <row r="10">
      <c r="A10" s="40" t="n"/>
      <c r="B10" s="35" t="n"/>
      <c r="C10" s="35" t="n"/>
      <c r="D10" s="37" t="n"/>
      <c r="E10" s="35" t="n"/>
      <c r="F10" s="35" t="n"/>
      <c r="G10" s="9">
        <f>IF(AND(B10="",D10=""),"",IF(B10="","Missing Job ID",IF(COUNTIF(Jobs!$A$5:$A$44,B10)=0,"Unknown Job ID",IF(AND(C10&lt;&gt;"",COUNTIF(Invoices!$A$5:$A$204,C10)=0),"Invoice # not in Invoices",IF(A10="","Missing date","")))))</f>
        <v/>
      </c>
      <c r="H10" s="35" t="n"/>
    </row>
    <row r="11">
      <c r="A11" s="40" t="n"/>
      <c r="B11" s="35" t="n"/>
      <c r="C11" s="35" t="n"/>
      <c r="D11" s="37" t="n"/>
      <c r="E11" s="35" t="n"/>
      <c r="F11" s="35" t="n"/>
      <c r="G11" s="9">
        <f>IF(AND(B11="",D11=""),"",IF(B11="","Missing Job ID",IF(COUNTIF(Jobs!$A$5:$A$44,B11)=0,"Unknown Job ID",IF(AND(C11&lt;&gt;"",COUNTIF(Invoices!$A$5:$A$204,C11)=0),"Invoice # not in Invoices",IF(A11="","Missing date","")))))</f>
        <v/>
      </c>
      <c r="H11" s="35" t="n"/>
    </row>
    <row r="12">
      <c r="A12" s="40" t="n"/>
      <c r="B12" s="35" t="n"/>
      <c r="C12" s="35" t="n"/>
      <c r="D12" s="37" t="n"/>
      <c r="E12" s="35" t="n"/>
      <c r="F12" s="35" t="n"/>
      <c r="G12" s="9">
        <f>IF(AND(B12="",D12=""),"",IF(B12="","Missing Job ID",IF(COUNTIF(Jobs!$A$5:$A$44,B12)=0,"Unknown Job ID",IF(AND(C12&lt;&gt;"",COUNTIF(Invoices!$A$5:$A$204,C12)=0),"Invoice # not in Invoices",IF(A12="","Missing date","")))))</f>
        <v/>
      </c>
      <c r="H12" s="35" t="n"/>
    </row>
    <row r="13">
      <c r="A13" s="40" t="n"/>
      <c r="B13" s="35" t="n"/>
      <c r="C13" s="35" t="n"/>
      <c r="D13" s="37" t="n"/>
      <c r="E13" s="35" t="n"/>
      <c r="F13" s="35" t="n"/>
      <c r="G13" s="9">
        <f>IF(AND(B13="",D13=""),"",IF(B13="","Missing Job ID",IF(COUNTIF(Jobs!$A$5:$A$44,B13)=0,"Unknown Job ID",IF(AND(C13&lt;&gt;"",COUNTIF(Invoices!$A$5:$A$204,C13)=0),"Invoice # not in Invoices",IF(A13="","Missing date","")))))</f>
        <v/>
      </c>
      <c r="H13" s="35" t="n"/>
    </row>
    <row r="14">
      <c r="A14" s="40" t="n"/>
      <c r="B14" s="35" t="n"/>
      <c r="C14" s="35" t="n"/>
      <c r="D14" s="37" t="n"/>
      <c r="E14" s="35" t="n"/>
      <c r="F14" s="35" t="n"/>
      <c r="G14" s="9">
        <f>IF(AND(B14="",D14=""),"",IF(B14="","Missing Job ID",IF(COUNTIF(Jobs!$A$5:$A$44,B14)=0,"Unknown Job ID",IF(AND(C14&lt;&gt;"",COUNTIF(Invoices!$A$5:$A$204,C14)=0),"Invoice # not in Invoices",IF(A14="","Missing date","")))))</f>
        <v/>
      </c>
      <c r="H14" s="35" t="n"/>
    </row>
    <row r="15">
      <c r="A15" s="40" t="n"/>
      <c r="B15" s="35" t="n"/>
      <c r="C15" s="35" t="n"/>
      <c r="D15" s="37" t="n"/>
      <c r="E15" s="35" t="n"/>
      <c r="F15" s="35" t="n"/>
      <c r="G15" s="9">
        <f>IF(AND(B15="",D15=""),"",IF(B15="","Missing Job ID",IF(COUNTIF(Jobs!$A$5:$A$44,B15)=0,"Unknown Job ID",IF(AND(C15&lt;&gt;"",COUNTIF(Invoices!$A$5:$A$204,C15)=0),"Invoice # not in Invoices",IF(A15="","Missing date","")))))</f>
        <v/>
      </c>
      <c r="H15" s="35" t="n"/>
    </row>
    <row r="16">
      <c r="A16" s="40" t="n"/>
      <c r="B16" s="35" t="n"/>
      <c r="C16" s="35" t="n"/>
      <c r="D16" s="37" t="n"/>
      <c r="E16" s="35" t="n"/>
      <c r="F16" s="35" t="n"/>
      <c r="G16" s="9">
        <f>IF(AND(B16="",D16=""),"",IF(B16="","Missing Job ID",IF(COUNTIF(Jobs!$A$5:$A$44,B16)=0,"Unknown Job ID",IF(AND(C16&lt;&gt;"",COUNTIF(Invoices!$A$5:$A$204,C16)=0),"Invoice # not in Invoices",IF(A16="","Missing date","")))))</f>
        <v/>
      </c>
      <c r="H16" s="35" t="n"/>
    </row>
    <row r="17">
      <c r="A17" s="40" t="n"/>
      <c r="B17" s="35" t="n"/>
      <c r="C17" s="35" t="n"/>
      <c r="D17" s="37" t="n"/>
      <c r="E17" s="35" t="n"/>
      <c r="F17" s="35" t="n"/>
      <c r="G17" s="9">
        <f>IF(AND(B17="",D17=""),"",IF(B17="","Missing Job ID",IF(COUNTIF(Jobs!$A$5:$A$44,B17)=0,"Unknown Job ID",IF(AND(C17&lt;&gt;"",COUNTIF(Invoices!$A$5:$A$204,C17)=0),"Invoice # not in Invoices",IF(A17="","Missing date","")))))</f>
        <v/>
      </c>
      <c r="H17" s="35" t="n"/>
    </row>
    <row r="18">
      <c r="A18" s="40" t="n"/>
      <c r="B18" s="35" t="n"/>
      <c r="C18" s="35" t="n"/>
      <c r="D18" s="37" t="n"/>
      <c r="E18" s="35" t="n"/>
      <c r="F18" s="35" t="n"/>
      <c r="G18" s="9">
        <f>IF(AND(B18="",D18=""),"",IF(B18="","Missing Job ID",IF(COUNTIF(Jobs!$A$5:$A$44,B18)=0,"Unknown Job ID",IF(AND(C18&lt;&gt;"",COUNTIF(Invoices!$A$5:$A$204,C18)=0),"Invoice # not in Invoices",IF(A18="","Missing date","")))))</f>
        <v/>
      </c>
      <c r="H18" s="35" t="n"/>
    </row>
    <row r="19">
      <c r="A19" s="40" t="n"/>
      <c r="B19" s="35" t="n"/>
      <c r="C19" s="35" t="n"/>
      <c r="D19" s="37" t="n"/>
      <c r="E19" s="35" t="n"/>
      <c r="F19" s="35" t="n"/>
      <c r="G19" s="9">
        <f>IF(AND(B19="",D19=""),"",IF(B19="","Missing Job ID",IF(COUNTIF(Jobs!$A$5:$A$44,B19)=0,"Unknown Job ID",IF(AND(C19&lt;&gt;"",COUNTIF(Invoices!$A$5:$A$204,C19)=0),"Invoice # not in Invoices",IF(A19="","Missing date","")))))</f>
        <v/>
      </c>
      <c r="H19" s="35" t="n"/>
    </row>
    <row r="20">
      <c r="A20" s="40" t="n"/>
      <c r="B20" s="35" t="n"/>
      <c r="C20" s="35" t="n"/>
      <c r="D20" s="37" t="n"/>
      <c r="E20" s="35" t="n"/>
      <c r="F20" s="35" t="n"/>
      <c r="G20" s="9">
        <f>IF(AND(B20="",D20=""),"",IF(B20="","Missing Job ID",IF(COUNTIF(Jobs!$A$5:$A$44,B20)=0,"Unknown Job ID",IF(AND(C20&lt;&gt;"",COUNTIF(Invoices!$A$5:$A$204,C20)=0),"Invoice # not in Invoices",IF(A20="","Missing date","")))))</f>
        <v/>
      </c>
      <c r="H20" s="35" t="n"/>
    </row>
    <row r="21">
      <c r="A21" s="40" t="n"/>
      <c r="B21" s="35" t="n"/>
      <c r="C21" s="35" t="n"/>
      <c r="D21" s="37" t="n"/>
      <c r="E21" s="35" t="n"/>
      <c r="F21" s="35" t="n"/>
      <c r="G21" s="9">
        <f>IF(AND(B21="",D21=""),"",IF(B21="","Missing Job ID",IF(COUNTIF(Jobs!$A$5:$A$44,B21)=0,"Unknown Job ID",IF(AND(C21&lt;&gt;"",COUNTIF(Invoices!$A$5:$A$204,C21)=0),"Invoice # not in Invoices",IF(A21="","Missing date","")))))</f>
        <v/>
      </c>
      <c r="H21" s="35" t="n"/>
    </row>
    <row r="22">
      <c r="A22" s="40" t="n"/>
      <c r="B22" s="35" t="n"/>
      <c r="C22" s="35" t="n"/>
      <c r="D22" s="37" t="n"/>
      <c r="E22" s="35" t="n"/>
      <c r="F22" s="35" t="n"/>
      <c r="G22" s="9">
        <f>IF(AND(B22="",D22=""),"",IF(B22="","Missing Job ID",IF(COUNTIF(Jobs!$A$5:$A$44,B22)=0,"Unknown Job ID",IF(AND(C22&lt;&gt;"",COUNTIF(Invoices!$A$5:$A$204,C22)=0),"Invoice # not in Invoices",IF(A22="","Missing date","")))))</f>
        <v/>
      </c>
      <c r="H22" s="35" t="n"/>
    </row>
    <row r="23">
      <c r="A23" s="40" t="n"/>
      <c r="B23" s="35" t="n"/>
      <c r="C23" s="35" t="n"/>
      <c r="D23" s="37" t="n"/>
      <c r="E23" s="35" t="n"/>
      <c r="F23" s="35" t="n"/>
      <c r="G23" s="9">
        <f>IF(AND(B23="",D23=""),"",IF(B23="","Missing Job ID",IF(COUNTIF(Jobs!$A$5:$A$44,B23)=0,"Unknown Job ID",IF(AND(C23&lt;&gt;"",COUNTIF(Invoices!$A$5:$A$204,C23)=0),"Invoice # not in Invoices",IF(A23="","Missing date","")))))</f>
        <v/>
      </c>
      <c r="H23" s="35" t="n"/>
    </row>
    <row r="24">
      <c r="A24" s="40" t="n"/>
      <c r="B24" s="35" t="n"/>
      <c r="C24" s="35" t="n"/>
      <c r="D24" s="37" t="n"/>
      <c r="E24" s="35" t="n"/>
      <c r="F24" s="35" t="n"/>
      <c r="G24" s="9">
        <f>IF(AND(B24="",D24=""),"",IF(B24="","Missing Job ID",IF(COUNTIF(Jobs!$A$5:$A$44,B24)=0,"Unknown Job ID",IF(AND(C24&lt;&gt;"",COUNTIF(Invoices!$A$5:$A$204,C24)=0),"Invoice # not in Invoices",IF(A24="","Missing date","")))))</f>
        <v/>
      </c>
      <c r="H24" s="35" t="n"/>
    </row>
    <row r="25">
      <c r="A25" s="40" t="n"/>
      <c r="B25" s="35" t="n"/>
      <c r="C25" s="35" t="n"/>
      <c r="D25" s="37" t="n"/>
      <c r="E25" s="35" t="n"/>
      <c r="F25" s="35" t="n"/>
      <c r="G25" s="9">
        <f>IF(AND(B25="",D25=""),"",IF(B25="","Missing Job ID",IF(COUNTIF(Jobs!$A$5:$A$44,B25)=0,"Unknown Job ID",IF(AND(C25&lt;&gt;"",COUNTIF(Invoices!$A$5:$A$204,C25)=0),"Invoice # not in Invoices",IF(A25="","Missing date","")))))</f>
        <v/>
      </c>
      <c r="H25" s="35" t="n"/>
    </row>
    <row r="26">
      <c r="A26" s="40" t="n"/>
      <c r="B26" s="35" t="n"/>
      <c r="C26" s="35" t="n"/>
      <c r="D26" s="37" t="n"/>
      <c r="E26" s="35" t="n"/>
      <c r="F26" s="35" t="n"/>
      <c r="G26" s="9">
        <f>IF(AND(B26="",D26=""),"",IF(B26="","Missing Job ID",IF(COUNTIF(Jobs!$A$5:$A$44,B26)=0,"Unknown Job ID",IF(AND(C26&lt;&gt;"",COUNTIF(Invoices!$A$5:$A$204,C26)=0),"Invoice # not in Invoices",IF(A26="","Missing date","")))))</f>
        <v/>
      </c>
      <c r="H26" s="35" t="n"/>
    </row>
    <row r="27">
      <c r="A27" s="40" t="n"/>
      <c r="B27" s="35" t="n"/>
      <c r="C27" s="35" t="n"/>
      <c r="D27" s="37" t="n"/>
      <c r="E27" s="35" t="n"/>
      <c r="F27" s="35" t="n"/>
      <c r="G27" s="9">
        <f>IF(AND(B27="",D27=""),"",IF(B27="","Missing Job ID",IF(COUNTIF(Jobs!$A$5:$A$44,B27)=0,"Unknown Job ID",IF(AND(C27&lt;&gt;"",COUNTIF(Invoices!$A$5:$A$204,C27)=0),"Invoice # not in Invoices",IF(A27="","Missing date","")))))</f>
        <v/>
      </c>
      <c r="H27" s="35" t="n"/>
    </row>
    <row r="28">
      <c r="A28" s="40" t="n"/>
      <c r="B28" s="35" t="n"/>
      <c r="C28" s="35" t="n"/>
      <c r="D28" s="37" t="n"/>
      <c r="E28" s="35" t="n"/>
      <c r="F28" s="35" t="n"/>
      <c r="G28" s="9">
        <f>IF(AND(B28="",D28=""),"",IF(B28="","Missing Job ID",IF(COUNTIF(Jobs!$A$5:$A$44,B28)=0,"Unknown Job ID",IF(AND(C28&lt;&gt;"",COUNTIF(Invoices!$A$5:$A$204,C28)=0),"Invoice # not in Invoices",IF(A28="","Missing date","")))))</f>
        <v/>
      </c>
      <c r="H28" s="35" t="n"/>
    </row>
    <row r="29">
      <c r="A29" s="40" t="n"/>
      <c r="B29" s="35" t="n"/>
      <c r="C29" s="35" t="n"/>
      <c r="D29" s="37" t="n"/>
      <c r="E29" s="35" t="n"/>
      <c r="F29" s="35" t="n"/>
      <c r="G29" s="9">
        <f>IF(AND(B29="",D29=""),"",IF(B29="","Missing Job ID",IF(COUNTIF(Jobs!$A$5:$A$44,B29)=0,"Unknown Job ID",IF(AND(C29&lt;&gt;"",COUNTIF(Invoices!$A$5:$A$204,C29)=0),"Invoice # not in Invoices",IF(A29="","Missing date","")))))</f>
        <v/>
      </c>
      <c r="H29" s="35" t="n"/>
    </row>
    <row r="30">
      <c r="A30" s="40" t="n"/>
      <c r="B30" s="35" t="n"/>
      <c r="C30" s="35" t="n"/>
      <c r="D30" s="37" t="n"/>
      <c r="E30" s="35" t="n"/>
      <c r="F30" s="35" t="n"/>
      <c r="G30" s="9">
        <f>IF(AND(B30="",D30=""),"",IF(B30="","Missing Job ID",IF(COUNTIF(Jobs!$A$5:$A$44,B30)=0,"Unknown Job ID",IF(AND(C30&lt;&gt;"",COUNTIF(Invoices!$A$5:$A$204,C30)=0),"Invoice # not in Invoices",IF(A30="","Missing date","")))))</f>
        <v/>
      </c>
      <c r="H30" s="35" t="n"/>
    </row>
    <row r="31">
      <c r="A31" s="40" t="n"/>
      <c r="B31" s="35" t="n"/>
      <c r="C31" s="35" t="n"/>
      <c r="D31" s="37" t="n"/>
      <c r="E31" s="35" t="n"/>
      <c r="F31" s="35" t="n"/>
      <c r="G31" s="9">
        <f>IF(AND(B31="",D31=""),"",IF(B31="","Missing Job ID",IF(COUNTIF(Jobs!$A$5:$A$44,B31)=0,"Unknown Job ID",IF(AND(C31&lt;&gt;"",COUNTIF(Invoices!$A$5:$A$204,C31)=0),"Invoice # not in Invoices",IF(A31="","Missing date","")))))</f>
        <v/>
      </c>
      <c r="H31" s="35" t="n"/>
    </row>
    <row r="32">
      <c r="A32" s="40" t="n"/>
      <c r="B32" s="35" t="n"/>
      <c r="C32" s="35" t="n"/>
      <c r="D32" s="37" t="n"/>
      <c r="E32" s="35" t="n"/>
      <c r="F32" s="35" t="n"/>
      <c r="G32" s="9">
        <f>IF(AND(B32="",D32=""),"",IF(B32="","Missing Job ID",IF(COUNTIF(Jobs!$A$5:$A$44,B32)=0,"Unknown Job ID",IF(AND(C32&lt;&gt;"",COUNTIF(Invoices!$A$5:$A$204,C32)=0),"Invoice # not in Invoices",IF(A32="","Missing date","")))))</f>
        <v/>
      </c>
      <c r="H32" s="35" t="n"/>
    </row>
    <row r="33">
      <c r="A33" s="40" t="n"/>
      <c r="B33" s="35" t="n"/>
      <c r="C33" s="35" t="n"/>
      <c r="D33" s="37" t="n"/>
      <c r="E33" s="35" t="n"/>
      <c r="F33" s="35" t="n"/>
      <c r="G33" s="9">
        <f>IF(AND(B33="",D33=""),"",IF(B33="","Missing Job ID",IF(COUNTIF(Jobs!$A$5:$A$44,B33)=0,"Unknown Job ID",IF(AND(C33&lt;&gt;"",COUNTIF(Invoices!$A$5:$A$204,C33)=0),"Invoice # not in Invoices",IF(A33="","Missing date","")))))</f>
        <v/>
      </c>
      <c r="H33" s="35" t="n"/>
    </row>
    <row r="34">
      <c r="A34" s="40" t="n"/>
      <c r="B34" s="35" t="n"/>
      <c r="C34" s="35" t="n"/>
      <c r="D34" s="37" t="n"/>
      <c r="E34" s="35" t="n"/>
      <c r="F34" s="35" t="n"/>
      <c r="G34" s="9">
        <f>IF(AND(B34="",D34=""),"",IF(B34="","Missing Job ID",IF(COUNTIF(Jobs!$A$5:$A$44,B34)=0,"Unknown Job ID",IF(AND(C34&lt;&gt;"",COUNTIF(Invoices!$A$5:$A$204,C34)=0),"Invoice # not in Invoices",IF(A34="","Missing date","")))))</f>
        <v/>
      </c>
      <c r="H34" s="35" t="n"/>
    </row>
    <row r="35">
      <c r="A35" s="40" t="n"/>
      <c r="B35" s="35" t="n"/>
      <c r="C35" s="35" t="n"/>
      <c r="D35" s="37" t="n"/>
      <c r="E35" s="35" t="n"/>
      <c r="F35" s="35" t="n"/>
      <c r="G35" s="9">
        <f>IF(AND(B35="",D35=""),"",IF(B35="","Missing Job ID",IF(COUNTIF(Jobs!$A$5:$A$44,B35)=0,"Unknown Job ID",IF(AND(C35&lt;&gt;"",COUNTIF(Invoices!$A$5:$A$204,C35)=0),"Invoice # not in Invoices",IF(A35="","Missing date","")))))</f>
        <v/>
      </c>
      <c r="H35" s="35" t="n"/>
    </row>
    <row r="36">
      <c r="A36" s="40" t="n"/>
      <c r="B36" s="35" t="n"/>
      <c r="C36" s="35" t="n"/>
      <c r="D36" s="37" t="n"/>
      <c r="E36" s="35" t="n"/>
      <c r="F36" s="35" t="n"/>
      <c r="G36" s="9">
        <f>IF(AND(B36="",D36=""),"",IF(B36="","Missing Job ID",IF(COUNTIF(Jobs!$A$5:$A$44,B36)=0,"Unknown Job ID",IF(AND(C36&lt;&gt;"",COUNTIF(Invoices!$A$5:$A$204,C36)=0),"Invoice # not in Invoices",IF(A36="","Missing date","")))))</f>
        <v/>
      </c>
      <c r="H36" s="35" t="n"/>
    </row>
    <row r="37">
      <c r="A37" s="40" t="n"/>
      <c r="B37" s="35" t="n"/>
      <c r="C37" s="35" t="n"/>
      <c r="D37" s="37" t="n"/>
      <c r="E37" s="35" t="n"/>
      <c r="F37" s="35" t="n"/>
      <c r="G37" s="9">
        <f>IF(AND(B37="",D37=""),"",IF(B37="","Missing Job ID",IF(COUNTIF(Jobs!$A$5:$A$44,B37)=0,"Unknown Job ID",IF(AND(C37&lt;&gt;"",COUNTIF(Invoices!$A$5:$A$204,C37)=0),"Invoice # not in Invoices",IF(A37="","Missing date","")))))</f>
        <v/>
      </c>
      <c r="H37" s="35" t="n"/>
    </row>
    <row r="38">
      <c r="A38" s="40" t="n"/>
      <c r="B38" s="35" t="n"/>
      <c r="C38" s="35" t="n"/>
      <c r="D38" s="37" t="n"/>
      <c r="E38" s="35" t="n"/>
      <c r="F38" s="35" t="n"/>
      <c r="G38" s="9">
        <f>IF(AND(B38="",D38=""),"",IF(B38="","Missing Job ID",IF(COUNTIF(Jobs!$A$5:$A$44,B38)=0,"Unknown Job ID",IF(AND(C38&lt;&gt;"",COUNTIF(Invoices!$A$5:$A$204,C38)=0),"Invoice # not in Invoices",IF(A38="","Missing date","")))))</f>
        <v/>
      </c>
      <c r="H38" s="35" t="n"/>
    </row>
    <row r="39">
      <c r="A39" s="40" t="n"/>
      <c r="B39" s="35" t="n"/>
      <c r="C39" s="35" t="n"/>
      <c r="D39" s="37" t="n"/>
      <c r="E39" s="35" t="n"/>
      <c r="F39" s="35" t="n"/>
      <c r="G39" s="9">
        <f>IF(AND(B39="",D39=""),"",IF(B39="","Missing Job ID",IF(COUNTIF(Jobs!$A$5:$A$44,B39)=0,"Unknown Job ID",IF(AND(C39&lt;&gt;"",COUNTIF(Invoices!$A$5:$A$204,C39)=0),"Invoice # not in Invoices",IF(A39="","Missing date","")))))</f>
        <v/>
      </c>
      <c r="H39" s="35" t="n"/>
    </row>
    <row r="40">
      <c r="A40" s="40" t="n"/>
      <c r="B40" s="35" t="n"/>
      <c r="C40" s="35" t="n"/>
      <c r="D40" s="37" t="n"/>
      <c r="E40" s="35" t="n"/>
      <c r="F40" s="35" t="n"/>
      <c r="G40" s="9">
        <f>IF(AND(B40="",D40=""),"",IF(B40="","Missing Job ID",IF(COUNTIF(Jobs!$A$5:$A$44,B40)=0,"Unknown Job ID",IF(AND(C40&lt;&gt;"",COUNTIF(Invoices!$A$5:$A$204,C40)=0),"Invoice # not in Invoices",IF(A40="","Missing date","")))))</f>
        <v/>
      </c>
      <c r="H40" s="35" t="n"/>
    </row>
    <row r="41">
      <c r="A41" s="40" t="n"/>
      <c r="B41" s="35" t="n"/>
      <c r="C41" s="35" t="n"/>
      <c r="D41" s="37" t="n"/>
      <c r="E41" s="35" t="n"/>
      <c r="F41" s="35" t="n"/>
      <c r="G41" s="9">
        <f>IF(AND(B41="",D41=""),"",IF(B41="","Missing Job ID",IF(COUNTIF(Jobs!$A$5:$A$44,B41)=0,"Unknown Job ID",IF(AND(C41&lt;&gt;"",COUNTIF(Invoices!$A$5:$A$204,C41)=0),"Invoice # not in Invoices",IF(A41="","Missing date","")))))</f>
        <v/>
      </c>
      <c r="H41" s="35" t="n"/>
    </row>
    <row r="42">
      <c r="A42" s="40" t="n"/>
      <c r="B42" s="35" t="n"/>
      <c r="C42" s="35" t="n"/>
      <c r="D42" s="37" t="n"/>
      <c r="E42" s="35" t="n"/>
      <c r="F42" s="35" t="n"/>
      <c r="G42" s="9">
        <f>IF(AND(B42="",D42=""),"",IF(B42="","Missing Job ID",IF(COUNTIF(Jobs!$A$5:$A$44,B42)=0,"Unknown Job ID",IF(AND(C42&lt;&gt;"",COUNTIF(Invoices!$A$5:$A$204,C42)=0),"Invoice # not in Invoices",IF(A42="","Missing date","")))))</f>
        <v/>
      </c>
      <c r="H42" s="35" t="n"/>
    </row>
    <row r="43">
      <c r="A43" s="40" t="n"/>
      <c r="B43" s="35" t="n"/>
      <c r="C43" s="35" t="n"/>
      <c r="D43" s="37" t="n"/>
      <c r="E43" s="35" t="n"/>
      <c r="F43" s="35" t="n"/>
      <c r="G43" s="9">
        <f>IF(AND(B43="",D43=""),"",IF(B43="","Missing Job ID",IF(COUNTIF(Jobs!$A$5:$A$44,B43)=0,"Unknown Job ID",IF(AND(C43&lt;&gt;"",COUNTIF(Invoices!$A$5:$A$204,C43)=0),"Invoice # not in Invoices",IF(A43="","Missing date","")))))</f>
        <v/>
      </c>
      <c r="H43" s="35" t="n"/>
    </row>
    <row r="44">
      <c r="A44" s="40" t="n"/>
      <c r="B44" s="35" t="n"/>
      <c r="C44" s="35" t="n"/>
      <c r="D44" s="37" t="n"/>
      <c r="E44" s="35" t="n"/>
      <c r="F44" s="35" t="n"/>
      <c r="G44" s="9">
        <f>IF(AND(B44="",D44=""),"",IF(B44="","Missing Job ID",IF(COUNTIF(Jobs!$A$5:$A$44,B44)=0,"Unknown Job ID",IF(AND(C44&lt;&gt;"",COUNTIF(Invoices!$A$5:$A$204,C44)=0),"Invoice # not in Invoices",IF(A44="","Missing date","")))))</f>
        <v/>
      </c>
      <c r="H44" s="35" t="n"/>
    </row>
    <row r="45">
      <c r="A45" s="40" t="n"/>
      <c r="B45" s="35" t="n"/>
      <c r="C45" s="35" t="n"/>
      <c r="D45" s="37" t="n"/>
      <c r="E45" s="35" t="n"/>
      <c r="F45" s="35" t="n"/>
      <c r="G45" s="9">
        <f>IF(AND(B45="",D45=""),"",IF(B45="","Missing Job ID",IF(COUNTIF(Jobs!$A$5:$A$44,B45)=0,"Unknown Job ID",IF(AND(C45&lt;&gt;"",COUNTIF(Invoices!$A$5:$A$204,C45)=0),"Invoice # not in Invoices",IF(A45="","Missing date","")))))</f>
        <v/>
      </c>
      <c r="H45" s="35" t="n"/>
    </row>
    <row r="46">
      <c r="A46" s="40" t="n"/>
      <c r="B46" s="35" t="n"/>
      <c r="C46" s="35" t="n"/>
      <c r="D46" s="37" t="n"/>
      <c r="E46" s="35" t="n"/>
      <c r="F46" s="35" t="n"/>
      <c r="G46" s="9">
        <f>IF(AND(B46="",D46=""),"",IF(B46="","Missing Job ID",IF(COUNTIF(Jobs!$A$5:$A$44,B46)=0,"Unknown Job ID",IF(AND(C46&lt;&gt;"",COUNTIF(Invoices!$A$5:$A$204,C46)=0),"Invoice # not in Invoices",IF(A46="","Missing date","")))))</f>
        <v/>
      </c>
      <c r="H46" s="35" t="n"/>
    </row>
    <row r="47">
      <c r="A47" s="40" t="n"/>
      <c r="B47" s="35" t="n"/>
      <c r="C47" s="35" t="n"/>
      <c r="D47" s="37" t="n"/>
      <c r="E47" s="35" t="n"/>
      <c r="F47" s="35" t="n"/>
      <c r="G47" s="9">
        <f>IF(AND(B47="",D47=""),"",IF(B47="","Missing Job ID",IF(COUNTIF(Jobs!$A$5:$A$44,B47)=0,"Unknown Job ID",IF(AND(C47&lt;&gt;"",COUNTIF(Invoices!$A$5:$A$204,C47)=0),"Invoice # not in Invoices",IF(A47="","Missing date","")))))</f>
        <v/>
      </c>
      <c r="H47" s="35" t="n"/>
    </row>
    <row r="48">
      <c r="A48" s="40" t="n"/>
      <c r="B48" s="35" t="n"/>
      <c r="C48" s="35" t="n"/>
      <c r="D48" s="37" t="n"/>
      <c r="E48" s="35" t="n"/>
      <c r="F48" s="35" t="n"/>
      <c r="G48" s="9">
        <f>IF(AND(B48="",D48=""),"",IF(B48="","Missing Job ID",IF(COUNTIF(Jobs!$A$5:$A$44,B48)=0,"Unknown Job ID",IF(AND(C48&lt;&gt;"",COUNTIF(Invoices!$A$5:$A$204,C48)=0),"Invoice # not in Invoices",IF(A48="","Missing date","")))))</f>
        <v/>
      </c>
      <c r="H48" s="35" t="n"/>
    </row>
    <row r="49">
      <c r="A49" s="40" t="n"/>
      <c r="B49" s="35" t="n"/>
      <c r="C49" s="35" t="n"/>
      <c r="D49" s="37" t="n"/>
      <c r="E49" s="35" t="n"/>
      <c r="F49" s="35" t="n"/>
      <c r="G49" s="9">
        <f>IF(AND(B49="",D49=""),"",IF(B49="","Missing Job ID",IF(COUNTIF(Jobs!$A$5:$A$44,B49)=0,"Unknown Job ID",IF(AND(C49&lt;&gt;"",COUNTIF(Invoices!$A$5:$A$204,C49)=0),"Invoice # not in Invoices",IF(A49="","Missing date","")))))</f>
        <v/>
      </c>
      <c r="H49" s="35" t="n"/>
    </row>
    <row r="50">
      <c r="A50" s="40" t="n"/>
      <c r="B50" s="35" t="n"/>
      <c r="C50" s="35" t="n"/>
      <c r="D50" s="37" t="n"/>
      <c r="E50" s="35" t="n"/>
      <c r="F50" s="35" t="n"/>
      <c r="G50" s="9">
        <f>IF(AND(B50="",D50=""),"",IF(B50="","Missing Job ID",IF(COUNTIF(Jobs!$A$5:$A$44,B50)=0,"Unknown Job ID",IF(AND(C50&lt;&gt;"",COUNTIF(Invoices!$A$5:$A$204,C50)=0),"Invoice # not in Invoices",IF(A50="","Missing date","")))))</f>
        <v/>
      </c>
      <c r="H50" s="35" t="n"/>
    </row>
    <row r="51">
      <c r="A51" s="40" t="n"/>
      <c r="B51" s="35" t="n"/>
      <c r="C51" s="35" t="n"/>
      <c r="D51" s="37" t="n"/>
      <c r="E51" s="35" t="n"/>
      <c r="F51" s="35" t="n"/>
      <c r="G51" s="9">
        <f>IF(AND(B51="",D51=""),"",IF(B51="","Missing Job ID",IF(COUNTIF(Jobs!$A$5:$A$44,B51)=0,"Unknown Job ID",IF(AND(C51&lt;&gt;"",COUNTIF(Invoices!$A$5:$A$204,C51)=0),"Invoice # not in Invoices",IF(A51="","Missing date","")))))</f>
        <v/>
      </c>
      <c r="H51" s="35" t="n"/>
    </row>
    <row r="52">
      <c r="A52" s="40" t="n"/>
      <c r="B52" s="35" t="n"/>
      <c r="C52" s="35" t="n"/>
      <c r="D52" s="37" t="n"/>
      <c r="E52" s="35" t="n"/>
      <c r="F52" s="35" t="n"/>
      <c r="G52" s="9">
        <f>IF(AND(B52="",D52=""),"",IF(B52="","Missing Job ID",IF(COUNTIF(Jobs!$A$5:$A$44,B52)=0,"Unknown Job ID",IF(AND(C52&lt;&gt;"",COUNTIF(Invoices!$A$5:$A$204,C52)=0),"Invoice # not in Invoices",IF(A52="","Missing date","")))))</f>
        <v/>
      </c>
      <c r="H52" s="35" t="n"/>
    </row>
    <row r="53">
      <c r="A53" s="40" t="n"/>
      <c r="B53" s="35" t="n"/>
      <c r="C53" s="35" t="n"/>
      <c r="D53" s="37" t="n"/>
      <c r="E53" s="35" t="n"/>
      <c r="F53" s="35" t="n"/>
      <c r="G53" s="9">
        <f>IF(AND(B53="",D53=""),"",IF(B53="","Missing Job ID",IF(COUNTIF(Jobs!$A$5:$A$44,B53)=0,"Unknown Job ID",IF(AND(C53&lt;&gt;"",COUNTIF(Invoices!$A$5:$A$204,C53)=0),"Invoice # not in Invoices",IF(A53="","Missing date","")))))</f>
        <v/>
      </c>
      <c r="H53" s="35" t="n"/>
    </row>
    <row r="54">
      <c r="A54" s="40" t="n"/>
      <c r="B54" s="35" t="n"/>
      <c r="C54" s="35" t="n"/>
      <c r="D54" s="37" t="n"/>
      <c r="E54" s="35" t="n"/>
      <c r="F54" s="35" t="n"/>
      <c r="G54" s="9">
        <f>IF(AND(B54="",D54=""),"",IF(B54="","Missing Job ID",IF(COUNTIF(Jobs!$A$5:$A$44,B54)=0,"Unknown Job ID",IF(AND(C54&lt;&gt;"",COUNTIF(Invoices!$A$5:$A$204,C54)=0),"Invoice # not in Invoices",IF(A54="","Missing date","")))))</f>
        <v/>
      </c>
      <c r="H54" s="35" t="n"/>
    </row>
    <row r="55">
      <c r="A55" s="40" t="n"/>
      <c r="B55" s="35" t="n"/>
      <c r="C55" s="35" t="n"/>
      <c r="D55" s="37" t="n"/>
      <c r="E55" s="35" t="n"/>
      <c r="F55" s="35" t="n"/>
      <c r="G55" s="9">
        <f>IF(AND(B55="",D55=""),"",IF(B55="","Missing Job ID",IF(COUNTIF(Jobs!$A$5:$A$44,B55)=0,"Unknown Job ID",IF(AND(C55&lt;&gt;"",COUNTIF(Invoices!$A$5:$A$204,C55)=0),"Invoice # not in Invoices",IF(A55="","Missing date","")))))</f>
        <v/>
      </c>
      <c r="H55" s="35" t="n"/>
    </row>
    <row r="56">
      <c r="A56" s="40" t="n"/>
      <c r="B56" s="35" t="n"/>
      <c r="C56" s="35" t="n"/>
      <c r="D56" s="37" t="n"/>
      <c r="E56" s="35" t="n"/>
      <c r="F56" s="35" t="n"/>
      <c r="G56" s="9">
        <f>IF(AND(B56="",D56=""),"",IF(B56="","Missing Job ID",IF(COUNTIF(Jobs!$A$5:$A$44,B56)=0,"Unknown Job ID",IF(AND(C56&lt;&gt;"",COUNTIF(Invoices!$A$5:$A$204,C56)=0),"Invoice # not in Invoices",IF(A56="","Missing date","")))))</f>
        <v/>
      </c>
      <c r="H56" s="35" t="n"/>
    </row>
    <row r="57">
      <c r="A57" s="40" t="n"/>
      <c r="B57" s="35" t="n"/>
      <c r="C57" s="35" t="n"/>
      <c r="D57" s="37" t="n"/>
      <c r="E57" s="35" t="n"/>
      <c r="F57" s="35" t="n"/>
      <c r="G57" s="9">
        <f>IF(AND(B57="",D57=""),"",IF(B57="","Missing Job ID",IF(COUNTIF(Jobs!$A$5:$A$44,B57)=0,"Unknown Job ID",IF(AND(C57&lt;&gt;"",COUNTIF(Invoices!$A$5:$A$204,C57)=0),"Invoice # not in Invoices",IF(A57="","Missing date","")))))</f>
        <v/>
      </c>
      <c r="H57" s="35" t="n"/>
    </row>
    <row r="58">
      <c r="A58" s="40" t="n"/>
      <c r="B58" s="35" t="n"/>
      <c r="C58" s="35" t="n"/>
      <c r="D58" s="37" t="n"/>
      <c r="E58" s="35" t="n"/>
      <c r="F58" s="35" t="n"/>
      <c r="G58" s="9">
        <f>IF(AND(B58="",D58=""),"",IF(B58="","Missing Job ID",IF(COUNTIF(Jobs!$A$5:$A$44,B58)=0,"Unknown Job ID",IF(AND(C58&lt;&gt;"",COUNTIF(Invoices!$A$5:$A$204,C58)=0),"Invoice # not in Invoices",IF(A58="","Missing date","")))))</f>
        <v/>
      </c>
      <c r="H58" s="35" t="n"/>
    </row>
    <row r="59">
      <c r="A59" s="40" t="n"/>
      <c r="B59" s="35" t="n"/>
      <c r="C59" s="35" t="n"/>
      <c r="D59" s="37" t="n"/>
      <c r="E59" s="35" t="n"/>
      <c r="F59" s="35" t="n"/>
      <c r="G59" s="9">
        <f>IF(AND(B59="",D59=""),"",IF(B59="","Missing Job ID",IF(COUNTIF(Jobs!$A$5:$A$44,B59)=0,"Unknown Job ID",IF(AND(C59&lt;&gt;"",COUNTIF(Invoices!$A$5:$A$204,C59)=0),"Invoice # not in Invoices",IF(A59="","Missing date","")))))</f>
        <v/>
      </c>
      <c r="H59" s="35" t="n"/>
    </row>
    <row r="60">
      <c r="A60" s="40" t="n"/>
      <c r="B60" s="35" t="n"/>
      <c r="C60" s="35" t="n"/>
      <c r="D60" s="37" t="n"/>
      <c r="E60" s="35" t="n"/>
      <c r="F60" s="35" t="n"/>
      <c r="G60" s="9">
        <f>IF(AND(B60="",D60=""),"",IF(B60="","Missing Job ID",IF(COUNTIF(Jobs!$A$5:$A$44,B60)=0,"Unknown Job ID",IF(AND(C60&lt;&gt;"",COUNTIF(Invoices!$A$5:$A$204,C60)=0),"Invoice # not in Invoices",IF(A60="","Missing date","")))))</f>
        <v/>
      </c>
      <c r="H60" s="35" t="n"/>
    </row>
    <row r="61">
      <c r="A61" s="40" t="n"/>
      <c r="B61" s="35" t="n"/>
      <c r="C61" s="35" t="n"/>
      <c r="D61" s="37" t="n"/>
      <c r="E61" s="35" t="n"/>
      <c r="F61" s="35" t="n"/>
      <c r="G61" s="9">
        <f>IF(AND(B61="",D61=""),"",IF(B61="","Missing Job ID",IF(COUNTIF(Jobs!$A$5:$A$44,B61)=0,"Unknown Job ID",IF(AND(C61&lt;&gt;"",COUNTIF(Invoices!$A$5:$A$204,C61)=0),"Invoice # not in Invoices",IF(A61="","Missing date","")))))</f>
        <v/>
      </c>
      <c r="H61" s="35" t="n"/>
    </row>
    <row r="62">
      <c r="A62" s="40" t="n"/>
      <c r="B62" s="35" t="n"/>
      <c r="C62" s="35" t="n"/>
      <c r="D62" s="37" t="n"/>
      <c r="E62" s="35" t="n"/>
      <c r="F62" s="35" t="n"/>
      <c r="G62" s="9">
        <f>IF(AND(B62="",D62=""),"",IF(B62="","Missing Job ID",IF(COUNTIF(Jobs!$A$5:$A$44,B62)=0,"Unknown Job ID",IF(AND(C62&lt;&gt;"",COUNTIF(Invoices!$A$5:$A$204,C62)=0),"Invoice # not in Invoices",IF(A62="","Missing date","")))))</f>
        <v/>
      </c>
      <c r="H62" s="35" t="n"/>
    </row>
    <row r="63">
      <c r="A63" s="40" t="n"/>
      <c r="B63" s="35" t="n"/>
      <c r="C63" s="35" t="n"/>
      <c r="D63" s="37" t="n"/>
      <c r="E63" s="35" t="n"/>
      <c r="F63" s="35" t="n"/>
      <c r="G63" s="9">
        <f>IF(AND(B63="",D63=""),"",IF(B63="","Missing Job ID",IF(COUNTIF(Jobs!$A$5:$A$44,B63)=0,"Unknown Job ID",IF(AND(C63&lt;&gt;"",COUNTIF(Invoices!$A$5:$A$204,C63)=0),"Invoice # not in Invoices",IF(A63="","Missing date","")))))</f>
        <v/>
      </c>
      <c r="H63" s="35" t="n"/>
    </row>
    <row r="64">
      <c r="A64" s="40" t="n"/>
      <c r="B64" s="35" t="n"/>
      <c r="C64" s="35" t="n"/>
      <c r="D64" s="37" t="n"/>
      <c r="E64" s="35" t="n"/>
      <c r="F64" s="35" t="n"/>
      <c r="G64" s="9">
        <f>IF(AND(B64="",D64=""),"",IF(B64="","Missing Job ID",IF(COUNTIF(Jobs!$A$5:$A$44,B64)=0,"Unknown Job ID",IF(AND(C64&lt;&gt;"",COUNTIF(Invoices!$A$5:$A$204,C64)=0),"Invoice # not in Invoices",IF(A64="","Missing date","")))))</f>
        <v/>
      </c>
      <c r="H64" s="35" t="n"/>
    </row>
    <row r="65">
      <c r="A65" s="40" t="n"/>
      <c r="B65" s="35" t="n"/>
      <c r="C65" s="35" t="n"/>
      <c r="D65" s="37" t="n"/>
      <c r="E65" s="35" t="n"/>
      <c r="F65" s="35" t="n"/>
      <c r="G65" s="9">
        <f>IF(AND(B65="",D65=""),"",IF(B65="","Missing Job ID",IF(COUNTIF(Jobs!$A$5:$A$44,B65)=0,"Unknown Job ID",IF(AND(C65&lt;&gt;"",COUNTIF(Invoices!$A$5:$A$204,C65)=0),"Invoice # not in Invoices",IF(A65="","Missing date","")))))</f>
        <v/>
      </c>
      <c r="H65" s="35" t="n"/>
    </row>
    <row r="66">
      <c r="A66" s="40" t="n"/>
      <c r="B66" s="35" t="n"/>
      <c r="C66" s="35" t="n"/>
      <c r="D66" s="37" t="n"/>
      <c r="E66" s="35" t="n"/>
      <c r="F66" s="35" t="n"/>
      <c r="G66" s="9">
        <f>IF(AND(B66="",D66=""),"",IF(B66="","Missing Job ID",IF(COUNTIF(Jobs!$A$5:$A$44,B66)=0,"Unknown Job ID",IF(AND(C66&lt;&gt;"",COUNTIF(Invoices!$A$5:$A$204,C66)=0),"Invoice # not in Invoices",IF(A66="","Missing date","")))))</f>
        <v/>
      </c>
      <c r="H66" s="35" t="n"/>
    </row>
    <row r="67">
      <c r="A67" s="40" t="n"/>
      <c r="B67" s="35" t="n"/>
      <c r="C67" s="35" t="n"/>
      <c r="D67" s="37" t="n"/>
      <c r="E67" s="35" t="n"/>
      <c r="F67" s="35" t="n"/>
      <c r="G67" s="9">
        <f>IF(AND(B67="",D67=""),"",IF(B67="","Missing Job ID",IF(COUNTIF(Jobs!$A$5:$A$44,B67)=0,"Unknown Job ID",IF(AND(C67&lt;&gt;"",COUNTIF(Invoices!$A$5:$A$204,C67)=0),"Invoice # not in Invoices",IF(A67="","Missing date","")))))</f>
        <v/>
      </c>
      <c r="H67" s="35" t="n"/>
    </row>
    <row r="68">
      <c r="A68" s="40" t="n"/>
      <c r="B68" s="35" t="n"/>
      <c r="C68" s="35" t="n"/>
      <c r="D68" s="37" t="n"/>
      <c r="E68" s="35" t="n"/>
      <c r="F68" s="35" t="n"/>
      <c r="G68" s="9">
        <f>IF(AND(B68="",D68=""),"",IF(B68="","Missing Job ID",IF(COUNTIF(Jobs!$A$5:$A$44,B68)=0,"Unknown Job ID",IF(AND(C68&lt;&gt;"",COUNTIF(Invoices!$A$5:$A$204,C68)=0),"Invoice # not in Invoices",IF(A68="","Missing date","")))))</f>
        <v/>
      </c>
      <c r="H68" s="35" t="n"/>
    </row>
    <row r="69">
      <c r="A69" s="40" t="n"/>
      <c r="B69" s="35" t="n"/>
      <c r="C69" s="35" t="n"/>
      <c r="D69" s="37" t="n"/>
      <c r="E69" s="35" t="n"/>
      <c r="F69" s="35" t="n"/>
      <c r="G69" s="9">
        <f>IF(AND(B69="",D69=""),"",IF(B69="","Missing Job ID",IF(COUNTIF(Jobs!$A$5:$A$44,B69)=0,"Unknown Job ID",IF(AND(C69&lt;&gt;"",COUNTIF(Invoices!$A$5:$A$204,C69)=0),"Invoice # not in Invoices",IF(A69="","Missing date","")))))</f>
        <v/>
      </c>
      <c r="H69" s="35" t="n"/>
    </row>
    <row r="70">
      <c r="A70" s="40" t="n"/>
      <c r="B70" s="35" t="n"/>
      <c r="C70" s="35" t="n"/>
      <c r="D70" s="37" t="n"/>
      <c r="E70" s="35" t="n"/>
      <c r="F70" s="35" t="n"/>
      <c r="G70" s="9">
        <f>IF(AND(B70="",D70=""),"",IF(B70="","Missing Job ID",IF(COUNTIF(Jobs!$A$5:$A$44,B70)=0,"Unknown Job ID",IF(AND(C70&lt;&gt;"",COUNTIF(Invoices!$A$5:$A$204,C70)=0),"Invoice # not in Invoices",IF(A70="","Missing date","")))))</f>
        <v/>
      </c>
      <c r="H70" s="35" t="n"/>
    </row>
    <row r="71">
      <c r="A71" s="40" t="n"/>
      <c r="B71" s="35" t="n"/>
      <c r="C71" s="35" t="n"/>
      <c r="D71" s="37" t="n"/>
      <c r="E71" s="35" t="n"/>
      <c r="F71" s="35" t="n"/>
      <c r="G71" s="9">
        <f>IF(AND(B71="",D71=""),"",IF(B71="","Missing Job ID",IF(COUNTIF(Jobs!$A$5:$A$44,B71)=0,"Unknown Job ID",IF(AND(C71&lt;&gt;"",COUNTIF(Invoices!$A$5:$A$204,C71)=0),"Invoice # not in Invoices",IF(A71="","Missing date","")))))</f>
        <v/>
      </c>
      <c r="H71" s="35" t="n"/>
    </row>
    <row r="72">
      <c r="A72" s="40" t="n"/>
      <c r="B72" s="35" t="n"/>
      <c r="C72" s="35" t="n"/>
      <c r="D72" s="37" t="n"/>
      <c r="E72" s="35" t="n"/>
      <c r="F72" s="35" t="n"/>
      <c r="G72" s="9">
        <f>IF(AND(B72="",D72=""),"",IF(B72="","Missing Job ID",IF(COUNTIF(Jobs!$A$5:$A$44,B72)=0,"Unknown Job ID",IF(AND(C72&lt;&gt;"",COUNTIF(Invoices!$A$5:$A$204,C72)=0),"Invoice # not in Invoices",IF(A72="","Missing date","")))))</f>
        <v/>
      </c>
      <c r="H72" s="35" t="n"/>
    </row>
    <row r="73">
      <c r="A73" s="40" t="n"/>
      <c r="B73" s="35" t="n"/>
      <c r="C73" s="35" t="n"/>
      <c r="D73" s="37" t="n"/>
      <c r="E73" s="35" t="n"/>
      <c r="F73" s="35" t="n"/>
      <c r="G73" s="9">
        <f>IF(AND(B73="",D73=""),"",IF(B73="","Missing Job ID",IF(COUNTIF(Jobs!$A$5:$A$44,B73)=0,"Unknown Job ID",IF(AND(C73&lt;&gt;"",COUNTIF(Invoices!$A$5:$A$204,C73)=0),"Invoice # not in Invoices",IF(A73="","Missing date","")))))</f>
        <v/>
      </c>
      <c r="H73" s="35" t="n"/>
    </row>
    <row r="74">
      <c r="A74" s="40" t="n"/>
      <c r="B74" s="35" t="n"/>
      <c r="C74" s="35" t="n"/>
      <c r="D74" s="37" t="n"/>
      <c r="E74" s="35" t="n"/>
      <c r="F74" s="35" t="n"/>
      <c r="G74" s="9">
        <f>IF(AND(B74="",D74=""),"",IF(B74="","Missing Job ID",IF(COUNTIF(Jobs!$A$5:$A$44,B74)=0,"Unknown Job ID",IF(AND(C74&lt;&gt;"",COUNTIF(Invoices!$A$5:$A$204,C74)=0),"Invoice # not in Invoices",IF(A74="","Missing date","")))))</f>
        <v/>
      </c>
      <c r="H74" s="35" t="n"/>
    </row>
    <row r="75">
      <c r="A75" s="40" t="n"/>
      <c r="B75" s="35" t="n"/>
      <c r="C75" s="35" t="n"/>
      <c r="D75" s="37" t="n"/>
      <c r="E75" s="35" t="n"/>
      <c r="F75" s="35" t="n"/>
      <c r="G75" s="9">
        <f>IF(AND(B75="",D75=""),"",IF(B75="","Missing Job ID",IF(COUNTIF(Jobs!$A$5:$A$44,B75)=0,"Unknown Job ID",IF(AND(C75&lt;&gt;"",COUNTIF(Invoices!$A$5:$A$204,C75)=0),"Invoice # not in Invoices",IF(A75="","Missing date","")))))</f>
        <v/>
      </c>
      <c r="H75" s="35" t="n"/>
    </row>
    <row r="76">
      <c r="A76" s="40" t="n"/>
      <c r="B76" s="35" t="n"/>
      <c r="C76" s="35" t="n"/>
      <c r="D76" s="37" t="n"/>
      <c r="E76" s="35" t="n"/>
      <c r="F76" s="35" t="n"/>
      <c r="G76" s="9">
        <f>IF(AND(B76="",D76=""),"",IF(B76="","Missing Job ID",IF(COUNTIF(Jobs!$A$5:$A$44,B76)=0,"Unknown Job ID",IF(AND(C76&lt;&gt;"",COUNTIF(Invoices!$A$5:$A$204,C76)=0),"Invoice # not in Invoices",IF(A76="","Missing date","")))))</f>
        <v/>
      </c>
      <c r="H76" s="35" t="n"/>
    </row>
    <row r="77">
      <c r="A77" s="40" t="n"/>
      <c r="B77" s="35" t="n"/>
      <c r="C77" s="35" t="n"/>
      <c r="D77" s="37" t="n"/>
      <c r="E77" s="35" t="n"/>
      <c r="F77" s="35" t="n"/>
      <c r="G77" s="9">
        <f>IF(AND(B77="",D77=""),"",IF(B77="","Missing Job ID",IF(COUNTIF(Jobs!$A$5:$A$44,B77)=0,"Unknown Job ID",IF(AND(C77&lt;&gt;"",COUNTIF(Invoices!$A$5:$A$204,C77)=0),"Invoice # not in Invoices",IF(A77="","Missing date","")))))</f>
        <v/>
      </c>
      <c r="H77" s="35" t="n"/>
    </row>
    <row r="78">
      <c r="A78" s="40" t="n"/>
      <c r="B78" s="35" t="n"/>
      <c r="C78" s="35" t="n"/>
      <c r="D78" s="37" t="n"/>
      <c r="E78" s="35" t="n"/>
      <c r="F78" s="35" t="n"/>
      <c r="G78" s="9">
        <f>IF(AND(B78="",D78=""),"",IF(B78="","Missing Job ID",IF(COUNTIF(Jobs!$A$5:$A$44,B78)=0,"Unknown Job ID",IF(AND(C78&lt;&gt;"",COUNTIF(Invoices!$A$5:$A$204,C78)=0),"Invoice # not in Invoices",IF(A78="","Missing date","")))))</f>
        <v/>
      </c>
      <c r="H78" s="35" t="n"/>
    </row>
    <row r="79">
      <c r="A79" s="40" t="n"/>
      <c r="B79" s="35" t="n"/>
      <c r="C79" s="35" t="n"/>
      <c r="D79" s="37" t="n"/>
      <c r="E79" s="35" t="n"/>
      <c r="F79" s="35" t="n"/>
      <c r="G79" s="9">
        <f>IF(AND(B79="",D79=""),"",IF(B79="","Missing Job ID",IF(COUNTIF(Jobs!$A$5:$A$44,B79)=0,"Unknown Job ID",IF(AND(C79&lt;&gt;"",COUNTIF(Invoices!$A$5:$A$204,C79)=0),"Invoice # not in Invoices",IF(A79="","Missing date","")))))</f>
        <v/>
      </c>
      <c r="H79" s="35" t="n"/>
    </row>
    <row r="80">
      <c r="A80" s="40" t="n"/>
      <c r="B80" s="35" t="n"/>
      <c r="C80" s="35" t="n"/>
      <c r="D80" s="37" t="n"/>
      <c r="E80" s="35" t="n"/>
      <c r="F80" s="35" t="n"/>
      <c r="G80" s="9">
        <f>IF(AND(B80="",D80=""),"",IF(B80="","Missing Job ID",IF(COUNTIF(Jobs!$A$5:$A$44,B80)=0,"Unknown Job ID",IF(AND(C80&lt;&gt;"",COUNTIF(Invoices!$A$5:$A$204,C80)=0),"Invoice # not in Invoices",IF(A80="","Missing date","")))))</f>
        <v/>
      </c>
      <c r="H80" s="35" t="n"/>
    </row>
    <row r="81">
      <c r="A81" s="40" t="n"/>
      <c r="B81" s="35" t="n"/>
      <c r="C81" s="35" t="n"/>
      <c r="D81" s="37" t="n"/>
      <c r="E81" s="35" t="n"/>
      <c r="F81" s="35" t="n"/>
      <c r="G81" s="9">
        <f>IF(AND(B81="",D81=""),"",IF(B81="","Missing Job ID",IF(COUNTIF(Jobs!$A$5:$A$44,B81)=0,"Unknown Job ID",IF(AND(C81&lt;&gt;"",COUNTIF(Invoices!$A$5:$A$204,C81)=0),"Invoice # not in Invoices",IF(A81="","Missing date","")))))</f>
        <v/>
      </c>
      <c r="H81" s="35" t="n"/>
    </row>
    <row r="82">
      <c r="A82" s="40" t="n"/>
      <c r="B82" s="35" t="n"/>
      <c r="C82" s="35" t="n"/>
      <c r="D82" s="37" t="n"/>
      <c r="E82" s="35" t="n"/>
      <c r="F82" s="35" t="n"/>
      <c r="G82" s="9">
        <f>IF(AND(B82="",D82=""),"",IF(B82="","Missing Job ID",IF(COUNTIF(Jobs!$A$5:$A$44,B82)=0,"Unknown Job ID",IF(AND(C82&lt;&gt;"",COUNTIF(Invoices!$A$5:$A$204,C82)=0),"Invoice # not in Invoices",IF(A82="","Missing date","")))))</f>
        <v/>
      </c>
      <c r="H82" s="35" t="n"/>
    </row>
    <row r="83">
      <c r="A83" s="40" t="n"/>
      <c r="B83" s="35" t="n"/>
      <c r="C83" s="35" t="n"/>
      <c r="D83" s="37" t="n"/>
      <c r="E83" s="35" t="n"/>
      <c r="F83" s="35" t="n"/>
      <c r="G83" s="9">
        <f>IF(AND(B83="",D83=""),"",IF(B83="","Missing Job ID",IF(COUNTIF(Jobs!$A$5:$A$44,B83)=0,"Unknown Job ID",IF(AND(C83&lt;&gt;"",COUNTIF(Invoices!$A$5:$A$204,C83)=0),"Invoice # not in Invoices",IF(A83="","Missing date","")))))</f>
        <v/>
      </c>
      <c r="H83" s="35" t="n"/>
    </row>
    <row r="84">
      <c r="A84" s="40" t="n"/>
      <c r="B84" s="35" t="n"/>
      <c r="C84" s="35" t="n"/>
      <c r="D84" s="37" t="n"/>
      <c r="E84" s="35" t="n"/>
      <c r="F84" s="35" t="n"/>
      <c r="G84" s="9">
        <f>IF(AND(B84="",D84=""),"",IF(B84="","Missing Job ID",IF(COUNTIF(Jobs!$A$5:$A$44,B84)=0,"Unknown Job ID",IF(AND(C84&lt;&gt;"",COUNTIF(Invoices!$A$5:$A$204,C84)=0),"Invoice # not in Invoices",IF(A84="","Missing date","")))))</f>
        <v/>
      </c>
      <c r="H84" s="35" t="n"/>
    </row>
    <row r="85">
      <c r="A85" s="40" t="n"/>
      <c r="B85" s="35" t="n"/>
      <c r="C85" s="35" t="n"/>
      <c r="D85" s="37" t="n"/>
      <c r="E85" s="35" t="n"/>
      <c r="F85" s="35" t="n"/>
      <c r="G85" s="9">
        <f>IF(AND(B85="",D85=""),"",IF(B85="","Missing Job ID",IF(COUNTIF(Jobs!$A$5:$A$44,B85)=0,"Unknown Job ID",IF(AND(C85&lt;&gt;"",COUNTIF(Invoices!$A$5:$A$204,C85)=0),"Invoice # not in Invoices",IF(A85="","Missing date","")))))</f>
        <v/>
      </c>
      <c r="H85" s="35" t="n"/>
    </row>
    <row r="86">
      <c r="A86" s="40" t="n"/>
      <c r="B86" s="35" t="n"/>
      <c r="C86" s="35" t="n"/>
      <c r="D86" s="37" t="n"/>
      <c r="E86" s="35" t="n"/>
      <c r="F86" s="35" t="n"/>
      <c r="G86" s="9">
        <f>IF(AND(B86="",D86=""),"",IF(B86="","Missing Job ID",IF(COUNTIF(Jobs!$A$5:$A$44,B86)=0,"Unknown Job ID",IF(AND(C86&lt;&gt;"",COUNTIF(Invoices!$A$5:$A$204,C86)=0),"Invoice # not in Invoices",IF(A86="","Missing date","")))))</f>
        <v/>
      </c>
      <c r="H86" s="35" t="n"/>
    </row>
    <row r="87">
      <c r="A87" s="40" t="n"/>
      <c r="B87" s="35" t="n"/>
      <c r="C87" s="35" t="n"/>
      <c r="D87" s="37" t="n"/>
      <c r="E87" s="35" t="n"/>
      <c r="F87" s="35" t="n"/>
      <c r="G87" s="9">
        <f>IF(AND(B87="",D87=""),"",IF(B87="","Missing Job ID",IF(COUNTIF(Jobs!$A$5:$A$44,B87)=0,"Unknown Job ID",IF(AND(C87&lt;&gt;"",COUNTIF(Invoices!$A$5:$A$204,C87)=0),"Invoice # not in Invoices",IF(A87="","Missing date","")))))</f>
        <v/>
      </c>
      <c r="H87" s="35" t="n"/>
    </row>
    <row r="88">
      <c r="A88" s="40" t="n"/>
      <c r="B88" s="35" t="n"/>
      <c r="C88" s="35" t="n"/>
      <c r="D88" s="37" t="n"/>
      <c r="E88" s="35" t="n"/>
      <c r="F88" s="35" t="n"/>
      <c r="G88" s="9">
        <f>IF(AND(B88="",D88=""),"",IF(B88="","Missing Job ID",IF(COUNTIF(Jobs!$A$5:$A$44,B88)=0,"Unknown Job ID",IF(AND(C88&lt;&gt;"",COUNTIF(Invoices!$A$5:$A$204,C88)=0),"Invoice # not in Invoices",IF(A88="","Missing date","")))))</f>
        <v/>
      </c>
      <c r="H88" s="35" t="n"/>
    </row>
    <row r="89">
      <c r="A89" s="40" t="n"/>
      <c r="B89" s="35" t="n"/>
      <c r="C89" s="35" t="n"/>
      <c r="D89" s="37" t="n"/>
      <c r="E89" s="35" t="n"/>
      <c r="F89" s="35" t="n"/>
      <c r="G89" s="9">
        <f>IF(AND(B89="",D89=""),"",IF(B89="","Missing Job ID",IF(COUNTIF(Jobs!$A$5:$A$44,B89)=0,"Unknown Job ID",IF(AND(C89&lt;&gt;"",COUNTIF(Invoices!$A$5:$A$204,C89)=0),"Invoice # not in Invoices",IF(A89="","Missing date","")))))</f>
        <v/>
      </c>
      <c r="H89" s="35" t="n"/>
    </row>
    <row r="90">
      <c r="A90" s="40" t="n"/>
      <c r="B90" s="35" t="n"/>
      <c r="C90" s="35" t="n"/>
      <c r="D90" s="37" t="n"/>
      <c r="E90" s="35" t="n"/>
      <c r="F90" s="35" t="n"/>
      <c r="G90" s="9">
        <f>IF(AND(B90="",D90=""),"",IF(B90="","Missing Job ID",IF(COUNTIF(Jobs!$A$5:$A$44,B90)=0,"Unknown Job ID",IF(AND(C90&lt;&gt;"",COUNTIF(Invoices!$A$5:$A$204,C90)=0),"Invoice # not in Invoices",IF(A90="","Missing date","")))))</f>
        <v/>
      </c>
      <c r="H90" s="35" t="n"/>
    </row>
    <row r="91">
      <c r="A91" s="40" t="n"/>
      <c r="B91" s="35" t="n"/>
      <c r="C91" s="35" t="n"/>
      <c r="D91" s="37" t="n"/>
      <c r="E91" s="35" t="n"/>
      <c r="F91" s="35" t="n"/>
      <c r="G91" s="9">
        <f>IF(AND(B91="",D91=""),"",IF(B91="","Missing Job ID",IF(COUNTIF(Jobs!$A$5:$A$44,B91)=0,"Unknown Job ID",IF(AND(C91&lt;&gt;"",COUNTIF(Invoices!$A$5:$A$204,C91)=0),"Invoice # not in Invoices",IF(A91="","Missing date","")))))</f>
        <v/>
      </c>
      <c r="H91" s="35" t="n"/>
    </row>
    <row r="92">
      <c r="A92" s="40" t="n"/>
      <c r="B92" s="35" t="n"/>
      <c r="C92" s="35" t="n"/>
      <c r="D92" s="37" t="n"/>
      <c r="E92" s="35" t="n"/>
      <c r="F92" s="35" t="n"/>
      <c r="G92" s="9">
        <f>IF(AND(B92="",D92=""),"",IF(B92="","Missing Job ID",IF(COUNTIF(Jobs!$A$5:$A$44,B92)=0,"Unknown Job ID",IF(AND(C92&lt;&gt;"",COUNTIF(Invoices!$A$5:$A$204,C92)=0),"Invoice # not in Invoices",IF(A92="","Missing date","")))))</f>
        <v/>
      </c>
      <c r="H92" s="35" t="n"/>
    </row>
    <row r="93">
      <c r="A93" s="40" t="n"/>
      <c r="B93" s="35" t="n"/>
      <c r="C93" s="35" t="n"/>
      <c r="D93" s="37" t="n"/>
      <c r="E93" s="35" t="n"/>
      <c r="F93" s="35" t="n"/>
      <c r="G93" s="9">
        <f>IF(AND(B93="",D93=""),"",IF(B93="","Missing Job ID",IF(COUNTIF(Jobs!$A$5:$A$44,B93)=0,"Unknown Job ID",IF(AND(C93&lt;&gt;"",COUNTIF(Invoices!$A$5:$A$204,C93)=0),"Invoice # not in Invoices",IF(A93="","Missing date","")))))</f>
        <v/>
      </c>
      <c r="H93" s="35" t="n"/>
    </row>
    <row r="94">
      <c r="A94" s="40" t="n"/>
      <c r="B94" s="35" t="n"/>
      <c r="C94" s="35" t="n"/>
      <c r="D94" s="37" t="n"/>
      <c r="E94" s="35" t="n"/>
      <c r="F94" s="35" t="n"/>
      <c r="G94" s="9">
        <f>IF(AND(B94="",D94=""),"",IF(B94="","Missing Job ID",IF(COUNTIF(Jobs!$A$5:$A$44,B94)=0,"Unknown Job ID",IF(AND(C94&lt;&gt;"",COUNTIF(Invoices!$A$5:$A$204,C94)=0),"Invoice # not in Invoices",IF(A94="","Missing date","")))))</f>
        <v/>
      </c>
      <c r="H94" s="35" t="n"/>
    </row>
    <row r="95">
      <c r="A95" s="40" t="n"/>
      <c r="B95" s="35" t="n"/>
      <c r="C95" s="35" t="n"/>
      <c r="D95" s="37" t="n"/>
      <c r="E95" s="35" t="n"/>
      <c r="F95" s="35" t="n"/>
      <c r="G95" s="9">
        <f>IF(AND(B95="",D95=""),"",IF(B95="","Missing Job ID",IF(COUNTIF(Jobs!$A$5:$A$44,B95)=0,"Unknown Job ID",IF(AND(C95&lt;&gt;"",COUNTIF(Invoices!$A$5:$A$204,C95)=0),"Invoice # not in Invoices",IF(A95="","Missing date","")))))</f>
        <v/>
      </c>
      <c r="H95" s="35" t="n"/>
    </row>
    <row r="96">
      <c r="A96" s="40" t="n"/>
      <c r="B96" s="35" t="n"/>
      <c r="C96" s="35" t="n"/>
      <c r="D96" s="37" t="n"/>
      <c r="E96" s="35" t="n"/>
      <c r="F96" s="35" t="n"/>
      <c r="G96" s="9">
        <f>IF(AND(B96="",D96=""),"",IF(B96="","Missing Job ID",IF(COUNTIF(Jobs!$A$5:$A$44,B96)=0,"Unknown Job ID",IF(AND(C96&lt;&gt;"",COUNTIF(Invoices!$A$5:$A$204,C96)=0),"Invoice # not in Invoices",IF(A96="","Missing date","")))))</f>
        <v/>
      </c>
      <c r="H96" s="35" t="n"/>
    </row>
    <row r="97">
      <c r="A97" s="40" t="n"/>
      <c r="B97" s="35" t="n"/>
      <c r="C97" s="35" t="n"/>
      <c r="D97" s="37" t="n"/>
      <c r="E97" s="35" t="n"/>
      <c r="F97" s="35" t="n"/>
      <c r="G97" s="9">
        <f>IF(AND(B97="",D97=""),"",IF(B97="","Missing Job ID",IF(COUNTIF(Jobs!$A$5:$A$44,B97)=0,"Unknown Job ID",IF(AND(C97&lt;&gt;"",COUNTIF(Invoices!$A$5:$A$204,C97)=0),"Invoice # not in Invoices",IF(A97="","Missing date","")))))</f>
        <v/>
      </c>
      <c r="H97" s="35" t="n"/>
    </row>
    <row r="98">
      <c r="A98" s="40" t="n"/>
      <c r="B98" s="35" t="n"/>
      <c r="C98" s="35" t="n"/>
      <c r="D98" s="37" t="n"/>
      <c r="E98" s="35" t="n"/>
      <c r="F98" s="35" t="n"/>
      <c r="G98" s="9">
        <f>IF(AND(B98="",D98=""),"",IF(B98="","Missing Job ID",IF(COUNTIF(Jobs!$A$5:$A$44,B98)=0,"Unknown Job ID",IF(AND(C98&lt;&gt;"",COUNTIF(Invoices!$A$5:$A$204,C98)=0),"Invoice # not in Invoices",IF(A98="","Missing date","")))))</f>
        <v/>
      </c>
      <c r="H98" s="35" t="n"/>
    </row>
    <row r="99">
      <c r="A99" s="40" t="n"/>
      <c r="B99" s="35" t="n"/>
      <c r="C99" s="35" t="n"/>
      <c r="D99" s="37" t="n"/>
      <c r="E99" s="35" t="n"/>
      <c r="F99" s="35" t="n"/>
      <c r="G99" s="9">
        <f>IF(AND(B99="",D99=""),"",IF(B99="","Missing Job ID",IF(COUNTIF(Jobs!$A$5:$A$44,B99)=0,"Unknown Job ID",IF(AND(C99&lt;&gt;"",COUNTIF(Invoices!$A$5:$A$204,C99)=0),"Invoice # not in Invoices",IF(A99="","Missing date","")))))</f>
        <v/>
      </c>
      <c r="H99" s="35" t="n"/>
    </row>
    <row r="100">
      <c r="A100" s="40" t="n"/>
      <c r="B100" s="35" t="n"/>
      <c r="C100" s="35" t="n"/>
      <c r="D100" s="37" t="n"/>
      <c r="E100" s="35" t="n"/>
      <c r="F100" s="35" t="n"/>
      <c r="G100" s="9">
        <f>IF(AND(B100="",D100=""),"",IF(B100="","Missing Job ID",IF(COUNTIF(Jobs!$A$5:$A$44,B100)=0,"Unknown Job ID",IF(AND(C100&lt;&gt;"",COUNTIF(Invoices!$A$5:$A$204,C100)=0),"Invoice # not in Invoices",IF(A100="","Missing date","")))))</f>
        <v/>
      </c>
      <c r="H100" s="35" t="n"/>
    </row>
    <row r="101">
      <c r="A101" s="40" t="n"/>
      <c r="B101" s="35" t="n"/>
      <c r="C101" s="35" t="n"/>
      <c r="D101" s="37" t="n"/>
      <c r="E101" s="35" t="n"/>
      <c r="F101" s="35" t="n"/>
      <c r="G101" s="9">
        <f>IF(AND(B101="",D101=""),"",IF(B101="","Missing Job ID",IF(COUNTIF(Jobs!$A$5:$A$44,B101)=0,"Unknown Job ID",IF(AND(C101&lt;&gt;"",COUNTIF(Invoices!$A$5:$A$204,C101)=0),"Invoice # not in Invoices",IF(A101="","Missing date","")))))</f>
        <v/>
      </c>
      <c r="H101" s="35" t="n"/>
    </row>
    <row r="102">
      <c r="A102" s="40" t="n"/>
      <c r="B102" s="35" t="n"/>
      <c r="C102" s="35" t="n"/>
      <c r="D102" s="37" t="n"/>
      <c r="E102" s="35" t="n"/>
      <c r="F102" s="35" t="n"/>
      <c r="G102" s="9">
        <f>IF(AND(B102="",D102=""),"",IF(B102="","Missing Job ID",IF(COUNTIF(Jobs!$A$5:$A$44,B102)=0,"Unknown Job ID",IF(AND(C102&lt;&gt;"",COUNTIF(Invoices!$A$5:$A$204,C102)=0),"Invoice # not in Invoices",IF(A102="","Missing date","")))))</f>
        <v/>
      </c>
      <c r="H102" s="35" t="n"/>
    </row>
    <row r="103">
      <c r="A103" s="40" t="n"/>
      <c r="B103" s="35" t="n"/>
      <c r="C103" s="35" t="n"/>
      <c r="D103" s="37" t="n"/>
      <c r="E103" s="35" t="n"/>
      <c r="F103" s="35" t="n"/>
      <c r="G103" s="9">
        <f>IF(AND(B103="",D103=""),"",IF(B103="","Missing Job ID",IF(COUNTIF(Jobs!$A$5:$A$44,B103)=0,"Unknown Job ID",IF(AND(C103&lt;&gt;"",COUNTIF(Invoices!$A$5:$A$204,C103)=0),"Invoice # not in Invoices",IF(A103="","Missing date","")))))</f>
        <v/>
      </c>
      <c r="H103" s="35" t="n"/>
    </row>
    <row r="104">
      <c r="A104" s="40" t="n"/>
      <c r="B104" s="35" t="n"/>
      <c r="C104" s="35" t="n"/>
      <c r="D104" s="37" t="n"/>
      <c r="E104" s="35" t="n"/>
      <c r="F104" s="35" t="n"/>
      <c r="G104" s="9">
        <f>IF(AND(B104="",D104=""),"",IF(B104="","Missing Job ID",IF(COUNTIF(Jobs!$A$5:$A$44,B104)=0,"Unknown Job ID",IF(AND(C104&lt;&gt;"",COUNTIF(Invoices!$A$5:$A$204,C104)=0),"Invoice # not in Invoices",IF(A104="","Missing date","")))))</f>
        <v/>
      </c>
      <c r="H104" s="35" t="n"/>
    </row>
    <row r="105">
      <c r="A105" s="40" t="n"/>
      <c r="B105" s="35" t="n"/>
      <c r="C105" s="35" t="n"/>
      <c r="D105" s="37" t="n"/>
      <c r="E105" s="35" t="n"/>
      <c r="F105" s="35" t="n"/>
      <c r="G105" s="9">
        <f>IF(AND(B105="",D105=""),"",IF(B105="","Missing Job ID",IF(COUNTIF(Jobs!$A$5:$A$44,B105)=0,"Unknown Job ID",IF(AND(C105&lt;&gt;"",COUNTIF(Invoices!$A$5:$A$204,C105)=0),"Invoice # not in Invoices",IF(A105="","Missing date","")))))</f>
        <v/>
      </c>
      <c r="H105" s="35" t="n"/>
    </row>
    <row r="106">
      <c r="A106" s="40" t="n"/>
      <c r="B106" s="35" t="n"/>
      <c r="C106" s="35" t="n"/>
      <c r="D106" s="37" t="n"/>
      <c r="E106" s="35" t="n"/>
      <c r="F106" s="35" t="n"/>
      <c r="G106" s="9">
        <f>IF(AND(B106="",D106=""),"",IF(B106="","Missing Job ID",IF(COUNTIF(Jobs!$A$5:$A$44,B106)=0,"Unknown Job ID",IF(AND(C106&lt;&gt;"",COUNTIF(Invoices!$A$5:$A$204,C106)=0),"Invoice # not in Invoices",IF(A106="","Missing date","")))))</f>
        <v/>
      </c>
      <c r="H106" s="35" t="n"/>
    </row>
    <row r="107">
      <c r="A107" s="40" t="n"/>
      <c r="B107" s="35" t="n"/>
      <c r="C107" s="35" t="n"/>
      <c r="D107" s="37" t="n"/>
      <c r="E107" s="35" t="n"/>
      <c r="F107" s="35" t="n"/>
      <c r="G107" s="9">
        <f>IF(AND(B107="",D107=""),"",IF(B107="","Missing Job ID",IF(COUNTIF(Jobs!$A$5:$A$44,B107)=0,"Unknown Job ID",IF(AND(C107&lt;&gt;"",COUNTIF(Invoices!$A$5:$A$204,C107)=0),"Invoice # not in Invoices",IF(A107="","Missing date","")))))</f>
        <v/>
      </c>
      <c r="H107" s="35" t="n"/>
    </row>
    <row r="108">
      <c r="A108" s="40" t="n"/>
      <c r="B108" s="35" t="n"/>
      <c r="C108" s="35" t="n"/>
      <c r="D108" s="37" t="n"/>
      <c r="E108" s="35" t="n"/>
      <c r="F108" s="35" t="n"/>
      <c r="G108" s="9">
        <f>IF(AND(B108="",D108=""),"",IF(B108="","Missing Job ID",IF(COUNTIF(Jobs!$A$5:$A$44,B108)=0,"Unknown Job ID",IF(AND(C108&lt;&gt;"",COUNTIF(Invoices!$A$5:$A$204,C108)=0),"Invoice # not in Invoices",IF(A108="","Missing date","")))))</f>
        <v/>
      </c>
      <c r="H108" s="35" t="n"/>
    </row>
    <row r="109">
      <c r="A109" s="40" t="n"/>
      <c r="B109" s="35" t="n"/>
      <c r="C109" s="35" t="n"/>
      <c r="D109" s="37" t="n"/>
      <c r="E109" s="35" t="n"/>
      <c r="F109" s="35" t="n"/>
      <c r="G109" s="9">
        <f>IF(AND(B109="",D109=""),"",IF(B109="","Missing Job ID",IF(COUNTIF(Jobs!$A$5:$A$44,B109)=0,"Unknown Job ID",IF(AND(C109&lt;&gt;"",COUNTIF(Invoices!$A$5:$A$204,C109)=0),"Invoice # not in Invoices",IF(A109="","Missing date","")))))</f>
        <v/>
      </c>
      <c r="H109" s="35" t="n"/>
    </row>
    <row r="110">
      <c r="A110" s="40" t="n"/>
      <c r="B110" s="35" t="n"/>
      <c r="C110" s="35" t="n"/>
      <c r="D110" s="37" t="n"/>
      <c r="E110" s="35" t="n"/>
      <c r="F110" s="35" t="n"/>
      <c r="G110" s="9">
        <f>IF(AND(B110="",D110=""),"",IF(B110="","Missing Job ID",IF(COUNTIF(Jobs!$A$5:$A$44,B110)=0,"Unknown Job ID",IF(AND(C110&lt;&gt;"",COUNTIF(Invoices!$A$5:$A$204,C110)=0),"Invoice # not in Invoices",IF(A110="","Missing date","")))))</f>
        <v/>
      </c>
      <c r="H110" s="35" t="n"/>
    </row>
    <row r="111">
      <c r="A111" s="40" t="n"/>
      <c r="B111" s="35" t="n"/>
      <c r="C111" s="35" t="n"/>
      <c r="D111" s="37" t="n"/>
      <c r="E111" s="35" t="n"/>
      <c r="F111" s="35" t="n"/>
      <c r="G111" s="9">
        <f>IF(AND(B111="",D111=""),"",IF(B111="","Missing Job ID",IF(COUNTIF(Jobs!$A$5:$A$44,B111)=0,"Unknown Job ID",IF(AND(C111&lt;&gt;"",COUNTIF(Invoices!$A$5:$A$204,C111)=0),"Invoice # not in Invoices",IF(A111="","Missing date","")))))</f>
        <v/>
      </c>
      <c r="H111" s="35" t="n"/>
    </row>
    <row r="112">
      <c r="A112" s="40" t="n"/>
      <c r="B112" s="35" t="n"/>
      <c r="C112" s="35" t="n"/>
      <c r="D112" s="37" t="n"/>
      <c r="E112" s="35" t="n"/>
      <c r="F112" s="35" t="n"/>
      <c r="G112" s="9">
        <f>IF(AND(B112="",D112=""),"",IF(B112="","Missing Job ID",IF(COUNTIF(Jobs!$A$5:$A$44,B112)=0,"Unknown Job ID",IF(AND(C112&lt;&gt;"",COUNTIF(Invoices!$A$5:$A$204,C112)=0),"Invoice # not in Invoices",IF(A112="","Missing date","")))))</f>
        <v/>
      </c>
      <c r="H112" s="35" t="n"/>
    </row>
    <row r="113">
      <c r="A113" s="40" t="n"/>
      <c r="B113" s="35" t="n"/>
      <c r="C113" s="35" t="n"/>
      <c r="D113" s="37" t="n"/>
      <c r="E113" s="35" t="n"/>
      <c r="F113" s="35" t="n"/>
      <c r="G113" s="9">
        <f>IF(AND(B113="",D113=""),"",IF(B113="","Missing Job ID",IF(COUNTIF(Jobs!$A$5:$A$44,B113)=0,"Unknown Job ID",IF(AND(C113&lt;&gt;"",COUNTIF(Invoices!$A$5:$A$204,C113)=0),"Invoice # not in Invoices",IF(A113="","Missing date","")))))</f>
        <v/>
      </c>
      <c r="H113" s="35" t="n"/>
    </row>
    <row r="114">
      <c r="A114" s="40" t="n"/>
      <c r="B114" s="35" t="n"/>
      <c r="C114" s="35" t="n"/>
      <c r="D114" s="37" t="n"/>
      <c r="E114" s="35" t="n"/>
      <c r="F114" s="35" t="n"/>
      <c r="G114" s="9">
        <f>IF(AND(B114="",D114=""),"",IF(B114="","Missing Job ID",IF(COUNTIF(Jobs!$A$5:$A$44,B114)=0,"Unknown Job ID",IF(AND(C114&lt;&gt;"",COUNTIF(Invoices!$A$5:$A$204,C114)=0),"Invoice # not in Invoices",IF(A114="","Missing date","")))))</f>
        <v/>
      </c>
      <c r="H114" s="35" t="n"/>
    </row>
    <row r="115">
      <c r="A115" s="40" t="n"/>
      <c r="B115" s="35" t="n"/>
      <c r="C115" s="35" t="n"/>
      <c r="D115" s="37" t="n"/>
      <c r="E115" s="35" t="n"/>
      <c r="F115" s="35" t="n"/>
      <c r="G115" s="9">
        <f>IF(AND(B115="",D115=""),"",IF(B115="","Missing Job ID",IF(COUNTIF(Jobs!$A$5:$A$44,B115)=0,"Unknown Job ID",IF(AND(C115&lt;&gt;"",COUNTIF(Invoices!$A$5:$A$204,C115)=0),"Invoice # not in Invoices",IF(A115="","Missing date","")))))</f>
        <v/>
      </c>
      <c r="H115" s="35" t="n"/>
    </row>
    <row r="116">
      <c r="A116" s="40" t="n"/>
      <c r="B116" s="35" t="n"/>
      <c r="C116" s="35" t="n"/>
      <c r="D116" s="37" t="n"/>
      <c r="E116" s="35" t="n"/>
      <c r="F116" s="35" t="n"/>
      <c r="G116" s="9">
        <f>IF(AND(B116="",D116=""),"",IF(B116="","Missing Job ID",IF(COUNTIF(Jobs!$A$5:$A$44,B116)=0,"Unknown Job ID",IF(AND(C116&lt;&gt;"",COUNTIF(Invoices!$A$5:$A$204,C116)=0),"Invoice # not in Invoices",IF(A116="","Missing date","")))))</f>
        <v/>
      </c>
      <c r="H116" s="35" t="n"/>
    </row>
    <row r="117">
      <c r="A117" s="40" t="n"/>
      <c r="B117" s="35" t="n"/>
      <c r="C117" s="35" t="n"/>
      <c r="D117" s="37" t="n"/>
      <c r="E117" s="35" t="n"/>
      <c r="F117" s="35" t="n"/>
      <c r="G117" s="9">
        <f>IF(AND(B117="",D117=""),"",IF(B117="","Missing Job ID",IF(COUNTIF(Jobs!$A$5:$A$44,B117)=0,"Unknown Job ID",IF(AND(C117&lt;&gt;"",COUNTIF(Invoices!$A$5:$A$204,C117)=0),"Invoice # not in Invoices",IF(A117="","Missing date","")))))</f>
        <v/>
      </c>
      <c r="H117" s="35" t="n"/>
    </row>
    <row r="118">
      <c r="A118" s="40" t="n"/>
      <c r="B118" s="35" t="n"/>
      <c r="C118" s="35" t="n"/>
      <c r="D118" s="37" t="n"/>
      <c r="E118" s="35" t="n"/>
      <c r="F118" s="35" t="n"/>
      <c r="G118" s="9">
        <f>IF(AND(B118="",D118=""),"",IF(B118="","Missing Job ID",IF(COUNTIF(Jobs!$A$5:$A$44,B118)=0,"Unknown Job ID",IF(AND(C118&lt;&gt;"",COUNTIF(Invoices!$A$5:$A$204,C118)=0),"Invoice # not in Invoices",IF(A118="","Missing date","")))))</f>
        <v/>
      </c>
      <c r="H118" s="35" t="n"/>
    </row>
    <row r="119">
      <c r="A119" s="40" t="n"/>
      <c r="B119" s="35" t="n"/>
      <c r="C119" s="35" t="n"/>
      <c r="D119" s="37" t="n"/>
      <c r="E119" s="35" t="n"/>
      <c r="F119" s="35" t="n"/>
      <c r="G119" s="9">
        <f>IF(AND(B119="",D119=""),"",IF(B119="","Missing Job ID",IF(COUNTIF(Jobs!$A$5:$A$44,B119)=0,"Unknown Job ID",IF(AND(C119&lt;&gt;"",COUNTIF(Invoices!$A$5:$A$204,C119)=0),"Invoice # not in Invoices",IF(A119="","Missing date","")))))</f>
        <v/>
      </c>
      <c r="H119" s="35" t="n"/>
    </row>
    <row r="120">
      <c r="A120" s="40" t="n"/>
      <c r="B120" s="35" t="n"/>
      <c r="C120" s="35" t="n"/>
      <c r="D120" s="37" t="n"/>
      <c r="E120" s="35" t="n"/>
      <c r="F120" s="35" t="n"/>
      <c r="G120" s="9">
        <f>IF(AND(B120="",D120=""),"",IF(B120="","Missing Job ID",IF(COUNTIF(Jobs!$A$5:$A$44,B120)=0,"Unknown Job ID",IF(AND(C120&lt;&gt;"",COUNTIF(Invoices!$A$5:$A$204,C120)=0),"Invoice # not in Invoices",IF(A120="","Missing date","")))))</f>
        <v/>
      </c>
      <c r="H120" s="35" t="n"/>
    </row>
    <row r="121">
      <c r="A121" s="40" t="n"/>
      <c r="B121" s="35" t="n"/>
      <c r="C121" s="35" t="n"/>
      <c r="D121" s="37" t="n"/>
      <c r="E121" s="35" t="n"/>
      <c r="F121" s="35" t="n"/>
      <c r="G121" s="9">
        <f>IF(AND(B121="",D121=""),"",IF(B121="","Missing Job ID",IF(COUNTIF(Jobs!$A$5:$A$44,B121)=0,"Unknown Job ID",IF(AND(C121&lt;&gt;"",COUNTIF(Invoices!$A$5:$A$204,C121)=0),"Invoice # not in Invoices",IF(A121="","Missing date","")))))</f>
        <v/>
      </c>
      <c r="H121" s="35" t="n"/>
    </row>
    <row r="122">
      <c r="A122" s="40" t="n"/>
      <c r="B122" s="35" t="n"/>
      <c r="C122" s="35" t="n"/>
      <c r="D122" s="37" t="n"/>
      <c r="E122" s="35" t="n"/>
      <c r="F122" s="35" t="n"/>
      <c r="G122" s="9">
        <f>IF(AND(B122="",D122=""),"",IF(B122="","Missing Job ID",IF(COUNTIF(Jobs!$A$5:$A$44,B122)=0,"Unknown Job ID",IF(AND(C122&lt;&gt;"",COUNTIF(Invoices!$A$5:$A$204,C122)=0),"Invoice # not in Invoices",IF(A122="","Missing date","")))))</f>
        <v/>
      </c>
      <c r="H122" s="35" t="n"/>
    </row>
    <row r="123">
      <c r="A123" s="40" t="n"/>
      <c r="B123" s="35" t="n"/>
      <c r="C123" s="35" t="n"/>
      <c r="D123" s="37" t="n"/>
      <c r="E123" s="35" t="n"/>
      <c r="F123" s="35" t="n"/>
      <c r="G123" s="9">
        <f>IF(AND(B123="",D123=""),"",IF(B123="","Missing Job ID",IF(COUNTIF(Jobs!$A$5:$A$44,B123)=0,"Unknown Job ID",IF(AND(C123&lt;&gt;"",COUNTIF(Invoices!$A$5:$A$204,C123)=0),"Invoice # not in Invoices",IF(A123="","Missing date","")))))</f>
        <v/>
      </c>
      <c r="H123" s="35" t="n"/>
    </row>
    <row r="124">
      <c r="A124" s="40" t="n"/>
      <c r="B124" s="35" t="n"/>
      <c r="C124" s="35" t="n"/>
      <c r="D124" s="37" t="n"/>
      <c r="E124" s="35" t="n"/>
      <c r="F124" s="35" t="n"/>
      <c r="G124" s="9">
        <f>IF(AND(B124="",D124=""),"",IF(B124="","Missing Job ID",IF(COUNTIF(Jobs!$A$5:$A$44,B124)=0,"Unknown Job ID",IF(AND(C124&lt;&gt;"",COUNTIF(Invoices!$A$5:$A$204,C124)=0),"Invoice # not in Invoices",IF(A124="","Missing date","")))))</f>
        <v/>
      </c>
      <c r="H124" s="35" t="n"/>
    </row>
    <row r="125">
      <c r="A125" s="40" t="n"/>
      <c r="B125" s="35" t="n"/>
      <c r="C125" s="35" t="n"/>
      <c r="D125" s="37" t="n"/>
      <c r="E125" s="35" t="n"/>
      <c r="F125" s="35" t="n"/>
      <c r="G125" s="9">
        <f>IF(AND(B125="",D125=""),"",IF(B125="","Missing Job ID",IF(COUNTIF(Jobs!$A$5:$A$44,B125)=0,"Unknown Job ID",IF(AND(C125&lt;&gt;"",COUNTIF(Invoices!$A$5:$A$204,C125)=0),"Invoice # not in Invoices",IF(A125="","Missing date","")))))</f>
        <v/>
      </c>
      <c r="H125" s="35" t="n"/>
    </row>
    <row r="126">
      <c r="A126" s="40" t="n"/>
      <c r="B126" s="35" t="n"/>
      <c r="C126" s="35" t="n"/>
      <c r="D126" s="37" t="n"/>
      <c r="E126" s="35" t="n"/>
      <c r="F126" s="35" t="n"/>
      <c r="G126" s="9">
        <f>IF(AND(B126="",D126=""),"",IF(B126="","Missing Job ID",IF(COUNTIF(Jobs!$A$5:$A$44,B126)=0,"Unknown Job ID",IF(AND(C126&lt;&gt;"",COUNTIF(Invoices!$A$5:$A$204,C126)=0),"Invoice # not in Invoices",IF(A126="","Missing date","")))))</f>
        <v/>
      </c>
      <c r="H126" s="35" t="n"/>
    </row>
    <row r="127">
      <c r="A127" s="40" t="n"/>
      <c r="B127" s="35" t="n"/>
      <c r="C127" s="35" t="n"/>
      <c r="D127" s="37" t="n"/>
      <c r="E127" s="35" t="n"/>
      <c r="F127" s="35" t="n"/>
      <c r="G127" s="9">
        <f>IF(AND(B127="",D127=""),"",IF(B127="","Missing Job ID",IF(COUNTIF(Jobs!$A$5:$A$44,B127)=0,"Unknown Job ID",IF(AND(C127&lt;&gt;"",COUNTIF(Invoices!$A$5:$A$204,C127)=0),"Invoice # not in Invoices",IF(A127="","Missing date","")))))</f>
        <v/>
      </c>
      <c r="H127" s="35" t="n"/>
    </row>
    <row r="128">
      <c r="A128" s="40" t="n"/>
      <c r="B128" s="35" t="n"/>
      <c r="C128" s="35" t="n"/>
      <c r="D128" s="37" t="n"/>
      <c r="E128" s="35" t="n"/>
      <c r="F128" s="35" t="n"/>
      <c r="G128" s="9">
        <f>IF(AND(B128="",D128=""),"",IF(B128="","Missing Job ID",IF(COUNTIF(Jobs!$A$5:$A$44,B128)=0,"Unknown Job ID",IF(AND(C128&lt;&gt;"",COUNTIF(Invoices!$A$5:$A$204,C128)=0),"Invoice # not in Invoices",IF(A128="","Missing date","")))))</f>
        <v/>
      </c>
      <c r="H128" s="35" t="n"/>
    </row>
    <row r="129">
      <c r="A129" s="40" t="n"/>
      <c r="B129" s="35" t="n"/>
      <c r="C129" s="35" t="n"/>
      <c r="D129" s="37" t="n"/>
      <c r="E129" s="35" t="n"/>
      <c r="F129" s="35" t="n"/>
      <c r="G129" s="9">
        <f>IF(AND(B129="",D129=""),"",IF(B129="","Missing Job ID",IF(COUNTIF(Jobs!$A$5:$A$44,B129)=0,"Unknown Job ID",IF(AND(C129&lt;&gt;"",COUNTIF(Invoices!$A$5:$A$204,C129)=0),"Invoice # not in Invoices",IF(A129="","Missing date","")))))</f>
        <v/>
      </c>
      <c r="H129" s="35" t="n"/>
    </row>
    <row r="130">
      <c r="A130" s="40" t="n"/>
      <c r="B130" s="35" t="n"/>
      <c r="C130" s="35" t="n"/>
      <c r="D130" s="37" t="n"/>
      <c r="E130" s="35" t="n"/>
      <c r="F130" s="35" t="n"/>
      <c r="G130" s="9">
        <f>IF(AND(B130="",D130=""),"",IF(B130="","Missing Job ID",IF(COUNTIF(Jobs!$A$5:$A$44,B130)=0,"Unknown Job ID",IF(AND(C130&lt;&gt;"",COUNTIF(Invoices!$A$5:$A$204,C130)=0),"Invoice # not in Invoices",IF(A130="","Missing date","")))))</f>
        <v/>
      </c>
      <c r="H130" s="35" t="n"/>
    </row>
    <row r="131">
      <c r="A131" s="40" t="n"/>
      <c r="B131" s="35" t="n"/>
      <c r="C131" s="35" t="n"/>
      <c r="D131" s="37" t="n"/>
      <c r="E131" s="35" t="n"/>
      <c r="F131" s="35" t="n"/>
      <c r="G131" s="9">
        <f>IF(AND(B131="",D131=""),"",IF(B131="","Missing Job ID",IF(COUNTIF(Jobs!$A$5:$A$44,B131)=0,"Unknown Job ID",IF(AND(C131&lt;&gt;"",COUNTIF(Invoices!$A$5:$A$204,C131)=0),"Invoice # not in Invoices",IF(A131="","Missing date","")))))</f>
        <v/>
      </c>
      <c r="H131" s="35" t="n"/>
    </row>
    <row r="132">
      <c r="A132" s="40" t="n"/>
      <c r="B132" s="35" t="n"/>
      <c r="C132" s="35" t="n"/>
      <c r="D132" s="37" t="n"/>
      <c r="E132" s="35" t="n"/>
      <c r="F132" s="35" t="n"/>
      <c r="G132" s="9">
        <f>IF(AND(B132="",D132=""),"",IF(B132="","Missing Job ID",IF(COUNTIF(Jobs!$A$5:$A$44,B132)=0,"Unknown Job ID",IF(AND(C132&lt;&gt;"",COUNTIF(Invoices!$A$5:$A$204,C132)=0),"Invoice # not in Invoices",IF(A132="","Missing date","")))))</f>
        <v/>
      </c>
      <c r="H132" s="35" t="n"/>
    </row>
    <row r="133">
      <c r="A133" s="40" t="n"/>
      <c r="B133" s="35" t="n"/>
      <c r="C133" s="35" t="n"/>
      <c r="D133" s="37" t="n"/>
      <c r="E133" s="35" t="n"/>
      <c r="F133" s="35" t="n"/>
      <c r="G133" s="9">
        <f>IF(AND(B133="",D133=""),"",IF(B133="","Missing Job ID",IF(COUNTIF(Jobs!$A$5:$A$44,B133)=0,"Unknown Job ID",IF(AND(C133&lt;&gt;"",COUNTIF(Invoices!$A$5:$A$204,C133)=0),"Invoice # not in Invoices",IF(A133="","Missing date","")))))</f>
        <v/>
      </c>
      <c r="H133" s="35" t="n"/>
    </row>
    <row r="134">
      <c r="A134" s="40" t="n"/>
      <c r="B134" s="35" t="n"/>
      <c r="C134" s="35" t="n"/>
      <c r="D134" s="37" t="n"/>
      <c r="E134" s="35" t="n"/>
      <c r="F134" s="35" t="n"/>
      <c r="G134" s="9">
        <f>IF(AND(B134="",D134=""),"",IF(B134="","Missing Job ID",IF(COUNTIF(Jobs!$A$5:$A$44,B134)=0,"Unknown Job ID",IF(AND(C134&lt;&gt;"",COUNTIF(Invoices!$A$5:$A$204,C134)=0),"Invoice # not in Invoices",IF(A134="","Missing date","")))))</f>
        <v/>
      </c>
      <c r="H134" s="35" t="n"/>
    </row>
    <row r="135">
      <c r="A135" s="40" t="n"/>
      <c r="B135" s="35" t="n"/>
      <c r="C135" s="35" t="n"/>
      <c r="D135" s="37" t="n"/>
      <c r="E135" s="35" t="n"/>
      <c r="F135" s="35" t="n"/>
      <c r="G135" s="9">
        <f>IF(AND(B135="",D135=""),"",IF(B135="","Missing Job ID",IF(COUNTIF(Jobs!$A$5:$A$44,B135)=0,"Unknown Job ID",IF(AND(C135&lt;&gt;"",COUNTIF(Invoices!$A$5:$A$204,C135)=0),"Invoice # not in Invoices",IF(A135="","Missing date","")))))</f>
        <v/>
      </c>
      <c r="H135" s="35" t="n"/>
    </row>
    <row r="136">
      <c r="A136" s="40" t="n"/>
      <c r="B136" s="35" t="n"/>
      <c r="C136" s="35" t="n"/>
      <c r="D136" s="37" t="n"/>
      <c r="E136" s="35" t="n"/>
      <c r="F136" s="35" t="n"/>
      <c r="G136" s="9">
        <f>IF(AND(B136="",D136=""),"",IF(B136="","Missing Job ID",IF(COUNTIF(Jobs!$A$5:$A$44,B136)=0,"Unknown Job ID",IF(AND(C136&lt;&gt;"",COUNTIF(Invoices!$A$5:$A$204,C136)=0),"Invoice # not in Invoices",IF(A136="","Missing date","")))))</f>
        <v/>
      </c>
      <c r="H136" s="35" t="n"/>
    </row>
    <row r="137">
      <c r="A137" s="40" t="n"/>
      <c r="B137" s="35" t="n"/>
      <c r="C137" s="35" t="n"/>
      <c r="D137" s="37" t="n"/>
      <c r="E137" s="35" t="n"/>
      <c r="F137" s="35" t="n"/>
      <c r="G137" s="9">
        <f>IF(AND(B137="",D137=""),"",IF(B137="","Missing Job ID",IF(COUNTIF(Jobs!$A$5:$A$44,B137)=0,"Unknown Job ID",IF(AND(C137&lt;&gt;"",COUNTIF(Invoices!$A$5:$A$204,C137)=0),"Invoice # not in Invoices",IF(A137="","Missing date","")))))</f>
        <v/>
      </c>
      <c r="H137" s="35" t="n"/>
    </row>
    <row r="138">
      <c r="A138" s="40" t="n"/>
      <c r="B138" s="35" t="n"/>
      <c r="C138" s="35" t="n"/>
      <c r="D138" s="37" t="n"/>
      <c r="E138" s="35" t="n"/>
      <c r="F138" s="35" t="n"/>
      <c r="G138" s="9">
        <f>IF(AND(B138="",D138=""),"",IF(B138="","Missing Job ID",IF(COUNTIF(Jobs!$A$5:$A$44,B138)=0,"Unknown Job ID",IF(AND(C138&lt;&gt;"",COUNTIF(Invoices!$A$5:$A$204,C138)=0),"Invoice # not in Invoices",IF(A138="","Missing date","")))))</f>
        <v/>
      </c>
      <c r="H138" s="35" t="n"/>
    </row>
    <row r="139">
      <c r="A139" s="40" t="n"/>
      <c r="B139" s="35" t="n"/>
      <c r="C139" s="35" t="n"/>
      <c r="D139" s="37" t="n"/>
      <c r="E139" s="35" t="n"/>
      <c r="F139" s="35" t="n"/>
      <c r="G139" s="9">
        <f>IF(AND(B139="",D139=""),"",IF(B139="","Missing Job ID",IF(COUNTIF(Jobs!$A$5:$A$44,B139)=0,"Unknown Job ID",IF(AND(C139&lt;&gt;"",COUNTIF(Invoices!$A$5:$A$204,C139)=0),"Invoice # not in Invoices",IF(A139="","Missing date","")))))</f>
        <v/>
      </c>
      <c r="H139" s="35" t="n"/>
    </row>
    <row r="140">
      <c r="A140" s="40" t="n"/>
      <c r="B140" s="35" t="n"/>
      <c r="C140" s="35" t="n"/>
      <c r="D140" s="37" t="n"/>
      <c r="E140" s="35" t="n"/>
      <c r="F140" s="35" t="n"/>
      <c r="G140" s="9">
        <f>IF(AND(B140="",D140=""),"",IF(B140="","Missing Job ID",IF(COUNTIF(Jobs!$A$5:$A$44,B140)=0,"Unknown Job ID",IF(AND(C140&lt;&gt;"",COUNTIF(Invoices!$A$5:$A$204,C140)=0),"Invoice # not in Invoices",IF(A140="","Missing date","")))))</f>
        <v/>
      </c>
      <c r="H140" s="35" t="n"/>
    </row>
    <row r="141">
      <c r="A141" s="40" t="n"/>
      <c r="B141" s="35" t="n"/>
      <c r="C141" s="35" t="n"/>
      <c r="D141" s="37" t="n"/>
      <c r="E141" s="35" t="n"/>
      <c r="F141" s="35" t="n"/>
      <c r="G141" s="9">
        <f>IF(AND(B141="",D141=""),"",IF(B141="","Missing Job ID",IF(COUNTIF(Jobs!$A$5:$A$44,B141)=0,"Unknown Job ID",IF(AND(C141&lt;&gt;"",COUNTIF(Invoices!$A$5:$A$204,C141)=0),"Invoice # not in Invoices",IF(A141="","Missing date","")))))</f>
        <v/>
      </c>
      <c r="H141" s="35" t="n"/>
    </row>
    <row r="142">
      <c r="A142" s="40" t="n"/>
      <c r="B142" s="35" t="n"/>
      <c r="C142" s="35" t="n"/>
      <c r="D142" s="37" t="n"/>
      <c r="E142" s="35" t="n"/>
      <c r="F142" s="35" t="n"/>
      <c r="G142" s="9">
        <f>IF(AND(B142="",D142=""),"",IF(B142="","Missing Job ID",IF(COUNTIF(Jobs!$A$5:$A$44,B142)=0,"Unknown Job ID",IF(AND(C142&lt;&gt;"",COUNTIF(Invoices!$A$5:$A$204,C142)=0),"Invoice # not in Invoices",IF(A142="","Missing date","")))))</f>
        <v/>
      </c>
      <c r="H142" s="35" t="n"/>
    </row>
    <row r="143">
      <c r="A143" s="40" t="n"/>
      <c r="B143" s="35" t="n"/>
      <c r="C143" s="35" t="n"/>
      <c r="D143" s="37" t="n"/>
      <c r="E143" s="35" t="n"/>
      <c r="F143" s="35" t="n"/>
      <c r="G143" s="9">
        <f>IF(AND(B143="",D143=""),"",IF(B143="","Missing Job ID",IF(COUNTIF(Jobs!$A$5:$A$44,B143)=0,"Unknown Job ID",IF(AND(C143&lt;&gt;"",COUNTIF(Invoices!$A$5:$A$204,C143)=0),"Invoice # not in Invoices",IF(A143="","Missing date","")))))</f>
        <v/>
      </c>
      <c r="H143" s="35" t="n"/>
    </row>
    <row r="144">
      <c r="A144" s="40" t="n"/>
      <c r="B144" s="35" t="n"/>
      <c r="C144" s="35" t="n"/>
      <c r="D144" s="37" t="n"/>
      <c r="E144" s="35" t="n"/>
      <c r="F144" s="35" t="n"/>
      <c r="G144" s="9">
        <f>IF(AND(B144="",D144=""),"",IF(B144="","Missing Job ID",IF(COUNTIF(Jobs!$A$5:$A$44,B144)=0,"Unknown Job ID",IF(AND(C144&lt;&gt;"",COUNTIF(Invoices!$A$5:$A$204,C144)=0),"Invoice # not in Invoices",IF(A144="","Missing date","")))))</f>
        <v/>
      </c>
      <c r="H144" s="35" t="n"/>
    </row>
    <row r="145">
      <c r="A145" s="40" t="n"/>
      <c r="B145" s="35" t="n"/>
      <c r="C145" s="35" t="n"/>
      <c r="D145" s="37" t="n"/>
      <c r="E145" s="35" t="n"/>
      <c r="F145" s="35" t="n"/>
      <c r="G145" s="9">
        <f>IF(AND(B145="",D145=""),"",IF(B145="","Missing Job ID",IF(COUNTIF(Jobs!$A$5:$A$44,B145)=0,"Unknown Job ID",IF(AND(C145&lt;&gt;"",COUNTIF(Invoices!$A$5:$A$204,C145)=0),"Invoice # not in Invoices",IF(A145="","Missing date","")))))</f>
        <v/>
      </c>
      <c r="H145" s="35" t="n"/>
    </row>
    <row r="146">
      <c r="A146" s="40" t="n"/>
      <c r="B146" s="35" t="n"/>
      <c r="C146" s="35" t="n"/>
      <c r="D146" s="37" t="n"/>
      <c r="E146" s="35" t="n"/>
      <c r="F146" s="35" t="n"/>
      <c r="G146" s="9">
        <f>IF(AND(B146="",D146=""),"",IF(B146="","Missing Job ID",IF(COUNTIF(Jobs!$A$5:$A$44,B146)=0,"Unknown Job ID",IF(AND(C146&lt;&gt;"",COUNTIF(Invoices!$A$5:$A$204,C146)=0),"Invoice # not in Invoices",IF(A146="","Missing date","")))))</f>
        <v/>
      </c>
      <c r="H146" s="35" t="n"/>
    </row>
    <row r="147">
      <c r="A147" s="40" t="n"/>
      <c r="B147" s="35" t="n"/>
      <c r="C147" s="35" t="n"/>
      <c r="D147" s="37" t="n"/>
      <c r="E147" s="35" t="n"/>
      <c r="F147" s="35" t="n"/>
      <c r="G147" s="9">
        <f>IF(AND(B147="",D147=""),"",IF(B147="","Missing Job ID",IF(COUNTIF(Jobs!$A$5:$A$44,B147)=0,"Unknown Job ID",IF(AND(C147&lt;&gt;"",COUNTIF(Invoices!$A$5:$A$204,C147)=0),"Invoice # not in Invoices",IF(A147="","Missing date","")))))</f>
        <v/>
      </c>
      <c r="H147" s="35" t="n"/>
    </row>
    <row r="148">
      <c r="A148" s="40" t="n"/>
      <c r="B148" s="35" t="n"/>
      <c r="C148" s="35" t="n"/>
      <c r="D148" s="37" t="n"/>
      <c r="E148" s="35" t="n"/>
      <c r="F148" s="35" t="n"/>
      <c r="G148" s="9">
        <f>IF(AND(B148="",D148=""),"",IF(B148="","Missing Job ID",IF(COUNTIF(Jobs!$A$5:$A$44,B148)=0,"Unknown Job ID",IF(AND(C148&lt;&gt;"",COUNTIF(Invoices!$A$5:$A$204,C148)=0),"Invoice # not in Invoices",IF(A148="","Missing date","")))))</f>
        <v/>
      </c>
      <c r="H148" s="35" t="n"/>
    </row>
    <row r="149">
      <c r="A149" s="40" t="n"/>
      <c r="B149" s="35" t="n"/>
      <c r="C149" s="35" t="n"/>
      <c r="D149" s="37" t="n"/>
      <c r="E149" s="35" t="n"/>
      <c r="F149" s="35" t="n"/>
      <c r="G149" s="9">
        <f>IF(AND(B149="",D149=""),"",IF(B149="","Missing Job ID",IF(COUNTIF(Jobs!$A$5:$A$44,B149)=0,"Unknown Job ID",IF(AND(C149&lt;&gt;"",COUNTIF(Invoices!$A$5:$A$204,C149)=0),"Invoice # not in Invoices",IF(A149="","Missing date","")))))</f>
        <v/>
      </c>
      <c r="H149" s="35" t="n"/>
    </row>
    <row r="150">
      <c r="A150" s="40" t="n"/>
      <c r="B150" s="35" t="n"/>
      <c r="C150" s="35" t="n"/>
      <c r="D150" s="37" t="n"/>
      <c r="E150" s="35" t="n"/>
      <c r="F150" s="35" t="n"/>
      <c r="G150" s="9">
        <f>IF(AND(B150="",D150=""),"",IF(B150="","Missing Job ID",IF(COUNTIF(Jobs!$A$5:$A$44,B150)=0,"Unknown Job ID",IF(AND(C150&lt;&gt;"",COUNTIF(Invoices!$A$5:$A$204,C150)=0),"Invoice # not in Invoices",IF(A150="","Missing date","")))))</f>
        <v/>
      </c>
      <c r="H150" s="35" t="n"/>
    </row>
    <row r="151">
      <c r="A151" s="40" t="n"/>
      <c r="B151" s="35" t="n"/>
      <c r="C151" s="35" t="n"/>
      <c r="D151" s="37" t="n"/>
      <c r="E151" s="35" t="n"/>
      <c r="F151" s="35" t="n"/>
      <c r="G151" s="9">
        <f>IF(AND(B151="",D151=""),"",IF(B151="","Missing Job ID",IF(COUNTIF(Jobs!$A$5:$A$44,B151)=0,"Unknown Job ID",IF(AND(C151&lt;&gt;"",COUNTIF(Invoices!$A$5:$A$204,C151)=0),"Invoice # not in Invoices",IF(A151="","Missing date","")))))</f>
        <v/>
      </c>
      <c r="H151" s="35" t="n"/>
    </row>
    <row r="152">
      <c r="A152" s="40" t="n"/>
      <c r="B152" s="35" t="n"/>
      <c r="C152" s="35" t="n"/>
      <c r="D152" s="37" t="n"/>
      <c r="E152" s="35" t="n"/>
      <c r="F152" s="35" t="n"/>
      <c r="G152" s="9">
        <f>IF(AND(B152="",D152=""),"",IF(B152="","Missing Job ID",IF(COUNTIF(Jobs!$A$5:$A$44,B152)=0,"Unknown Job ID",IF(AND(C152&lt;&gt;"",COUNTIF(Invoices!$A$5:$A$204,C152)=0),"Invoice # not in Invoices",IF(A152="","Missing date","")))))</f>
        <v/>
      </c>
      <c r="H152" s="35" t="n"/>
    </row>
    <row r="153">
      <c r="A153" s="40" t="n"/>
      <c r="B153" s="35" t="n"/>
      <c r="C153" s="35" t="n"/>
      <c r="D153" s="37" t="n"/>
      <c r="E153" s="35" t="n"/>
      <c r="F153" s="35" t="n"/>
      <c r="G153" s="9">
        <f>IF(AND(B153="",D153=""),"",IF(B153="","Missing Job ID",IF(COUNTIF(Jobs!$A$5:$A$44,B153)=0,"Unknown Job ID",IF(AND(C153&lt;&gt;"",COUNTIF(Invoices!$A$5:$A$204,C153)=0),"Invoice # not in Invoices",IF(A153="","Missing date","")))))</f>
        <v/>
      </c>
      <c r="H153" s="35" t="n"/>
    </row>
    <row r="154">
      <c r="A154" s="40" t="n"/>
      <c r="B154" s="35" t="n"/>
      <c r="C154" s="35" t="n"/>
      <c r="D154" s="37" t="n"/>
      <c r="E154" s="35" t="n"/>
      <c r="F154" s="35" t="n"/>
      <c r="G154" s="9">
        <f>IF(AND(B154="",D154=""),"",IF(B154="","Missing Job ID",IF(COUNTIF(Jobs!$A$5:$A$44,B154)=0,"Unknown Job ID",IF(AND(C154&lt;&gt;"",COUNTIF(Invoices!$A$5:$A$204,C154)=0),"Invoice # not in Invoices",IF(A154="","Missing date","")))))</f>
        <v/>
      </c>
      <c r="H154" s="35" t="n"/>
    </row>
    <row r="155">
      <c r="A155" s="40" t="n"/>
      <c r="B155" s="35" t="n"/>
      <c r="C155" s="35" t="n"/>
      <c r="D155" s="37" t="n"/>
      <c r="E155" s="35" t="n"/>
      <c r="F155" s="35" t="n"/>
      <c r="G155" s="9">
        <f>IF(AND(B155="",D155=""),"",IF(B155="","Missing Job ID",IF(COUNTIF(Jobs!$A$5:$A$44,B155)=0,"Unknown Job ID",IF(AND(C155&lt;&gt;"",COUNTIF(Invoices!$A$5:$A$204,C155)=0),"Invoice # not in Invoices",IF(A155="","Missing date","")))))</f>
        <v/>
      </c>
      <c r="H155" s="35" t="n"/>
    </row>
    <row r="156">
      <c r="A156" s="40" t="n"/>
      <c r="B156" s="35" t="n"/>
      <c r="C156" s="35" t="n"/>
      <c r="D156" s="37" t="n"/>
      <c r="E156" s="35" t="n"/>
      <c r="F156" s="35" t="n"/>
      <c r="G156" s="9">
        <f>IF(AND(B156="",D156=""),"",IF(B156="","Missing Job ID",IF(COUNTIF(Jobs!$A$5:$A$44,B156)=0,"Unknown Job ID",IF(AND(C156&lt;&gt;"",COUNTIF(Invoices!$A$5:$A$204,C156)=0),"Invoice # not in Invoices",IF(A156="","Missing date","")))))</f>
        <v/>
      </c>
      <c r="H156" s="35" t="n"/>
    </row>
    <row r="157">
      <c r="A157" s="40" t="n"/>
      <c r="B157" s="35" t="n"/>
      <c r="C157" s="35" t="n"/>
      <c r="D157" s="37" t="n"/>
      <c r="E157" s="35" t="n"/>
      <c r="F157" s="35" t="n"/>
      <c r="G157" s="9">
        <f>IF(AND(B157="",D157=""),"",IF(B157="","Missing Job ID",IF(COUNTIF(Jobs!$A$5:$A$44,B157)=0,"Unknown Job ID",IF(AND(C157&lt;&gt;"",COUNTIF(Invoices!$A$5:$A$204,C157)=0),"Invoice # not in Invoices",IF(A157="","Missing date","")))))</f>
        <v/>
      </c>
      <c r="H157" s="35" t="n"/>
    </row>
    <row r="158">
      <c r="A158" s="40" t="n"/>
      <c r="B158" s="35" t="n"/>
      <c r="C158" s="35" t="n"/>
      <c r="D158" s="37" t="n"/>
      <c r="E158" s="35" t="n"/>
      <c r="F158" s="35" t="n"/>
      <c r="G158" s="9">
        <f>IF(AND(B158="",D158=""),"",IF(B158="","Missing Job ID",IF(COUNTIF(Jobs!$A$5:$A$44,B158)=0,"Unknown Job ID",IF(AND(C158&lt;&gt;"",COUNTIF(Invoices!$A$5:$A$204,C158)=0),"Invoice # not in Invoices",IF(A158="","Missing date","")))))</f>
        <v/>
      </c>
      <c r="H158" s="35" t="n"/>
    </row>
    <row r="159">
      <c r="A159" s="40" t="n"/>
      <c r="B159" s="35" t="n"/>
      <c r="C159" s="35" t="n"/>
      <c r="D159" s="37" t="n"/>
      <c r="E159" s="35" t="n"/>
      <c r="F159" s="35" t="n"/>
      <c r="G159" s="9">
        <f>IF(AND(B159="",D159=""),"",IF(B159="","Missing Job ID",IF(COUNTIF(Jobs!$A$5:$A$44,B159)=0,"Unknown Job ID",IF(AND(C159&lt;&gt;"",COUNTIF(Invoices!$A$5:$A$204,C159)=0),"Invoice # not in Invoices",IF(A159="","Missing date","")))))</f>
        <v/>
      </c>
      <c r="H159" s="35" t="n"/>
    </row>
    <row r="160">
      <c r="A160" s="40" t="n"/>
      <c r="B160" s="35" t="n"/>
      <c r="C160" s="35" t="n"/>
      <c r="D160" s="37" t="n"/>
      <c r="E160" s="35" t="n"/>
      <c r="F160" s="35" t="n"/>
      <c r="G160" s="9">
        <f>IF(AND(B160="",D160=""),"",IF(B160="","Missing Job ID",IF(COUNTIF(Jobs!$A$5:$A$44,B160)=0,"Unknown Job ID",IF(AND(C160&lt;&gt;"",COUNTIF(Invoices!$A$5:$A$204,C160)=0),"Invoice # not in Invoices",IF(A160="","Missing date","")))))</f>
        <v/>
      </c>
      <c r="H160" s="35" t="n"/>
    </row>
    <row r="161">
      <c r="A161" s="40" t="n"/>
      <c r="B161" s="35" t="n"/>
      <c r="C161" s="35" t="n"/>
      <c r="D161" s="37" t="n"/>
      <c r="E161" s="35" t="n"/>
      <c r="F161" s="35" t="n"/>
      <c r="G161" s="9">
        <f>IF(AND(B161="",D161=""),"",IF(B161="","Missing Job ID",IF(COUNTIF(Jobs!$A$5:$A$44,B161)=0,"Unknown Job ID",IF(AND(C161&lt;&gt;"",COUNTIF(Invoices!$A$5:$A$204,C161)=0),"Invoice # not in Invoices",IF(A161="","Missing date","")))))</f>
        <v/>
      </c>
      <c r="H161" s="35" t="n"/>
    </row>
    <row r="162">
      <c r="A162" s="40" t="n"/>
      <c r="B162" s="35" t="n"/>
      <c r="C162" s="35" t="n"/>
      <c r="D162" s="37" t="n"/>
      <c r="E162" s="35" t="n"/>
      <c r="F162" s="35" t="n"/>
      <c r="G162" s="9">
        <f>IF(AND(B162="",D162=""),"",IF(B162="","Missing Job ID",IF(COUNTIF(Jobs!$A$5:$A$44,B162)=0,"Unknown Job ID",IF(AND(C162&lt;&gt;"",COUNTIF(Invoices!$A$5:$A$204,C162)=0),"Invoice # not in Invoices",IF(A162="","Missing date","")))))</f>
        <v/>
      </c>
      <c r="H162" s="35" t="n"/>
    </row>
    <row r="163">
      <c r="A163" s="40" t="n"/>
      <c r="B163" s="35" t="n"/>
      <c r="C163" s="35" t="n"/>
      <c r="D163" s="37" t="n"/>
      <c r="E163" s="35" t="n"/>
      <c r="F163" s="35" t="n"/>
      <c r="G163" s="9">
        <f>IF(AND(B163="",D163=""),"",IF(B163="","Missing Job ID",IF(COUNTIF(Jobs!$A$5:$A$44,B163)=0,"Unknown Job ID",IF(AND(C163&lt;&gt;"",COUNTIF(Invoices!$A$5:$A$204,C163)=0),"Invoice # not in Invoices",IF(A163="","Missing date","")))))</f>
        <v/>
      </c>
      <c r="H163" s="35" t="n"/>
    </row>
    <row r="164">
      <c r="A164" s="40" t="n"/>
      <c r="B164" s="35" t="n"/>
      <c r="C164" s="35" t="n"/>
      <c r="D164" s="37" t="n"/>
      <c r="E164" s="35" t="n"/>
      <c r="F164" s="35" t="n"/>
      <c r="G164" s="9">
        <f>IF(AND(B164="",D164=""),"",IF(B164="","Missing Job ID",IF(COUNTIF(Jobs!$A$5:$A$44,B164)=0,"Unknown Job ID",IF(AND(C164&lt;&gt;"",COUNTIF(Invoices!$A$5:$A$204,C164)=0),"Invoice # not in Invoices",IF(A164="","Missing date","")))))</f>
        <v/>
      </c>
      <c r="H164" s="35" t="n"/>
    </row>
    <row r="165">
      <c r="A165" s="40" t="n"/>
      <c r="B165" s="35" t="n"/>
      <c r="C165" s="35" t="n"/>
      <c r="D165" s="37" t="n"/>
      <c r="E165" s="35" t="n"/>
      <c r="F165" s="35" t="n"/>
      <c r="G165" s="9">
        <f>IF(AND(B165="",D165=""),"",IF(B165="","Missing Job ID",IF(COUNTIF(Jobs!$A$5:$A$44,B165)=0,"Unknown Job ID",IF(AND(C165&lt;&gt;"",COUNTIF(Invoices!$A$5:$A$204,C165)=0),"Invoice # not in Invoices",IF(A165="","Missing date","")))))</f>
        <v/>
      </c>
      <c r="H165" s="35" t="n"/>
    </row>
    <row r="166">
      <c r="A166" s="40" t="n"/>
      <c r="B166" s="35" t="n"/>
      <c r="C166" s="35" t="n"/>
      <c r="D166" s="37" t="n"/>
      <c r="E166" s="35" t="n"/>
      <c r="F166" s="35" t="n"/>
      <c r="G166" s="9">
        <f>IF(AND(B166="",D166=""),"",IF(B166="","Missing Job ID",IF(COUNTIF(Jobs!$A$5:$A$44,B166)=0,"Unknown Job ID",IF(AND(C166&lt;&gt;"",COUNTIF(Invoices!$A$5:$A$204,C166)=0),"Invoice # not in Invoices",IF(A166="","Missing date","")))))</f>
        <v/>
      </c>
      <c r="H166" s="35" t="n"/>
    </row>
    <row r="167">
      <c r="A167" s="40" t="n"/>
      <c r="B167" s="35" t="n"/>
      <c r="C167" s="35" t="n"/>
      <c r="D167" s="37" t="n"/>
      <c r="E167" s="35" t="n"/>
      <c r="F167" s="35" t="n"/>
      <c r="G167" s="9">
        <f>IF(AND(B167="",D167=""),"",IF(B167="","Missing Job ID",IF(COUNTIF(Jobs!$A$5:$A$44,B167)=0,"Unknown Job ID",IF(AND(C167&lt;&gt;"",COUNTIF(Invoices!$A$5:$A$204,C167)=0),"Invoice # not in Invoices",IF(A167="","Missing date","")))))</f>
        <v/>
      </c>
      <c r="H167" s="35" t="n"/>
    </row>
    <row r="168">
      <c r="A168" s="40" t="n"/>
      <c r="B168" s="35" t="n"/>
      <c r="C168" s="35" t="n"/>
      <c r="D168" s="37" t="n"/>
      <c r="E168" s="35" t="n"/>
      <c r="F168" s="35" t="n"/>
      <c r="G168" s="9">
        <f>IF(AND(B168="",D168=""),"",IF(B168="","Missing Job ID",IF(COUNTIF(Jobs!$A$5:$A$44,B168)=0,"Unknown Job ID",IF(AND(C168&lt;&gt;"",COUNTIF(Invoices!$A$5:$A$204,C168)=0),"Invoice # not in Invoices",IF(A168="","Missing date","")))))</f>
        <v/>
      </c>
      <c r="H168" s="35" t="n"/>
    </row>
    <row r="169">
      <c r="A169" s="40" t="n"/>
      <c r="B169" s="35" t="n"/>
      <c r="C169" s="35" t="n"/>
      <c r="D169" s="37" t="n"/>
      <c r="E169" s="35" t="n"/>
      <c r="F169" s="35" t="n"/>
      <c r="G169" s="9">
        <f>IF(AND(B169="",D169=""),"",IF(B169="","Missing Job ID",IF(COUNTIF(Jobs!$A$5:$A$44,B169)=0,"Unknown Job ID",IF(AND(C169&lt;&gt;"",COUNTIF(Invoices!$A$5:$A$204,C169)=0),"Invoice # not in Invoices",IF(A169="","Missing date","")))))</f>
        <v/>
      </c>
      <c r="H169" s="35" t="n"/>
    </row>
    <row r="170">
      <c r="A170" s="40" t="n"/>
      <c r="B170" s="35" t="n"/>
      <c r="C170" s="35" t="n"/>
      <c r="D170" s="37" t="n"/>
      <c r="E170" s="35" t="n"/>
      <c r="F170" s="35" t="n"/>
      <c r="G170" s="9">
        <f>IF(AND(B170="",D170=""),"",IF(B170="","Missing Job ID",IF(COUNTIF(Jobs!$A$5:$A$44,B170)=0,"Unknown Job ID",IF(AND(C170&lt;&gt;"",COUNTIF(Invoices!$A$5:$A$204,C170)=0),"Invoice # not in Invoices",IF(A170="","Missing date","")))))</f>
        <v/>
      </c>
      <c r="H170" s="35" t="n"/>
    </row>
    <row r="171">
      <c r="A171" s="40" t="n"/>
      <c r="B171" s="35" t="n"/>
      <c r="C171" s="35" t="n"/>
      <c r="D171" s="37" t="n"/>
      <c r="E171" s="35" t="n"/>
      <c r="F171" s="35" t="n"/>
      <c r="G171" s="9">
        <f>IF(AND(B171="",D171=""),"",IF(B171="","Missing Job ID",IF(COUNTIF(Jobs!$A$5:$A$44,B171)=0,"Unknown Job ID",IF(AND(C171&lt;&gt;"",COUNTIF(Invoices!$A$5:$A$204,C171)=0),"Invoice # not in Invoices",IF(A171="","Missing date","")))))</f>
        <v/>
      </c>
      <c r="H171" s="35" t="n"/>
    </row>
    <row r="172">
      <c r="A172" s="40" t="n"/>
      <c r="B172" s="35" t="n"/>
      <c r="C172" s="35" t="n"/>
      <c r="D172" s="37" t="n"/>
      <c r="E172" s="35" t="n"/>
      <c r="F172" s="35" t="n"/>
      <c r="G172" s="9">
        <f>IF(AND(B172="",D172=""),"",IF(B172="","Missing Job ID",IF(COUNTIF(Jobs!$A$5:$A$44,B172)=0,"Unknown Job ID",IF(AND(C172&lt;&gt;"",COUNTIF(Invoices!$A$5:$A$204,C172)=0),"Invoice # not in Invoices",IF(A172="","Missing date","")))))</f>
        <v/>
      </c>
      <c r="H172" s="35" t="n"/>
    </row>
    <row r="173">
      <c r="A173" s="40" t="n"/>
      <c r="B173" s="35" t="n"/>
      <c r="C173" s="35" t="n"/>
      <c r="D173" s="37" t="n"/>
      <c r="E173" s="35" t="n"/>
      <c r="F173" s="35" t="n"/>
      <c r="G173" s="9">
        <f>IF(AND(B173="",D173=""),"",IF(B173="","Missing Job ID",IF(COUNTIF(Jobs!$A$5:$A$44,B173)=0,"Unknown Job ID",IF(AND(C173&lt;&gt;"",COUNTIF(Invoices!$A$5:$A$204,C173)=0),"Invoice # not in Invoices",IF(A173="","Missing date","")))))</f>
        <v/>
      </c>
      <c r="H173" s="35" t="n"/>
    </row>
    <row r="174">
      <c r="A174" s="40" t="n"/>
      <c r="B174" s="35" t="n"/>
      <c r="C174" s="35" t="n"/>
      <c r="D174" s="37" t="n"/>
      <c r="E174" s="35" t="n"/>
      <c r="F174" s="35" t="n"/>
      <c r="G174" s="9">
        <f>IF(AND(B174="",D174=""),"",IF(B174="","Missing Job ID",IF(COUNTIF(Jobs!$A$5:$A$44,B174)=0,"Unknown Job ID",IF(AND(C174&lt;&gt;"",COUNTIF(Invoices!$A$5:$A$204,C174)=0),"Invoice # not in Invoices",IF(A174="","Missing date","")))))</f>
        <v/>
      </c>
      <c r="H174" s="35" t="n"/>
    </row>
    <row r="175">
      <c r="A175" s="40" t="n"/>
      <c r="B175" s="35" t="n"/>
      <c r="C175" s="35" t="n"/>
      <c r="D175" s="37" t="n"/>
      <c r="E175" s="35" t="n"/>
      <c r="F175" s="35" t="n"/>
      <c r="G175" s="9">
        <f>IF(AND(B175="",D175=""),"",IF(B175="","Missing Job ID",IF(COUNTIF(Jobs!$A$5:$A$44,B175)=0,"Unknown Job ID",IF(AND(C175&lt;&gt;"",COUNTIF(Invoices!$A$5:$A$204,C175)=0),"Invoice # not in Invoices",IF(A175="","Missing date","")))))</f>
        <v/>
      </c>
      <c r="H175" s="35" t="n"/>
    </row>
    <row r="176">
      <c r="A176" s="40" t="n"/>
      <c r="B176" s="35" t="n"/>
      <c r="C176" s="35" t="n"/>
      <c r="D176" s="37" t="n"/>
      <c r="E176" s="35" t="n"/>
      <c r="F176" s="35" t="n"/>
      <c r="G176" s="9">
        <f>IF(AND(B176="",D176=""),"",IF(B176="","Missing Job ID",IF(COUNTIF(Jobs!$A$5:$A$44,B176)=0,"Unknown Job ID",IF(AND(C176&lt;&gt;"",COUNTIF(Invoices!$A$5:$A$204,C176)=0),"Invoice # not in Invoices",IF(A176="","Missing date","")))))</f>
        <v/>
      </c>
      <c r="H176" s="35" t="n"/>
    </row>
    <row r="177">
      <c r="A177" s="40" t="n"/>
      <c r="B177" s="35" t="n"/>
      <c r="C177" s="35" t="n"/>
      <c r="D177" s="37" t="n"/>
      <c r="E177" s="35" t="n"/>
      <c r="F177" s="35" t="n"/>
      <c r="G177" s="9">
        <f>IF(AND(B177="",D177=""),"",IF(B177="","Missing Job ID",IF(COUNTIF(Jobs!$A$5:$A$44,B177)=0,"Unknown Job ID",IF(AND(C177&lt;&gt;"",COUNTIF(Invoices!$A$5:$A$204,C177)=0),"Invoice # not in Invoices",IF(A177="","Missing date","")))))</f>
        <v/>
      </c>
      <c r="H177" s="35" t="n"/>
    </row>
    <row r="178">
      <c r="A178" s="40" t="n"/>
      <c r="B178" s="35" t="n"/>
      <c r="C178" s="35" t="n"/>
      <c r="D178" s="37" t="n"/>
      <c r="E178" s="35" t="n"/>
      <c r="F178" s="35" t="n"/>
      <c r="G178" s="9">
        <f>IF(AND(B178="",D178=""),"",IF(B178="","Missing Job ID",IF(COUNTIF(Jobs!$A$5:$A$44,B178)=0,"Unknown Job ID",IF(AND(C178&lt;&gt;"",COUNTIF(Invoices!$A$5:$A$204,C178)=0),"Invoice # not in Invoices",IF(A178="","Missing date","")))))</f>
        <v/>
      </c>
      <c r="H178" s="35" t="n"/>
    </row>
    <row r="179">
      <c r="A179" s="40" t="n"/>
      <c r="B179" s="35" t="n"/>
      <c r="C179" s="35" t="n"/>
      <c r="D179" s="37" t="n"/>
      <c r="E179" s="35" t="n"/>
      <c r="F179" s="35" t="n"/>
      <c r="G179" s="9">
        <f>IF(AND(B179="",D179=""),"",IF(B179="","Missing Job ID",IF(COUNTIF(Jobs!$A$5:$A$44,B179)=0,"Unknown Job ID",IF(AND(C179&lt;&gt;"",COUNTIF(Invoices!$A$5:$A$204,C179)=0),"Invoice # not in Invoices",IF(A179="","Missing date","")))))</f>
        <v/>
      </c>
      <c r="H179" s="35" t="n"/>
    </row>
    <row r="180">
      <c r="A180" s="40" t="n"/>
      <c r="B180" s="35" t="n"/>
      <c r="C180" s="35" t="n"/>
      <c r="D180" s="37" t="n"/>
      <c r="E180" s="35" t="n"/>
      <c r="F180" s="35" t="n"/>
      <c r="G180" s="9">
        <f>IF(AND(B180="",D180=""),"",IF(B180="","Missing Job ID",IF(COUNTIF(Jobs!$A$5:$A$44,B180)=0,"Unknown Job ID",IF(AND(C180&lt;&gt;"",COUNTIF(Invoices!$A$5:$A$204,C180)=0),"Invoice # not in Invoices",IF(A180="","Missing date","")))))</f>
        <v/>
      </c>
      <c r="H180" s="35" t="n"/>
    </row>
    <row r="181">
      <c r="A181" s="40" t="n"/>
      <c r="B181" s="35" t="n"/>
      <c r="C181" s="35" t="n"/>
      <c r="D181" s="37" t="n"/>
      <c r="E181" s="35" t="n"/>
      <c r="F181" s="35" t="n"/>
      <c r="G181" s="9">
        <f>IF(AND(B181="",D181=""),"",IF(B181="","Missing Job ID",IF(COUNTIF(Jobs!$A$5:$A$44,B181)=0,"Unknown Job ID",IF(AND(C181&lt;&gt;"",COUNTIF(Invoices!$A$5:$A$204,C181)=0),"Invoice # not in Invoices",IF(A181="","Missing date","")))))</f>
        <v/>
      </c>
      <c r="H181" s="35" t="n"/>
    </row>
    <row r="182">
      <c r="A182" s="40" t="n"/>
      <c r="B182" s="35" t="n"/>
      <c r="C182" s="35" t="n"/>
      <c r="D182" s="37" t="n"/>
      <c r="E182" s="35" t="n"/>
      <c r="F182" s="35" t="n"/>
      <c r="G182" s="9">
        <f>IF(AND(B182="",D182=""),"",IF(B182="","Missing Job ID",IF(COUNTIF(Jobs!$A$5:$A$44,B182)=0,"Unknown Job ID",IF(AND(C182&lt;&gt;"",COUNTIF(Invoices!$A$5:$A$204,C182)=0),"Invoice # not in Invoices",IF(A182="","Missing date","")))))</f>
        <v/>
      </c>
      <c r="H182" s="35" t="n"/>
    </row>
    <row r="183">
      <c r="A183" s="40" t="n"/>
      <c r="B183" s="35" t="n"/>
      <c r="C183" s="35" t="n"/>
      <c r="D183" s="37" t="n"/>
      <c r="E183" s="35" t="n"/>
      <c r="F183" s="35" t="n"/>
      <c r="G183" s="9">
        <f>IF(AND(B183="",D183=""),"",IF(B183="","Missing Job ID",IF(COUNTIF(Jobs!$A$5:$A$44,B183)=0,"Unknown Job ID",IF(AND(C183&lt;&gt;"",COUNTIF(Invoices!$A$5:$A$204,C183)=0),"Invoice # not in Invoices",IF(A183="","Missing date","")))))</f>
        <v/>
      </c>
      <c r="H183" s="35" t="n"/>
    </row>
    <row r="184">
      <c r="A184" s="40" t="n"/>
      <c r="B184" s="35" t="n"/>
      <c r="C184" s="35" t="n"/>
      <c r="D184" s="37" t="n"/>
      <c r="E184" s="35" t="n"/>
      <c r="F184" s="35" t="n"/>
      <c r="G184" s="9">
        <f>IF(AND(B184="",D184=""),"",IF(B184="","Missing Job ID",IF(COUNTIF(Jobs!$A$5:$A$44,B184)=0,"Unknown Job ID",IF(AND(C184&lt;&gt;"",COUNTIF(Invoices!$A$5:$A$204,C184)=0),"Invoice # not in Invoices",IF(A184="","Missing date","")))))</f>
        <v/>
      </c>
      <c r="H184" s="35" t="n"/>
    </row>
    <row r="185">
      <c r="A185" s="40" t="n"/>
      <c r="B185" s="35" t="n"/>
      <c r="C185" s="35" t="n"/>
      <c r="D185" s="37" t="n"/>
      <c r="E185" s="35" t="n"/>
      <c r="F185" s="35" t="n"/>
      <c r="G185" s="9">
        <f>IF(AND(B185="",D185=""),"",IF(B185="","Missing Job ID",IF(COUNTIF(Jobs!$A$5:$A$44,B185)=0,"Unknown Job ID",IF(AND(C185&lt;&gt;"",COUNTIF(Invoices!$A$5:$A$204,C185)=0),"Invoice # not in Invoices",IF(A185="","Missing date","")))))</f>
        <v/>
      </c>
      <c r="H185" s="35" t="n"/>
    </row>
    <row r="186">
      <c r="A186" s="40" t="n"/>
      <c r="B186" s="35" t="n"/>
      <c r="C186" s="35" t="n"/>
      <c r="D186" s="37" t="n"/>
      <c r="E186" s="35" t="n"/>
      <c r="F186" s="35" t="n"/>
      <c r="G186" s="9">
        <f>IF(AND(B186="",D186=""),"",IF(B186="","Missing Job ID",IF(COUNTIF(Jobs!$A$5:$A$44,B186)=0,"Unknown Job ID",IF(AND(C186&lt;&gt;"",COUNTIF(Invoices!$A$5:$A$204,C186)=0),"Invoice # not in Invoices",IF(A186="","Missing date","")))))</f>
        <v/>
      </c>
      <c r="H186" s="35" t="n"/>
    </row>
    <row r="187">
      <c r="A187" s="40" t="n"/>
      <c r="B187" s="35" t="n"/>
      <c r="C187" s="35" t="n"/>
      <c r="D187" s="37" t="n"/>
      <c r="E187" s="35" t="n"/>
      <c r="F187" s="35" t="n"/>
      <c r="G187" s="9">
        <f>IF(AND(B187="",D187=""),"",IF(B187="","Missing Job ID",IF(COUNTIF(Jobs!$A$5:$A$44,B187)=0,"Unknown Job ID",IF(AND(C187&lt;&gt;"",COUNTIF(Invoices!$A$5:$A$204,C187)=0),"Invoice # not in Invoices",IF(A187="","Missing date","")))))</f>
        <v/>
      </c>
      <c r="H187" s="35" t="n"/>
    </row>
    <row r="188">
      <c r="A188" s="40" t="n"/>
      <c r="B188" s="35" t="n"/>
      <c r="C188" s="35" t="n"/>
      <c r="D188" s="37" t="n"/>
      <c r="E188" s="35" t="n"/>
      <c r="F188" s="35" t="n"/>
      <c r="G188" s="9">
        <f>IF(AND(B188="",D188=""),"",IF(B188="","Missing Job ID",IF(COUNTIF(Jobs!$A$5:$A$44,B188)=0,"Unknown Job ID",IF(AND(C188&lt;&gt;"",COUNTIF(Invoices!$A$5:$A$204,C188)=0),"Invoice # not in Invoices",IF(A188="","Missing date","")))))</f>
        <v/>
      </c>
      <c r="H188" s="35" t="n"/>
    </row>
    <row r="189">
      <c r="A189" s="40" t="n"/>
      <c r="B189" s="35" t="n"/>
      <c r="C189" s="35" t="n"/>
      <c r="D189" s="37" t="n"/>
      <c r="E189" s="35" t="n"/>
      <c r="F189" s="35" t="n"/>
      <c r="G189" s="9">
        <f>IF(AND(B189="",D189=""),"",IF(B189="","Missing Job ID",IF(COUNTIF(Jobs!$A$5:$A$44,B189)=0,"Unknown Job ID",IF(AND(C189&lt;&gt;"",COUNTIF(Invoices!$A$5:$A$204,C189)=0),"Invoice # not in Invoices",IF(A189="","Missing date","")))))</f>
        <v/>
      </c>
      <c r="H189" s="35" t="n"/>
    </row>
    <row r="190">
      <c r="A190" s="40" t="n"/>
      <c r="B190" s="35" t="n"/>
      <c r="C190" s="35" t="n"/>
      <c r="D190" s="37" t="n"/>
      <c r="E190" s="35" t="n"/>
      <c r="F190" s="35" t="n"/>
      <c r="G190" s="9">
        <f>IF(AND(B190="",D190=""),"",IF(B190="","Missing Job ID",IF(COUNTIF(Jobs!$A$5:$A$44,B190)=0,"Unknown Job ID",IF(AND(C190&lt;&gt;"",COUNTIF(Invoices!$A$5:$A$204,C190)=0),"Invoice # not in Invoices",IF(A190="","Missing date","")))))</f>
        <v/>
      </c>
      <c r="H190" s="35" t="n"/>
    </row>
    <row r="191">
      <c r="A191" s="40" t="n"/>
      <c r="B191" s="35" t="n"/>
      <c r="C191" s="35" t="n"/>
      <c r="D191" s="37" t="n"/>
      <c r="E191" s="35" t="n"/>
      <c r="F191" s="35" t="n"/>
      <c r="G191" s="9">
        <f>IF(AND(B191="",D191=""),"",IF(B191="","Missing Job ID",IF(COUNTIF(Jobs!$A$5:$A$44,B191)=0,"Unknown Job ID",IF(AND(C191&lt;&gt;"",COUNTIF(Invoices!$A$5:$A$204,C191)=0),"Invoice # not in Invoices",IF(A191="","Missing date","")))))</f>
        <v/>
      </c>
      <c r="H191" s="35" t="n"/>
    </row>
    <row r="192">
      <c r="A192" s="40" t="n"/>
      <c r="B192" s="35" t="n"/>
      <c r="C192" s="35" t="n"/>
      <c r="D192" s="37" t="n"/>
      <c r="E192" s="35" t="n"/>
      <c r="F192" s="35" t="n"/>
      <c r="G192" s="9">
        <f>IF(AND(B192="",D192=""),"",IF(B192="","Missing Job ID",IF(COUNTIF(Jobs!$A$5:$A$44,B192)=0,"Unknown Job ID",IF(AND(C192&lt;&gt;"",COUNTIF(Invoices!$A$5:$A$204,C192)=0),"Invoice # not in Invoices",IF(A192="","Missing date","")))))</f>
        <v/>
      </c>
      <c r="H192" s="35" t="n"/>
    </row>
    <row r="193">
      <c r="A193" s="40" t="n"/>
      <c r="B193" s="35" t="n"/>
      <c r="C193" s="35" t="n"/>
      <c r="D193" s="37" t="n"/>
      <c r="E193" s="35" t="n"/>
      <c r="F193" s="35" t="n"/>
      <c r="G193" s="9">
        <f>IF(AND(B193="",D193=""),"",IF(B193="","Missing Job ID",IF(COUNTIF(Jobs!$A$5:$A$44,B193)=0,"Unknown Job ID",IF(AND(C193&lt;&gt;"",COUNTIF(Invoices!$A$5:$A$204,C193)=0),"Invoice # not in Invoices",IF(A193="","Missing date","")))))</f>
        <v/>
      </c>
      <c r="H193" s="35" t="n"/>
    </row>
    <row r="194">
      <c r="A194" s="40" t="n"/>
      <c r="B194" s="35" t="n"/>
      <c r="C194" s="35" t="n"/>
      <c r="D194" s="37" t="n"/>
      <c r="E194" s="35" t="n"/>
      <c r="F194" s="35" t="n"/>
      <c r="G194" s="9">
        <f>IF(AND(B194="",D194=""),"",IF(B194="","Missing Job ID",IF(COUNTIF(Jobs!$A$5:$A$44,B194)=0,"Unknown Job ID",IF(AND(C194&lt;&gt;"",COUNTIF(Invoices!$A$5:$A$204,C194)=0),"Invoice # not in Invoices",IF(A194="","Missing date","")))))</f>
        <v/>
      </c>
      <c r="H194" s="35" t="n"/>
    </row>
    <row r="195">
      <c r="A195" s="40" t="n"/>
      <c r="B195" s="35" t="n"/>
      <c r="C195" s="35" t="n"/>
      <c r="D195" s="37" t="n"/>
      <c r="E195" s="35" t="n"/>
      <c r="F195" s="35" t="n"/>
      <c r="G195" s="9">
        <f>IF(AND(B195="",D195=""),"",IF(B195="","Missing Job ID",IF(COUNTIF(Jobs!$A$5:$A$44,B195)=0,"Unknown Job ID",IF(AND(C195&lt;&gt;"",COUNTIF(Invoices!$A$5:$A$204,C195)=0),"Invoice # not in Invoices",IF(A195="","Missing date","")))))</f>
        <v/>
      </c>
      <c r="H195" s="35" t="n"/>
    </row>
    <row r="196">
      <c r="A196" s="40" t="n"/>
      <c r="B196" s="35" t="n"/>
      <c r="C196" s="35" t="n"/>
      <c r="D196" s="37" t="n"/>
      <c r="E196" s="35" t="n"/>
      <c r="F196" s="35" t="n"/>
      <c r="G196" s="9">
        <f>IF(AND(B196="",D196=""),"",IF(B196="","Missing Job ID",IF(COUNTIF(Jobs!$A$5:$A$44,B196)=0,"Unknown Job ID",IF(AND(C196&lt;&gt;"",COUNTIF(Invoices!$A$5:$A$204,C196)=0),"Invoice # not in Invoices",IF(A196="","Missing date","")))))</f>
        <v/>
      </c>
      <c r="H196" s="35" t="n"/>
    </row>
    <row r="197">
      <c r="A197" s="40" t="n"/>
      <c r="B197" s="35" t="n"/>
      <c r="C197" s="35" t="n"/>
      <c r="D197" s="37" t="n"/>
      <c r="E197" s="35" t="n"/>
      <c r="F197" s="35" t="n"/>
      <c r="G197" s="9">
        <f>IF(AND(B197="",D197=""),"",IF(B197="","Missing Job ID",IF(COUNTIF(Jobs!$A$5:$A$44,B197)=0,"Unknown Job ID",IF(AND(C197&lt;&gt;"",COUNTIF(Invoices!$A$5:$A$204,C197)=0),"Invoice # not in Invoices",IF(A197="","Missing date","")))))</f>
        <v/>
      </c>
      <c r="H197" s="35" t="n"/>
    </row>
    <row r="198">
      <c r="A198" s="40" t="n"/>
      <c r="B198" s="35" t="n"/>
      <c r="C198" s="35" t="n"/>
      <c r="D198" s="37" t="n"/>
      <c r="E198" s="35" t="n"/>
      <c r="F198" s="35" t="n"/>
      <c r="G198" s="9">
        <f>IF(AND(B198="",D198=""),"",IF(B198="","Missing Job ID",IF(COUNTIF(Jobs!$A$5:$A$44,B198)=0,"Unknown Job ID",IF(AND(C198&lt;&gt;"",COUNTIF(Invoices!$A$5:$A$204,C198)=0),"Invoice # not in Invoices",IF(A198="","Missing date","")))))</f>
        <v/>
      </c>
      <c r="H198" s="35" t="n"/>
    </row>
    <row r="199">
      <c r="A199" s="40" t="n"/>
      <c r="B199" s="35" t="n"/>
      <c r="C199" s="35" t="n"/>
      <c r="D199" s="37" t="n"/>
      <c r="E199" s="35" t="n"/>
      <c r="F199" s="35" t="n"/>
      <c r="G199" s="9">
        <f>IF(AND(B199="",D199=""),"",IF(B199="","Missing Job ID",IF(COUNTIF(Jobs!$A$5:$A$44,B199)=0,"Unknown Job ID",IF(AND(C199&lt;&gt;"",COUNTIF(Invoices!$A$5:$A$204,C199)=0),"Invoice # not in Invoices",IF(A199="","Missing date","")))))</f>
        <v/>
      </c>
      <c r="H199" s="35" t="n"/>
    </row>
    <row r="200">
      <c r="A200" s="40" t="n"/>
      <c r="B200" s="35" t="n"/>
      <c r="C200" s="35" t="n"/>
      <c r="D200" s="37" t="n"/>
      <c r="E200" s="35" t="n"/>
      <c r="F200" s="35" t="n"/>
      <c r="G200" s="9">
        <f>IF(AND(B200="",D200=""),"",IF(B200="","Missing Job ID",IF(COUNTIF(Jobs!$A$5:$A$44,B200)=0,"Unknown Job ID",IF(AND(C200&lt;&gt;"",COUNTIF(Invoices!$A$5:$A$204,C200)=0),"Invoice # not in Invoices",IF(A200="","Missing date","")))))</f>
        <v/>
      </c>
      <c r="H200" s="35" t="n"/>
    </row>
    <row r="201">
      <c r="A201" s="40" t="n"/>
      <c r="B201" s="35" t="n"/>
      <c r="C201" s="35" t="n"/>
      <c r="D201" s="37" t="n"/>
      <c r="E201" s="35" t="n"/>
      <c r="F201" s="35" t="n"/>
      <c r="G201" s="9">
        <f>IF(AND(B201="",D201=""),"",IF(B201="","Missing Job ID",IF(COUNTIF(Jobs!$A$5:$A$44,B201)=0,"Unknown Job ID",IF(AND(C201&lt;&gt;"",COUNTIF(Invoices!$A$5:$A$204,C201)=0),"Invoice # not in Invoices",IF(A201="","Missing date","")))))</f>
        <v/>
      </c>
      <c r="H201" s="35" t="n"/>
    </row>
    <row r="202">
      <c r="A202" s="40" t="n"/>
      <c r="B202" s="35" t="n"/>
      <c r="C202" s="35" t="n"/>
      <c r="D202" s="37" t="n"/>
      <c r="E202" s="35" t="n"/>
      <c r="F202" s="35" t="n"/>
      <c r="G202" s="9">
        <f>IF(AND(B202="",D202=""),"",IF(B202="","Missing Job ID",IF(COUNTIF(Jobs!$A$5:$A$44,B202)=0,"Unknown Job ID",IF(AND(C202&lt;&gt;"",COUNTIF(Invoices!$A$5:$A$204,C202)=0),"Invoice # not in Invoices",IF(A202="","Missing date","")))))</f>
        <v/>
      </c>
      <c r="H202" s="35" t="n"/>
    </row>
    <row r="203">
      <c r="A203" s="40" t="n"/>
      <c r="B203" s="35" t="n"/>
      <c r="C203" s="35" t="n"/>
      <c r="D203" s="37" t="n"/>
      <c r="E203" s="35" t="n"/>
      <c r="F203" s="35" t="n"/>
      <c r="G203" s="9">
        <f>IF(AND(B203="",D203=""),"",IF(B203="","Missing Job ID",IF(COUNTIF(Jobs!$A$5:$A$44,B203)=0,"Unknown Job ID",IF(AND(C203&lt;&gt;"",COUNTIF(Invoices!$A$5:$A$204,C203)=0),"Invoice # not in Invoices",IF(A203="","Missing date","")))))</f>
        <v/>
      </c>
      <c r="H203" s="35" t="n"/>
    </row>
    <row r="204">
      <c r="A204" s="40" t="n"/>
      <c r="B204" s="35" t="n"/>
      <c r="C204" s="35" t="n"/>
      <c r="D204" s="37" t="n"/>
      <c r="E204" s="35" t="n"/>
      <c r="F204" s="35" t="n"/>
      <c r="G204" s="9">
        <f>IF(AND(B204="",D204=""),"",IF(B204="","Missing Job ID",IF(COUNTIF(Jobs!$A$5:$A$44,B204)=0,"Unknown Job ID",IF(AND(C204&lt;&gt;"",COUNTIF(Invoices!$A$5:$A$204,C204)=0),"Invoice # not in Invoices",IF(A204="","Missing date","")))))</f>
        <v/>
      </c>
      <c r="H204" s="35" t="n"/>
    </row>
    <row r="205">
      <c r="A205" s="40" t="n"/>
      <c r="B205" s="35" t="n"/>
      <c r="C205" s="35" t="n"/>
      <c r="D205" s="37" t="n"/>
      <c r="E205" s="35" t="n"/>
      <c r="F205" s="35" t="n"/>
      <c r="G205" s="9">
        <f>IF(AND(B205="",D205=""),"",IF(B205="","Missing Job ID",IF(COUNTIF(Jobs!$A$5:$A$44,B205)=0,"Unknown Job ID",IF(AND(C205&lt;&gt;"",COUNTIF(Invoices!$A$5:$A$204,C205)=0),"Invoice # not in Invoices",IF(A205="","Missing date","")))))</f>
        <v/>
      </c>
      <c r="H205" s="35" t="n"/>
    </row>
    <row r="206">
      <c r="A206" s="40" t="n"/>
      <c r="B206" s="35" t="n"/>
      <c r="C206" s="35" t="n"/>
      <c r="D206" s="37" t="n"/>
      <c r="E206" s="35" t="n"/>
      <c r="F206" s="35" t="n"/>
      <c r="G206" s="9">
        <f>IF(AND(B206="",D206=""),"",IF(B206="","Missing Job ID",IF(COUNTIF(Jobs!$A$5:$A$44,B206)=0,"Unknown Job ID",IF(AND(C206&lt;&gt;"",COUNTIF(Invoices!$A$5:$A$204,C206)=0),"Invoice # not in Invoices",IF(A206="","Missing date","")))))</f>
        <v/>
      </c>
      <c r="H206" s="35" t="n"/>
    </row>
    <row r="207">
      <c r="A207" s="40" t="n"/>
      <c r="B207" s="35" t="n"/>
      <c r="C207" s="35" t="n"/>
      <c r="D207" s="37" t="n"/>
      <c r="E207" s="35" t="n"/>
      <c r="F207" s="35" t="n"/>
      <c r="G207" s="9">
        <f>IF(AND(B207="",D207=""),"",IF(B207="","Missing Job ID",IF(COUNTIF(Jobs!$A$5:$A$44,B207)=0,"Unknown Job ID",IF(AND(C207&lt;&gt;"",COUNTIF(Invoices!$A$5:$A$204,C207)=0),"Invoice # not in Invoices",IF(A207="","Missing date","")))))</f>
        <v/>
      </c>
      <c r="H207" s="35" t="n"/>
    </row>
    <row r="208">
      <c r="A208" s="40" t="n"/>
      <c r="B208" s="35" t="n"/>
      <c r="C208" s="35" t="n"/>
      <c r="D208" s="37" t="n"/>
      <c r="E208" s="35" t="n"/>
      <c r="F208" s="35" t="n"/>
      <c r="G208" s="9">
        <f>IF(AND(B208="",D208=""),"",IF(B208="","Missing Job ID",IF(COUNTIF(Jobs!$A$5:$A$44,B208)=0,"Unknown Job ID",IF(AND(C208&lt;&gt;"",COUNTIF(Invoices!$A$5:$A$204,C208)=0),"Invoice # not in Invoices",IF(A208="","Missing date","")))))</f>
        <v/>
      </c>
      <c r="H208" s="35" t="n"/>
    </row>
    <row r="209">
      <c r="A209" s="40" t="n"/>
      <c r="B209" s="35" t="n"/>
      <c r="C209" s="35" t="n"/>
      <c r="D209" s="37" t="n"/>
      <c r="E209" s="35" t="n"/>
      <c r="F209" s="35" t="n"/>
      <c r="G209" s="9">
        <f>IF(AND(B209="",D209=""),"",IF(B209="","Missing Job ID",IF(COUNTIF(Jobs!$A$5:$A$44,B209)=0,"Unknown Job ID",IF(AND(C209&lt;&gt;"",COUNTIF(Invoices!$A$5:$A$204,C209)=0),"Invoice # not in Invoices",IF(A209="","Missing date","")))))</f>
        <v/>
      </c>
      <c r="H209" s="35" t="n"/>
    </row>
    <row r="210">
      <c r="A210" s="40" t="n"/>
      <c r="B210" s="35" t="n"/>
      <c r="C210" s="35" t="n"/>
      <c r="D210" s="37" t="n"/>
      <c r="E210" s="35" t="n"/>
      <c r="F210" s="35" t="n"/>
      <c r="G210" s="9">
        <f>IF(AND(B210="",D210=""),"",IF(B210="","Missing Job ID",IF(COUNTIF(Jobs!$A$5:$A$44,B210)=0,"Unknown Job ID",IF(AND(C210&lt;&gt;"",COUNTIF(Invoices!$A$5:$A$204,C210)=0),"Invoice # not in Invoices",IF(A210="","Missing date","")))))</f>
        <v/>
      </c>
      <c r="H210" s="35" t="n"/>
    </row>
    <row r="211">
      <c r="A211" s="40" t="n"/>
      <c r="B211" s="35" t="n"/>
      <c r="C211" s="35" t="n"/>
      <c r="D211" s="37" t="n"/>
      <c r="E211" s="35" t="n"/>
      <c r="F211" s="35" t="n"/>
      <c r="G211" s="9">
        <f>IF(AND(B211="",D211=""),"",IF(B211="","Missing Job ID",IF(COUNTIF(Jobs!$A$5:$A$44,B211)=0,"Unknown Job ID",IF(AND(C211&lt;&gt;"",COUNTIF(Invoices!$A$5:$A$204,C211)=0),"Invoice # not in Invoices",IF(A211="","Missing date","")))))</f>
        <v/>
      </c>
      <c r="H211" s="35" t="n"/>
    </row>
    <row r="212">
      <c r="A212" s="40" t="n"/>
      <c r="B212" s="35" t="n"/>
      <c r="C212" s="35" t="n"/>
      <c r="D212" s="37" t="n"/>
      <c r="E212" s="35" t="n"/>
      <c r="F212" s="35" t="n"/>
      <c r="G212" s="9">
        <f>IF(AND(B212="",D212=""),"",IF(B212="","Missing Job ID",IF(COUNTIF(Jobs!$A$5:$A$44,B212)=0,"Unknown Job ID",IF(AND(C212&lt;&gt;"",COUNTIF(Invoices!$A$5:$A$204,C212)=0),"Invoice # not in Invoices",IF(A212="","Missing date","")))))</f>
        <v/>
      </c>
      <c r="H212" s="35" t="n"/>
    </row>
    <row r="213">
      <c r="A213" s="40" t="n"/>
      <c r="B213" s="35" t="n"/>
      <c r="C213" s="35" t="n"/>
      <c r="D213" s="37" t="n"/>
      <c r="E213" s="35" t="n"/>
      <c r="F213" s="35" t="n"/>
      <c r="G213" s="9">
        <f>IF(AND(B213="",D213=""),"",IF(B213="","Missing Job ID",IF(COUNTIF(Jobs!$A$5:$A$44,B213)=0,"Unknown Job ID",IF(AND(C213&lt;&gt;"",COUNTIF(Invoices!$A$5:$A$204,C213)=0),"Invoice # not in Invoices",IF(A213="","Missing date","")))))</f>
        <v/>
      </c>
      <c r="H213" s="35" t="n"/>
    </row>
    <row r="214">
      <c r="A214" s="40" t="n"/>
      <c r="B214" s="35" t="n"/>
      <c r="C214" s="35" t="n"/>
      <c r="D214" s="37" t="n"/>
      <c r="E214" s="35" t="n"/>
      <c r="F214" s="35" t="n"/>
      <c r="G214" s="9">
        <f>IF(AND(B214="",D214=""),"",IF(B214="","Missing Job ID",IF(COUNTIF(Jobs!$A$5:$A$44,B214)=0,"Unknown Job ID",IF(AND(C214&lt;&gt;"",COUNTIF(Invoices!$A$5:$A$204,C214)=0),"Invoice # not in Invoices",IF(A214="","Missing date","")))))</f>
        <v/>
      </c>
      <c r="H214" s="35" t="n"/>
    </row>
    <row r="215">
      <c r="A215" s="40" t="n"/>
      <c r="B215" s="35" t="n"/>
      <c r="C215" s="35" t="n"/>
      <c r="D215" s="37" t="n"/>
      <c r="E215" s="35" t="n"/>
      <c r="F215" s="35" t="n"/>
      <c r="G215" s="9">
        <f>IF(AND(B215="",D215=""),"",IF(B215="","Missing Job ID",IF(COUNTIF(Jobs!$A$5:$A$44,B215)=0,"Unknown Job ID",IF(AND(C215&lt;&gt;"",COUNTIF(Invoices!$A$5:$A$204,C215)=0),"Invoice # not in Invoices",IF(A215="","Missing date","")))))</f>
        <v/>
      </c>
      <c r="H215" s="35" t="n"/>
    </row>
    <row r="216">
      <c r="A216" s="40" t="n"/>
      <c r="B216" s="35" t="n"/>
      <c r="C216" s="35" t="n"/>
      <c r="D216" s="37" t="n"/>
      <c r="E216" s="35" t="n"/>
      <c r="F216" s="35" t="n"/>
      <c r="G216" s="9">
        <f>IF(AND(B216="",D216=""),"",IF(B216="","Missing Job ID",IF(COUNTIF(Jobs!$A$5:$A$44,B216)=0,"Unknown Job ID",IF(AND(C216&lt;&gt;"",COUNTIF(Invoices!$A$5:$A$204,C216)=0),"Invoice # not in Invoices",IF(A216="","Missing date","")))))</f>
        <v/>
      </c>
      <c r="H216" s="35" t="n"/>
    </row>
    <row r="217">
      <c r="A217" s="40" t="n"/>
      <c r="B217" s="35" t="n"/>
      <c r="C217" s="35" t="n"/>
      <c r="D217" s="37" t="n"/>
      <c r="E217" s="35" t="n"/>
      <c r="F217" s="35" t="n"/>
      <c r="G217" s="9">
        <f>IF(AND(B217="",D217=""),"",IF(B217="","Missing Job ID",IF(COUNTIF(Jobs!$A$5:$A$44,B217)=0,"Unknown Job ID",IF(AND(C217&lt;&gt;"",COUNTIF(Invoices!$A$5:$A$204,C217)=0),"Invoice # not in Invoices",IF(A217="","Missing date","")))))</f>
        <v/>
      </c>
      <c r="H217" s="35" t="n"/>
    </row>
    <row r="218">
      <c r="A218" s="40" t="n"/>
      <c r="B218" s="35" t="n"/>
      <c r="C218" s="35" t="n"/>
      <c r="D218" s="37" t="n"/>
      <c r="E218" s="35" t="n"/>
      <c r="F218" s="35" t="n"/>
      <c r="G218" s="9">
        <f>IF(AND(B218="",D218=""),"",IF(B218="","Missing Job ID",IF(COUNTIF(Jobs!$A$5:$A$44,B218)=0,"Unknown Job ID",IF(AND(C218&lt;&gt;"",COUNTIF(Invoices!$A$5:$A$204,C218)=0),"Invoice # not in Invoices",IF(A218="","Missing date","")))))</f>
        <v/>
      </c>
      <c r="H218" s="35" t="n"/>
    </row>
    <row r="219">
      <c r="A219" s="40" t="n"/>
      <c r="B219" s="35" t="n"/>
      <c r="C219" s="35" t="n"/>
      <c r="D219" s="37" t="n"/>
      <c r="E219" s="35" t="n"/>
      <c r="F219" s="35" t="n"/>
      <c r="G219" s="9">
        <f>IF(AND(B219="",D219=""),"",IF(B219="","Missing Job ID",IF(COUNTIF(Jobs!$A$5:$A$44,B219)=0,"Unknown Job ID",IF(AND(C219&lt;&gt;"",COUNTIF(Invoices!$A$5:$A$204,C219)=0),"Invoice # not in Invoices",IF(A219="","Missing date","")))))</f>
        <v/>
      </c>
      <c r="H219" s="35" t="n"/>
    </row>
    <row r="220">
      <c r="A220" s="40" t="n"/>
      <c r="B220" s="35" t="n"/>
      <c r="C220" s="35" t="n"/>
      <c r="D220" s="37" t="n"/>
      <c r="E220" s="35" t="n"/>
      <c r="F220" s="35" t="n"/>
      <c r="G220" s="9">
        <f>IF(AND(B220="",D220=""),"",IF(B220="","Missing Job ID",IF(COUNTIF(Jobs!$A$5:$A$44,B220)=0,"Unknown Job ID",IF(AND(C220&lt;&gt;"",COUNTIF(Invoices!$A$5:$A$204,C220)=0),"Invoice # not in Invoices",IF(A220="","Missing date","")))))</f>
        <v/>
      </c>
      <c r="H220" s="35" t="n"/>
    </row>
    <row r="221">
      <c r="A221" s="40" t="n"/>
      <c r="B221" s="35" t="n"/>
      <c r="C221" s="35" t="n"/>
      <c r="D221" s="37" t="n"/>
      <c r="E221" s="35" t="n"/>
      <c r="F221" s="35" t="n"/>
      <c r="G221" s="9">
        <f>IF(AND(B221="",D221=""),"",IF(B221="","Missing Job ID",IF(COUNTIF(Jobs!$A$5:$A$44,B221)=0,"Unknown Job ID",IF(AND(C221&lt;&gt;"",COUNTIF(Invoices!$A$5:$A$204,C221)=0),"Invoice # not in Invoices",IF(A221="","Missing date","")))))</f>
        <v/>
      </c>
      <c r="H221" s="35" t="n"/>
    </row>
    <row r="222">
      <c r="A222" s="40" t="n"/>
      <c r="B222" s="35" t="n"/>
      <c r="C222" s="35" t="n"/>
      <c r="D222" s="37" t="n"/>
      <c r="E222" s="35" t="n"/>
      <c r="F222" s="35" t="n"/>
      <c r="G222" s="9">
        <f>IF(AND(B222="",D222=""),"",IF(B222="","Missing Job ID",IF(COUNTIF(Jobs!$A$5:$A$44,B222)=0,"Unknown Job ID",IF(AND(C222&lt;&gt;"",COUNTIF(Invoices!$A$5:$A$204,C222)=0),"Invoice # not in Invoices",IF(A222="","Missing date","")))))</f>
        <v/>
      </c>
      <c r="H222" s="35" t="n"/>
    </row>
    <row r="223">
      <c r="A223" s="40" t="n"/>
      <c r="B223" s="35" t="n"/>
      <c r="C223" s="35" t="n"/>
      <c r="D223" s="37" t="n"/>
      <c r="E223" s="35" t="n"/>
      <c r="F223" s="35" t="n"/>
      <c r="G223" s="9">
        <f>IF(AND(B223="",D223=""),"",IF(B223="","Missing Job ID",IF(COUNTIF(Jobs!$A$5:$A$44,B223)=0,"Unknown Job ID",IF(AND(C223&lt;&gt;"",COUNTIF(Invoices!$A$5:$A$204,C223)=0),"Invoice # not in Invoices",IF(A223="","Missing date","")))))</f>
        <v/>
      </c>
      <c r="H223" s="35" t="n"/>
    </row>
    <row r="224">
      <c r="A224" s="40" t="n"/>
      <c r="B224" s="35" t="n"/>
      <c r="C224" s="35" t="n"/>
      <c r="D224" s="37" t="n"/>
      <c r="E224" s="35" t="n"/>
      <c r="F224" s="35" t="n"/>
      <c r="G224" s="9">
        <f>IF(AND(B224="",D224=""),"",IF(B224="","Missing Job ID",IF(COUNTIF(Jobs!$A$5:$A$44,B224)=0,"Unknown Job ID",IF(AND(C224&lt;&gt;"",COUNTIF(Invoices!$A$5:$A$204,C224)=0),"Invoice # not in Invoices",IF(A224="","Missing date","")))))</f>
        <v/>
      </c>
      <c r="H224" s="35" t="n"/>
    </row>
    <row r="225">
      <c r="A225" s="40" t="n"/>
      <c r="B225" s="35" t="n"/>
      <c r="C225" s="35" t="n"/>
      <c r="D225" s="37" t="n"/>
      <c r="E225" s="35" t="n"/>
      <c r="F225" s="35" t="n"/>
      <c r="G225" s="9">
        <f>IF(AND(B225="",D225=""),"",IF(B225="","Missing Job ID",IF(COUNTIF(Jobs!$A$5:$A$44,B225)=0,"Unknown Job ID",IF(AND(C225&lt;&gt;"",COUNTIF(Invoices!$A$5:$A$204,C225)=0),"Invoice # not in Invoices",IF(A225="","Missing date","")))))</f>
        <v/>
      </c>
      <c r="H225" s="35" t="n"/>
    </row>
    <row r="226">
      <c r="A226" s="40" t="n"/>
      <c r="B226" s="35" t="n"/>
      <c r="C226" s="35" t="n"/>
      <c r="D226" s="37" t="n"/>
      <c r="E226" s="35" t="n"/>
      <c r="F226" s="35" t="n"/>
      <c r="G226" s="9">
        <f>IF(AND(B226="",D226=""),"",IF(B226="","Missing Job ID",IF(COUNTIF(Jobs!$A$5:$A$44,B226)=0,"Unknown Job ID",IF(AND(C226&lt;&gt;"",COUNTIF(Invoices!$A$5:$A$204,C226)=0),"Invoice # not in Invoices",IF(A226="","Missing date","")))))</f>
        <v/>
      </c>
      <c r="H226" s="35" t="n"/>
    </row>
    <row r="227">
      <c r="A227" s="40" t="n"/>
      <c r="B227" s="35" t="n"/>
      <c r="C227" s="35" t="n"/>
      <c r="D227" s="37" t="n"/>
      <c r="E227" s="35" t="n"/>
      <c r="F227" s="35" t="n"/>
      <c r="G227" s="9">
        <f>IF(AND(B227="",D227=""),"",IF(B227="","Missing Job ID",IF(COUNTIF(Jobs!$A$5:$A$44,B227)=0,"Unknown Job ID",IF(AND(C227&lt;&gt;"",COUNTIF(Invoices!$A$5:$A$204,C227)=0),"Invoice # not in Invoices",IF(A227="","Missing date","")))))</f>
        <v/>
      </c>
      <c r="H227" s="35" t="n"/>
    </row>
    <row r="228">
      <c r="A228" s="40" t="n"/>
      <c r="B228" s="35" t="n"/>
      <c r="C228" s="35" t="n"/>
      <c r="D228" s="37" t="n"/>
      <c r="E228" s="35" t="n"/>
      <c r="F228" s="35" t="n"/>
      <c r="G228" s="9">
        <f>IF(AND(B228="",D228=""),"",IF(B228="","Missing Job ID",IF(COUNTIF(Jobs!$A$5:$A$44,B228)=0,"Unknown Job ID",IF(AND(C228&lt;&gt;"",COUNTIF(Invoices!$A$5:$A$204,C228)=0),"Invoice # not in Invoices",IF(A228="","Missing date","")))))</f>
        <v/>
      </c>
      <c r="H228" s="35" t="n"/>
    </row>
    <row r="229">
      <c r="A229" s="40" t="n"/>
      <c r="B229" s="35" t="n"/>
      <c r="C229" s="35" t="n"/>
      <c r="D229" s="37" t="n"/>
      <c r="E229" s="35" t="n"/>
      <c r="F229" s="35" t="n"/>
      <c r="G229" s="9">
        <f>IF(AND(B229="",D229=""),"",IF(B229="","Missing Job ID",IF(COUNTIF(Jobs!$A$5:$A$44,B229)=0,"Unknown Job ID",IF(AND(C229&lt;&gt;"",COUNTIF(Invoices!$A$5:$A$204,C229)=0),"Invoice # not in Invoices",IF(A229="","Missing date","")))))</f>
        <v/>
      </c>
      <c r="H229" s="35" t="n"/>
    </row>
    <row r="230">
      <c r="A230" s="40" t="n"/>
      <c r="B230" s="35" t="n"/>
      <c r="C230" s="35" t="n"/>
      <c r="D230" s="37" t="n"/>
      <c r="E230" s="35" t="n"/>
      <c r="F230" s="35" t="n"/>
      <c r="G230" s="9">
        <f>IF(AND(B230="",D230=""),"",IF(B230="","Missing Job ID",IF(COUNTIF(Jobs!$A$5:$A$44,B230)=0,"Unknown Job ID",IF(AND(C230&lt;&gt;"",COUNTIF(Invoices!$A$5:$A$204,C230)=0),"Invoice # not in Invoices",IF(A230="","Missing date","")))))</f>
        <v/>
      </c>
      <c r="H230" s="35" t="n"/>
    </row>
    <row r="231">
      <c r="A231" s="40" t="n"/>
      <c r="B231" s="35" t="n"/>
      <c r="C231" s="35" t="n"/>
      <c r="D231" s="37" t="n"/>
      <c r="E231" s="35" t="n"/>
      <c r="F231" s="35" t="n"/>
      <c r="G231" s="9">
        <f>IF(AND(B231="",D231=""),"",IF(B231="","Missing Job ID",IF(COUNTIF(Jobs!$A$5:$A$44,B231)=0,"Unknown Job ID",IF(AND(C231&lt;&gt;"",COUNTIF(Invoices!$A$5:$A$204,C231)=0),"Invoice # not in Invoices",IF(A231="","Missing date","")))))</f>
        <v/>
      </c>
      <c r="H231" s="35" t="n"/>
    </row>
    <row r="232">
      <c r="A232" s="40" t="n"/>
      <c r="B232" s="35" t="n"/>
      <c r="C232" s="35" t="n"/>
      <c r="D232" s="37" t="n"/>
      <c r="E232" s="35" t="n"/>
      <c r="F232" s="35" t="n"/>
      <c r="G232" s="9">
        <f>IF(AND(B232="",D232=""),"",IF(B232="","Missing Job ID",IF(COUNTIF(Jobs!$A$5:$A$44,B232)=0,"Unknown Job ID",IF(AND(C232&lt;&gt;"",COUNTIF(Invoices!$A$5:$A$204,C232)=0),"Invoice # not in Invoices",IF(A232="","Missing date","")))))</f>
        <v/>
      </c>
      <c r="H232" s="35" t="n"/>
    </row>
    <row r="233">
      <c r="A233" s="40" t="n"/>
      <c r="B233" s="35" t="n"/>
      <c r="C233" s="35" t="n"/>
      <c r="D233" s="37" t="n"/>
      <c r="E233" s="35" t="n"/>
      <c r="F233" s="35" t="n"/>
      <c r="G233" s="9">
        <f>IF(AND(B233="",D233=""),"",IF(B233="","Missing Job ID",IF(COUNTIF(Jobs!$A$5:$A$44,B233)=0,"Unknown Job ID",IF(AND(C233&lt;&gt;"",COUNTIF(Invoices!$A$5:$A$204,C233)=0),"Invoice # not in Invoices",IF(A233="","Missing date","")))))</f>
        <v/>
      </c>
      <c r="H233" s="35" t="n"/>
    </row>
    <row r="234">
      <c r="A234" s="40" t="n"/>
      <c r="B234" s="35" t="n"/>
      <c r="C234" s="35" t="n"/>
      <c r="D234" s="37" t="n"/>
      <c r="E234" s="35" t="n"/>
      <c r="F234" s="35" t="n"/>
      <c r="G234" s="9">
        <f>IF(AND(B234="",D234=""),"",IF(B234="","Missing Job ID",IF(COUNTIF(Jobs!$A$5:$A$44,B234)=0,"Unknown Job ID",IF(AND(C234&lt;&gt;"",COUNTIF(Invoices!$A$5:$A$204,C234)=0),"Invoice # not in Invoices",IF(A234="","Missing date","")))))</f>
        <v/>
      </c>
      <c r="H234" s="35" t="n"/>
    </row>
    <row r="235">
      <c r="A235" s="40" t="n"/>
      <c r="B235" s="35" t="n"/>
      <c r="C235" s="35" t="n"/>
      <c r="D235" s="37" t="n"/>
      <c r="E235" s="35" t="n"/>
      <c r="F235" s="35" t="n"/>
      <c r="G235" s="9">
        <f>IF(AND(B235="",D235=""),"",IF(B235="","Missing Job ID",IF(COUNTIF(Jobs!$A$5:$A$44,B235)=0,"Unknown Job ID",IF(AND(C235&lt;&gt;"",COUNTIF(Invoices!$A$5:$A$204,C235)=0),"Invoice # not in Invoices",IF(A235="","Missing date","")))))</f>
        <v/>
      </c>
      <c r="H235" s="35" t="n"/>
    </row>
    <row r="236">
      <c r="A236" s="40" t="n"/>
      <c r="B236" s="35" t="n"/>
      <c r="C236" s="35" t="n"/>
      <c r="D236" s="37" t="n"/>
      <c r="E236" s="35" t="n"/>
      <c r="F236" s="35" t="n"/>
      <c r="G236" s="9">
        <f>IF(AND(B236="",D236=""),"",IF(B236="","Missing Job ID",IF(COUNTIF(Jobs!$A$5:$A$44,B236)=0,"Unknown Job ID",IF(AND(C236&lt;&gt;"",COUNTIF(Invoices!$A$5:$A$204,C236)=0),"Invoice # not in Invoices",IF(A236="","Missing date","")))))</f>
        <v/>
      </c>
      <c r="H236" s="35" t="n"/>
    </row>
    <row r="237">
      <c r="A237" s="40" t="n"/>
      <c r="B237" s="35" t="n"/>
      <c r="C237" s="35" t="n"/>
      <c r="D237" s="37" t="n"/>
      <c r="E237" s="35" t="n"/>
      <c r="F237" s="35" t="n"/>
      <c r="G237" s="9">
        <f>IF(AND(B237="",D237=""),"",IF(B237="","Missing Job ID",IF(COUNTIF(Jobs!$A$5:$A$44,B237)=0,"Unknown Job ID",IF(AND(C237&lt;&gt;"",COUNTIF(Invoices!$A$5:$A$204,C237)=0),"Invoice # not in Invoices",IF(A237="","Missing date","")))))</f>
        <v/>
      </c>
      <c r="H237" s="35" t="n"/>
    </row>
    <row r="238">
      <c r="A238" s="40" t="n"/>
      <c r="B238" s="35" t="n"/>
      <c r="C238" s="35" t="n"/>
      <c r="D238" s="37" t="n"/>
      <c r="E238" s="35" t="n"/>
      <c r="F238" s="35" t="n"/>
      <c r="G238" s="9">
        <f>IF(AND(B238="",D238=""),"",IF(B238="","Missing Job ID",IF(COUNTIF(Jobs!$A$5:$A$44,B238)=0,"Unknown Job ID",IF(AND(C238&lt;&gt;"",COUNTIF(Invoices!$A$5:$A$204,C238)=0),"Invoice # not in Invoices",IF(A238="","Missing date","")))))</f>
        <v/>
      </c>
      <c r="H238" s="35" t="n"/>
    </row>
    <row r="239">
      <c r="A239" s="40" t="n"/>
      <c r="B239" s="35" t="n"/>
      <c r="C239" s="35" t="n"/>
      <c r="D239" s="37" t="n"/>
      <c r="E239" s="35" t="n"/>
      <c r="F239" s="35" t="n"/>
      <c r="G239" s="9">
        <f>IF(AND(B239="",D239=""),"",IF(B239="","Missing Job ID",IF(COUNTIF(Jobs!$A$5:$A$44,B239)=0,"Unknown Job ID",IF(AND(C239&lt;&gt;"",COUNTIF(Invoices!$A$5:$A$204,C239)=0),"Invoice # not in Invoices",IF(A239="","Missing date","")))))</f>
        <v/>
      </c>
      <c r="H239" s="35" t="n"/>
    </row>
    <row r="240">
      <c r="A240" s="40" t="n"/>
      <c r="B240" s="35" t="n"/>
      <c r="C240" s="35" t="n"/>
      <c r="D240" s="37" t="n"/>
      <c r="E240" s="35" t="n"/>
      <c r="F240" s="35" t="n"/>
      <c r="G240" s="9">
        <f>IF(AND(B240="",D240=""),"",IF(B240="","Missing Job ID",IF(COUNTIF(Jobs!$A$5:$A$44,B240)=0,"Unknown Job ID",IF(AND(C240&lt;&gt;"",COUNTIF(Invoices!$A$5:$A$204,C240)=0),"Invoice # not in Invoices",IF(A240="","Missing date","")))))</f>
        <v/>
      </c>
      <c r="H240" s="35" t="n"/>
    </row>
    <row r="241">
      <c r="A241" s="40" t="n"/>
      <c r="B241" s="35" t="n"/>
      <c r="C241" s="35" t="n"/>
      <c r="D241" s="37" t="n"/>
      <c r="E241" s="35" t="n"/>
      <c r="F241" s="35" t="n"/>
      <c r="G241" s="9">
        <f>IF(AND(B241="",D241=""),"",IF(B241="","Missing Job ID",IF(COUNTIF(Jobs!$A$5:$A$44,B241)=0,"Unknown Job ID",IF(AND(C241&lt;&gt;"",COUNTIF(Invoices!$A$5:$A$204,C241)=0),"Invoice # not in Invoices",IF(A241="","Missing date","")))))</f>
        <v/>
      </c>
      <c r="H241" s="35" t="n"/>
    </row>
    <row r="242">
      <c r="A242" s="40" t="n"/>
      <c r="B242" s="35" t="n"/>
      <c r="C242" s="35" t="n"/>
      <c r="D242" s="37" t="n"/>
      <c r="E242" s="35" t="n"/>
      <c r="F242" s="35" t="n"/>
      <c r="G242" s="9">
        <f>IF(AND(B242="",D242=""),"",IF(B242="","Missing Job ID",IF(COUNTIF(Jobs!$A$5:$A$44,B242)=0,"Unknown Job ID",IF(AND(C242&lt;&gt;"",COUNTIF(Invoices!$A$5:$A$204,C242)=0),"Invoice # not in Invoices",IF(A242="","Missing date","")))))</f>
        <v/>
      </c>
      <c r="H242" s="35" t="n"/>
    </row>
    <row r="243">
      <c r="A243" s="40" t="n"/>
      <c r="B243" s="35" t="n"/>
      <c r="C243" s="35" t="n"/>
      <c r="D243" s="37" t="n"/>
      <c r="E243" s="35" t="n"/>
      <c r="F243" s="35" t="n"/>
      <c r="G243" s="9">
        <f>IF(AND(B243="",D243=""),"",IF(B243="","Missing Job ID",IF(COUNTIF(Jobs!$A$5:$A$44,B243)=0,"Unknown Job ID",IF(AND(C243&lt;&gt;"",COUNTIF(Invoices!$A$5:$A$204,C243)=0),"Invoice # not in Invoices",IF(A243="","Missing date","")))))</f>
        <v/>
      </c>
      <c r="H243" s="35" t="n"/>
    </row>
    <row r="244">
      <c r="A244" s="40" t="n"/>
      <c r="B244" s="35" t="n"/>
      <c r="C244" s="35" t="n"/>
      <c r="D244" s="37" t="n"/>
      <c r="E244" s="35" t="n"/>
      <c r="F244" s="35" t="n"/>
      <c r="G244" s="9">
        <f>IF(AND(B244="",D244=""),"",IF(B244="","Missing Job ID",IF(COUNTIF(Jobs!$A$5:$A$44,B244)=0,"Unknown Job ID",IF(AND(C244&lt;&gt;"",COUNTIF(Invoices!$A$5:$A$204,C244)=0),"Invoice # not in Invoices",IF(A244="","Missing date","")))))</f>
        <v/>
      </c>
      <c r="H244" s="35" t="n"/>
    </row>
    <row r="245">
      <c r="A245" s="40" t="n"/>
      <c r="B245" s="35" t="n"/>
      <c r="C245" s="35" t="n"/>
      <c r="D245" s="37" t="n"/>
      <c r="E245" s="35" t="n"/>
      <c r="F245" s="35" t="n"/>
      <c r="G245" s="9">
        <f>IF(AND(B245="",D245=""),"",IF(B245="","Missing Job ID",IF(COUNTIF(Jobs!$A$5:$A$44,B245)=0,"Unknown Job ID",IF(AND(C245&lt;&gt;"",COUNTIF(Invoices!$A$5:$A$204,C245)=0),"Invoice # not in Invoices",IF(A245="","Missing date","")))))</f>
        <v/>
      </c>
      <c r="H245" s="35" t="n"/>
    </row>
    <row r="246">
      <c r="A246" s="40" t="n"/>
      <c r="B246" s="35" t="n"/>
      <c r="C246" s="35" t="n"/>
      <c r="D246" s="37" t="n"/>
      <c r="E246" s="35" t="n"/>
      <c r="F246" s="35" t="n"/>
      <c r="G246" s="9">
        <f>IF(AND(B246="",D246=""),"",IF(B246="","Missing Job ID",IF(COUNTIF(Jobs!$A$5:$A$44,B246)=0,"Unknown Job ID",IF(AND(C246&lt;&gt;"",COUNTIF(Invoices!$A$5:$A$204,C246)=0),"Invoice # not in Invoices",IF(A246="","Missing date","")))))</f>
        <v/>
      </c>
      <c r="H246" s="35" t="n"/>
    </row>
    <row r="247">
      <c r="A247" s="40" t="n"/>
      <c r="B247" s="35" t="n"/>
      <c r="C247" s="35" t="n"/>
      <c r="D247" s="37" t="n"/>
      <c r="E247" s="35" t="n"/>
      <c r="F247" s="35" t="n"/>
      <c r="G247" s="9">
        <f>IF(AND(B247="",D247=""),"",IF(B247="","Missing Job ID",IF(COUNTIF(Jobs!$A$5:$A$44,B247)=0,"Unknown Job ID",IF(AND(C247&lt;&gt;"",COUNTIF(Invoices!$A$5:$A$204,C247)=0),"Invoice # not in Invoices",IF(A247="","Missing date","")))))</f>
        <v/>
      </c>
      <c r="H247" s="35" t="n"/>
    </row>
    <row r="248">
      <c r="A248" s="40" t="n"/>
      <c r="B248" s="35" t="n"/>
      <c r="C248" s="35" t="n"/>
      <c r="D248" s="37" t="n"/>
      <c r="E248" s="35" t="n"/>
      <c r="F248" s="35" t="n"/>
      <c r="G248" s="9">
        <f>IF(AND(B248="",D248=""),"",IF(B248="","Missing Job ID",IF(COUNTIF(Jobs!$A$5:$A$44,B248)=0,"Unknown Job ID",IF(AND(C248&lt;&gt;"",COUNTIF(Invoices!$A$5:$A$204,C248)=0),"Invoice # not in Invoices",IF(A248="","Missing date","")))))</f>
        <v/>
      </c>
      <c r="H248" s="35" t="n"/>
    </row>
    <row r="249">
      <c r="A249" s="40" t="n"/>
      <c r="B249" s="35" t="n"/>
      <c r="C249" s="35" t="n"/>
      <c r="D249" s="37" t="n"/>
      <c r="E249" s="35" t="n"/>
      <c r="F249" s="35" t="n"/>
      <c r="G249" s="9">
        <f>IF(AND(B249="",D249=""),"",IF(B249="","Missing Job ID",IF(COUNTIF(Jobs!$A$5:$A$44,B249)=0,"Unknown Job ID",IF(AND(C249&lt;&gt;"",COUNTIF(Invoices!$A$5:$A$204,C249)=0),"Invoice # not in Invoices",IF(A249="","Missing date","")))))</f>
        <v/>
      </c>
      <c r="H249" s="35" t="n"/>
    </row>
    <row r="250">
      <c r="A250" s="40" t="n"/>
      <c r="B250" s="35" t="n"/>
      <c r="C250" s="35" t="n"/>
      <c r="D250" s="37" t="n"/>
      <c r="E250" s="35" t="n"/>
      <c r="F250" s="35" t="n"/>
      <c r="G250" s="9">
        <f>IF(AND(B250="",D250=""),"",IF(B250="","Missing Job ID",IF(COUNTIF(Jobs!$A$5:$A$44,B250)=0,"Unknown Job ID",IF(AND(C250&lt;&gt;"",COUNTIF(Invoices!$A$5:$A$204,C250)=0),"Invoice # not in Invoices",IF(A250="","Missing date","")))))</f>
        <v/>
      </c>
      <c r="H250" s="35" t="n"/>
    </row>
    <row r="251">
      <c r="A251" s="40" t="n"/>
      <c r="B251" s="35" t="n"/>
      <c r="C251" s="35" t="n"/>
      <c r="D251" s="37" t="n"/>
      <c r="E251" s="35" t="n"/>
      <c r="F251" s="35" t="n"/>
      <c r="G251" s="9">
        <f>IF(AND(B251="",D251=""),"",IF(B251="","Missing Job ID",IF(COUNTIF(Jobs!$A$5:$A$44,B251)=0,"Unknown Job ID",IF(AND(C251&lt;&gt;"",COUNTIF(Invoices!$A$5:$A$204,C251)=0),"Invoice # not in Invoices",IF(A251="","Missing date","")))))</f>
        <v/>
      </c>
      <c r="H251" s="35" t="n"/>
    </row>
    <row r="252">
      <c r="A252" s="40" t="n"/>
      <c r="B252" s="35" t="n"/>
      <c r="C252" s="35" t="n"/>
      <c r="D252" s="37" t="n"/>
      <c r="E252" s="35" t="n"/>
      <c r="F252" s="35" t="n"/>
      <c r="G252" s="9">
        <f>IF(AND(B252="",D252=""),"",IF(B252="","Missing Job ID",IF(COUNTIF(Jobs!$A$5:$A$44,B252)=0,"Unknown Job ID",IF(AND(C252&lt;&gt;"",COUNTIF(Invoices!$A$5:$A$204,C252)=0),"Invoice # not in Invoices",IF(A252="","Missing date","")))))</f>
        <v/>
      </c>
      <c r="H252" s="35" t="n"/>
    </row>
    <row r="253">
      <c r="A253" s="40" t="n"/>
      <c r="B253" s="35" t="n"/>
      <c r="C253" s="35" t="n"/>
      <c r="D253" s="37" t="n"/>
      <c r="E253" s="35" t="n"/>
      <c r="F253" s="35" t="n"/>
      <c r="G253" s="9">
        <f>IF(AND(B253="",D253=""),"",IF(B253="","Missing Job ID",IF(COUNTIF(Jobs!$A$5:$A$44,B253)=0,"Unknown Job ID",IF(AND(C253&lt;&gt;"",COUNTIF(Invoices!$A$5:$A$204,C253)=0),"Invoice # not in Invoices",IF(A253="","Missing date","")))))</f>
        <v/>
      </c>
      <c r="H253" s="35" t="n"/>
    </row>
    <row r="254">
      <c r="A254" s="40" t="n"/>
      <c r="B254" s="35" t="n"/>
      <c r="C254" s="35" t="n"/>
      <c r="D254" s="37" t="n"/>
      <c r="E254" s="35" t="n"/>
      <c r="F254" s="35" t="n"/>
      <c r="G254" s="9">
        <f>IF(AND(B254="",D254=""),"",IF(B254="","Missing Job ID",IF(COUNTIF(Jobs!$A$5:$A$44,B254)=0,"Unknown Job ID",IF(AND(C254&lt;&gt;"",COUNTIF(Invoices!$A$5:$A$204,C254)=0),"Invoice # not in Invoices",IF(A254="","Missing date","")))))</f>
        <v/>
      </c>
      <c r="H254" s="35" t="n"/>
    </row>
    <row r="255">
      <c r="A255" s="40" t="n"/>
      <c r="B255" s="35" t="n"/>
      <c r="C255" s="35" t="n"/>
      <c r="D255" s="37" t="n"/>
      <c r="E255" s="35" t="n"/>
      <c r="F255" s="35" t="n"/>
      <c r="G255" s="9">
        <f>IF(AND(B255="",D255=""),"",IF(B255="","Missing Job ID",IF(COUNTIF(Jobs!$A$5:$A$44,B255)=0,"Unknown Job ID",IF(AND(C255&lt;&gt;"",COUNTIF(Invoices!$A$5:$A$204,C255)=0),"Invoice # not in Invoices",IF(A255="","Missing date","")))))</f>
        <v/>
      </c>
      <c r="H255" s="35" t="n"/>
    </row>
    <row r="256">
      <c r="A256" s="40" t="n"/>
      <c r="B256" s="35" t="n"/>
      <c r="C256" s="35" t="n"/>
      <c r="D256" s="37" t="n"/>
      <c r="E256" s="35" t="n"/>
      <c r="F256" s="35" t="n"/>
      <c r="G256" s="9">
        <f>IF(AND(B256="",D256=""),"",IF(B256="","Missing Job ID",IF(COUNTIF(Jobs!$A$5:$A$44,B256)=0,"Unknown Job ID",IF(AND(C256&lt;&gt;"",COUNTIF(Invoices!$A$5:$A$204,C256)=0),"Invoice # not in Invoices",IF(A256="","Missing date","")))))</f>
        <v/>
      </c>
      <c r="H256" s="35" t="n"/>
    </row>
    <row r="257">
      <c r="A257" s="40" t="n"/>
      <c r="B257" s="35" t="n"/>
      <c r="C257" s="35" t="n"/>
      <c r="D257" s="37" t="n"/>
      <c r="E257" s="35" t="n"/>
      <c r="F257" s="35" t="n"/>
      <c r="G257" s="9">
        <f>IF(AND(B257="",D257=""),"",IF(B257="","Missing Job ID",IF(COUNTIF(Jobs!$A$5:$A$44,B257)=0,"Unknown Job ID",IF(AND(C257&lt;&gt;"",COUNTIF(Invoices!$A$5:$A$204,C257)=0),"Invoice # not in Invoices",IF(A257="","Missing date","")))))</f>
        <v/>
      </c>
      <c r="H257" s="35" t="n"/>
    </row>
    <row r="258">
      <c r="A258" s="40" t="n"/>
      <c r="B258" s="35" t="n"/>
      <c r="C258" s="35" t="n"/>
      <c r="D258" s="37" t="n"/>
      <c r="E258" s="35" t="n"/>
      <c r="F258" s="35" t="n"/>
      <c r="G258" s="9">
        <f>IF(AND(B258="",D258=""),"",IF(B258="","Missing Job ID",IF(COUNTIF(Jobs!$A$5:$A$44,B258)=0,"Unknown Job ID",IF(AND(C258&lt;&gt;"",COUNTIF(Invoices!$A$5:$A$204,C258)=0),"Invoice # not in Invoices",IF(A258="","Missing date","")))))</f>
        <v/>
      </c>
      <c r="H258" s="35" t="n"/>
    </row>
    <row r="259">
      <c r="A259" s="40" t="n"/>
      <c r="B259" s="35" t="n"/>
      <c r="C259" s="35" t="n"/>
      <c r="D259" s="37" t="n"/>
      <c r="E259" s="35" t="n"/>
      <c r="F259" s="35" t="n"/>
      <c r="G259" s="9">
        <f>IF(AND(B259="",D259=""),"",IF(B259="","Missing Job ID",IF(COUNTIF(Jobs!$A$5:$A$44,B259)=0,"Unknown Job ID",IF(AND(C259&lt;&gt;"",COUNTIF(Invoices!$A$5:$A$204,C259)=0),"Invoice # not in Invoices",IF(A259="","Missing date","")))))</f>
        <v/>
      </c>
      <c r="H259" s="35" t="n"/>
    </row>
    <row r="260">
      <c r="A260" s="40" t="n"/>
      <c r="B260" s="35" t="n"/>
      <c r="C260" s="35" t="n"/>
      <c r="D260" s="37" t="n"/>
      <c r="E260" s="35" t="n"/>
      <c r="F260" s="35" t="n"/>
      <c r="G260" s="9">
        <f>IF(AND(B260="",D260=""),"",IF(B260="","Missing Job ID",IF(COUNTIF(Jobs!$A$5:$A$44,B260)=0,"Unknown Job ID",IF(AND(C260&lt;&gt;"",COUNTIF(Invoices!$A$5:$A$204,C260)=0),"Invoice # not in Invoices",IF(A260="","Missing date","")))))</f>
        <v/>
      </c>
      <c r="H260" s="35" t="n"/>
    </row>
    <row r="261">
      <c r="A261" s="40" t="n"/>
      <c r="B261" s="35" t="n"/>
      <c r="C261" s="35" t="n"/>
      <c r="D261" s="37" t="n"/>
      <c r="E261" s="35" t="n"/>
      <c r="F261" s="35" t="n"/>
      <c r="G261" s="9">
        <f>IF(AND(B261="",D261=""),"",IF(B261="","Missing Job ID",IF(COUNTIF(Jobs!$A$5:$A$44,B261)=0,"Unknown Job ID",IF(AND(C261&lt;&gt;"",COUNTIF(Invoices!$A$5:$A$204,C261)=0),"Invoice # not in Invoices",IF(A261="","Missing date","")))))</f>
        <v/>
      </c>
      <c r="H261" s="35" t="n"/>
    </row>
    <row r="262">
      <c r="A262" s="40" t="n"/>
      <c r="B262" s="35" t="n"/>
      <c r="C262" s="35" t="n"/>
      <c r="D262" s="37" t="n"/>
      <c r="E262" s="35" t="n"/>
      <c r="F262" s="35" t="n"/>
      <c r="G262" s="9">
        <f>IF(AND(B262="",D262=""),"",IF(B262="","Missing Job ID",IF(COUNTIF(Jobs!$A$5:$A$44,B262)=0,"Unknown Job ID",IF(AND(C262&lt;&gt;"",COUNTIF(Invoices!$A$5:$A$204,C262)=0),"Invoice # not in Invoices",IF(A262="","Missing date","")))))</f>
        <v/>
      </c>
      <c r="H262" s="35" t="n"/>
    </row>
    <row r="263">
      <c r="A263" s="40" t="n"/>
      <c r="B263" s="35" t="n"/>
      <c r="C263" s="35" t="n"/>
      <c r="D263" s="37" t="n"/>
      <c r="E263" s="35" t="n"/>
      <c r="F263" s="35" t="n"/>
      <c r="G263" s="9">
        <f>IF(AND(B263="",D263=""),"",IF(B263="","Missing Job ID",IF(COUNTIF(Jobs!$A$5:$A$44,B263)=0,"Unknown Job ID",IF(AND(C263&lt;&gt;"",COUNTIF(Invoices!$A$5:$A$204,C263)=0),"Invoice # not in Invoices",IF(A263="","Missing date","")))))</f>
        <v/>
      </c>
      <c r="H263" s="35" t="n"/>
    </row>
    <row r="264">
      <c r="A264" s="40" t="n"/>
      <c r="B264" s="35" t="n"/>
      <c r="C264" s="35" t="n"/>
      <c r="D264" s="37" t="n"/>
      <c r="E264" s="35" t="n"/>
      <c r="F264" s="35" t="n"/>
      <c r="G264" s="9">
        <f>IF(AND(B264="",D264=""),"",IF(B264="","Missing Job ID",IF(COUNTIF(Jobs!$A$5:$A$44,B264)=0,"Unknown Job ID",IF(AND(C264&lt;&gt;"",COUNTIF(Invoices!$A$5:$A$204,C264)=0),"Invoice # not in Invoices",IF(A264="","Missing date","")))))</f>
        <v/>
      </c>
      <c r="H264" s="35" t="n"/>
    </row>
    <row r="265">
      <c r="A265" s="40" t="n"/>
      <c r="B265" s="35" t="n"/>
      <c r="C265" s="35" t="n"/>
      <c r="D265" s="37" t="n"/>
      <c r="E265" s="35" t="n"/>
      <c r="F265" s="35" t="n"/>
      <c r="G265" s="9">
        <f>IF(AND(B265="",D265=""),"",IF(B265="","Missing Job ID",IF(COUNTIF(Jobs!$A$5:$A$44,B265)=0,"Unknown Job ID",IF(AND(C265&lt;&gt;"",COUNTIF(Invoices!$A$5:$A$204,C265)=0),"Invoice # not in Invoices",IF(A265="","Missing date","")))))</f>
        <v/>
      </c>
      <c r="H265" s="35" t="n"/>
    </row>
    <row r="266">
      <c r="A266" s="40" t="n"/>
      <c r="B266" s="35" t="n"/>
      <c r="C266" s="35" t="n"/>
      <c r="D266" s="37" t="n"/>
      <c r="E266" s="35" t="n"/>
      <c r="F266" s="35" t="n"/>
      <c r="G266" s="9">
        <f>IF(AND(B266="",D266=""),"",IF(B266="","Missing Job ID",IF(COUNTIF(Jobs!$A$5:$A$44,B266)=0,"Unknown Job ID",IF(AND(C266&lt;&gt;"",COUNTIF(Invoices!$A$5:$A$204,C266)=0),"Invoice # not in Invoices",IF(A266="","Missing date","")))))</f>
        <v/>
      </c>
      <c r="H266" s="35" t="n"/>
    </row>
    <row r="267">
      <c r="A267" s="40" t="n"/>
      <c r="B267" s="35" t="n"/>
      <c r="C267" s="35" t="n"/>
      <c r="D267" s="37" t="n"/>
      <c r="E267" s="35" t="n"/>
      <c r="F267" s="35" t="n"/>
      <c r="G267" s="9">
        <f>IF(AND(B267="",D267=""),"",IF(B267="","Missing Job ID",IF(COUNTIF(Jobs!$A$5:$A$44,B267)=0,"Unknown Job ID",IF(AND(C267&lt;&gt;"",COUNTIF(Invoices!$A$5:$A$204,C267)=0),"Invoice # not in Invoices",IF(A267="","Missing date","")))))</f>
        <v/>
      </c>
      <c r="H267" s="35" t="n"/>
    </row>
    <row r="268">
      <c r="A268" s="40" t="n"/>
      <c r="B268" s="35" t="n"/>
      <c r="C268" s="35" t="n"/>
      <c r="D268" s="37" t="n"/>
      <c r="E268" s="35" t="n"/>
      <c r="F268" s="35" t="n"/>
      <c r="G268" s="9">
        <f>IF(AND(B268="",D268=""),"",IF(B268="","Missing Job ID",IF(COUNTIF(Jobs!$A$5:$A$44,B268)=0,"Unknown Job ID",IF(AND(C268&lt;&gt;"",COUNTIF(Invoices!$A$5:$A$204,C268)=0),"Invoice # not in Invoices",IF(A268="","Missing date","")))))</f>
        <v/>
      </c>
      <c r="H268" s="35" t="n"/>
    </row>
    <row r="269">
      <c r="A269" s="40" t="n"/>
      <c r="B269" s="35" t="n"/>
      <c r="C269" s="35" t="n"/>
      <c r="D269" s="37" t="n"/>
      <c r="E269" s="35" t="n"/>
      <c r="F269" s="35" t="n"/>
      <c r="G269" s="9">
        <f>IF(AND(B269="",D269=""),"",IF(B269="","Missing Job ID",IF(COUNTIF(Jobs!$A$5:$A$44,B269)=0,"Unknown Job ID",IF(AND(C269&lt;&gt;"",COUNTIF(Invoices!$A$5:$A$204,C269)=0),"Invoice # not in Invoices",IF(A269="","Missing date","")))))</f>
        <v/>
      </c>
      <c r="H269" s="35" t="n"/>
    </row>
    <row r="270">
      <c r="A270" s="40" t="n"/>
      <c r="B270" s="35" t="n"/>
      <c r="C270" s="35" t="n"/>
      <c r="D270" s="37" t="n"/>
      <c r="E270" s="35" t="n"/>
      <c r="F270" s="35" t="n"/>
      <c r="G270" s="9">
        <f>IF(AND(B270="",D270=""),"",IF(B270="","Missing Job ID",IF(COUNTIF(Jobs!$A$5:$A$44,B270)=0,"Unknown Job ID",IF(AND(C270&lt;&gt;"",COUNTIF(Invoices!$A$5:$A$204,C270)=0),"Invoice # not in Invoices",IF(A270="","Missing date","")))))</f>
        <v/>
      </c>
      <c r="H270" s="35" t="n"/>
    </row>
    <row r="271">
      <c r="A271" s="40" t="n"/>
      <c r="B271" s="35" t="n"/>
      <c r="C271" s="35" t="n"/>
      <c r="D271" s="37" t="n"/>
      <c r="E271" s="35" t="n"/>
      <c r="F271" s="35" t="n"/>
      <c r="G271" s="9">
        <f>IF(AND(B271="",D271=""),"",IF(B271="","Missing Job ID",IF(COUNTIF(Jobs!$A$5:$A$44,B271)=0,"Unknown Job ID",IF(AND(C271&lt;&gt;"",COUNTIF(Invoices!$A$5:$A$204,C271)=0),"Invoice # not in Invoices",IF(A271="","Missing date","")))))</f>
        <v/>
      </c>
      <c r="H271" s="35" t="n"/>
    </row>
    <row r="272">
      <c r="A272" s="40" t="n"/>
      <c r="B272" s="35" t="n"/>
      <c r="C272" s="35" t="n"/>
      <c r="D272" s="37" t="n"/>
      <c r="E272" s="35" t="n"/>
      <c r="F272" s="35" t="n"/>
      <c r="G272" s="9">
        <f>IF(AND(B272="",D272=""),"",IF(B272="","Missing Job ID",IF(COUNTIF(Jobs!$A$5:$A$44,B272)=0,"Unknown Job ID",IF(AND(C272&lt;&gt;"",COUNTIF(Invoices!$A$5:$A$204,C272)=0),"Invoice # not in Invoices",IF(A272="","Missing date","")))))</f>
        <v/>
      </c>
      <c r="H272" s="35" t="n"/>
    </row>
    <row r="273">
      <c r="A273" s="40" t="n"/>
      <c r="B273" s="35" t="n"/>
      <c r="C273" s="35" t="n"/>
      <c r="D273" s="37" t="n"/>
      <c r="E273" s="35" t="n"/>
      <c r="F273" s="35" t="n"/>
      <c r="G273" s="9">
        <f>IF(AND(B273="",D273=""),"",IF(B273="","Missing Job ID",IF(COUNTIF(Jobs!$A$5:$A$44,B273)=0,"Unknown Job ID",IF(AND(C273&lt;&gt;"",COUNTIF(Invoices!$A$5:$A$204,C273)=0),"Invoice # not in Invoices",IF(A273="","Missing date","")))))</f>
        <v/>
      </c>
      <c r="H273" s="35" t="n"/>
    </row>
    <row r="274">
      <c r="A274" s="40" t="n"/>
      <c r="B274" s="35" t="n"/>
      <c r="C274" s="35" t="n"/>
      <c r="D274" s="37" t="n"/>
      <c r="E274" s="35" t="n"/>
      <c r="F274" s="35" t="n"/>
      <c r="G274" s="9">
        <f>IF(AND(B274="",D274=""),"",IF(B274="","Missing Job ID",IF(COUNTIF(Jobs!$A$5:$A$44,B274)=0,"Unknown Job ID",IF(AND(C274&lt;&gt;"",COUNTIF(Invoices!$A$5:$A$204,C274)=0),"Invoice # not in Invoices",IF(A274="","Missing date","")))))</f>
        <v/>
      </c>
      <c r="H274" s="35" t="n"/>
    </row>
    <row r="275">
      <c r="A275" s="40" t="n"/>
      <c r="B275" s="35" t="n"/>
      <c r="C275" s="35" t="n"/>
      <c r="D275" s="37" t="n"/>
      <c r="E275" s="35" t="n"/>
      <c r="F275" s="35" t="n"/>
      <c r="G275" s="9">
        <f>IF(AND(B275="",D275=""),"",IF(B275="","Missing Job ID",IF(COUNTIF(Jobs!$A$5:$A$44,B275)=0,"Unknown Job ID",IF(AND(C275&lt;&gt;"",COUNTIF(Invoices!$A$5:$A$204,C275)=0),"Invoice # not in Invoices",IF(A275="","Missing date","")))))</f>
        <v/>
      </c>
      <c r="H275" s="35" t="n"/>
    </row>
    <row r="276">
      <c r="A276" s="40" t="n"/>
      <c r="B276" s="35" t="n"/>
      <c r="C276" s="35" t="n"/>
      <c r="D276" s="37" t="n"/>
      <c r="E276" s="35" t="n"/>
      <c r="F276" s="35" t="n"/>
      <c r="G276" s="9">
        <f>IF(AND(B276="",D276=""),"",IF(B276="","Missing Job ID",IF(COUNTIF(Jobs!$A$5:$A$44,B276)=0,"Unknown Job ID",IF(AND(C276&lt;&gt;"",COUNTIF(Invoices!$A$5:$A$204,C276)=0),"Invoice # not in Invoices",IF(A276="","Missing date","")))))</f>
        <v/>
      </c>
      <c r="H276" s="35" t="n"/>
    </row>
    <row r="277">
      <c r="A277" s="40" t="n"/>
      <c r="B277" s="35" t="n"/>
      <c r="C277" s="35" t="n"/>
      <c r="D277" s="37" t="n"/>
      <c r="E277" s="35" t="n"/>
      <c r="F277" s="35" t="n"/>
      <c r="G277" s="9">
        <f>IF(AND(B277="",D277=""),"",IF(B277="","Missing Job ID",IF(COUNTIF(Jobs!$A$5:$A$44,B277)=0,"Unknown Job ID",IF(AND(C277&lt;&gt;"",COUNTIF(Invoices!$A$5:$A$204,C277)=0),"Invoice # not in Invoices",IF(A277="","Missing date","")))))</f>
        <v/>
      </c>
      <c r="H277" s="35" t="n"/>
    </row>
    <row r="278">
      <c r="A278" s="40" t="n"/>
      <c r="B278" s="35" t="n"/>
      <c r="C278" s="35" t="n"/>
      <c r="D278" s="37" t="n"/>
      <c r="E278" s="35" t="n"/>
      <c r="F278" s="35" t="n"/>
      <c r="G278" s="9">
        <f>IF(AND(B278="",D278=""),"",IF(B278="","Missing Job ID",IF(COUNTIF(Jobs!$A$5:$A$44,B278)=0,"Unknown Job ID",IF(AND(C278&lt;&gt;"",COUNTIF(Invoices!$A$5:$A$204,C278)=0),"Invoice # not in Invoices",IF(A278="","Missing date","")))))</f>
        <v/>
      </c>
      <c r="H278" s="35" t="n"/>
    </row>
    <row r="279">
      <c r="A279" s="40" t="n"/>
      <c r="B279" s="35" t="n"/>
      <c r="C279" s="35" t="n"/>
      <c r="D279" s="37" t="n"/>
      <c r="E279" s="35" t="n"/>
      <c r="F279" s="35" t="n"/>
      <c r="G279" s="9">
        <f>IF(AND(B279="",D279=""),"",IF(B279="","Missing Job ID",IF(COUNTIF(Jobs!$A$5:$A$44,B279)=0,"Unknown Job ID",IF(AND(C279&lt;&gt;"",COUNTIF(Invoices!$A$5:$A$204,C279)=0),"Invoice # not in Invoices",IF(A279="","Missing date","")))))</f>
        <v/>
      </c>
      <c r="H279" s="35" t="n"/>
    </row>
    <row r="280">
      <c r="A280" s="40" t="n"/>
      <c r="B280" s="35" t="n"/>
      <c r="C280" s="35" t="n"/>
      <c r="D280" s="37" t="n"/>
      <c r="E280" s="35" t="n"/>
      <c r="F280" s="35" t="n"/>
      <c r="G280" s="9">
        <f>IF(AND(B280="",D280=""),"",IF(B280="","Missing Job ID",IF(COUNTIF(Jobs!$A$5:$A$44,B280)=0,"Unknown Job ID",IF(AND(C280&lt;&gt;"",COUNTIF(Invoices!$A$5:$A$204,C280)=0),"Invoice # not in Invoices",IF(A280="","Missing date","")))))</f>
        <v/>
      </c>
      <c r="H280" s="35" t="n"/>
    </row>
    <row r="281">
      <c r="A281" s="40" t="n"/>
      <c r="B281" s="35" t="n"/>
      <c r="C281" s="35" t="n"/>
      <c r="D281" s="37" t="n"/>
      <c r="E281" s="35" t="n"/>
      <c r="F281" s="35" t="n"/>
      <c r="G281" s="9">
        <f>IF(AND(B281="",D281=""),"",IF(B281="","Missing Job ID",IF(COUNTIF(Jobs!$A$5:$A$44,B281)=0,"Unknown Job ID",IF(AND(C281&lt;&gt;"",COUNTIF(Invoices!$A$5:$A$204,C281)=0),"Invoice # not in Invoices",IF(A281="","Missing date","")))))</f>
        <v/>
      </c>
      <c r="H281" s="35" t="n"/>
    </row>
    <row r="282">
      <c r="A282" s="40" t="n"/>
      <c r="B282" s="35" t="n"/>
      <c r="C282" s="35" t="n"/>
      <c r="D282" s="37" t="n"/>
      <c r="E282" s="35" t="n"/>
      <c r="F282" s="35" t="n"/>
      <c r="G282" s="9">
        <f>IF(AND(B282="",D282=""),"",IF(B282="","Missing Job ID",IF(COUNTIF(Jobs!$A$5:$A$44,B282)=0,"Unknown Job ID",IF(AND(C282&lt;&gt;"",COUNTIF(Invoices!$A$5:$A$204,C282)=0),"Invoice # not in Invoices",IF(A282="","Missing date","")))))</f>
        <v/>
      </c>
      <c r="H282" s="35" t="n"/>
    </row>
    <row r="283">
      <c r="A283" s="40" t="n"/>
      <c r="B283" s="35" t="n"/>
      <c r="C283" s="35" t="n"/>
      <c r="D283" s="37" t="n"/>
      <c r="E283" s="35" t="n"/>
      <c r="F283" s="35" t="n"/>
      <c r="G283" s="9">
        <f>IF(AND(B283="",D283=""),"",IF(B283="","Missing Job ID",IF(COUNTIF(Jobs!$A$5:$A$44,B283)=0,"Unknown Job ID",IF(AND(C283&lt;&gt;"",COUNTIF(Invoices!$A$5:$A$204,C283)=0),"Invoice # not in Invoices",IF(A283="","Missing date","")))))</f>
        <v/>
      </c>
      <c r="H283" s="35" t="n"/>
    </row>
    <row r="284">
      <c r="A284" s="40" t="n"/>
      <c r="B284" s="35" t="n"/>
      <c r="C284" s="35" t="n"/>
      <c r="D284" s="37" t="n"/>
      <c r="E284" s="35" t="n"/>
      <c r="F284" s="35" t="n"/>
      <c r="G284" s="9">
        <f>IF(AND(B284="",D284=""),"",IF(B284="","Missing Job ID",IF(COUNTIF(Jobs!$A$5:$A$44,B284)=0,"Unknown Job ID",IF(AND(C284&lt;&gt;"",COUNTIF(Invoices!$A$5:$A$204,C284)=0),"Invoice # not in Invoices",IF(A284="","Missing date","")))))</f>
        <v/>
      </c>
      <c r="H284" s="35" t="n"/>
    </row>
    <row r="285">
      <c r="A285" s="40" t="n"/>
      <c r="B285" s="35" t="n"/>
      <c r="C285" s="35" t="n"/>
      <c r="D285" s="37" t="n"/>
      <c r="E285" s="35" t="n"/>
      <c r="F285" s="35" t="n"/>
      <c r="G285" s="9">
        <f>IF(AND(B285="",D285=""),"",IF(B285="","Missing Job ID",IF(COUNTIF(Jobs!$A$5:$A$44,B285)=0,"Unknown Job ID",IF(AND(C285&lt;&gt;"",COUNTIF(Invoices!$A$5:$A$204,C285)=0),"Invoice # not in Invoices",IF(A285="","Missing date","")))))</f>
        <v/>
      </c>
      <c r="H285" s="35" t="n"/>
    </row>
    <row r="286">
      <c r="A286" s="40" t="n"/>
      <c r="B286" s="35" t="n"/>
      <c r="C286" s="35" t="n"/>
      <c r="D286" s="37" t="n"/>
      <c r="E286" s="35" t="n"/>
      <c r="F286" s="35" t="n"/>
      <c r="G286" s="9">
        <f>IF(AND(B286="",D286=""),"",IF(B286="","Missing Job ID",IF(COUNTIF(Jobs!$A$5:$A$44,B286)=0,"Unknown Job ID",IF(AND(C286&lt;&gt;"",COUNTIF(Invoices!$A$5:$A$204,C286)=0),"Invoice # not in Invoices",IF(A286="","Missing date","")))))</f>
        <v/>
      </c>
      <c r="H286" s="35" t="n"/>
    </row>
    <row r="287">
      <c r="A287" s="40" t="n"/>
      <c r="B287" s="35" t="n"/>
      <c r="C287" s="35" t="n"/>
      <c r="D287" s="37" t="n"/>
      <c r="E287" s="35" t="n"/>
      <c r="F287" s="35" t="n"/>
      <c r="G287" s="9">
        <f>IF(AND(B287="",D287=""),"",IF(B287="","Missing Job ID",IF(COUNTIF(Jobs!$A$5:$A$44,B287)=0,"Unknown Job ID",IF(AND(C287&lt;&gt;"",COUNTIF(Invoices!$A$5:$A$204,C287)=0),"Invoice # not in Invoices",IF(A287="","Missing date","")))))</f>
        <v/>
      </c>
      <c r="H287" s="35" t="n"/>
    </row>
    <row r="288">
      <c r="A288" s="40" t="n"/>
      <c r="B288" s="35" t="n"/>
      <c r="C288" s="35" t="n"/>
      <c r="D288" s="37" t="n"/>
      <c r="E288" s="35" t="n"/>
      <c r="F288" s="35" t="n"/>
      <c r="G288" s="9">
        <f>IF(AND(B288="",D288=""),"",IF(B288="","Missing Job ID",IF(COUNTIF(Jobs!$A$5:$A$44,B288)=0,"Unknown Job ID",IF(AND(C288&lt;&gt;"",COUNTIF(Invoices!$A$5:$A$204,C288)=0),"Invoice # not in Invoices",IF(A288="","Missing date","")))))</f>
        <v/>
      </c>
      <c r="H288" s="35" t="n"/>
    </row>
    <row r="289">
      <c r="A289" s="40" t="n"/>
      <c r="B289" s="35" t="n"/>
      <c r="C289" s="35" t="n"/>
      <c r="D289" s="37" t="n"/>
      <c r="E289" s="35" t="n"/>
      <c r="F289" s="35" t="n"/>
      <c r="G289" s="9">
        <f>IF(AND(B289="",D289=""),"",IF(B289="","Missing Job ID",IF(COUNTIF(Jobs!$A$5:$A$44,B289)=0,"Unknown Job ID",IF(AND(C289&lt;&gt;"",COUNTIF(Invoices!$A$5:$A$204,C289)=0),"Invoice # not in Invoices",IF(A289="","Missing date","")))))</f>
        <v/>
      </c>
      <c r="H289" s="35" t="n"/>
    </row>
    <row r="290">
      <c r="A290" s="40" t="n"/>
      <c r="B290" s="35" t="n"/>
      <c r="C290" s="35" t="n"/>
      <c r="D290" s="37" t="n"/>
      <c r="E290" s="35" t="n"/>
      <c r="F290" s="35" t="n"/>
      <c r="G290" s="9">
        <f>IF(AND(B290="",D290=""),"",IF(B290="","Missing Job ID",IF(COUNTIF(Jobs!$A$5:$A$44,B290)=0,"Unknown Job ID",IF(AND(C290&lt;&gt;"",COUNTIF(Invoices!$A$5:$A$204,C290)=0),"Invoice # not in Invoices",IF(A290="","Missing date","")))))</f>
        <v/>
      </c>
      <c r="H290" s="35" t="n"/>
    </row>
    <row r="291">
      <c r="A291" s="40" t="n"/>
      <c r="B291" s="35" t="n"/>
      <c r="C291" s="35" t="n"/>
      <c r="D291" s="37" t="n"/>
      <c r="E291" s="35" t="n"/>
      <c r="F291" s="35" t="n"/>
      <c r="G291" s="9">
        <f>IF(AND(B291="",D291=""),"",IF(B291="","Missing Job ID",IF(COUNTIF(Jobs!$A$5:$A$44,B291)=0,"Unknown Job ID",IF(AND(C291&lt;&gt;"",COUNTIF(Invoices!$A$5:$A$204,C291)=0),"Invoice # not in Invoices",IF(A291="","Missing date","")))))</f>
        <v/>
      </c>
      <c r="H291" s="35" t="n"/>
    </row>
    <row r="292">
      <c r="A292" s="40" t="n"/>
      <c r="B292" s="35" t="n"/>
      <c r="C292" s="35" t="n"/>
      <c r="D292" s="37" t="n"/>
      <c r="E292" s="35" t="n"/>
      <c r="F292" s="35" t="n"/>
      <c r="G292" s="9">
        <f>IF(AND(B292="",D292=""),"",IF(B292="","Missing Job ID",IF(COUNTIF(Jobs!$A$5:$A$44,B292)=0,"Unknown Job ID",IF(AND(C292&lt;&gt;"",COUNTIF(Invoices!$A$5:$A$204,C292)=0),"Invoice # not in Invoices",IF(A292="","Missing date","")))))</f>
        <v/>
      </c>
      <c r="H292" s="35" t="n"/>
    </row>
    <row r="293">
      <c r="A293" s="40" t="n"/>
      <c r="B293" s="35" t="n"/>
      <c r="C293" s="35" t="n"/>
      <c r="D293" s="37" t="n"/>
      <c r="E293" s="35" t="n"/>
      <c r="F293" s="35" t="n"/>
      <c r="G293" s="9">
        <f>IF(AND(B293="",D293=""),"",IF(B293="","Missing Job ID",IF(COUNTIF(Jobs!$A$5:$A$44,B293)=0,"Unknown Job ID",IF(AND(C293&lt;&gt;"",COUNTIF(Invoices!$A$5:$A$204,C293)=0),"Invoice # not in Invoices",IF(A293="","Missing date","")))))</f>
        <v/>
      </c>
      <c r="H293" s="35" t="n"/>
    </row>
    <row r="294">
      <c r="A294" s="40" t="n"/>
      <c r="B294" s="35" t="n"/>
      <c r="C294" s="35" t="n"/>
      <c r="D294" s="37" t="n"/>
      <c r="E294" s="35" t="n"/>
      <c r="F294" s="35" t="n"/>
      <c r="G294" s="9">
        <f>IF(AND(B294="",D294=""),"",IF(B294="","Missing Job ID",IF(COUNTIF(Jobs!$A$5:$A$44,B294)=0,"Unknown Job ID",IF(AND(C294&lt;&gt;"",COUNTIF(Invoices!$A$5:$A$204,C294)=0),"Invoice # not in Invoices",IF(A294="","Missing date","")))))</f>
        <v/>
      </c>
      <c r="H294" s="35" t="n"/>
    </row>
    <row r="295">
      <c r="A295" s="40" t="n"/>
      <c r="B295" s="35" t="n"/>
      <c r="C295" s="35" t="n"/>
      <c r="D295" s="37" t="n"/>
      <c r="E295" s="35" t="n"/>
      <c r="F295" s="35" t="n"/>
      <c r="G295" s="9">
        <f>IF(AND(B295="",D295=""),"",IF(B295="","Missing Job ID",IF(COUNTIF(Jobs!$A$5:$A$44,B295)=0,"Unknown Job ID",IF(AND(C295&lt;&gt;"",COUNTIF(Invoices!$A$5:$A$204,C295)=0),"Invoice # not in Invoices",IF(A295="","Missing date","")))))</f>
        <v/>
      </c>
      <c r="H295" s="35" t="n"/>
    </row>
    <row r="296">
      <c r="A296" s="40" t="n"/>
      <c r="B296" s="35" t="n"/>
      <c r="C296" s="35" t="n"/>
      <c r="D296" s="37" t="n"/>
      <c r="E296" s="35" t="n"/>
      <c r="F296" s="35" t="n"/>
      <c r="G296" s="9">
        <f>IF(AND(B296="",D296=""),"",IF(B296="","Missing Job ID",IF(COUNTIF(Jobs!$A$5:$A$44,B296)=0,"Unknown Job ID",IF(AND(C296&lt;&gt;"",COUNTIF(Invoices!$A$5:$A$204,C296)=0),"Invoice # not in Invoices",IF(A296="","Missing date","")))))</f>
        <v/>
      </c>
      <c r="H296" s="35" t="n"/>
    </row>
    <row r="297">
      <c r="A297" s="40" t="n"/>
      <c r="B297" s="35" t="n"/>
      <c r="C297" s="35" t="n"/>
      <c r="D297" s="37" t="n"/>
      <c r="E297" s="35" t="n"/>
      <c r="F297" s="35" t="n"/>
      <c r="G297" s="9">
        <f>IF(AND(B297="",D297=""),"",IF(B297="","Missing Job ID",IF(COUNTIF(Jobs!$A$5:$A$44,B297)=0,"Unknown Job ID",IF(AND(C297&lt;&gt;"",COUNTIF(Invoices!$A$5:$A$204,C297)=0),"Invoice # not in Invoices",IF(A297="","Missing date","")))))</f>
        <v/>
      </c>
      <c r="H297" s="35" t="n"/>
    </row>
    <row r="298">
      <c r="A298" s="40" t="n"/>
      <c r="B298" s="35" t="n"/>
      <c r="C298" s="35" t="n"/>
      <c r="D298" s="37" t="n"/>
      <c r="E298" s="35" t="n"/>
      <c r="F298" s="35" t="n"/>
      <c r="G298" s="9">
        <f>IF(AND(B298="",D298=""),"",IF(B298="","Missing Job ID",IF(COUNTIF(Jobs!$A$5:$A$44,B298)=0,"Unknown Job ID",IF(AND(C298&lt;&gt;"",COUNTIF(Invoices!$A$5:$A$204,C298)=0),"Invoice # not in Invoices",IF(A298="","Missing date","")))))</f>
        <v/>
      </c>
      <c r="H298" s="35" t="n"/>
    </row>
    <row r="299">
      <c r="A299" s="40" t="n"/>
      <c r="B299" s="35" t="n"/>
      <c r="C299" s="35" t="n"/>
      <c r="D299" s="37" t="n"/>
      <c r="E299" s="35" t="n"/>
      <c r="F299" s="35" t="n"/>
      <c r="G299" s="9">
        <f>IF(AND(B299="",D299=""),"",IF(B299="","Missing Job ID",IF(COUNTIF(Jobs!$A$5:$A$44,B299)=0,"Unknown Job ID",IF(AND(C299&lt;&gt;"",COUNTIF(Invoices!$A$5:$A$204,C299)=0),"Invoice # not in Invoices",IF(A299="","Missing date","")))))</f>
        <v/>
      </c>
      <c r="H299" s="35" t="n"/>
    </row>
    <row r="300">
      <c r="A300" s="40" t="n"/>
      <c r="B300" s="35" t="n"/>
      <c r="C300" s="35" t="n"/>
      <c r="D300" s="37" t="n"/>
      <c r="E300" s="35" t="n"/>
      <c r="F300" s="35" t="n"/>
      <c r="G300" s="9">
        <f>IF(AND(B300="",D300=""),"",IF(B300="","Missing Job ID",IF(COUNTIF(Jobs!$A$5:$A$44,B300)=0,"Unknown Job ID",IF(AND(C300&lt;&gt;"",COUNTIF(Invoices!$A$5:$A$204,C300)=0),"Invoice # not in Invoices",IF(A300="","Missing date","")))))</f>
        <v/>
      </c>
      <c r="H300" s="35" t="n"/>
    </row>
    <row r="301">
      <c r="A301" s="40" t="n"/>
      <c r="B301" s="35" t="n"/>
      <c r="C301" s="35" t="n"/>
      <c r="D301" s="37" t="n"/>
      <c r="E301" s="35" t="n"/>
      <c r="F301" s="35" t="n"/>
      <c r="G301" s="9">
        <f>IF(AND(B301="",D301=""),"",IF(B301="","Missing Job ID",IF(COUNTIF(Jobs!$A$5:$A$44,B301)=0,"Unknown Job ID",IF(AND(C301&lt;&gt;"",COUNTIF(Invoices!$A$5:$A$204,C301)=0),"Invoice # not in Invoices",IF(A301="","Missing date","")))))</f>
        <v/>
      </c>
      <c r="H301" s="35" t="n"/>
    </row>
    <row r="302">
      <c r="A302" s="40" t="n"/>
      <c r="B302" s="35" t="n"/>
      <c r="C302" s="35" t="n"/>
      <c r="D302" s="37" t="n"/>
      <c r="E302" s="35" t="n"/>
      <c r="F302" s="35" t="n"/>
      <c r="G302" s="9">
        <f>IF(AND(B302="",D302=""),"",IF(B302="","Missing Job ID",IF(COUNTIF(Jobs!$A$5:$A$44,B302)=0,"Unknown Job ID",IF(AND(C302&lt;&gt;"",COUNTIF(Invoices!$A$5:$A$204,C302)=0),"Invoice # not in Invoices",IF(A302="","Missing date","")))))</f>
        <v/>
      </c>
      <c r="H302" s="35" t="n"/>
    </row>
    <row r="303">
      <c r="A303" s="40" t="n"/>
      <c r="B303" s="35" t="n"/>
      <c r="C303" s="35" t="n"/>
      <c r="D303" s="37" t="n"/>
      <c r="E303" s="35" t="n"/>
      <c r="F303" s="35" t="n"/>
      <c r="G303" s="9">
        <f>IF(AND(B303="",D303=""),"",IF(B303="","Missing Job ID",IF(COUNTIF(Jobs!$A$5:$A$44,B303)=0,"Unknown Job ID",IF(AND(C303&lt;&gt;"",COUNTIF(Invoices!$A$5:$A$204,C303)=0),"Invoice # not in Invoices",IF(A303="","Missing date","")))))</f>
        <v/>
      </c>
      <c r="H303" s="35" t="n"/>
    </row>
    <row r="304">
      <c r="A304" s="40" t="n"/>
      <c r="B304" s="35" t="n"/>
      <c r="C304" s="35" t="n"/>
      <c r="D304" s="37" t="n"/>
      <c r="E304" s="35" t="n"/>
      <c r="F304" s="35" t="n"/>
      <c r="G304" s="9">
        <f>IF(AND(B304="",D304=""),"",IF(B304="","Missing Job ID",IF(COUNTIF(Jobs!$A$5:$A$44,B304)=0,"Unknown Job ID",IF(AND(C304&lt;&gt;"",COUNTIF(Invoices!$A$5:$A$204,C304)=0),"Invoice # not in Invoices",IF(A304="","Missing date","")))))</f>
        <v/>
      </c>
      <c r="H304" s="35" t="n"/>
    </row>
    <row r="305">
      <c r="A305" s="31" t="inlineStr">
        <is>
          <t>TOTAL</t>
        </is>
      </c>
      <c r="B305" s="31" t="n"/>
      <c r="C305" s="31" t="n"/>
      <c r="D305" s="41">
        <f>SUM(D5:D304)</f>
        <v/>
      </c>
      <c r="E305" s="31" t="n"/>
      <c r="F305" s="31" t="n"/>
      <c r="G305" s="31" t="n"/>
      <c r="H305" s="31" t="n"/>
    </row>
  </sheetData>
  <conditionalFormatting sqref="G5:G304">
    <cfRule type="expression" priority="1" dxfId="1">
      <formula>G5&lt;&gt;""</formula>
    </cfRule>
  </conditionalFormatting>
  <dataValidations count="3">
    <dataValidation sqref="B5:B304" showDropDown="0" showInputMessage="1" showErrorMessage="0" allowBlank="1" promptTitle="Pick from the list" prompt="Job IDs come from the Jobs sheet." type="list">
      <formula1>=Jobs!$A$5:$A$44</formula1>
    </dataValidation>
    <dataValidation sqref="C5:C304" showDropDown="0" showInputMessage="1" showErrorMessage="0" allowBlank="1" promptTitle="Pick from the list" prompt="Link the payment to an invoice so its balance updates." type="list">
      <formula1>=Invoices!$A$5:$A$204</formula1>
    </dataValidation>
    <dataValidation sqref="E5:E304" showDropDown="0" showInputMessage="0" showErrorMessage="0" allowBlank="1" type="list">
      <formula1>=Settings!$K$5:$K$10</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20.xml><?xml version="1.0" encoding="utf-8"?>
<worksheet xmlns="http://schemas.openxmlformats.org/spreadsheetml/2006/main">
  <sheetPr>
    <tabColor rgb="003A9D5D"/>
    <outlinePr summaryBelow="1" summaryRight="1"/>
    <pageSetUpPr fitToPage="1"/>
  </sheetPr>
  <dimension ref="A1:L52"/>
  <sheetViews>
    <sheetView showGridLines="0" tabSelected="0" workbookViewId="0">
      <selection activeCell="L2" sqref="L2"/>
    </sheetView>
  </sheetViews>
  <sheetFormatPr baseColWidth="8" defaultRowHeight="15"/>
  <cols>
    <col width="9" customWidth="1" min="1" max="1"/>
    <col width="15" customWidth="1" min="2" max="2"/>
    <col width="42" customWidth="1" min="3" max="3"/>
    <col width="12" customWidth="1" min="4" max="4"/>
    <col width="12" customWidth="1" min="5" max="5"/>
    <col width="14" customWidth="1" min="6" max="6"/>
    <col width="14" customWidth="1" min="7" max="7"/>
    <col width="14" customWidth="1" min="8" max="8"/>
    <col width="11" customWidth="1" min="9" max="9"/>
    <col width="3" customWidth="1" min="10" max="10"/>
    <col width="12" customWidth="1" min="11" max="11"/>
    <col width="24" customWidth="1" min="12" max="12"/>
  </cols>
  <sheetData>
    <row r="1">
      <c r="A1" s="43" t="inlineStr">
        <is>
          <t>STATEMENT</t>
        </is>
      </c>
    </row>
    <row r="2">
      <c r="K2" s="44" t="inlineStr">
        <is>
          <t>Client</t>
        </is>
      </c>
      <c r="L2" s="35" t="n"/>
    </row>
    <row r="3">
      <c r="K3" s="14" t="inlineStr">
        <is>
          <t>← pick a client; print or save as PDF. Columns K–L never print.</t>
        </is>
      </c>
    </row>
    <row r="4">
      <c r="B4" s="45" t="inlineStr">
        <is>
          <t>FROM</t>
        </is>
      </c>
      <c r="F4" s="45" t="inlineStr">
        <is>
          <t>TO</t>
        </is>
      </c>
    </row>
    <row r="5">
      <c r="B5" s="44">
        <f>Settings!$B$5&amp;""</f>
        <v/>
      </c>
      <c r="F5" s="44">
        <f>$L$2&amp;""</f>
        <v/>
      </c>
    </row>
    <row r="6">
      <c r="B6">
        <f>Settings!$B$6&amp;""</f>
        <v/>
      </c>
      <c r="F6">
        <f>IFERROR(INDEX(Clients!$B$5:$B$104,MATCH($L$2,Clients!$A$5:$A$104,0)),"")</f>
        <v/>
      </c>
    </row>
    <row r="7">
      <c r="B7">
        <f>Settings!$B$7&amp;""</f>
        <v/>
      </c>
      <c r="F7">
        <f>IFERROR(INDEX(Clients!$E$5:$E$104,MATCH($L$2,Clients!$A$5:$A$104,0)),"")</f>
        <v/>
      </c>
    </row>
    <row r="8">
      <c r="B8">
        <f>IF(Settings!$B$8="","","License # "&amp;Settings!$B$8)</f>
        <v/>
      </c>
      <c r="F8">
        <f>IFERROR(INDEX(Clients!$D$5:$D$104,MATCH($L$2,Clients!$A$5:$A$104,0)),"")</f>
        <v/>
      </c>
    </row>
    <row r="10">
      <c r="B10" s="44" t="inlineStr">
        <is>
          <t>Statement date</t>
        </is>
      </c>
      <c r="D10" s="47">
        <f>TODAY()</f>
        <v/>
      </c>
      <c r="F10" s="31" t="inlineStr">
        <is>
          <t>TOTAL BALANCE DUE</t>
        </is>
      </c>
      <c r="G10" s="31" t="n"/>
      <c r="H10" s="41">
        <f>SUMIFS(Invoices!$H$5:$H$204,Invoices!$M$5:$M$204,$L$2)</f>
        <v/>
      </c>
      <c r="I10" s="31" t="n"/>
    </row>
    <row r="12" ht="30" customHeight="1">
      <c r="B12" s="24" t="inlineStr">
        <is>
          <t>Invoice #</t>
        </is>
      </c>
      <c r="C12" s="24" t="inlineStr">
        <is>
          <t>Job</t>
        </is>
      </c>
      <c r="D12" s="24" t="inlineStr">
        <is>
          <t>Invoice date</t>
        </is>
      </c>
      <c r="E12" s="24" t="inlineStr">
        <is>
          <t>Due date</t>
        </is>
      </c>
      <c r="F12" s="24" t="inlineStr">
        <is>
          <t>Amount</t>
        </is>
      </c>
      <c r="G12" s="24" t="inlineStr">
        <is>
          <t>Paid</t>
        </is>
      </c>
      <c r="H12" s="24" t="inlineStr">
        <is>
          <t>Balance</t>
        </is>
      </c>
      <c r="I12" s="24" t="inlineStr">
        <is>
          <t>Status</t>
        </is>
      </c>
    </row>
    <row r="13">
      <c r="B13" s="9">
        <f>IFERROR(INDEX(Invoices!$A$5:$A$204,MATCH(1,Invoices!$N$5:$N$204,0)),"")</f>
        <v/>
      </c>
      <c r="C13" s="9">
        <f>IFERROR(INDEX(Invoices!$B$5:$B$204,MATCH(1,Invoices!$N$5:$N$204,0))&amp;"  "&amp;INDEX(Invoices!$F$5:$F$204,MATCH(1,Invoices!$N$5:$N$204,0)),"")</f>
        <v/>
      </c>
      <c r="D13" s="59">
        <f>IFERROR(INDEX(Invoices!$C$5:$C$204,MATCH(1,Invoices!$N$5:$N$204,0)),"")</f>
        <v/>
      </c>
      <c r="E13" s="59">
        <f>IFERROR(INDEX(Invoices!$D$5:$D$204,MATCH(1,Invoices!$N$5:$N$204,0)),"")</f>
        <v/>
      </c>
      <c r="F13" s="39">
        <f>IFERROR(INDEX(Invoices!$E$5:$E$204,MATCH(1,Invoices!$N$5:$N$204,0)),"")</f>
        <v/>
      </c>
      <c r="G13" s="39">
        <f>IFERROR(INDEX(Invoices!$G$5:$G$204,MATCH(1,Invoices!$N$5:$N$204,0)),"")</f>
        <v/>
      </c>
      <c r="H13" s="39">
        <f>IFERROR(INDEX(Invoices!$H$5:$H$204,MATCH(1,Invoices!$N$5:$N$204,0)),"")</f>
        <v/>
      </c>
      <c r="I13" s="9">
        <f>IFERROR(INDEX(Invoices!$I$5:$I$204,MATCH(1,Invoices!$N$5:$N$204,0)),"")</f>
        <v/>
      </c>
    </row>
    <row r="14">
      <c r="B14" s="9">
        <f>IFERROR(INDEX(Invoices!$A$5:$A$204,MATCH(2,Invoices!$N$5:$N$204,0)),"")</f>
        <v/>
      </c>
      <c r="C14" s="9">
        <f>IFERROR(INDEX(Invoices!$B$5:$B$204,MATCH(2,Invoices!$N$5:$N$204,0))&amp;"  "&amp;INDEX(Invoices!$F$5:$F$204,MATCH(2,Invoices!$N$5:$N$204,0)),"")</f>
        <v/>
      </c>
      <c r="D14" s="59">
        <f>IFERROR(INDEX(Invoices!$C$5:$C$204,MATCH(2,Invoices!$N$5:$N$204,0)),"")</f>
        <v/>
      </c>
      <c r="E14" s="59">
        <f>IFERROR(INDEX(Invoices!$D$5:$D$204,MATCH(2,Invoices!$N$5:$N$204,0)),"")</f>
        <v/>
      </c>
      <c r="F14" s="39">
        <f>IFERROR(INDEX(Invoices!$E$5:$E$204,MATCH(2,Invoices!$N$5:$N$204,0)),"")</f>
        <v/>
      </c>
      <c r="G14" s="39">
        <f>IFERROR(INDEX(Invoices!$G$5:$G$204,MATCH(2,Invoices!$N$5:$N$204,0)),"")</f>
        <v/>
      </c>
      <c r="H14" s="39">
        <f>IFERROR(INDEX(Invoices!$H$5:$H$204,MATCH(2,Invoices!$N$5:$N$204,0)),"")</f>
        <v/>
      </c>
      <c r="I14" s="9">
        <f>IFERROR(INDEX(Invoices!$I$5:$I$204,MATCH(2,Invoices!$N$5:$N$204,0)),"")</f>
        <v/>
      </c>
    </row>
    <row r="15">
      <c r="B15" s="9">
        <f>IFERROR(INDEX(Invoices!$A$5:$A$204,MATCH(3,Invoices!$N$5:$N$204,0)),"")</f>
        <v/>
      </c>
      <c r="C15" s="9">
        <f>IFERROR(INDEX(Invoices!$B$5:$B$204,MATCH(3,Invoices!$N$5:$N$204,0))&amp;"  "&amp;INDEX(Invoices!$F$5:$F$204,MATCH(3,Invoices!$N$5:$N$204,0)),"")</f>
        <v/>
      </c>
      <c r="D15" s="59">
        <f>IFERROR(INDEX(Invoices!$C$5:$C$204,MATCH(3,Invoices!$N$5:$N$204,0)),"")</f>
        <v/>
      </c>
      <c r="E15" s="59">
        <f>IFERROR(INDEX(Invoices!$D$5:$D$204,MATCH(3,Invoices!$N$5:$N$204,0)),"")</f>
        <v/>
      </c>
      <c r="F15" s="39">
        <f>IFERROR(INDEX(Invoices!$E$5:$E$204,MATCH(3,Invoices!$N$5:$N$204,0)),"")</f>
        <v/>
      </c>
      <c r="G15" s="39">
        <f>IFERROR(INDEX(Invoices!$G$5:$G$204,MATCH(3,Invoices!$N$5:$N$204,0)),"")</f>
        <v/>
      </c>
      <c r="H15" s="39">
        <f>IFERROR(INDEX(Invoices!$H$5:$H$204,MATCH(3,Invoices!$N$5:$N$204,0)),"")</f>
        <v/>
      </c>
      <c r="I15" s="9">
        <f>IFERROR(INDEX(Invoices!$I$5:$I$204,MATCH(3,Invoices!$N$5:$N$204,0)),"")</f>
        <v/>
      </c>
    </row>
    <row r="16">
      <c r="B16" s="9">
        <f>IFERROR(INDEX(Invoices!$A$5:$A$204,MATCH(4,Invoices!$N$5:$N$204,0)),"")</f>
        <v/>
      </c>
      <c r="C16" s="9">
        <f>IFERROR(INDEX(Invoices!$B$5:$B$204,MATCH(4,Invoices!$N$5:$N$204,0))&amp;"  "&amp;INDEX(Invoices!$F$5:$F$204,MATCH(4,Invoices!$N$5:$N$204,0)),"")</f>
        <v/>
      </c>
      <c r="D16" s="59">
        <f>IFERROR(INDEX(Invoices!$C$5:$C$204,MATCH(4,Invoices!$N$5:$N$204,0)),"")</f>
        <v/>
      </c>
      <c r="E16" s="59">
        <f>IFERROR(INDEX(Invoices!$D$5:$D$204,MATCH(4,Invoices!$N$5:$N$204,0)),"")</f>
        <v/>
      </c>
      <c r="F16" s="39">
        <f>IFERROR(INDEX(Invoices!$E$5:$E$204,MATCH(4,Invoices!$N$5:$N$204,0)),"")</f>
        <v/>
      </c>
      <c r="G16" s="39">
        <f>IFERROR(INDEX(Invoices!$G$5:$G$204,MATCH(4,Invoices!$N$5:$N$204,0)),"")</f>
        <v/>
      </c>
      <c r="H16" s="39">
        <f>IFERROR(INDEX(Invoices!$H$5:$H$204,MATCH(4,Invoices!$N$5:$N$204,0)),"")</f>
        <v/>
      </c>
      <c r="I16" s="9">
        <f>IFERROR(INDEX(Invoices!$I$5:$I$204,MATCH(4,Invoices!$N$5:$N$204,0)),"")</f>
        <v/>
      </c>
    </row>
    <row r="17">
      <c r="B17" s="9">
        <f>IFERROR(INDEX(Invoices!$A$5:$A$204,MATCH(5,Invoices!$N$5:$N$204,0)),"")</f>
        <v/>
      </c>
      <c r="C17" s="9">
        <f>IFERROR(INDEX(Invoices!$B$5:$B$204,MATCH(5,Invoices!$N$5:$N$204,0))&amp;"  "&amp;INDEX(Invoices!$F$5:$F$204,MATCH(5,Invoices!$N$5:$N$204,0)),"")</f>
        <v/>
      </c>
      <c r="D17" s="59">
        <f>IFERROR(INDEX(Invoices!$C$5:$C$204,MATCH(5,Invoices!$N$5:$N$204,0)),"")</f>
        <v/>
      </c>
      <c r="E17" s="59">
        <f>IFERROR(INDEX(Invoices!$D$5:$D$204,MATCH(5,Invoices!$N$5:$N$204,0)),"")</f>
        <v/>
      </c>
      <c r="F17" s="39">
        <f>IFERROR(INDEX(Invoices!$E$5:$E$204,MATCH(5,Invoices!$N$5:$N$204,0)),"")</f>
        <v/>
      </c>
      <c r="G17" s="39">
        <f>IFERROR(INDEX(Invoices!$G$5:$G$204,MATCH(5,Invoices!$N$5:$N$204,0)),"")</f>
        <v/>
      </c>
      <c r="H17" s="39">
        <f>IFERROR(INDEX(Invoices!$H$5:$H$204,MATCH(5,Invoices!$N$5:$N$204,0)),"")</f>
        <v/>
      </c>
      <c r="I17" s="9">
        <f>IFERROR(INDEX(Invoices!$I$5:$I$204,MATCH(5,Invoices!$N$5:$N$204,0)),"")</f>
        <v/>
      </c>
    </row>
    <row r="18">
      <c r="B18" s="9">
        <f>IFERROR(INDEX(Invoices!$A$5:$A$204,MATCH(6,Invoices!$N$5:$N$204,0)),"")</f>
        <v/>
      </c>
      <c r="C18" s="9">
        <f>IFERROR(INDEX(Invoices!$B$5:$B$204,MATCH(6,Invoices!$N$5:$N$204,0))&amp;"  "&amp;INDEX(Invoices!$F$5:$F$204,MATCH(6,Invoices!$N$5:$N$204,0)),"")</f>
        <v/>
      </c>
      <c r="D18" s="59">
        <f>IFERROR(INDEX(Invoices!$C$5:$C$204,MATCH(6,Invoices!$N$5:$N$204,0)),"")</f>
        <v/>
      </c>
      <c r="E18" s="59">
        <f>IFERROR(INDEX(Invoices!$D$5:$D$204,MATCH(6,Invoices!$N$5:$N$204,0)),"")</f>
        <v/>
      </c>
      <c r="F18" s="39">
        <f>IFERROR(INDEX(Invoices!$E$5:$E$204,MATCH(6,Invoices!$N$5:$N$204,0)),"")</f>
        <v/>
      </c>
      <c r="G18" s="39">
        <f>IFERROR(INDEX(Invoices!$G$5:$G$204,MATCH(6,Invoices!$N$5:$N$204,0)),"")</f>
        <v/>
      </c>
      <c r="H18" s="39">
        <f>IFERROR(INDEX(Invoices!$H$5:$H$204,MATCH(6,Invoices!$N$5:$N$204,0)),"")</f>
        <v/>
      </c>
      <c r="I18" s="9">
        <f>IFERROR(INDEX(Invoices!$I$5:$I$204,MATCH(6,Invoices!$N$5:$N$204,0)),"")</f>
        <v/>
      </c>
    </row>
    <row r="19">
      <c r="B19" s="9">
        <f>IFERROR(INDEX(Invoices!$A$5:$A$204,MATCH(7,Invoices!$N$5:$N$204,0)),"")</f>
        <v/>
      </c>
      <c r="C19" s="9">
        <f>IFERROR(INDEX(Invoices!$B$5:$B$204,MATCH(7,Invoices!$N$5:$N$204,0))&amp;"  "&amp;INDEX(Invoices!$F$5:$F$204,MATCH(7,Invoices!$N$5:$N$204,0)),"")</f>
        <v/>
      </c>
      <c r="D19" s="59">
        <f>IFERROR(INDEX(Invoices!$C$5:$C$204,MATCH(7,Invoices!$N$5:$N$204,0)),"")</f>
        <v/>
      </c>
      <c r="E19" s="59">
        <f>IFERROR(INDEX(Invoices!$D$5:$D$204,MATCH(7,Invoices!$N$5:$N$204,0)),"")</f>
        <v/>
      </c>
      <c r="F19" s="39">
        <f>IFERROR(INDEX(Invoices!$E$5:$E$204,MATCH(7,Invoices!$N$5:$N$204,0)),"")</f>
        <v/>
      </c>
      <c r="G19" s="39">
        <f>IFERROR(INDEX(Invoices!$G$5:$G$204,MATCH(7,Invoices!$N$5:$N$204,0)),"")</f>
        <v/>
      </c>
      <c r="H19" s="39">
        <f>IFERROR(INDEX(Invoices!$H$5:$H$204,MATCH(7,Invoices!$N$5:$N$204,0)),"")</f>
        <v/>
      </c>
      <c r="I19" s="9">
        <f>IFERROR(INDEX(Invoices!$I$5:$I$204,MATCH(7,Invoices!$N$5:$N$204,0)),"")</f>
        <v/>
      </c>
    </row>
    <row r="20">
      <c r="B20" s="9">
        <f>IFERROR(INDEX(Invoices!$A$5:$A$204,MATCH(8,Invoices!$N$5:$N$204,0)),"")</f>
        <v/>
      </c>
      <c r="C20" s="9">
        <f>IFERROR(INDEX(Invoices!$B$5:$B$204,MATCH(8,Invoices!$N$5:$N$204,0))&amp;"  "&amp;INDEX(Invoices!$F$5:$F$204,MATCH(8,Invoices!$N$5:$N$204,0)),"")</f>
        <v/>
      </c>
      <c r="D20" s="59">
        <f>IFERROR(INDEX(Invoices!$C$5:$C$204,MATCH(8,Invoices!$N$5:$N$204,0)),"")</f>
        <v/>
      </c>
      <c r="E20" s="59">
        <f>IFERROR(INDEX(Invoices!$D$5:$D$204,MATCH(8,Invoices!$N$5:$N$204,0)),"")</f>
        <v/>
      </c>
      <c r="F20" s="39">
        <f>IFERROR(INDEX(Invoices!$E$5:$E$204,MATCH(8,Invoices!$N$5:$N$204,0)),"")</f>
        <v/>
      </c>
      <c r="G20" s="39">
        <f>IFERROR(INDEX(Invoices!$G$5:$G$204,MATCH(8,Invoices!$N$5:$N$204,0)),"")</f>
        <v/>
      </c>
      <c r="H20" s="39">
        <f>IFERROR(INDEX(Invoices!$H$5:$H$204,MATCH(8,Invoices!$N$5:$N$204,0)),"")</f>
        <v/>
      </c>
      <c r="I20" s="9">
        <f>IFERROR(INDEX(Invoices!$I$5:$I$204,MATCH(8,Invoices!$N$5:$N$204,0)),"")</f>
        <v/>
      </c>
    </row>
    <row r="21">
      <c r="B21" s="9">
        <f>IFERROR(INDEX(Invoices!$A$5:$A$204,MATCH(9,Invoices!$N$5:$N$204,0)),"")</f>
        <v/>
      </c>
      <c r="C21" s="9">
        <f>IFERROR(INDEX(Invoices!$B$5:$B$204,MATCH(9,Invoices!$N$5:$N$204,0))&amp;"  "&amp;INDEX(Invoices!$F$5:$F$204,MATCH(9,Invoices!$N$5:$N$204,0)),"")</f>
        <v/>
      </c>
      <c r="D21" s="59">
        <f>IFERROR(INDEX(Invoices!$C$5:$C$204,MATCH(9,Invoices!$N$5:$N$204,0)),"")</f>
        <v/>
      </c>
      <c r="E21" s="59">
        <f>IFERROR(INDEX(Invoices!$D$5:$D$204,MATCH(9,Invoices!$N$5:$N$204,0)),"")</f>
        <v/>
      </c>
      <c r="F21" s="39">
        <f>IFERROR(INDEX(Invoices!$E$5:$E$204,MATCH(9,Invoices!$N$5:$N$204,0)),"")</f>
        <v/>
      </c>
      <c r="G21" s="39">
        <f>IFERROR(INDEX(Invoices!$G$5:$G$204,MATCH(9,Invoices!$N$5:$N$204,0)),"")</f>
        <v/>
      </c>
      <c r="H21" s="39">
        <f>IFERROR(INDEX(Invoices!$H$5:$H$204,MATCH(9,Invoices!$N$5:$N$204,0)),"")</f>
        <v/>
      </c>
      <c r="I21" s="9">
        <f>IFERROR(INDEX(Invoices!$I$5:$I$204,MATCH(9,Invoices!$N$5:$N$204,0)),"")</f>
        <v/>
      </c>
    </row>
    <row r="22">
      <c r="B22" s="9">
        <f>IFERROR(INDEX(Invoices!$A$5:$A$204,MATCH(10,Invoices!$N$5:$N$204,0)),"")</f>
        <v/>
      </c>
      <c r="C22" s="9">
        <f>IFERROR(INDEX(Invoices!$B$5:$B$204,MATCH(10,Invoices!$N$5:$N$204,0))&amp;"  "&amp;INDEX(Invoices!$F$5:$F$204,MATCH(10,Invoices!$N$5:$N$204,0)),"")</f>
        <v/>
      </c>
      <c r="D22" s="59">
        <f>IFERROR(INDEX(Invoices!$C$5:$C$204,MATCH(10,Invoices!$N$5:$N$204,0)),"")</f>
        <v/>
      </c>
      <c r="E22" s="59">
        <f>IFERROR(INDEX(Invoices!$D$5:$D$204,MATCH(10,Invoices!$N$5:$N$204,0)),"")</f>
        <v/>
      </c>
      <c r="F22" s="39">
        <f>IFERROR(INDEX(Invoices!$E$5:$E$204,MATCH(10,Invoices!$N$5:$N$204,0)),"")</f>
        <v/>
      </c>
      <c r="G22" s="39">
        <f>IFERROR(INDEX(Invoices!$G$5:$G$204,MATCH(10,Invoices!$N$5:$N$204,0)),"")</f>
        <v/>
      </c>
      <c r="H22" s="39">
        <f>IFERROR(INDEX(Invoices!$H$5:$H$204,MATCH(10,Invoices!$N$5:$N$204,0)),"")</f>
        <v/>
      </c>
      <c r="I22" s="9">
        <f>IFERROR(INDEX(Invoices!$I$5:$I$204,MATCH(10,Invoices!$N$5:$N$204,0)),"")</f>
        <v/>
      </c>
    </row>
    <row r="23">
      <c r="B23" s="9">
        <f>IFERROR(INDEX(Invoices!$A$5:$A$204,MATCH(11,Invoices!$N$5:$N$204,0)),"")</f>
        <v/>
      </c>
      <c r="C23" s="9">
        <f>IFERROR(INDEX(Invoices!$B$5:$B$204,MATCH(11,Invoices!$N$5:$N$204,0))&amp;"  "&amp;INDEX(Invoices!$F$5:$F$204,MATCH(11,Invoices!$N$5:$N$204,0)),"")</f>
        <v/>
      </c>
      <c r="D23" s="59">
        <f>IFERROR(INDEX(Invoices!$C$5:$C$204,MATCH(11,Invoices!$N$5:$N$204,0)),"")</f>
        <v/>
      </c>
      <c r="E23" s="59">
        <f>IFERROR(INDEX(Invoices!$D$5:$D$204,MATCH(11,Invoices!$N$5:$N$204,0)),"")</f>
        <v/>
      </c>
      <c r="F23" s="39">
        <f>IFERROR(INDEX(Invoices!$E$5:$E$204,MATCH(11,Invoices!$N$5:$N$204,0)),"")</f>
        <v/>
      </c>
      <c r="G23" s="39">
        <f>IFERROR(INDEX(Invoices!$G$5:$G$204,MATCH(11,Invoices!$N$5:$N$204,0)),"")</f>
        <v/>
      </c>
      <c r="H23" s="39">
        <f>IFERROR(INDEX(Invoices!$H$5:$H$204,MATCH(11,Invoices!$N$5:$N$204,0)),"")</f>
        <v/>
      </c>
      <c r="I23" s="9">
        <f>IFERROR(INDEX(Invoices!$I$5:$I$204,MATCH(11,Invoices!$N$5:$N$204,0)),"")</f>
        <v/>
      </c>
    </row>
    <row r="24">
      <c r="B24" s="9">
        <f>IFERROR(INDEX(Invoices!$A$5:$A$204,MATCH(12,Invoices!$N$5:$N$204,0)),"")</f>
        <v/>
      </c>
      <c r="C24" s="9">
        <f>IFERROR(INDEX(Invoices!$B$5:$B$204,MATCH(12,Invoices!$N$5:$N$204,0))&amp;"  "&amp;INDEX(Invoices!$F$5:$F$204,MATCH(12,Invoices!$N$5:$N$204,0)),"")</f>
        <v/>
      </c>
      <c r="D24" s="59">
        <f>IFERROR(INDEX(Invoices!$C$5:$C$204,MATCH(12,Invoices!$N$5:$N$204,0)),"")</f>
        <v/>
      </c>
      <c r="E24" s="59">
        <f>IFERROR(INDEX(Invoices!$D$5:$D$204,MATCH(12,Invoices!$N$5:$N$204,0)),"")</f>
        <v/>
      </c>
      <c r="F24" s="39">
        <f>IFERROR(INDEX(Invoices!$E$5:$E$204,MATCH(12,Invoices!$N$5:$N$204,0)),"")</f>
        <v/>
      </c>
      <c r="G24" s="39">
        <f>IFERROR(INDEX(Invoices!$G$5:$G$204,MATCH(12,Invoices!$N$5:$N$204,0)),"")</f>
        <v/>
      </c>
      <c r="H24" s="39">
        <f>IFERROR(INDEX(Invoices!$H$5:$H$204,MATCH(12,Invoices!$N$5:$N$204,0)),"")</f>
        <v/>
      </c>
      <c r="I24" s="9">
        <f>IFERROR(INDEX(Invoices!$I$5:$I$204,MATCH(12,Invoices!$N$5:$N$204,0)),"")</f>
        <v/>
      </c>
    </row>
    <row r="25">
      <c r="B25" s="9">
        <f>IFERROR(INDEX(Invoices!$A$5:$A$204,MATCH(13,Invoices!$N$5:$N$204,0)),"")</f>
        <v/>
      </c>
      <c r="C25" s="9">
        <f>IFERROR(INDEX(Invoices!$B$5:$B$204,MATCH(13,Invoices!$N$5:$N$204,0))&amp;"  "&amp;INDEX(Invoices!$F$5:$F$204,MATCH(13,Invoices!$N$5:$N$204,0)),"")</f>
        <v/>
      </c>
      <c r="D25" s="59">
        <f>IFERROR(INDEX(Invoices!$C$5:$C$204,MATCH(13,Invoices!$N$5:$N$204,0)),"")</f>
        <v/>
      </c>
      <c r="E25" s="59">
        <f>IFERROR(INDEX(Invoices!$D$5:$D$204,MATCH(13,Invoices!$N$5:$N$204,0)),"")</f>
        <v/>
      </c>
      <c r="F25" s="39">
        <f>IFERROR(INDEX(Invoices!$E$5:$E$204,MATCH(13,Invoices!$N$5:$N$204,0)),"")</f>
        <v/>
      </c>
      <c r="G25" s="39">
        <f>IFERROR(INDEX(Invoices!$G$5:$G$204,MATCH(13,Invoices!$N$5:$N$204,0)),"")</f>
        <v/>
      </c>
      <c r="H25" s="39">
        <f>IFERROR(INDEX(Invoices!$H$5:$H$204,MATCH(13,Invoices!$N$5:$N$204,0)),"")</f>
        <v/>
      </c>
      <c r="I25" s="9">
        <f>IFERROR(INDEX(Invoices!$I$5:$I$204,MATCH(13,Invoices!$N$5:$N$204,0)),"")</f>
        <v/>
      </c>
    </row>
    <row r="26">
      <c r="B26" s="9">
        <f>IFERROR(INDEX(Invoices!$A$5:$A$204,MATCH(14,Invoices!$N$5:$N$204,0)),"")</f>
        <v/>
      </c>
      <c r="C26" s="9">
        <f>IFERROR(INDEX(Invoices!$B$5:$B$204,MATCH(14,Invoices!$N$5:$N$204,0))&amp;"  "&amp;INDEX(Invoices!$F$5:$F$204,MATCH(14,Invoices!$N$5:$N$204,0)),"")</f>
        <v/>
      </c>
      <c r="D26" s="59">
        <f>IFERROR(INDEX(Invoices!$C$5:$C$204,MATCH(14,Invoices!$N$5:$N$204,0)),"")</f>
        <v/>
      </c>
      <c r="E26" s="59">
        <f>IFERROR(INDEX(Invoices!$D$5:$D$204,MATCH(14,Invoices!$N$5:$N$204,0)),"")</f>
        <v/>
      </c>
      <c r="F26" s="39">
        <f>IFERROR(INDEX(Invoices!$E$5:$E$204,MATCH(14,Invoices!$N$5:$N$204,0)),"")</f>
        <v/>
      </c>
      <c r="G26" s="39">
        <f>IFERROR(INDEX(Invoices!$G$5:$G$204,MATCH(14,Invoices!$N$5:$N$204,0)),"")</f>
        <v/>
      </c>
      <c r="H26" s="39">
        <f>IFERROR(INDEX(Invoices!$H$5:$H$204,MATCH(14,Invoices!$N$5:$N$204,0)),"")</f>
        <v/>
      </c>
      <c r="I26" s="9">
        <f>IFERROR(INDEX(Invoices!$I$5:$I$204,MATCH(14,Invoices!$N$5:$N$204,0)),"")</f>
        <v/>
      </c>
    </row>
    <row r="27">
      <c r="B27" s="9">
        <f>IFERROR(INDEX(Invoices!$A$5:$A$204,MATCH(15,Invoices!$N$5:$N$204,0)),"")</f>
        <v/>
      </c>
      <c r="C27" s="9">
        <f>IFERROR(INDEX(Invoices!$B$5:$B$204,MATCH(15,Invoices!$N$5:$N$204,0))&amp;"  "&amp;INDEX(Invoices!$F$5:$F$204,MATCH(15,Invoices!$N$5:$N$204,0)),"")</f>
        <v/>
      </c>
      <c r="D27" s="59">
        <f>IFERROR(INDEX(Invoices!$C$5:$C$204,MATCH(15,Invoices!$N$5:$N$204,0)),"")</f>
        <v/>
      </c>
      <c r="E27" s="59">
        <f>IFERROR(INDEX(Invoices!$D$5:$D$204,MATCH(15,Invoices!$N$5:$N$204,0)),"")</f>
        <v/>
      </c>
      <c r="F27" s="39">
        <f>IFERROR(INDEX(Invoices!$E$5:$E$204,MATCH(15,Invoices!$N$5:$N$204,0)),"")</f>
        <v/>
      </c>
      <c r="G27" s="39">
        <f>IFERROR(INDEX(Invoices!$G$5:$G$204,MATCH(15,Invoices!$N$5:$N$204,0)),"")</f>
        <v/>
      </c>
      <c r="H27" s="39">
        <f>IFERROR(INDEX(Invoices!$H$5:$H$204,MATCH(15,Invoices!$N$5:$N$204,0)),"")</f>
        <v/>
      </c>
      <c r="I27" s="9">
        <f>IFERROR(INDEX(Invoices!$I$5:$I$204,MATCH(15,Invoices!$N$5:$N$204,0)),"")</f>
        <v/>
      </c>
    </row>
    <row r="28">
      <c r="B28" s="9">
        <f>IFERROR(INDEX(Invoices!$A$5:$A$204,MATCH(16,Invoices!$N$5:$N$204,0)),"")</f>
        <v/>
      </c>
      <c r="C28" s="9">
        <f>IFERROR(INDEX(Invoices!$B$5:$B$204,MATCH(16,Invoices!$N$5:$N$204,0))&amp;"  "&amp;INDEX(Invoices!$F$5:$F$204,MATCH(16,Invoices!$N$5:$N$204,0)),"")</f>
        <v/>
      </c>
      <c r="D28" s="59">
        <f>IFERROR(INDEX(Invoices!$C$5:$C$204,MATCH(16,Invoices!$N$5:$N$204,0)),"")</f>
        <v/>
      </c>
      <c r="E28" s="59">
        <f>IFERROR(INDEX(Invoices!$D$5:$D$204,MATCH(16,Invoices!$N$5:$N$204,0)),"")</f>
        <v/>
      </c>
      <c r="F28" s="39">
        <f>IFERROR(INDEX(Invoices!$E$5:$E$204,MATCH(16,Invoices!$N$5:$N$204,0)),"")</f>
        <v/>
      </c>
      <c r="G28" s="39">
        <f>IFERROR(INDEX(Invoices!$G$5:$G$204,MATCH(16,Invoices!$N$5:$N$204,0)),"")</f>
        <v/>
      </c>
      <c r="H28" s="39">
        <f>IFERROR(INDEX(Invoices!$H$5:$H$204,MATCH(16,Invoices!$N$5:$N$204,0)),"")</f>
        <v/>
      </c>
      <c r="I28" s="9">
        <f>IFERROR(INDEX(Invoices!$I$5:$I$204,MATCH(16,Invoices!$N$5:$N$204,0)),"")</f>
        <v/>
      </c>
    </row>
    <row r="29">
      <c r="B29" s="9">
        <f>IFERROR(INDEX(Invoices!$A$5:$A$204,MATCH(17,Invoices!$N$5:$N$204,0)),"")</f>
        <v/>
      </c>
      <c r="C29" s="9">
        <f>IFERROR(INDEX(Invoices!$B$5:$B$204,MATCH(17,Invoices!$N$5:$N$204,0))&amp;"  "&amp;INDEX(Invoices!$F$5:$F$204,MATCH(17,Invoices!$N$5:$N$204,0)),"")</f>
        <v/>
      </c>
      <c r="D29" s="59">
        <f>IFERROR(INDEX(Invoices!$C$5:$C$204,MATCH(17,Invoices!$N$5:$N$204,0)),"")</f>
        <v/>
      </c>
      <c r="E29" s="59">
        <f>IFERROR(INDEX(Invoices!$D$5:$D$204,MATCH(17,Invoices!$N$5:$N$204,0)),"")</f>
        <v/>
      </c>
      <c r="F29" s="39">
        <f>IFERROR(INDEX(Invoices!$E$5:$E$204,MATCH(17,Invoices!$N$5:$N$204,0)),"")</f>
        <v/>
      </c>
      <c r="G29" s="39">
        <f>IFERROR(INDEX(Invoices!$G$5:$G$204,MATCH(17,Invoices!$N$5:$N$204,0)),"")</f>
        <v/>
      </c>
      <c r="H29" s="39">
        <f>IFERROR(INDEX(Invoices!$H$5:$H$204,MATCH(17,Invoices!$N$5:$N$204,0)),"")</f>
        <v/>
      </c>
      <c r="I29" s="9">
        <f>IFERROR(INDEX(Invoices!$I$5:$I$204,MATCH(17,Invoices!$N$5:$N$204,0)),"")</f>
        <v/>
      </c>
    </row>
    <row r="30">
      <c r="B30" s="9">
        <f>IFERROR(INDEX(Invoices!$A$5:$A$204,MATCH(18,Invoices!$N$5:$N$204,0)),"")</f>
        <v/>
      </c>
      <c r="C30" s="9">
        <f>IFERROR(INDEX(Invoices!$B$5:$B$204,MATCH(18,Invoices!$N$5:$N$204,0))&amp;"  "&amp;INDEX(Invoices!$F$5:$F$204,MATCH(18,Invoices!$N$5:$N$204,0)),"")</f>
        <v/>
      </c>
      <c r="D30" s="59">
        <f>IFERROR(INDEX(Invoices!$C$5:$C$204,MATCH(18,Invoices!$N$5:$N$204,0)),"")</f>
        <v/>
      </c>
      <c r="E30" s="59">
        <f>IFERROR(INDEX(Invoices!$D$5:$D$204,MATCH(18,Invoices!$N$5:$N$204,0)),"")</f>
        <v/>
      </c>
      <c r="F30" s="39">
        <f>IFERROR(INDEX(Invoices!$E$5:$E$204,MATCH(18,Invoices!$N$5:$N$204,0)),"")</f>
        <v/>
      </c>
      <c r="G30" s="39">
        <f>IFERROR(INDEX(Invoices!$G$5:$G$204,MATCH(18,Invoices!$N$5:$N$204,0)),"")</f>
        <v/>
      </c>
      <c r="H30" s="39">
        <f>IFERROR(INDEX(Invoices!$H$5:$H$204,MATCH(18,Invoices!$N$5:$N$204,0)),"")</f>
        <v/>
      </c>
      <c r="I30" s="9">
        <f>IFERROR(INDEX(Invoices!$I$5:$I$204,MATCH(18,Invoices!$N$5:$N$204,0)),"")</f>
        <v/>
      </c>
    </row>
    <row r="31">
      <c r="B31" s="9">
        <f>IFERROR(INDEX(Invoices!$A$5:$A$204,MATCH(19,Invoices!$N$5:$N$204,0)),"")</f>
        <v/>
      </c>
      <c r="C31" s="9">
        <f>IFERROR(INDEX(Invoices!$B$5:$B$204,MATCH(19,Invoices!$N$5:$N$204,0))&amp;"  "&amp;INDEX(Invoices!$F$5:$F$204,MATCH(19,Invoices!$N$5:$N$204,0)),"")</f>
        <v/>
      </c>
      <c r="D31" s="59">
        <f>IFERROR(INDEX(Invoices!$C$5:$C$204,MATCH(19,Invoices!$N$5:$N$204,0)),"")</f>
        <v/>
      </c>
      <c r="E31" s="59">
        <f>IFERROR(INDEX(Invoices!$D$5:$D$204,MATCH(19,Invoices!$N$5:$N$204,0)),"")</f>
        <v/>
      </c>
      <c r="F31" s="39">
        <f>IFERROR(INDEX(Invoices!$E$5:$E$204,MATCH(19,Invoices!$N$5:$N$204,0)),"")</f>
        <v/>
      </c>
      <c r="G31" s="39">
        <f>IFERROR(INDEX(Invoices!$G$5:$G$204,MATCH(19,Invoices!$N$5:$N$204,0)),"")</f>
        <v/>
      </c>
      <c r="H31" s="39">
        <f>IFERROR(INDEX(Invoices!$H$5:$H$204,MATCH(19,Invoices!$N$5:$N$204,0)),"")</f>
        <v/>
      </c>
      <c r="I31" s="9">
        <f>IFERROR(INDEX(Invoices!$I$5:$I$204,MATCH(19,Invoices!$N$5:$N$204,0)),"")</f>
        <v/>
      </c>
    </row>
    <row r="32">
      <c r="B32" s="9">
        <f>IFERROR(INDEX(Invoices!$A$5:$A$204,MATCH(20,Invoices!$N$5:$N$204,0)),"")</f>
        <v/>
      </c>
      <c r="C32" s="9">
        <f>IFERROR(INDEX(Invoices!$B$5:$B$204,MATCH(20,Invoices!$N$5:$N$204,0))&amp;"  "&amp;INDEX(Invoices!$F$5:$F$204,MATCH(20,Invoices!$N$5:$N$204,0)),"")</f>
        <v/>
      </c>
      <c r="D32" s="59">
        <f>IFERROR(INDEX(Invoices!$C$5:$C$204,MATCH(20,Invoices!$N$5:$N$204,0)),"")</f>
        <v/>
      </c>
      <c r="E32" s="59">
        <f>IFERROR(INDEX(Invoices!$D$5:$D$204,MATCH(20,Invoices!$N$5:$N$204,0)),"")</f>
        <v/>
      </c>
      <c r="F32" s="39">
        <f>IFERROR(INDEX(Invoices!$E$5:$E$204,MATCH(20,Invoices!$N$5:$N$204,0)),"")</f>
        <v/>
      </c>
      <c r="G32" s="39">
        <f>IFERROR(INDEX(Invoices!$G$5:$G$204,MATCH(20,Invoices!$N$5:$N$204,0)),"")</f>
        <v/>
      </c>
      <c r="H32" s="39">
        <f>IFERROR(INDEX(Invoices!$H$5:$H$204,MATCH(20,Invoices!$N$5:$N$204,0)),"")</f>
        <v/>
      </c>
      <c r="I32" s="9">
        <f>IFERROR(INDEX(Invoices!$I$5:$I$204,MATCH(20,Invoices!$N$5:$N$204,0)),"")</f>
        <v/>
      </c>
    </row>
    <row r="33">
      <c r="B33" s="9">
        <f>IFERROR(INDEX(Invoices!$A$5:$A$204,MATCH(21,Invoices!$N$5:$N$204,0)),"")</f>
        <v/>
      </c>
      <c r="C33" s="9">
        <f>IFERROR(INDEX(Invoices!$B$5:$B$204,MATCH(21,Invoices!$N$5:$N$204,0))&amp;"  "&amp;INDEX(Invoices!$F$5:$F$204,MATCH(21,Invoices!$N$5:$N$204,0)),"")</f>
        <v/>
      </c>
      <c r="D33" s="59">
        <f>IFERROR(INDEX(Invoices!$C$5:$C$204,MATCH(21,Invoices!$N$5:$N$204,0)),"")</f>
        <v/>
      </c>
      <c r="E33" s="59">
        <f>IFERROR(INDEX(Invoices!$D$5:$D$204,MATCH(21,Invoices!$N$5:$N$204,0)),"")</f>
        <v/>
      </c>
      <c r="F33" s="39">
        <f>IFERROR(INDEX(Invoices!$E$5:$E$204,MATCH(21,Invoices!$N$5:$N$204,0)),"")</f>
        <v/>
      </c>
      <c r="G33" s="39">
        <f>IFERROR(INDEX(Invoices!$G$5:$G$204,MATCH(21,Invoices!$N$5:$N$204,0)),"")</f>
        <v/>
      </c>
      <c r="H33" s="39">
        <f>IFERROR(INDEX(Invoices!$H$5:$H$204,MATCH(21,Invoices!$N$5:$N$204,0)),"")</f>
        <v/>
      </c>
      <c r="I33" s="9">
        <f>IFERROR(INDEX(Invoices!$I$5:$I$204,MATCH(21,Invoices!$N$5:$N$204,0)),"")</f>
        <v/>
      </c>
    </row>
    <row r="34">
      <c r="B34" s="9">
        <f>IFERROR(INDEX(Invoices!$A$5:$A$204,MATCH(22,Invoices!$N$5:$N$204,0)),"")</f>
        <v/>
      </c>
      <c r="C34" s="9">
        <f>IFERROR(INDEX(Invoices!$B$5:$B$204,MATCH(22,Invoices!$N$5:$N$204,0))&amp;"  "&amp;INDEX(Invoices!$F$5:$F$204,MATCH(22,Invoices!$N$5:$N$204,0)),"")</f>
        <v/>
      </c>
      <c r="D34" s="59">
        <f>IFERROR(INDEX(Invoices!$C$5:$C$204,MATCH(22,Invoices!$N$5:$N$204,0)),"")</f>
        <v/>
      </c>
      <c r="E34" s="59">
        <f>IFERROR(INDEX(Invoices!$D$5:$D$204,MATCH(22,Invoices!$N$5:$N$204,0)),"")</f>
        <v/>
      </c>
      <c r="F34" s="39">
        <f>IFERROR(INDEX(Invoices!$E$5:$E$204,MATCH(22,Invoices!$N$5:$N$204,0)),"")</f>
        <v/>
      </c>
      <c r="G34" s="39">
        <f>IFERROR(INDEX(Invoices!$G$5:$G$204,MATCH(22,Invoices!$N$5:$N$204,0)),"")</f>
        <v/>
      </c>
      <c r="H34" s="39">
        <f>IFERROR(INDEX(Invoices!$H$5:$H$204,MATCH(22,Invoices!$N$5:$N$204,0)),"")</f>
        <v/>
      </c>
      <c r="I34" s="9">
        <f>IFERROR(INDEX(Invoices!$I$5:$I$204,MATCH(22,Invoices!$N$5:$N$204,0)),"")</f>
        <v/>
      </c>
    </row>
    <row r="35">
      <c r="B35" s="9">
        <f>IFERROR(INDEX(Invoices!$A$5:$A$204,MATCH(23,Invoices!$N$5:$N$204,0)),"")</f>
        <v/>
      </c>
      <c r="C35" s="9">
        <f>IFERROR(INDEX(Invoices!$B$5:$B$204,MATCH(23,Invoices!$N$5:$N$204,0))&amp;"  "&amp;INDEX(Invoices!$F$5:$F$204,MATCH(23,Invoices!$N$5:$N$204,0)),"")</f>
        <v/>
      </c>
      <c r="D35" s="59">
        <f>IFERROR(INDEX(Invoices!$C$5:$C$204,MATCH(23,Invoices!$N$5:$N$204,0)),"")</f>
        <v/>
      </c>
      <c r="E35" s="59">
        <f>IFERROR(INDEX(Invoices!$D$5:$D$204,MATCH(23,Invoices!$N$5:$N$204,0)),"")</f>
        <v/>
      </c>
      <c r="F35" s="39">
        <f>IFERROR(INDEX(Invoices!$E$5:$E$204,MATCH(23,Invoices!$N$5:$N$204,0)),"")</f>
        <v/>
      </c>
      <c r="G35" s="39">
        <f>IFERROR(INDEX(Invoices!$G$5:$G$204,MATCH(23,Invoices!$N$5:$N$204,0)),"")</f>
        <v/>
      </c>
      <c r="H35" s="39">
        <f>IFERROR(INDEX(Invoices!$H$5:$H$204,MATCH(23,Invoices!$N$5:$N$204,0)),"")</f>
        <v/>
      </c>
      <c r="I35" s="9">
        <f>IFERROR(INDEX(Invoices!$I$5:$I$204,MATCH(23,Invoices!$N$5:$N$204,0)),"")</f>
        <v/>
      </c>
    </row>
    <row r="36">
      <c r="B36" s="9">
        <f>IFERROR(INDEX(Invoices!$A$5:$A$204,MATCH(24,Invoices!$N$5:$N$204,0)),"")</f>
        <v/>
      </c>
      <c r="C36" s="9">
        <f>IFERROR(INDEX(Invoices!$B$5:$B$204,MATCH(24,Invoices!$N$5:$N$204,0))&amp;"  "&amp;INDEX(Invoices!$F$5:$F$204,MATCH(24,Invoices!$N$5:$N$204,0)),"")</f>
        <v/>
      </c>
      <c r="D36" s="59">
        <f>IFERROR(INDEX(Invoices!$C$5:$C$204,MATCH(24,Invoices!$N$5:$N$204,0)),"")</f>
        <v/>
      </c>
      <c r="E36" s="59">
        <f>IFERROR(INDEX(Invoices!$D$5:$D$204,MATCH(24,Invoices!$N$5:$N$204,0)),"")</f>
        <v/>
      </c>
      <c r="F36" s="39">
        <f>IFERROR(INDEX(Invoices!$E$5:$E$204,MATCH(24,Invoices!$N$5:$N$204,0)),"")</f>
        <v/>
      </c>
      <c r="G36" s="39">
        <f>IFERROR(INDEX(Invoices!$G$5:$G$204,MATCH(24,Invoices!$N$5:$N$204,0)),"")</f>
        <v/>
      </c>
      <c r="H36" s="39">
        <f>IFERROR(INDEX(Invoices!$H$5:$H$204,MATCH(24,Invoices!$N$5:$N$204,0)),"")</f>
        <v/>
      </c>
      <c r="I36" s="9">
        <f>IFERROR(INDEX(Invoices!$I$5:$I$204,MATCH(24,Invoices!$N$5:$N$204,0)),"")</f>
        <v/>
      </c>
    </row>
    <row r="37">
      <c r="B37" s="9">
        <f>IFERROR(INDEX(Invoices!$A$5:$A$204,MATCH(25,Invoices!$N$5:$N$204,0)),"")</f>
        <v/>
      </c>
      <c r="C37" s="9">
        <f>IFERROR(INDEX(Invoices!$B$5:$B$204,MATCH(25,Invoices!$N$5:$N$204,0))&amp;"  "&amp;INDEX(Invoices!$F$5:$F$204,MATCH(25,Invoices!$N$5:$N$204,0)),"")</f>
        <v/>
      </c>
      <c r="D37" s="59">
        <f>IFERROR(INDEX(Invoices!$C$5:$C$204,MATCH(25,Invoices!$N$5:$N$204,0)),"")</f>
        <v/>
      </c>
      <c r="E37" s="59">
        <f>IFERROR(INDEX(Invoices!$D$5:$D$204,MATCH(25,Invoices!$N$5:$N$204,0)),"")</f>
        <v/>
      </c>
      <c r="F37" s="39">
        <f>IFERROR(INDEX(Invoices!$E$5:$E$204,MATCH(25,Invoices!$N$5:$N$204,0)),"")</f>
        <v/>
      </c>
      <c r="G37" s="39">
        <f>IFERROR(INDEX(Invoices!$G$5:$G$204,MATCH(25,Invoices!$N$5:$N$204,0)),"")</f>
        <v/>
      </c>
      <c r="H37" s="39">
        <f>IFERROR(INDEX(Invoices!$H$5:$H$204,MATCH(25,Invoices!$N$5:$N$204,0)),"")</f>
        <v/>
      </c>
      <c r="I37" s="9">
        <f>IFERROR(INDEX(Invoices!$I$5:$I$204,MATCH(25,Invoices!$N$5:$N$204,0)),"")</f>
        <v/>
      </c>
    </row>
    <row r="38">
      <c r="B38" s="9">
        <f>IFERROR(INDEX(Invoices!$A$5:$A$204,MATCH(26,Invoices!$N$5:$N$204,0)),"")</f>
        <v/>
      </c>
      <c r="C38" s="9">
        <f>IFERROR(INDEX(Invoices!$B$5:$B$204,MATCH(26,Invoices!$N$5:$N$204,0))&amp;"  "&amp;INDEX(Invoices!$F$5:$F$204,MATCH(26,Invoices!$N$5:$N$204,0)),"")</f>
        <v/>
      </c>
      <c r="D38" s="59">
        <f>IFERROR(INDEX(Invoices!$C$5:$C$204,MATCH(26,Invoices!$N$5:$N$204,0)),"")</f>
        <v/>
      </c>
      <c r="E38" s="59">
        <f>IFERROR(INDEX(Invoices!$D$5:$D$204,MATCH(26,Invoices!$N$5:$N$204,0)),"")</f>
        <v/>
      </c>
      <c r="F38" s="39">
        <f>IFERROR(INDEX(Invoices!$E$5:$E$204,MATCH(26,Invoices!$N$5:$N$204,0)),"")</f>
        <v/>
      </c>
      <c r="G38" s="39">
        <f>IFERROR(INDEX(Invoices!$G$5:$G$204,MATCH(26,Invoices!$N$5:$N$204,0)),"")</f>
        <v/>
      </c>
      <c r="H38" s="39">
        <f>IFERROR(INDEX(Invoices!$H$5:$H$204,MATCH(26,Invoices!$N$5:$N$204,0)),"")</f>
        <v/>
      </c>
      <c r="I38" s="9">
        <f>IFERROR(INDEX(Invoices!$I$5:$I$204,MATCH(26,Invoices!$N$5:$N$204,0)),"")</f>
        <v/>
      </c>
    </row>
    <row r="39">
      <c r="B39" s="9">
        <f>IFERROR(INDEX(Invoices!$A$5:$A$204,MATCH(27,Invoices!$N$5:$N$204,0)),"")</f>
        <v/>
      </c>
      <c r="C39" s="9">
        <f>IFERROR(INDEX(Invoices!$B$5:$B$204,MATCH(27,Invoices!$N$5:$N$204,0))&amp;"  "&amp;INDEX(Invoices!$F$5:$F$204,MATCH(27,Invoices!$N$5:$N$204,0)),"")</f>
        <v/>
      </c>
      <c r="D39" s="59">
        <f>IFERROR(INDEX(Invoices!$C$5:$C$204,MATCH(27,Invoices!$N$5:$N$204,0)),"")</f>
        <v/>
      </c>
      <c r="E39" s="59">
        <f>IFERROR(INDEX(Invoices!$D$5:$D$204,MATCH(27,Invoices!$N$5:$N$204,0)),"")</f>
        <v/>
      </c>
      <c r="F39" s="39">
        <f>IFERROR(INDEX(Invoices!$E$5:$E$204,MATCH(27,Invoices!$N$5:$N$204,0)),"")</f>
        <v/>
      </c>
      <c r="G39" s="39">
        <f>IFERROR(INDEX(Invoices!$G$5:$G$204,MATCH(27,Invoices!$N$5:$N$204,0)),"")</f>
        <v/>
      </c>
      <c r="H39" s="39">
        <f>IFERROR(INDEX(Invoices!$H$5:$H$204,MATCH(27,Invoices!$N$5:$N$204,0)),"")</f>
        <v/>
      </c>
      <c r="I39" s="9">
        <f>IFERROR(INDEX(Invoices!$I$5:$I$204,MATCH(27,Invoices!$N$5:$N$204,0)),"")</f>
        <v/>
      </c>
    </row>
    <row r="40">
      <c r="B40" s="9">
        <f>IFERROR(INDEX(Invoices!$A$5:$A$204,MATCH(28,Invoices!$N$5:$N$204,0)),"")</f>
        <v/>
      </c>
      <c r="C40" s="9">
        <f>IFERROR(INDEX(Invoices!$B$5:$B$204,MATCH(28,Invoices!$N$5:$N$204,0))&amp;"  "&amp;INDEX(Invoices!$F$5:$F$204,MATCH(28,Invoices!$N$5:$N$204,0)),"")</f>
        <v/>
      </c>
      <c r="D40" s="59">
        <f>IFERROR(INDEX(Invoices!$C$5:$C$204,MATCH(28,Invoices!$N$5:$N$204,0)),"")</f>
        <v/>
      </c>
      <c r="E40" s="59">
        <f>IFERROR(INDEX(Invoices!$D$5:$D$204,MATCH(28,Invoices!$N$5:$N$204,0)),"")</f>
        <v/>
      </c>
      <c r="F40" s="39">
        <f>IFERROR(INDEX(Invoices!$E$5:$E$204,MATCH(28,Invoices!$N$5:$N$204,0)),"")</f>
        <v/>
      </c>
      <c r="G40" s="39">
        <f>IFERROR(INDEX(Invoices!$G$5:$G$204,MATCH(28,Invoices!$N$5:$N$204,0)),"")</f>
        <v/>
      </c>
      <c r="H40" s="39">
        <f>IFERROR(INDEX(Invoices!$H$5:$H$204,MATCH(28,Invoices!$N$5:$N$204,0)),"")</f>
        <v/>
      </c>
      <c r="I40" s="9">
        <f>IFERROR(INDEX(Invoices!$I$5:$I$204,MATCH(28,Invoices!$N$5:$N$204,0)),"")</f>
        <v/>
      </c>
    </row>
    <row r="41">
      <c r="B41" s="9">
        <f>IFERROR(INDEX(Invoices!$A$5:$A$204,MATCH(29,Invoices!$N$5:$N$204,0)),"")</f>
        <v/>
      </c>
      <c r="C41" s="9">
        <f>IFERROR(INDEX(Invoices!$B$5:$B$204,MATCH(29,Invoices!$N$5:$N$204,0))&amp;"  "&amp;INDEX(Invoices!$F$5:$F$204,MATCH(29,Invoices!$N$5:$N$204,0)),"")</f>
        <v/>
      </c>
      <c r="D41" s="59">
        <f>IFERROR(INDEX(Invoices!$C$5:$C$204,MATCH(29,Invoices!$N$5:$N$204,0)),"")</f>
        <v/>
      </c>
      <c r="E41" s="59">
        <f>IFERROR(INDEX(Invoices!$D$5:$D$204,MATCH(29,Invoices!$N$5:$N$204,0)),"")</f>
        <v/>
      </c>
      <c r="F41" s="39">
        <f>IFERROR(INDEX(Invoices!$E$5:$E$204,MATCH(29,Invoices!$N$5:$N$204,0)),"")</f>
        <v/>
      </c>
      <c r="G41" s="39">
        <f>IFERROR(INDEX(Invoices!$G$5:$G$204,MATCH(29,Invoices!$N$5:$N$204,0)),"")</f>
        <v/>
      </c>
      <c r="H41" s="39">
        <f>IFERROR(INDEX(Invoices!$H$5:$H$204,MATCH(29,Invoices!$N$5:$N$204,0)),"")</f>
        <v/>
      </c>
      <c r="I41" s="9">
        <f>IFERROR(INDEX(Invoices!$I$5:$I$204,MATCH(29,Invoices!$N$5:$N$204,0)),"")</f>
        <v/>
      </c>
    </row>
    <row r="42">
      <c r="B42" s="9">
        <f>IFERROR(INDEX(Invoices!$A$5:$A$204,MATCH(30,Invoices!$N$5:$N$204,0)),"")</f>
        <v/>
      </c>
      <c r="C42" s="9">
        <f>IFERROR(INDEX(Invoices!$B$5:$B$204,MATCH(30,Invoices!$N$5:$N$204,0))&amp;"  "&amp;INDEX(Invoices!$F$5:$F$204,MATCH(30,Invoices!$N$5:$N$204,0)),"")</f>
        <v/>
      </c>
      <c r="D42" s="59">
        <f>IFERROR(INDEX(Invoices!$C$5:$C$204,MATCH(30,Invoices!$N$5:$N$204,0)),"")</f>
        <v/>
      </c>
      <c r="E42" s="59">
        <f>IFERROR(INDEX(Invoices!$D$5:$D$204,MATCH(30,Invoices!$N$5:$N$204,0)),"")</f>
        <v/>
      </c>
      <c r="F42" s="39">
        <f>IFERROR(INDEX(Invoices!$E$5:$E$204,MATCH(30,Invoices!$N$5:$N$204,0)),"")</f>
        <v/>
      </c>
      <c r="G42" s="39">
        <f>IFERROR(INDEX(Invoices!$G$5:$G$204,MATCH(30,Invoices!$N$5:$N$204,0)),"")</f>
        <v/>
      </c>
      <c r="H42" s="39">
        <f>IFERROR(INDEX(Invoices!$H$5:$H$204,MATCH(30,Invoices!$N$5:$N$204,0)),"")</f>
        <v/>
      </c>
      <c r="I42" s="9">
        <f>IFERROR(INDEX(Invoices!$I$5:$I$204,MATCH(30,Invoices!$N$5:$N$204,0)),"")</f>
        <v/>
      </c>
    </row>
    <row r="43">
      <c r="B43" s="31" t="inlineStr">
        <is>
          <t>Totals</t>
        </is>
      </c>
      <c r="C43" s="31">
        <f>IF(COUNTIF(Invoices!$N$5:$N$204,"&gt;0")&gt;30,"+ more invoices not shown","")</f>
        <v/>
      </c>
      <c r="D43" s="31" t="n"/>
      <c r="E43" s="31" t="n"/>
      <c r="F43" s="41">
        <f>SUM(F13:F42)</f>
        <v/>
      </c>
      <c r="G43" s="41">
        <f>SUM(G13:G42)</f>
        <v/>
      </c>
      <c r="H43" s="41">
        <f>SUM(H13:H42)</f>
        <v/>
      </c>
      <c r="I43" s="31" t="n"/>
    </row>
    <row r="45">
      <c r="B45" s="45" t="inlineStr">
        <is>
          <t>Aging of open balance</t>
        </is>
      </c>
    </row>
    <row r="46" ht="30" customHeight="1">
      <c r="B46" s="24" t="inlineStr">
        <is>
          <t>Current</t>
        </is>
      </c>
      <c r="C46" s="24" t="inlineStr">
        <is>
          <t>1-30 days</t>
        </is>
      </c>
      <c r="D46" s="24" t="inlineStr">
        <is>
          <t>31-60 days</t>
        </is>
      </c>
      <c r="E46" s="24" t="inlineStr">
        <is>
          <t>61-90 days</t>
        </is>
      </c>
      <c r="F46" s="24" t="inlineStr">
        <is>
          <t>90+ days</t>
        </is>
      </c>
    </row>
    <row r="47">
      <c r="B47" s="39">
        <f>SUMIFS(Invoices!$H$5:$H$204,Invoices!$M$5:$M$204,$L$2,Invoices!$K$5:$K$204,"Current")</f>
        <v/>
      </c>
      <c r="C47" s="39">
        <f>SUMIFS(Invoices!$H$5:$H$204,Invoices!$M$5:$M$204,$L$2,Invoices!$K$5:$K$204,"1-30")</f>
        <v/>
      </c>
      <c r="D47" s="39">
        <f>SUMIFS(Invoices!$H$5:$H$204,Invoices!$M$5:$M$204,$L$2,Invoices!$K$5:$K$204,"31-60")</f>
        <v/>
      </c>
      <c r="E47" s="39">
        <f>SUMIFS(Invoices!$H$5:$H$204,Invoices!$M$5:$M$204,$L$2,Invoices!$K$5:$K$204,"61-90")</f>
        <v/>
      </c>
      <c r="F47" s="39">
        <f>SUMIFS(Invoices!$H$5:$H$204,Invoices!$M$5:$M$204,$L$2,Invoices!$K$5:$K$204,"90+")</f>
        <v/>
      </c>
    </row>
    <row r="49">
      <c r="B49" s="45" t="inlineStr">
        <is>
          <t>Payment instructions</t>
        </is>
      </c>
    </row>
    <row r="50" ht="40" customHeight="1">
      <c r="B50" s="12">
        <f>Settings!$B$31</f>
        <v/>
      </c>
    </row>
    <row r="52">
      <c r="B52" s="14">
        <f>Settings!$B$32</f>
        <v/>
      </c>
    </row>
  </sheetData>
  <mergeCells count="10">
    <mergeCell ref="B5:D5"/>
    <mergeCell ref="F7:I7"/>
    <mergeCell ref="F8:I8"/>
    <mergeCell ref="H10:I10"/>
    <mergeCell ref="B8:D8"/>
    <mergeCell ref="F5:I5"/>
    <mergeCell ref="B7:D7"/>
    <mergeCell ref="B6:D6"/>
    <mergeCell ref="B50:I50"/>
    <mergeCell ref="F6:I6"/>
  </mergeCells>
  <conditionalFormatting sqref="I13:I42">
    <cfRule type="cellIs" priority="1" operator="equal" dxfId="1">
      <formula>"Overdue"</formula>
    </cfRule>
    <cfRule type="cellIs" priority="2" operator="equal" dxfId="2">
      <formula>"Paid"</formula>
    </cfRule>
  </conditionalFormatting>
  <dataValidations count="1">
    <dataValidation sqref="L2" showDropDown="0" showInputMessage="1" showErrorMessage="0" allowBlank="1" promptTitle="Pick from the list" prompt="Pick a client; all their invoices list below." type="list">
      <formula1>=Clients!$A$5:$A$104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1.xml><?xml version="1.0" encoding="utf-8"?>
<worksheet xmlns="http://schemas.openxmlformats.org/spreadsheetml/2006/main">
  <sheetPr>
    <tabColor rgb="003A9D5D"/>
    <outlinePr summaryBelow="1" summaryRight="1"/>
    <pageSetUpPr fitToPage="1"/>
  </sheetPr>
  <dimension ref="A1:I53"/>
  <sheetViews>
    <sheetView showGridLines="0" tabSelected="0" workbookViewId="0">
      <selection activeCell="C4" sqref="C4"/>
    </sheetView>
  </sheetViews>
  <sheetFormatPr baseColWidth="8" defaultRowHeight="15"/>
  <cols>
    <col width="4" customWidth="1" min="1" max="1"/>
    <col width="20" customWidth="1" min="2" max="2"/>
    <col width="30" customWidth="1" min="3" max="3"/>
    <col width="16" customWidth="1" min="4" max="4"/>
    <col width="30" customWidth="1" min="5" max="5"/>
    <col width="16" customWidth="1" min="6" max="6"/>
    <col width="14" customWidth="1" min="7" max="7"/>
    <col width="12" customWidth="1" min="8" max="8"/>
    <col width="12" customWidth="1" min="9" max="9"/>
  </cols>
  <sheetData>
    <row r="1">
      <c r="A1" s="13" t="inlineStr">
        <is>
          <t>Job Profit Report — budget vs actual</t>
        </is>
      </c>
    </row>
    <row r="2">
      <c r="A2" s="14" t="inlineStr">
        <is>
          <t>Pick a Job ID. Budget = estimate lines + approved change-order cost. Actual = Job Costs + Timesheet labor (incl. burden) + Mileage.</t>
        </is>
      </c>
    </row>
    <row r="4">
      <c r="B4" s="44" t="inlineStr">
        <is>
          <t>Job ID</t>
        </is>
      </c>
      <c r="C4" s="35" t="n"/>
      <c r="E4" s="44" t="inlineStr">
        <is>
          <t>Revised contract</t>
        </is>
      </c>
      <c r="F4" s="50">
        <f>IFERROR(INDEX(Jobs!$K$5:$K$44,MATCH($C$4,Jobs!$A$5:$A$44,0)),"")</f>
        <v/>
      </c>
    </row>
    <row r="5">
      <c r="B5" s="44" t="inlineStr">
        <is>
          <t>Client</t>
        </is>
      </c>
      <c r="C5">
        <f>IFERROR(INDEX(Jobs!$B$5:$B$44,MATCH($C$4,Jobs!$A$5:$A$44,0)),"")</f>
        <v/>
      </c>
      <c r="E5" s="44" t="inlineStr">
        <is>
          <t>Invoiced / Collected</t>
        </is>
      </c>
      <c r="F5" s="50">
        <f>IFERROR(INDEX(Jobs!$Q$5:$Q$44,MATCH($C$4,Jobs!$A$5:$A$44,0)),"")</f>
        <v/>
      </c>
      <c r="G5" s="50">
        <f>IFERROR(INDEX(Jobs!$R$5:$R$44,MATCH($C$4,Jobs!$A$5:$A$44,0)),"")</f>
        <v/>
      </c>
    </row>
    <row r="6">
      <c r="B6" s="44" t="inlineStr">
        <is>
          <t>Status</t>
        </is>
      </c>
      <c r="C6">
        <f>IFERROR(INDEX(Jobs!$D$5:$D$44,MATCH($C$4,Jobs!$A$5:$A$44,0)),"")</f>
        <v/>
      </c>
      <c r="E6" s="44" t="inlineStr">
        <is>
          <t>Balance due</t>
        </is>
      </c>
      <c r="F6" s="50">
        <f>IFERROR(INDEX(Jobs!$S$5:$S$44,MATCH($C$4,Jobs!$A$5:$A$44,0)),"")</f>
        <v/>
      </c>
    </row>
    <row r="7">
      <c r="B7" s="44" t="inlineStr">
        <is>
          <t>Start → target end</t>
        </is>
      </c>
      <c r="C7">
        <f>IF(IFERROR(INDEX(Jobs!$E$5:$E$44,MATCH($C$4,Jobs!$A$5:$A$44,0)),"")="","",TEXT(IFERROR(INDEX(Jobs!$E$5:$E$44,MATCH($C$4,Jobs!$A$5:$A$44,0)),""),"yyyy-mm-dd"))&amp;"  →  "&amp;IF(IFERROR(INDEX(Jobs!$F$5:$F$44,MATCH($C$4,Jobs!$A$5:$A$44,0)),"")="","",TEXT(IFERROR(INDEX(Jobs!$F$5:$F$44,MATCH($C$4,Jobs!$A$5:$A$44,0)),""),"yyyy-mm-dd"))</f>
        <v/>
      </c>
      <c r="E7" s="44" t="inlineStr">
        <is>
          <t>Projected gross profit / margin</t>
        </is>
      </c>
      <c r="F7" s="50">
        <f>IFERROR(INDEX(Jobs!$T$5:$T$44,MATCH($C$4,Jobs!$A$5:$A$44,0)),"")</f>
        <v/>
      </c>
      <c r="G7" s="51">
        <f>IFERROR(INDEX(Jobs!$U$5:$U$44,MATCH($C$4,Jobs!$A$5:$A$44,0)),"")</f>
        <v/>
      </c>
    </row>
    <row r="8">
      <c r="B8" s="44" t="inlineStr">
        <is>
          <t>% complete (manual)</t>
        </is>
      </c>
      <c r="C8" s="51">
        <f>IFERROR(INDEX(Jobs!$G$5:$G$44,MATCH($C$4,Jobs!$A$5:$A$44,0)),"")</f>
        <v/>
      </c>
      <c r="E8" s="44" t="inlineStr">
        <is>
          <t>Overhead allocation / net margin</t>
        </is>
      </c>
      <c r="F8" s="50">
        <f>IF($C$4="","",IFERROR(INDEX(Jobs!$K$5:$K$44,MATCH($C$4,Jobs!$A$5:$A$44,0)),"")*Settings!$B$17)</f>
        <v/>
      </c>
      <c r="G8" s="51">
        <f>IF(OR($C$4="",IFERROR(INDEX(Jobs!$K$5:$K$44,MATCH($C$4,Jobs!$A$5:$A$44,0)),"")=0),"",(IFERROR(INDEX(Jobs!$T$5:$T$44,MATCH($C$4,Jobs!$A$5:$A$44,0)),"")-IFERROR(INDEX(Jobs!$K$5:$K$44,MATCH($C$4,Jobs!$A$5:$A$44,0)),"")*Settings!$B$17)/IFERROR(INDEX(Jobs!$K$5:$K$44,MATCH($C$4,Jobs!$A$5:$A$44,0)),""))</f>
        <v/>
      </c>
    </row>
    <row r="9">
      <c r="B9" s="44" t="inlineStr">
        <is>
          <t>Days to target</t>
        </is>
      </c>
      <c r="C9" s="74">
        <f>IFERROR(INDEX(Jobs!$W$5:$W$44,MATCH($C$4,Jobs!$A$5:$A$44,0)),"")</f>
        <v/>
      </c>
      <c r="E9" s="44" t="inlineStr">
        <is>
          <t>Labor hours: estimated / actual</t>
        </is>
      </c>
      <c r="F9" s="75">
        <f>IF($C$4="","",SUMIFS(Estimate!$E$5:$E$404,Estimate!$A$5:$A$404,$C$4,Estimate!$H$5:$H$404,"Labor",Estimate!$J$5:$J$404,"hr"))</f>
        <v/>
      </c>
      <c r="G9" s="75">
        <f>IFERROR(INDEX(Jobs!$P$5:$P$44,MATCH($C$4,Jobs!$A$5:$A$44,0)),"")</f>
        <v/>
      </c>
    </row>
    <row r="12" ht="30" customHeight="1">
      <c r="B12" s="24" t="inlineStr">
        <is>
          <t>By category</t>
        </is>
      </c>
      <c r="C12" s="49" t="n"/>
      <c r="D12" s="24" t="inlineStr">
        <is>
          <t>Estimated Cost</t>
        </is>
      </c>
      <c r="E12" s="24" t="inlineStr">
        <is>
          <t>Actual Cost</t>
        </is>
      </c>
      <c r="F12" s="24" t="inlineStr">
        <is>
          <t>Variance</t>
        </is>
      </c>
      <c r="G12" s="24" t="inlineStr">
        <is>
          <t>% Used</t>
        </is>
      </c>
      <c r="H12" s="24" t="inlineStr">
        <is>
          <t>Price Quoted</t>
        </is>
      </c>
      <c r="I12" s="24" t="inlineStr">
        <is>
          <t>Actual vs Price</t>
        </is>
      </c>
    </row>
    <row r="13">
      <c r="B13" s="9" t="inlineStr">
        <is>
          <t>Labor</t>
        </is>
      </c>
      <c r="C13" s="9" t="n"/>
      <c r="D13" s="39">
        <f>SUMIFS(Estimate!$K$5:$K$404,Estimate!$A$5:$A$404,$C$4,Estimate!$H$5:$H$404,B13)</f>
        <v/>
      </c>
      <c r="E13" s="39">
        <f>SUMIFS('Job Costs'!$I$5:$I$1004,'Job Costs'!$B$5:$B$1004,$C$4,'Job Costs'!$D$5:$D$1004,B13)+SUMIFS(Timesheet!$H$5:$H$1004,Timesheet!$C$5:$C$1004,$C$4,Timesheet!$L$5:$L$1004,B13)+SUMIFS(Mileage!$I$5:$I$304,Mileage!$B$5:$B$304,$C$4,Mileage!$J$5:$J$304,B13)</f>
        <v/>
      </c>
      <c r="F13" s="39">
        <f>D13-E13</f>
        <v/>
      </c>
      <c r="G13" s="26">
        <f>IF(D13=0,IF(E13&gt;0,1,0),E13/D13)</f>
        <v/>
      </c>
      <c r="H13" s="39">
        <f>SUMIFS(Estimate!$M$5:$M$404,Estimate!$A$5:$A$404,$C$4,Estimate!$H$5:$H$404,B13)</f>
        <v/>
      </c>
      <c r="I13" s="26">
        <f>IF(H13=0,0,E13/H13)</f>
        <v/>
      </c>
    </row>
    <row r="14">
      <c r="B14" s="9" t="inlineStr">
        <is>
          <t>Material</t>
        </is>
      </c>
      <c r="C14" s="9" t="n"/>
      <c r="D14" s="39">
        <f>SUMIFS(Estimate!$K$5:$K$404,Estimate!$A$5:$A$404,$C$4,Estimate!$H$5:$H$404,B14)</f>
        <v/>
      </c>
      <c r="E14" s="39">
        <f>SUMIFS('Job Costs'!$I$5:$I$1004,'Job Costs'!$B$5:$B$1004,$C$4,'Job Costs'!$D$5:$D$1004,B14)+SUMIFS(Timesheet!$H$5:$H$1004,Timesheet!$C$5:$C$1004,$C$4,Timesheet!$L$5:$L$1004,B14)+SUMIFS(Mileage!$I$5:$I$304,Mileage!$B$5:$B$304,$C$4,Mileage!$J$5:$J$304,B14)</f>
        <v/>
      </c>
      <c r="F14" s="39">
        <f>D14-E14</f>
        <v/>
      </c>
      <c r="G14" s="26">
        <f>IF(D14=0,IF(E14&gt;0,1,0),E14/D14)</f>
        <v/>
      </c>
      <c r="H14" s="39">
        <f>SUMIFS(Estimate!$M$5:$M$404,Estimate!$A$5:$A$404,$C$4,Estimate!$H$5:$H$404,B14)</f>
        <v/>
      </c>
      <c r="I14" s="26">
        <f>IF(H14=0,0,E14/H14)</f>
        <v/>
      </c>
    </row>
    <row r="15">
      <c r="B15" s="9" t="inlineStr">
        <is>
          <t>Subcontractor</t>
        </is>
      </c>
      <c r="C15" s="9" t="n"/>
      <c r="D15" s="39">
        <f>SUMIFS(Estimate!$K$5:$K$404,Estimate!$A$5:$A$404,$C$4,Estimate!$H$5:$H$404,B15)</f>
        <v/>
      </c>
      <c r="E15" s="39">
        <f>SUMIFS('Job Costs'!$I$5:$I$1004,'Job Costs'!$B$5:$B$1004,$C$4,'Job Costs'!$D$5:$D$1004,B15)+SUMIFS(Timesheet!$H$5:$H$1004,Timesheet!$C$5:$C$1004,$C$4,Timesheet!$L$5:$L$1004,B15)+SUMIFS(Mileage!$I$5:$I$304,Mileage!$B$5:$B$304,$C$4,Mileage!$J$5:$J$304,B15)</f>
        <v/>
      </c>
      <c r="F15" s="39">
        <f>D15-E15</f>
        <v/>
      </c>
      <c r="G15" s="26">
        <f>IF(D15=0,IF(E15&gt;0,1,0),E15/D15)</f>
        <v/>
      </c>
      <c r="H15" s="39">
        <f>SUMIFS(Estimate!$M$5:$M$404,Estimate!$A$5:$A$404,$C$4,Estimate!$H$5:$H$404,B15)</f>
        <v/>
      </c>
      <c r="I15" s="26">
        <f>IF(H15=0,0,E15/H15)</f>
        <v/>
      </c>
    </row>
    <row r="16">
      <c r="B16" s="9" t="inlineStr">
        <is>
          <t>Equipment</t>
        </is>
      </c>
      <c r="C16" s="9" t="n"/>
      <c r="D16" s="39">
        <f>SUMIFS(Estimate!$K$5:$K$404,Estimate!$A$5:$A$404,$C$4,Estimate!$H$5:$H$404,B16)</f>
        <v/>
      </c>
      <c r="E16" s="39">
        <f>SUMIFS('Job Costs'!$I$5:$I$1004,'Job Costs'!$B$5:$B$1004,$C$4,'Job Costs'!$D$5:$D$1004,B16)+SUMIFS(Timesheet!$H$5:$H$1004,Timesheet!$C$5:$C$1004,$C$4,Timesheet!$L$5:$L$1004,B16)+SUMIFS(Mileage!$I$5:$I$304,Mileage!$B$5:$B$304,$C$4,Mileage!$J$5:$J$304,B16)</f>
        <v/>
      </c>
      <c r="F16" s="39">
        <f>D16-E16</f>
        <v/>
      </c>
      <c r="G16" s="26">
        <f>IF(D16=0,IF(E16&gt;0,1,0),E16/D16)</f>
        <v/>
      </c>
      <c r="H16" s="39">
        <f>SUMIFS(Estimate!$M$5:$M$404,Estimate!$A$5:$A$404,$C$4,Estimate!$H$5:$H$404,B16)</f>
        <v/>
      </c>
      <c r="I16" s="26">
        <f>IF(H16=0,0,E16/H16)</f>
        <v/>
      </c>
    </row>
    <row r="17">
      <c r="B17" s="9" t="inlineStr">
        <is>
          <t>Permit/Fee</t>
        </is>
      </c>
      <c r="C17" s="9" t="n"/>
      <c r="D17" s="39">
        <f>SUMIFS(Estimate!$K$5:$K$404,Estimate!$A$5:$A$404,$C$4,Estimate!$H$5:$H$404,B17)</f>
        <v/>
      </c>
      <c r="E17" s="39">
        <f>SUMIFS('Job Costs'!$I$5:$I$1004,'Job Costs'!$B$5:$B$1004,$C$4,'Job Costs'!$D$5:$D$1004,B17)+SUMIFS(Timesheet!$H$5:$H$1004,Timesheet!$C$5:$C$1004,$C$4,Timesheet!$L$5:$L$1004,B17)+SUMIFS(Mileage!$I$5:$I$304,Mileage!$B$5:$B$304,$C$4,Mileage!$J$5:$J$304,B17)</f>
        <v/>
      </c>
      <c r="F17" s="39">
        <f>D17-E17</f>
        <v/>
      </c>
      <c r="G17" s="26">
        <f>IF(D17=0,IF(E17&gt;0,1,0),E17/D17)</f>
        <v/>
      </c>
      <c r="H17" s="39">
        <f>SUMIFS(Estimate!$M$5:$M$404,Estimate!$A$5:$A$404,$C$4,Estimate!$H$5:$H$404,B17)</f>
        <v/>
      </c>
      <c r="I17" s="26">
        <f>IF(H17=0,0,E17/H17)</f>
        <v/>
      </c>
    </row>
    <row r="18">
      <c r="B18" s="9" t="inlineStr">
        <is>
          <t>Other</t>
        </is>
      </c>
      <c r="C18" s="9" t="n"/>
      <c r="D18" s="39">
        <f>SUMIFS(Estimate!$K$5:$K$404,Estimate!$A$5:$A$404,$C$4,Estimate!$H$5:$H$404,B18)</f>
        <v/>
      </c>
      <c r="E18" s="39">
        <f>SUMIFS('Job Costs'!$I$5:$I$1004,'Job Costs'!$B$5:$B$1004,$C$4,'Job Costs'!$D$5:$D$1004,B18)+SUMIFS(Timesheet!$H$5:$H$1004,Timesheet!$C$5:$C$1004,$C$4,Timesheet!$L$5:$L$1004,B18)+SUMIFS(Mileage!$I$5:$I$304,Mileage!$B$5:$B$304,$C$4,Mileage!$J$5:$J$304,B18)</f>
        <v/>
      </c>
      <c r="F18" s="39">
        <f>D18-E18</f>
        <v/>
      </c>
      <c r="G18" s="26">
        <f>IF(D18=0,IF(E18&gt;0,1,0),E18/D18)</f>
        <v/>
      </c>
      <c r="H18" s="39">
        <f>SUMIFS(Estimate!$M$5:$M$404,Estimate!$A$5:$A$404,$C$4,Estimate!$H$5:$H$404,B18)</f>
        <v/>
      </c>
      <c r="I18" s="26">
        <f>IF(H18=0,0,E18/H18)</f>
        <v/>
      </c>
    </row>
    <row r="19">
      <c r="B19" s="31" t="inlineStr">
        <is>
          <t>Total by category</t>
        </is>
      </c>
      <c r="C19" s="31" t="n"/>
      <c r="D19" s="41">
        <f>SUM(D13:D18)</f>
        <v/>
      </c>
      <c r="E19" s="41">
        <f>SUM(E13:E18)</f>
        <v/>
      </c>
      <c r="F19" s="41">
        <f>SUM(F13:F18)</f>
        <v/>
      </c>
      <c r="G19" s="42">
        <f>IF(D19=0,0,E19/D19)</f>
        <v/>
      </c>
      <c r="H19" s="41">
        <f>SUM(H13:H18)</f>
        <v/>
      </c>
      <c r="I19" s="42">
        <f>IF(H19=0,0,E19/H19)</f>
        <v/>
      </c>
    </row>
    <row r="21" ht="30" customHeight="1">
      <c r="B21" s="24" t="inlineStr">
        <is>
          <t>Code</t>
        </is>
      </c>
      <c r="C21" s="24" t="inlineStr">
        <is>
          <t>Cost code</t>
        </is>
      </c>
      <c r="D21" s="24" t="inlineStr">
        <is>
          <t>Estimated Cost</t>
        </is>
      </c>
      <c r="E21" s="24" t="inlineStr">
        <is>
          <t>Actual Cost</t>
        </is>
      </c>
      <c r="F21" s="24" t="inlineStr">
        <is>
          <t>Variance ($)</t>
        </is>
      </c>
      <c r="G21" s="24" t="inlineStr">
        <is>
          <t>Variance (%)</t>
        </is>
      </c>
      <c r="H21" s="24" t="inlineStr">
        <is>
          <t>% Used</t>
        </is>
      </c>
      <c r="I21" s="24" t="inlineStr">
        <is>
          <t>Status</t>
        </is>
      </c>
    </row>
    <row r="22">
      <c r="B22" s="9">
        <f>Settings!E5</f>
        <v/>
      </c>
      <c r="C22" s="9">
        <f>Settings!F5</f>
        <v/>
      </c>
      <c r="D22" s="39">
        <f>SUMIFS(Estimate!$K$5:$K$404,Estimate!$A$5:$A$404,$C$4,Estimate!$B$5:$B$404,B22)</f>
        <v/>
      </c>
      <c r="E22" s="39">
        <f>SUMIFS('Job Costs'!$I$5:$I$1004,'Job Costs'!$B$5:$B$1004,$C$4,'Job Costs'!$C$5:$C$1004,B22)+SUMIFS(Timesheet!$H$5:$H$1004,Timesheet!$C$5:$C$1004,$C$4,Timesheet!$D$5:$D$1004,B22)+SUMIFS(Mileage!$I$5:$I$304,Mileage!$B$5:$B$304,$C$4,Mileage!$C$5:$C$304,B22)</f>
        <v/>
      </c>
      <c r="F22" s="39">
        <f>D22-E22</f>
        <v/>
      </c>
      <c r="G22" s="26">
        <f>IF(D22=0,IF(E22&gt;0,-1,0),F22/D22)</f>
        <v/>
      </c>
      <c r="H22" s="26">
        <f>IF(D22=0,IF(E22&gt;0,1,0),E22/D22)</f>
        <v/>
      </c>
      <c r="I22" s="9">
        <f>IF(AND(D22=0,E22=0),"",IF(E22&gt;D22,"OVER",IF(H22&gt;=0.9,"Watch","On track")))</f>
        <v/>
      </c>
    </row>
    <row r="23">
      <c r="B23" s="9">
        <f>Settings!E6</f>
        <v/>
      </c>
      <c r="C23" s="9">
        <f>Settings!F6</f>
        <v/>
      </c>
      <c r="D23" s="39">
        <f>SUMIFS(Estimate!$K$5:$K$404,Estimate!$A$5:$A$404,$C$4,Estimate!$B$5:$B$404,B23)</f>
        <v/>
      </c>
      <c r="E23" s="39">
        <f>SUMIFS('Job Costs'!$I$5:$I$1004,'Job Costs'!$B$5:$B$1004,$C$4,'Job Costs'!$C$5:$C$1004,B23)+SUMIFS(Timesheet!$H$5:$H$1004,Timesheet!$C$5:$C$1004,$C$4,Timesheet!$D$5:$D$1004,B23)+SUMIFS(Mileage!$I$5:$I$304,Mileage!$B$5:$B$304,$C$4,Mileage!$C$5:$C$304,B23)</f>
        <v/>
      </c>
      <c r="F23" s="39">
        <f>D23-E23</f>
        <v/>
      </c>
      <c r="G23" s="26">
        <f>IF(D23=0,IF(E23&gt;0,-1,0),F23/D23)</f>
        <v/>
      </c>
      <c r="H23" s="26">
        <f>IF(D23=0,IF(E23&gt;0,1,0),E23/D23)</f>
        <v/>
      </c>
      <c r="I23" s="9">
        <f>IF(AND(D23=0,E23=0),"",IF(E23&gt;D23,"OVER",IF(H23&gt;=0.9,"Watch","On track")))</f>
        <v/>
      </c>
    </row>
    <row r="24">
      <c r="B24" s="9">
        <f>Settings!E7</f>
        <v/>
      </c>
      <c r="C24" s="9">
        <f>Settings!F7</f>
        <v/>
      </c>
      <c r="D24" s="39">
        <f>SUMIFS(Estimate!$K$5:$K$404,Estimate!$A$5:$A$404,$C$4,Estimate!$B$5:$B$404,B24)</f>
        <v/>
      </c>
      <c r="E24" s="39">
        <f>SUMIFS('Job Costs'!$I$5:$I$1004,'Job Costs'!$B$5:$B$1004,$C$4,'Job Costs'!$C$5:$C$1004,B24)+SUMIFS(Timesheet!$H$5:$H$1004,Timesheet!$C$5:$C$1004,$C$4,Timesheet!$D$5:$D$1004,B24)+SUMIFS(Mileage!$I$5:$I$304,Mileage!$B$5:$B$304,$C$4,Mileage!$C$5:$C$304,B24)</f>
        <v/>
      </c>
      <c r="F24" s="39">
        <f>D24-E24</f>
        <v/>
      </c>
      <c r="G24" s="26">
        <f>IF(D24=0,IF(E24&gt;0,-1,0),F24/D24)</f>
        <v/>
      </c>
      <c r="H24" s="26">
        <f>IF(D24=0,IF(E24&gt;0,1,0),E24/D24)</f>
        <v/>
      </c>
      <c r="I24" s="9">
        <f>IF(AND(D24=0,E24=0),"",IF(E24&gt;D24,"OVER",IF(H24&gt;=0.9,"Watch","On track")))</f>
        <v/>
      </c>
    </row>
    <row r="25">
      <c r="B25" s="9">
        <f>Settings!E8</f>
        <v/>
      </c>
      <c r="C25" s="9">
        <f>Settings!F8</f>
        <v/>
      </c>
      <c r="D25" s="39">
        <f>SUMIFS(Estimate!$K$5:$K$404,Estimate!$A$5:$A$404,$C$4,Estimate!$B$5:$B$404,B25)</f>
        <v/>
      </c>
      <c r="E25" s="39">
        <f>SUMIFS('Job Costs'!$I$5:$I$1004,'Job Costs'!$B$5:$B$1004,$C$4,'Job Costs'!$C$5:$C$1004,B25)+SUMIFS(Timesheet!$H$5:$H$1004,Timesheet!$C$5:$C$1004,$C$4,Timesheet!$D$5:$D$1004,B25)+SUMIFS(Mileage!$I$5:$I$304,Mileage!$B$5:$B$304,$C$4,Mileage!$C$5:$C$304,B25)</f>
        <v/>
      </c>
      <c r="F25" s="39">
        <f>D25-E25</f>
        <v/>
      </c>
      <c r="G25" s="26">
        <f>IF(D25=0,IF(E25&gt;0,-1,0),F25/D25)</f>
        <v/>
      </c>
      <c r="H25" s="26">
        <f>IF(D25=0,IF(E25&gt;0,1,0),E25/D25)</f>
        <v/>
      </c>
      <c r="I25" s="9">
        <f>IF(AND(D25=0,E25=0),"",IF(E25&gt;D25,"OVER",IF(H25&gt;=0.9,"Watch","On track")))</f>
        <v/>
      </c>
    </row>
    <row r="26">
      <c r="B26" s="9">
        <f>Settings!E9</f>
        <v/>
      </c>
      <c r="C26" s="9">
        <f>Settings!F9</f>
        <v/>
      </c>
      <c r="D26" s="39">
        <f>SUMIFS(Estimate!$K$5:$K$404,Estimate!$A$5:$A$404,$C$4,Estimate!$B$5:$B$404,B26)</f>
        <v/>
      </c>
      <c r="E26" s="39">
        <f>SUMIFS('Job Costs'!$I$5:$I$1004,'Job Costs'!$B$5:$B$1004,$C$4,'Job Costs'!$C$5:$C$1004,B26)+SUMIFS(Timesheet!$H$5:$H$1004,Timesheet!$C$5:$C$1004,$C$4,Timesheet!$D$5:$D$1004,B26)+SUMIFS(Mileage!$I$5:$I$304,Mileage!$B$5:$B$304,$C$4,Mileage!$C$5:$C$304,B26)</f>
        <v/>
      </c>
      <c r="F26" s="39">
        <f>D26-E26</f>
        <v/>
      </c>
      <c r="G26" s="26">
        <f>IF(D26=0,IF(E26&gt;0,-1,0),F26/D26)</f>
        <v/>
      </c>
      <c r="H26" s="26">
        <f>IF(D26=0,IF(E26&gt;0,1,0),E26/D26)</f>
        <v/>
      </c>
      <c r="I26" s="9">
        <f>IF(AND(D26=0,E26=0),"",IF(E26&gt;D26,"OVER",IF(H26&gt;=0.9,"Watch","On track")))</f>
        <v/>
      </c>
    </row>
    <row r="27">
      <c r="B27" s="9">
        <f>Settings!E10</f>
        <v/>
      </c>
      <c r="C27" s="9">
        <f>Settings!F10</f>
        <v/>
      </c>
      <c r="D27" s="39">
        <f>SUMIFS(Estimate!$K$5:$K$404,Estimate!$A$5:$A$404,$C$4,Estimate!$B$5:$B$404,B27)</f>
        <v/>
      </c>
      <c r="E27" s="39">
        <f>SUMIFS('Job Costs'!$I$5:$I$1004,'Job Costs'!$B$5:$B$1004,$C$4,'Job Costs'!$C$5:$C$1004,B27)+SUMIFS(Timesheet!$H$5:$H$1004,Timesheet!$C$5:$C$1004,$C$4,Timesheet!$D$5:$D$1004,B27)+SUMIFS(Mileage!$I$5:$I$304,Mileage!$B$5:$B$304,$C$4,Mileage!$C$5:$C$304,B27)</f>
        <v/>
      </c>
      <c r="F27" s="39">
        <f>D27-E27</f>
        <v/>
      </c>
      <c r="G27" s="26">
        <f>IF(D27=0,IF(E27&gt;0,-1,0),F27/D27)</f>
        <v/>
      </c>
      <c r="H27" s="26">
        <f>IF(D27=0,IF(E27&gt;0,1,0),E27/D27)</f>
        <v/>
      </c>
      <c r="I27" s="9">
        <f>IF(AND(D27=0,E27=0),"",IF(E27&gt;D27,"OVER",IF(H27&gt;=0.9,"Watch","On track")))</f>
        <v/>
      </c>
    </row>
    <row r="28">
      <c r="B28" s="9">
        <f>Settings!E11</f>
        <v/>
      </c>
      <c r="C28" s="9">
        <f>Settings!F11</f>
        <v/>
      </c>
      <c r="D28" s="39">
        <f>SUMIFS(Estimate!$K$5:$K$404,Estimate!$A$5:$A$404,$C$4,Estimate!$B$5:$B$404,B28)</f>
        <v/>
      </c>
      <c r="E28" s="39">
        <f>SUMIFS('Job Costs'!$I$5:$I$1004,'Job Costs'!$B$5:$B$1004,$C$4,'Job Costs'!$C$5:$C$1004,B28)+SUMIFS(Timesheet!$H$5:$H$1004,Timesheet!$C$5:$C$1004,$C$4,Timesheet!$D$5:$D$1004,B28)+SUMIFS(Mileage!$I$5:$I$304,Mileage!$B$5:$B$304,$C$4,Mileage!$C$5:$C$304,B28)</f>
        <v/>
      </c>
      <c r="F28" s="39">
        <f>D28-E28</f>
        <v/>
      </c>
      <c r="G28" s="26">
        <f>IF(D28=0,IF(E28&gt;0,-1,0),F28/D28)</f>
        <v/>
      </c>
      <c r="H28" s="26">
        <f>IF(D28=0,IF(E28&gt;0,1,0),E28/D28)</f>
        <v/>
      </c>
      <c r="I28" s="9">
        <f>IF(AND(D28=0,E28=0),"",IF(E28&gt;D28,"OVER",IF(H28&gt;=0.9,"Watch","On track")))</f>
        <v/>
      </c>
    </row>
    <row r="29">
      <c r="B29" s="9">
        <f>Settings!E12</f>
        <v/>
      </c>
      <c r="C29" s="9">
        <f>Settings!F12</f>
        <v/>
      </c>
      <c r="D29" s="39">
        <f>SUMIFS(Estimate!$K$5:$K$404,Estimate!$A$5:$A$404,$C$4,Estimate!$B$5:$B$404,B29)</f>
        <v/>
      </c>
      <c r="E29" s="39">
        <f>SUMIFS('Job Costs'!$I$5:$I$1004,'Job Costs'!$B$5:$B$1004,$C$4,'Job Costs'!$C$5:$C$1004,B29)+SUMIFS(Timesheet!$H$5:$H$1004,Timesheet!$C$5:$C$1004,$C$4,Timesheet!$D$5:$D$1004,B29)+SUMIFS(Mileage!$I$5:$I$304,Mileage!$B$5:$B$304,$C$4,Mileage!$C$5:$C$304,B29)</f>
        <v/>
      </c>
      <c r="F29" s="39">
        <f>D29-E29</f>
        <v/>
      </c>
      <c r="G29" s="26">
        <f>IF(D29=0,IF(E29&gt;0,-1,0),F29/D29)</f>
        <v/>
      </c>
      <c r="H29" s="26">
        <f>IF(D29=0,IF(E29&gt;0,1,0),E29/D29)</f>
        <v/>
      </c>
      <c r="I29" s="9">
        <f>IF(AND(D29=0,E29=0),"",IF(E29&gt;D29,"OVER",IF(H29&gt;=0.9,"Watch","On track")))</f>
        <v/>
      </c>
    </row>
    <row r="30">
      <c r="B30" s="9">
        <f>Settings!E13</f>
        <v/>
      </c>
      <c r="C30" s="9">
        <f>Settings!F13</f>
        <v/>
      </c>
      <c r="D30" s="39">
        <f>SUMIFS(Estimate!$K$5:$K$404,Estimate!$A$5:$A$404,$C$4,Estimate!$B$5:$B$404,B30)</f>
        <v/>
      </c>
      <c r="E30" s="39">
        <f>SUMIFS('Job Costs'!$I$5:$I$1004,'Job Costs'!$B$5:$B$1004,$C$4,'Job Costs'!$C$5:$C$1004,B30)+SUMIFS(Timesheet!$H$5:$H$1004,Timesheet!$C$5:$C$1004,$C$4,Timesheet!$D$5:$D$1004,B30)+SUMIFS(Mileage!$I$5:$I$304,Mileage!$B$5:$B$304,$C$4,Mileage!$C$5:$C$304,B30)</f>
        <v/>
      </c>
      <c r="F30" s="39">
        <f>D30-E30</f>
        <v/>
      </c>
      <c r="G30" s="26">
        <f>IF(D30=0,IF(E30&gt;0,-1,0),F30/D30)</f>
        <v/>
      </c>
      <c r="H30" s="26">
        <f>IF(D30=0,IF(E30&gt;0,1,0),E30/D30)</f>
        <v/>
      </c>
      <c r="I30" s="9">
        <f>IF(AND(D30=0,E30=0),"",IF(E30&gt;D30,"OVER",IF(H30&gt;=0.9,"Watch","On track")))</f>
        <v/>
      </c>
    </row>
    <row r="31">
      <c r="B31" s="9">
        <f>Settings!E14</f>
        <v/>
      </c>
      <c r="C31" s="9">
        <f>Settings!F14</f>
        <v/>
      </c>
      <c r="D31" s="39">
        <f>SUMIFS(Estimate!$K$5:$K$404,Estimate!$A$5:$A$404,$C$4,Estimate!$B$5:$B$404,B31)</f>
        <v/>
      </c>
      <c r="E31" s="39">
        <f>SUMIFS('Job Costs'!$I$5:$I$1004,'Job Costs'!$B$5:$B$1004,$C$4,'Job Costs'!$C$5:$C$1004,B31)+SUMIFS(Timesheet!$H$5:$H$1004,Timesheet!$C$5:$C$1004,$C$4,Timesheet!$D$5:$D$1004,B31)+SUMIFS(Mileage!$I$5:$I$304,Mileage!$B$5:$B$304,$C$4,Mileage!$C$5:$C$304,B31)</f>
        <v/>
      </c>
      <c r="F31" s="39">
        <f>D31-E31</f>
        <v/>
      </c>
      <c r="G31" s="26">
        <f>IF(D31=0,IF(E31&gt;0,-1,0),F31/D31)</f>
        <v/>
      </c>
      <c r="H31" s="26">
        <f>IF(D31=0,IF(E31&gt;0,1,0),E31/D31)</f>
        <v/>
      </c>
      <c r="I31" s="9">
        <f>IF(AND(D31=0,E31=0),"",IF(E31&gt;D31,"OVER",IF(H31&gt;=0.9,"Watch","On track")))</f>
        <v/>
      </c>
    </row>
    <row r="32">
      <c r="B32" s="9">
        <f>Settings!E15</f>
        <v/>
      </c>
      <c r="C32" s="9">
        <f>Settings!F15</f>
        <v/>
      </c>
      <c r="D32" s="39">
        <f>SUMIFS(Estimate!$K$5:$K$404,Estimate!$A$5:$A$404,$C$4,Estimate!$B$5:$B$404,B32)</f>
        <v/>
      </c>
      <c r="E32" s="39">
        <f>SUMIFS('Job Costs'!$I$5:$I$1004,'Job Costs'!$B$5:$B$1004,$C$4,'Job Costs'!$C$5:$C$1004,B32)+SUMIFS(Timesheet!$H$5:$H$1004,Timesheet!$C$5:$C$1004,$C$4,Timesheet!$D$5:$D$1004,B32)+SUMIFS(Mileage!$I$5:$I$304,Mileage!$B$5:$B$304,$C$4,Mileage!$C$5:$C$304,B32)</f>
        <v/>
      </c>
      <c r="F32" s="39">
        <f>D32-E32</f>
        <v/>
      </c>
      <c r="G32" s="26">
        <f>IF(D32=0,IF(E32&gt;0,-1,0),F32/D32)</f>
        <v/>
      </c>
      <c r="H32" s="26">
        <f>IF(D32=0,IF(E32&gt;0,1,0),E32/D32)</f>
        <v/>
      </c>
      <c r="I32" s="9">
        <f>IF(AND(D32=0,E32=0),"",IF(E32&gt;D32,"OVER",IF(H32&gt;=0.9,"Watch","On track")))</f>
        <v/>
      </c>
    </row>
    <row r="33">
      <c r="B33" s="9">
        <f>Settings!E16</f>
        <v/>
      </c>
      <c r="C33" s="9">
        <f>Settings!F16</f>
        <v/>
      </c>
      <c r="D33" s="39">
        <f>SUMIFS(Estimate!$K$5:$K$404,Estimate!$A$5:$A$404,$C$4,Estimate!$B$5:$B$404,B33)</f>
        <v/>
      </c>
      <c r="E33" s="39">
        <f>SUMIFS('Job Costs'!$I$5:$I$1004,'Job Costs'!$B$5:$B$1004,$C$4,'Job Costs'!$C$5:$C$1004,B33)+SUMIFS(Timesheet!$H$5:$H$1004,Timesheet!$C$5:$C$1004,$C$4,Timesheet!$D$5:$D$1004,B33)+SUMIFS(Mileage!$I$5:$I$304,Mileage!$B$5:$B$304,$C$4,Mileage!$C$5:$C$304,B33)</f>
        <v/>
      </c>
      <c r="F33" s="39">
        <f>D33-E33</f>
        <v/>
      </c>
      <c r="G33" s="26">
        <f>IF(D33=0,IF(E33&gt;0,-1,0),F33/D33)</f>
        <v/>
      </c>
      <c r="H33" s="26">
        <f>IF(D33=0,IF(E33&gt;0,1,0),E33/D33)</f>
        <v/>
      </c>
      <c r="I33" s="9">
        <f>IF(AND(D33=0,E33=0),"",IF(E33&gt;D33,"OVER",IF(H33&gt;=0.9,"Watch","On track")))</f>
        <v/>
      </c>
    </row>
    <row r="34">
      <c r="B34" s="9">
        <f>Settings!E17</f>
        <v/>
      </c>
      <c r="C34" s="9">
        <f>Settings!F17</f>
        <v/>
      </c>
      <c r="D34" s="39">
        <f>SUMIFS(Estimate!$K$5:$K$404,Estimate!$A$5:$A$404,$C$4,Estimate!$B$5:$B$404,B34)</f>
        <v/>
      </c>
      <c r="E34" s="39">
        <f>SUMIFS('Job Costs'!$I$5:$I$1004,'Job Costs'!$B$5:$B$1004,$C$4,'Job Costs'!$C$5:$C$1004,B34)+SUMIFS(Timesheet!$H$5:$H$1004,Timesheet!$C$5:$C$1004,$C$4,Timesheet!$D$5:$D$1004,B34)+SUMIFS(Mileage!$I$5:$I$304,Mileage!$B$5:$B$304,$C$4,Mileage!$C$5:$C$304,B34)</f>
        <v/>
      </c>
      <c r="F34" s="39">
        <f>D34-E34</f>
        <v/>
      </c>
      <c r="G34" s="26">
        <f>IF(D34=0,IF(E34&gt;0,-1,0),F34/D34)</f>
        <v/>
      </c>
      <c r="H34" s="26">
        <f>IF(D34=0,IF(E34&gt;0,1,0),E34/D34)</f>
        <v/>
      </c>
      <c r="I34" s="9">
        <f>IF(AND(D34=0,E34=0),"",IF(E34&gt;D34,"OVER",IF(H34&gt;=0.9,"Watch","On track")))</f>
        <v/>
      </c>
    </row>
    <row r="35">
      <c r="B35" s="9">
        <f>Settings!E18</f>
        <v/>
      </c>
      <c r="C35" s="9">
        <f>Settings!F18</f>
        <v/>
      </c>
      <c r="D35" s="39">
        <f>SUMIFS(Estimate!$K$5:$K$404,Estimate!$A$5:$A$404,$C$4,Estimate!$B$5:$B$404,B35)</f>
        <v/>
      </c>
      <c r="E35" s="39">
        <f>SUMIFS('Job Costs'!$I$5:$I$1004,'Job Costs'!$B$5:$B$1004,$C$4,'Job Costs'!$C$5:$C$1004,B35)+SUMIFS(Timesheet!$H$5:$H$1004,Timesheet!$C$5:$C$1004,$C$4,Timesheet!$D$5:$D$1004,B35)+SUMIFS(Mileage!$I$5:$I$304,Mileage!$B$5:$B$304,$C$4,Mileage!$C$5:$C$304,B35)</f>
        <v/>
      </c>
      <c r="F35" s="39">
        <f>D35-E35</f>
        <v/>
      </c>
      <c r="G35" s="26">
        <f>IF(D35=0,IF(E35&gt;0,-1,0),F35/D35)</f>
        <v/>
      </c>
      <c r="H35" s="26">
        <f>IF(D35=0,IF(E35&gt;0,1,0),E35/D35)</f>
        <v/>
      </c>
      <c r="I35" s="9">
        <f>IF(AND(D35=0,E35=0),"",IF(E35&gt;D35,"OVER",IF(H35&gt;=0.9,"Watch","On track")))</f>
        <v/>
      </c>
    </row>
    <row r="36">
      <c r="B36" s="9">
        <f>Settings!E19</f>
        <v/>
      </c>
      <c r="C36" s="9">
        <f>Settings!F19</f>
        <v/>
      </c>
      <c r="D36" s="39">
        <f>SUMIFS(Estimate!$K$5:$K$404,Estimate!$A$5:$A$404,$C$4,Estimate!$B$5:$B$404,B36)</f>
        <v/>
      </c>
      <c r="E36" s="39">
        <f>SUMIFS('Job Costs'!$I$5:$I$1004,'Job Costs'!$B$5:$B$1004,$C$4,'Job Costs'!$C$5:$C$1004,B36)+SUMIFS(Timesheet!$H$5:$H$1004,Timesheet!$C$5:$C$1004,$C$4,Timesheet!$D$5:$D$1004,B36)+SUMIFS(Mileage!$I$5:$I$304,Mileage!$B$5:$B$304,$C$4,Mileage!$C$5:$C$304,B36)</f>
        <v/>
      </c>
      <c r="F36" s="39">
        <f>D36-E36</f>
        <v/>
      </c>
      <c r="G36" s="26">
        <f>IF(D36=0,IF(E36&gt;0,-1,0),F36/D36)</f>
        <v/>
      </c>
      <c r="H36" s="26">
        <f>IF(D36=0,IF(E36&gt;0,1,0),E36/D36)</f>
        <v/>
      </c>
      <c r="I36" s="9">
        <f>IF(AND(D36=0,E36=0),"",IF(E36&gt;D36,"OVER",IF(H36&gt;=0.9,"Watch","On track")))</f>
        <v/>
      </c>
    </row>
    <row r="37">
      <c r="B37" s="9">
        <f>Settings!E20</f>
        <v/>
      </c>
      <c r="C37" s="9">
        <f>Settings!F20</f>
        <v/>
      </c>
      <c r="D37" s="39">
        <f>SUMIFS(Estimate!$K$5:$K$404,Estimate!$A$5:$A$404,$C$4,Estimate!$B$5:$B$404,B37)</f>
        <v/>
      </c>
      <c r="E37" s="39">
        <f>SUMIFS('Job Costs'!$I$5:$I$1004,'Job Costs'!$B$5:$B$1004,$C$4,'Job Costs'!$C$5:$C$1004,B37)+SUMIFS(Timesheet!$H$5:$H$1004,Timesheet!$C$5:$C$1004,$C$4,Timesheet!$D$5:$D$1004,B37)+SUMIFS(Mileage!$I$5:$I$304,Mileage!$B$5:$B$304,$C$4,Mileage!$C$5:$C$304,B37)</f>
        <v/>
      </c>
      <c r="F37" s="39">
        <f>D37-E37</f>
        <v/>
      </c>
      <c r="G37" s="26">
        <f>IF(D37=0,IF(E37&gt;0,-1,0),F37/D37)</f>
        <v/>
      </c>
      <c r="H37" s="26">
        <f>IF(D37=0,IF(E37&gt;0,1,0),E37/D37)</f>
        <v/>
      </c>
      <c r="I37" s="9">
        <f>IF(AND(D37=0,E37=0),"",IF(E37&gt;D37,"OVER",IF(H37&gt;=0.9,"Watch","On track")))</f>
        <v/>
      </c>
    </row>
    <row r="38">
      <c r="B38" s="9">
        <f>Settings!E21</f>
        <v/>
      </c>
      <c r="C38" s="9">
        <f>Settings!F21</f>
        <v/>
      </c>
      <c r="D38" s="39">
        <f>SUMIFS(Estimate!$K$5:$K$404,Estimate!$A$5:$A$404,$C$4,Estimate!$B$5:$B$404,B38)</f>
        <v/>
      </c>
      <c r="E38" s="39">
        <f>SUMIFS('Job Costs'!$I$5:$I$1004,'Job Costs'!$B$5:$B$1004,$C$4,'Job Costs'!$C$5:$C$1004,B38)+SUMIFS(Timesheet!$H$5:$H$1004,Timesheet!$C$5:$C$1004,$C$4,Timesheet!$D$5:$D$1004,B38)+SUMIFS(Mileage!$I$5:$I$304,Mileage!$B$5:$B$304,$C$4,Mileage!$C$5:$C$304,B38)</f>
        <v/>
      </c>
      <c r="F38" s="39">
        <f>D38-E38</f>
        <v/>
      </c>
      <c r="G38" s="26">
        <f>IF(D38=0,IF(E38&gt;0,-1,0),F38/D38)</f>
        <v/>
      </c>
      <c r="H38" s="26">
        <f>IF(D38=0,IF(E38&gt;0,1,0),E38/D38)</f>
        <v/>
      </c>
      <c r="I38" s="9">
        <f>IF(AND(D38=0,E38=0),"",IF(E38&gt;D38,"OVER",IF(H38&gt;=0.9,"Watch","On track")))</f>
        <v/>
      </c>
    </row>
    <row r="39">
      <c r="B39" s="9">
        <f>Settings!E22</f>
        <v/>
      </c>
      <c r="C39" s="9">
        <f>Settings!F22</f>
        <v/>
      </c>
      <c r="D39" s="39">
        <f>SUMIFS(Estimate!$K$5:$K$404,Estimate!$A$5:$A$404,$C$4,Estimate!$B$5:$B$404,B39)</f>
        <v/>
      </c>
      <c r="E39" s="39">
        <f>SUMIFS('Job Costs'!$I$5:$I$1004,'Job Costs'!$B$5:$B$1004,$C$4,'Job Costs'!$C$5:$C$1004,B39)+SUMIFS(Timesheet!$H$5:$H$1004,Timesheet!$C$5:$C$1004,$C$4,Timesheet!$D$5:$D$1004,B39)+SUMIFS(Mileage!$I$5:$I$304,Mileage!$B$5:$B$304,$C$4,Mileage!$C$5:$C$304,B39)</f>
        <v/>
      </c>
      <c r="F39" s="39">
        <f>D39-E39</f>
        <v/>
      </c>
      <c r="G39" s="26">
        <f>IF(D39=0,IF(E39&gt;0,-1,0),F39/D39)</f>
        <v/>
      </c>
      <c r="H39" s="26">
        <f>IF(D39=0,IF(E39&gt;0,1,0),E39/D39)</f>
        <v/>
      </c>
      <c r="I39" s="9">
        <f>IF(AND(D39=0,E39=0),"",IF(E39&gt;D39,"OVER",IF(H39&gt;=0.9,"Watch","On track")))</f>
        <v/>
      </c>
    </row>
    <row r="40">
      <c r="B40" s="9">
        <f>Settings!E23</f>
        <v/>
      </c>
      <c r="C40" s="9">
        <f>Settings!F23</f>
        <v/>
      </c>
      <c r="D40" s="39">
        <f>SUMIFS(Estimate!$K$5:$K$404,Estimate!$A$5:$A$404,$C$4,Estimate!$B$5:$B$404,B40)</f>
        <v/>
      </c>
      <c r="E40" s="39">
        <f>SUMIFS('Job Costs'!$I$5:$I$1004,'Job Costs'!$B$5:$B$1004,$C$4,'Job Costs'!$C$5:$C$1004,B40)+SUMIFS(Timesheet!$H$5:$H$1004,Timesheet!$C$5:$C$1004,$C$4,Timesheet!$D$5:$D$1004,B40)+SUMIFS(Mileage!$I$5:$I$304,Mileage!$B$5:$B$304,$C$4,Mileage!$C$5:$C$304,B40)</f>
        <v/>
      </c>
      <c r="F40" s="39">
        <f>D40-E40</f>
        <v/>
      </c>
      <c r="G40" s="26">
        <f>IF(D40=0,IF(E40&gt;0,-1,0),F40/D40)</f>
        <v/>
      </c>
      <c r="H40" s="26">
        <f>IF(D40=0,IF(E40&gt;0,1,0),E40/D40)</f>
        <v/>
      </c>
      <c r="I40" s="9">
        <f>IF(AND(D40=0,E40=0),"",IF(E40&gt;D40,"OVER",IF(H40&gt;=0.9,"Watch","On track")))</f>
        <v/>
      </c>
    </row>
    <row r="41">
      <c r="B41" s="9">
        <f>Settings!E24</f>
        <v/>
      </c>
      <c r="C41" s="9">
        <f>Settings!F24</f>
        <v/>
      </c>
      <c r="D41" s="39">
        <f>SUMIFS(Estimate!$K$5:$K$404,Estimate!$A$5:$A$404,$C$4,Estimate!$B$5:$B$404,B41)</f>
        <v/>
      </c>
      <c r="E41" s="39">
        <f>SUMIFS('Job Costs'!$I$5:$I$1004,'Job Costs'!$B$5:$B$1004,$C$4,'Job Costs'!$C$5:$C$1004,B41)+SUMIFS(Timesheet!$H$5:$H$1004,Timesheet!$C$5:$C$1004,$C$4,Timesheet!$D$5:$D$1004,B41)+SUMIFS(Mileage!$I$5:$I$304,Mileage!$B$5:$B$304,$C$4,Mileage!$C$5:$C$304,B41)</f>
        <v/>
      </c>
      <c r="F41" s="39">
        <f>D41-E41</f>
        <v/>
      </c>
      <c r="G41" s="26">
        <f>IF(D41=0,IF(E41&gt;0,-1,0),F41/D41)</f>
        <v/>
      </c>
      <c r="H41" s="26">
        <f>IF(D41=0,IF(E41&gt;0,1,0),E41/D41)</f>
        <v/>
      </c>
      <c r="I41" s="9">
        <f>IF(AND(D41=0,E41=0),"",IF(E41&gt;D41,"OVER",IF(H41&gt;=0.9,"Watch","On track")))</f>
        <v/>
      </c>
    </row>
    <row r="42">
      <c r="B42" s="9">
        <f>Settings!E25</f>
        <v/>
      </c>
      <c r="C42" s="9">
        <f>Settings!F25</f>
        <v/>
      </c>
      <c r="D42" s="39">
        <f>SUMIFS(Estimate!$K$5:$K$404,Estimate!$A$5:$A$404,$C$4,Estimate!$B$5:$B$404,B42)</f>
        <v/>
      </c>
      <c r="E42" s="39">
        <f>SUMIFS('Job Costs'!$I$5:$I$1004,'Job Costs'!$B$5:$B$1004,$C$4,'Job Costs'!$C$5:$C$1004,B42)+SUMIFS(Timesheet!$H$5:$H$1004,Timesheet!$C$5:$C$1004,$C$4,Timesheet!$D$5:$D$1004,B42)+SUMIFS(Mileage!$I$5:$I$304,Mileage!$B$5:$B$304,$C$4,Mileage!$C$5:$C$304,B42)</f>
        <v/>
      </c>
      <c r="F42" s="39">
        <f>D42-E42</f>
        <v/>
      </c>
      <c r="G42" s="26">
        <f>IF(D42=0,IF(E42&gt;0,-1,0),F42/D42)</f>
        <v/>
      </c>
      <c r="H42" s="26">
        <f>IF(D42=0,IF(E42&gt;0,1,0),E42/D42)</f>
        <v/>
      </c>
      <c r="I42" s="9">
        <f>IF(AND(D42=0,E42=0),"",IF(E42&gt;D42,"OVER",IF(H42&gt;=0.9,"Watch","On track")))</f>
        <v/>
      </c>
    </row>
    <row r="43">
      <c r="B43" s="9">
        <f>Settings!E26</f>
        <v/>
      </c>
      <c r="C43" s="9">
        <f>Settings!F26</f>
        <v/>
      </c>
      <c r="D43" s="39">
        <f>SUMIFS(Estimate!$K$5:$K$404,Estimate!$A$5:$A$404,$C$4,Estimate!$B$5:$B$404,B43)</f>
        <v/>
      </c>
      <c r="E43" s="39">
        <f>SUMIFS('Job Costs'!$I$5:$I$1004,'Job Costs'!$B$5:$B$1004,$C$4,'Job Costs'!$C$5:$C$1004,B43)+SUMIFS(Timesheet!$H$5:$H$1004,Timesheet!$C$5:$C$1004,$C$4,Timesheet!$D$5:$D$1004,B43)+SUMIFS(Mileage!$I$5:$I$304,Mileage!$B$5:$B$304,$C$4,Mileage!$C$5:$C$304,B43)</f>
        <v/>
      </c>
      <c r="F43" s="39">
        <f>D43-E43</f>
        <v/>
      </c>
      <c r="G43" s="26">
        <f>IF(D43=0,IF(E43&gt;0,-1,0),F43/D43)</f>
        <v/>
      </c>
      <c r="H43" s="26">
        <f>IF(D43=0,IF(E43&gt;0,1,0),E43/D43)</f>
        <v/>
      </c>
      <c r="I43" s="9">
        <f>IF(AND(D43=0,E43=0),"",IF(E43&gt;D43,"OVER",IF(H43&gt;=0.9,"Watch","On track")))</f>
        <v/>
      </c>
    </row>
    <row r="44">
      <c r="B44" s="9">
        <f>Settings!E27</f>
        <v/>
      </c>
      <c r="C44" s="9">
        <f>Settings!F27</f>
        <v/>
      </c>
      <c r="D44" s="39">
        <f>SUMIFS(Estimate!$K$5:$K$404,Estimate!$A$5:$A$404,$C$4,Estimate!$B$5:$B$404,B44)</f>
        <v/>
      </c>
      <c r="E44" s="39">
        <f>SUMIFS('Job Costs'!$I$5:$I$1004,'Job Costs'!$B$5:$B$1004,$C$4,'Job Costs'!$C$5:$C$1004,B44)+SUMIFS(Timesheet!$H$5:$H$1004,Timesheet!$C$5:$C$1004,$C$4,Timesheet!$D$5:$D$1004,B44)+SUMIFS(Mileage!$I$5:$I$304,Mileage!$B$5:$B$304,$C$4,Mileage!$C$5:$C$304,B44)</f>
        <v/>
      </c>
      <c r="F44" s="39">
        <f>D44-E44</f>
        <v/>
      </c>
      <c r="G44" s="26">
        <f>IF(D44=0,IF(E44&gt;0,-1,0),F44/D44)</f>
        <v/>
      </c>
      <c r="H44" s="26">
        <f>IF(D44=0,IF(E44&gt;0,1,0),E44/D44)</f>
        <v/>
      </c>
      <c r="I44" s="9">
        <f>IF(AND(D44=0,E44=0),"",IF(E44&gt;D44,"OVER",IF(H44&gt;=0.9,"Watch","On track")))</f>
        <v/>
      </c>
    </row>
    <row r="45">
      <c r="B45" s="9">
        <f>Settings!E28</f>
        <v/>
      </c>
      <c r="C45" s="9">
        <f>Settings!F28</f>
        <v/>
      </c>
      <c r="D45" s="39">
        <f>SUMIFS(Estimate!$K$5:$K$404,Estimate!$A$5:$A$404,$C$4,Estimate!$B$5:$B$404,B45)</f>
        <v/>
      </c>
      <c r="E45" s="39">
        <f>SUMIFS('Job Costs'!$I$5:$I$1004,'Job Costs'!$B$5:$B$1004,$C$4,'Job Costs'!$C$5:$C$1004,B45)+SUMIFS(Timesheet!$H$5:$H$1004,Timesheet!$C$5:$C$1004,$C$4,Timesheet!$D$5:$D$1004,B45)+SUMIFS(Mileage!$I$5:$I$304,Mileage!$B$5:$B$304,$C$4,Mileage!$C$5:$C$304,B45)</f>
        <v/>
      </c>
      <c r="F45" s="39">
        <f>D45-E45</f>
        <v/>
      </c>
      <c r="G45" s="26">
        <f>IF(D45=0,IF(E45&gt;0,-1,0),F45/D45)</f>
        <v/>
      </c>
      <c r="H45" s="26">
        <f>IF(D45=0,IF(E45&gt;0,1,0),E45/D45)</f>
        <v/>
      </c>
      <c r="I45" s="9">
        <f>IF(AND(D45=0,E45=0),"",IF(E45&gt;D45,"OVER",IF(H45&gt;=0.9,"Watch","On track")))</f>
        <v/>
      </c>
    </row>
    <row r="46">
      <c r="C46" t="inlineStr">
        <is>
          <t>Approved change orders (added cost)</t>
        </is>
      </c>
      <c r="D46" s="39">
        <f>SUMIFS('Change Orders'!$G$5:$G$104,'Change Orders'!$B$5:$B$104,$C$4,'Change Orders'!$E$5:$E$104,"Approved")</f>
        <v/>
      </c>
      <c r="E46" s="39">
        <f>IF($C$4="",0,IFERROR(INDEX(Jobs!$M$5:$M$44,MATCH($C$4,Jobs!$A$5:$A$44,0)),"")-SUM(E22:E45))</f>
        <v/>
      </c>
    </row>
    <row r="47">
      <c r="C47" s="14" t="inlineStr">
        <is>
          <t>(Actual on this line = costs logged without a cost code)</t>
        </is>
      </c>
    </row>
    <row r="48">
      <c r="B48" s="31" t="n"/>
      <c r="C48" s="31" t="inlineStr">
        <is>
          <t>TOTAL JOB BUDGET vs ACTUAL</t>
        </is>
      </c>
      <c r="D48" s="41">
        <f>SUM(D22:D46)</f>
        <v/>
      </c>
      <c r="E48" s="41">
        <f>SUM(E22:E46)</f>
        <v/>
      </c>
      <c r="F48" s="41">
        <f>D48-E48</f>
        <v/>
      </c>
      <c r="G48" s="42">
        <f>IF(D48=0,0,F48/D48)</f>
        <v/>
      </c>
      <c r="H48" s="42">
        <f>IF(D48=0,0,E48/D48)</f>
        <v/>
      </c>
      <c r="I48" s="31" t="n"/>
    </row>
    <row r="50">
      <c r="B50" s="44" t="inlineStr">
        <is>
          <t>Unpaid bills on this job (Job Costs, Paid? = No)</t>
        </is>
      </c>
      <c r="D50" s="39">
        <f>SUMIFS('Job Costs'!$I$5:$I$1004,'Job Costs'!$B$5:$B$1004,$C$4,'Job Costs'!$J$5:$J$1004,"No")</f>
        <v/>
      </c>
    </row>
    <row r="51">
      <c r="B51" s="44" t="inlineStr">
        <is>
          <t>Pending change orders (price, not yet approved)</t>
        </is>
      </c>
      <c r="D51" s="39">
        <f>SUMIFS('Change Orders'!$H$5:$H$104,'Change Orders'!$B$5:$B$104,$C$4,'Change Orders'!$E$5:$E$104,"Pending")</f>
        <v/>
      </c>
    </row>
    <row r="52">
      <c r="B52" s="44" t="inlineStr">
        <is>
          <t>Late schedule tasks</t>
        </is>
      </c>
      <c r="D52" s="9">
        <f>COUNTIFS(Schedule!$A$5:$A$204,$C$4,Schedule!$H$5:$H$204,"Late")</f>
        <v/>
      </c>
    </row>
    <row r="53">
      <c r="B53" s="44" t="inlineStr">
        <is>
          <t>Daily log entries</t>
        </is>
      </c>
      <c r="D53" s="9">
        <f>COUNTIF('Daily Log'!$B$5:$B$304,$C$4)</f>
        <v/>
      </c>
    </row>
  </sheetData>
  <mergeCells count="12">
    <mergeCell ref="B13:C13"/>
    <mergeCell ref="B52:C52"/>
    <mergeCell ref="B16:C16"/>
    <mergeCell ref="B15:C15"/>
    <mergeCell ref="B19:C19"/>
    <mergeCell ref="B51:C51"/>
    <mergeCell ref="B14:C14"/>
    <mergeCell ref="B50:C50"/>
    <mergeCell ref="B17:C17"/>
    <mergeCell ref="B18:C18"/>
    <mergeCell ref="B53:C53"/>
    <mergeCell ref="B12:C12"/>
  </mergeCells>
  <conditionalFormatting sqref="I22:I45">
    <cfRule type="cellIs" priority="1" operator="equal" dxfId="1">
      <formula>"OVER"</formula>
    </cfRule>
    <cfRule type="cellIs" priority="2" operator="equal" dxfId="0">
      <formula>"Watch"</formula>
    </cfRule>
    <cfRule type="cellIs" priority="3" operator="equal" dxfId="2">
      <formula>"On track"</formula>
    </cfRule>
  </conditionalFormatting>
  <conditionalFormatting sqref="G13:G18">
    <cfRule type="cellIs" priority="4" operator="greaterThan" dxfId="1">
      <formula>1</formula>
    </cfRule>
  </conditionalFormatting>
  <dataValidations count="1">
    <dataValidation sqref="C4" showDropDown="0" showInputMessage="1" showErrorMessage="0" allowBlank="1" promptTitle="Pick from the list" prompt="Pick the job to report on." type="list">
      <formula1>=Jobs!$A$5:$A$44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2.xml><?xml version="1.0" encoding="utf-8"?>
<worksheet xmlns="http://schemas.openxmlformats.org/spreadsheetml/2006/main">
  <sheetPr>
    <tabColor rgb="003A9D5D"/>
    <outlinePr summaryBelow="1" summaryRight="1"/>
    <pageSetUpPr fitToPage="1"/>
  </sheetPr>
  <dimension ref="A1:G62"/>
  <sheetViews>
    <sheetView showGridLines="0" tabSelected="0" workbookViewId="0">
      <selection activeCell="B1" sqref="B1"/>
    </sheetView>
  </sheetViews>
  <sheetFormatPr baseColWidth="8" defaultRowHeight="15"/>
  <cols>
    <col width="4" customWidth="1" min="1" max="1"/>
    <col width="30" customWidth="1" min="2" max="2"/>
    <col width="16" customWidth="1" min="3" max="3"/>
    <col width="16" customWidth="1" min="4" max="4"/>
    <col width="16" customWidth="1" min="5" max="5"/>
    <col width="14" customWidth="1" min="6" max="6"/>
    <col width="14" customWidth="1" min="7" max="7"/>
    <col width="12" customWidth="1" min="8" max="8"/>
  </cols>
  <sheetData>
    <row r="1">
      <c r="A1" s="13" t="inlineStr">
        <is>
          <t>Company reports</t>
        </is>
      </c>
    </row>
    <row r="2">
      <c r="A2" s="14" t="inlineStr">
        <is>
          <t>Receivables aging, cash forecast, pipeline, win rate and cost-code performance across all jobs. All calculated.</t>
        </is>
      </c>
    </row>
    <row r="4">
      <c r="B4" s="3" t="inlineStr">
        <is>
          <t>RECEIVABLES AGING</t>
        </is>
      </c>
    </row>
    <row r="5" ht="30" customHeight="1">
      <c r="B5" s="24" t="inlineStr">
        <is>
          <t>Bucket</t>
        </is>
      </c>
      <c r="C5" s="24" t="inlineStr">
        <is>
          <t>Open balance</t>
        </is>
      </c>
      <c r="D5" s="24" t="inlineStr">
        <is>
          <t>Invoices</t>
        </is>
      </c>
    </row>
    <row r="6">
      <c r="B6" s="9" t="inlineStr">
        <is>
          <t>Current</t>
        </is>
      </c>
      <c r="C6" s="39">
        <f>SUMIFS(Invoices!$H$5:$H$204,Invoices!$K$5:$K$204,B6)</f>
        <v/>
      </c>
      <c r="D6" s="9">
        <f>COUNTIF(Invoices!$K$5:$K$204,B6)</f>
        <v/>
      </c>
    </row>
    <row r="7">
      <c r="B7" s="9" t="inlineStr">
        <is>
          <t>1-30</t>
        </is>
      </c>
      <c r="C7" s="39">
        <f>SUMIFS(Invoices!$H$5:$H$204,Invoices!$K$5:$K$204,B7)</f>
        <v/>
      </c>
      <c r="D7" s="9">
        <f>COUNTIF(Invoices!$K$5:$K$204,B7)</f>
        <v/>
      </c>
    </row>
    <row r="8">
      <c r="B8" s="9" t="inlineStr">
        <is>
          <t>31-60</t>
        </is>
      </c>
      <c r="C8" s="39">
        <f>SUMIFS(Invoices!$H$5:$H$204,Invoices!$K$5:$K$204,B8)</f>
        <v/>
      </c>
      <c r="D8" s="9">
        <f>COUNTIF(Invoices!$K$5:$K$204,B8)</f>
        <v/>
      </c>
    </row>
    <row r="9">
      <c r="B9" s="9" t="inlineStr">
        <is>
          <t>61-90</t>
        </is>
      </c>
      <c r="C9" s="39">
        <f>SUMIFS(Invoices!$H$5:$H$204,Invoices!$K$5:$K$204,B9)</f>
        <v/>
      </c>
      <c r="D9" s="9">
        <f>COUNTIF(Invoices!$K$5:$K$204,B9)</f>
        <v/>
      </c>
    </row>
    <row r="10">
      <c r="B10" s="9" t="inlineStr">
        <is>
          <t>90+</t>
        </is>
      </c>
      <c r="C10" s="39">
        <f>SUMIFS(Invoices!$H$5:$H$204,Invoices!$K$5:$K$204,B10)</f>
        <v/>
      </c>
      <c r="D10" s="9">
        <f>COUNTIF(Invoices!$K$5:$K$204,B10)</f>
        <v/>
      </c>
    </row>
    <row r="11">
      <c r="B11" s="31" t="inlineStr">
        <is>
          <t>Total open</t>
        </is>
      </c>
      <c r="C11" s="41">
        <f>SUM(C6:C10)</f>
        <v/>
      </c>
      <c r="D11" s="31">
        <f>SUM(D6:D10)</f>
        <v/>
      </c>
    </row>
    <row r="13">
      <c r="B13" s="3" t="inlineStr">
        <is>
          <t>CASH FORECAST — open invoices by due month</t>
        </is>
      </c>
    </row>
    <row r="14" ht="30" customHeight="1">
      <c r="B14" s="24" t="inlineStr">
        <is>
          <t>Month</t>
        </is>
      </c>
      <c r="C14" s="24" t="inlineStr">
        <is>
          <t>Due (open balance)</t>
        </is>
      </c>
      <c r="D14" s="24" t="inlineStr">
        <is>
          <t>Invoices</t>
        </is>
      </c>
    </row>
    <row r="15">
      <c r="B15" s="9" t="inlineStr">
        <is>
          <t>Past due</t>
        </is>
      </c>
      <c r="C15" s="39">
        <f>SUMIFS(Invoices!$H$5:$H$204,Invoices!$D$5:$D$204,"&lt;"&amp;TODAY(),Invoices!$H$5:$H$204,"&gt;0")</f>
        <v/>
      </c>
      <c r="D15" s="9">
        <f>COUNTIFS(Invoices!$D$5:$D$204,"&lt;"&amp;TODAY(),Invoices!$H$5:$H$204,"&gt;0")</f>
        <v/>
      </c>
    </row>
    <row r="16">
      <c r="B16" s="30">
        <f>DATE(YEAR(TODAY()),MONTH(TODAY())+0,1)</f>
        <v/>
      </c>
      <c r="C16" s="39">
        <f>SUMIFS(Invoices!$H$5:$H$204,Invoices!$D$5:$D$204,"&gt;="&amp;MAX(B16,TODAY()),Invoices!$D$5:$D$204,"&lt;="&amp;EOMONTH(B16,0),Invoices!$H$5:$H$204,"&gt;0")</f>
        <v/>
      </c>
      <c r="D16" s="9">
        <f>COUNTIFS(Invoices!$D$5:$D$204,"&gt;="&amp;MAX(B16,TODAY()),Invoices!$D$5:$D$204,"&lt;="&amp;EOMONTH(B16,0),Invoices!$H$5:$H$204,"&gt;0")</f>
        <v/>
      </c>
    </row>
    <row r="17">
      <c r="B17" s="30">
        <f>DATE(YEAR(TODAY()),MONTH(TODAY())+1,1)</f>
        <v/>
      </c>
      <c r="C17" s="39">
        <f>SUMIFS(Invoices!$H$5:$H$204,Invoices!$D$5:$D$204,"&gt;="&amp;MAX(B17,TODAY()),Invoices!$D$5:$D$204,"&lt;="&amp;EOMONTH(B17,0),Invoices!$H$5:$H$204,"&gt;0")</f>
        <v/>
      </c>
      <c r="D17" s="9">
        <f>COUNTIFS(Invoices!$D$5:$D$204,"&gt;="&amp;MAX(B17,TODAY()),Invoices!$D$5:$D$204,"&lt;="&amp;EOMONTH(B17,0),Invoices!$H$5:$H$204,"&gt;0")</f>
        <v/>
      </c>
    </row>
    <row r="18">
      <c r="B18" s="30">
        <f>DATE(YEAR(TODAY()),MONTH(TODAY())+2,1)</f>
        <v/>
      </c>
      <c r="C18" s="39">
        <f>SUMIFS(Invoices!$H$5:$H$204,Invoices!$D$5:$D$204,"&gt;="&amp;MAX(B18,TODAY()),Invoices!$D$5:$D$204,"&lt;="&amp;EOMONTH(B18,0),Invoices!$H$5:$H$204,"&gt;0")</f>
        <v/>
      </c>
      <c r="D18" s="9">
        <f>COUNTIFS(Invoices!$D$5:$D$204,"&gt;="&amp;MAX(B18,TODAY()),Invoices!$D$5:$D$204,"&lt;="&amp;EOMONTH(B18,0),Invoices!$H$5:$H$204,"&gt;0")</f>
        <v/>
      </c>
    </row>
    <row r="19">
      <c r="B19" s="30">
        <f>DATE(YEAR(TODAY()),MONTH(TODAY())+3,1)</f>
        <v/>
      </c>
      <c r="C19" s="39">
        <f>SUMIFS(Invoices!$H$5:$H$204,Invoices!$D$5:$D$204,"&gt;="&amp;MAX(B19,TODAY()),Invoices!$D$5:$D$204,"&lt;="&amp;EOMONTH(B19,0),Invoices!$H$5:$H$204,"&gt;0")</f>
        <v/>
      </c>
      <c r="D19" s="9">
        <f>COUNTIFS(Invoices!$D$5:$D$204,"&gt;="&amp;MAX(B19,TODAY()),Invoices!$D$5:$D$204,"&lt;="&amp;EOMONTH(B19,0),Invoices!$H$5:$H$204,"&gt;0")</f>
        <v/>
      </c>
    </row>
    <row r="20">
      <c r="B20" s="30">
        <f>DATE(YEAR(TODAY()),MONTH(TODAY())+4,1)</f>
        <v/>
      </c>
      <c r="C20" s="39">
        <f>SUMIFS(Invoices!$H$5:$H$204,Invoices!$D$5:$D$204,"&gt;="&amp;MAX(B20,TODAY()),Invoices!$D$5:$D$204,"&lt;="&amp;EOMONTH(B20,0),Invoices!$H$5:$H$204,"&gt;0")</f>
        <v/>
      </c>
      <c r="D20" s="9">
        <f>COUNTIFS(Invoices!$D$5:$D$204,"&gt;="&amp;MAX(B20,TODAY()),Invoices!$D$5:$D$204,"&lt;="&amp;EOMONTH(B20,0),Invoices!$H$5:$H$204,"&gt;0")</f>
        <v/>
      </c>
    </row>
    <row r="21">
      <c r="B21" s="30">
        <f>DATE(YEAR(TODAY()),MONTH(TODAY())+5,1)</f>
        <v/>
      </c>
      <c r="C21" s="39">
        <f>SUMIFS(Invoices!$H$5:$H$204,Invoices!$D$5:$D$204,"&gt;="&amp;MAX(B21,TODAY()),Invoices!$D$5:$D$204,"&lt;="&amp;EOMONTH(B21,0),Invoices!$H$5:$H$204,"&gt;0")</f>
        <v/>
      </c>
      <c r="D21" s="9">
        <f>COUNTIFS(Invoices!$D$5:$D$204,"&gt;="&amp;MAX(B21,TODAY()),Invoices!$D$5:$D$204,"&lt;="&amp;EOMONTH(B21,0),Invoices!$H$5:$H$204,"&gt;0")</f>
        <v/>
      </c>
    </row>
    <row r="22">
      <c r="B22" s="31" t="inlineStr">
        <is>
          <t>Total</t>
        </is>
      </c>
      <c r="C22" s="41">
        <f>SUM(C15:C21)</f>
        <v/>
      </c>
      <c r="D22" s="31">
        <f>SUM(D15:D21)</f>
        <v/>
      </c>
    </row>
    <row r="24">
      <c r="B24" s="3" t="inlineStr">
        <is>
          <t>PIPELINE BY STATUS</t>
        </is>
      </c>
    </row>
    <row r="25" ht="30" customHeight="1">
      <c r="B25" s="24" t="inlineStr">
        <is>
          <t>Status</t>
        </is>
      </c>
      <c r="C25" s="24" t="inlineStr">
        <is>
          <t>Jobs</t>
        </is>
      </c>
      <c r="D25" s="24" t="inlineStr">
        <is>
          <t>Revised contract</t>
        </is>
      </c>
      <c r="E25" s="24" t="inlineStr">
        <is>
          <t>Balance due</t>
        </is>
      </c>
      <c r="F25" s="24" t="inlineStr">
        <is>
          <t>Projected profit</t>
        </is>
      </c>
    </row>
    <row r="26">
      <c r="B26" s="9" t="inlineStr">
        <is>
          <t>Lead</t>
        </is>
      </c>
      <c r="C26" s="9">
        <f>COUNTIF(Jobs!$D$5:$D$44,B26)</f>
        <v/>
      </c>
      <c r="D26" s="39">
        <f>SUMIFS(Jobs!$K$5:$K$44,Jobs!$D$5:$D$44,B26)</f>
        <v/>
      </c>
      <c r="E26" s="39">
        <f>SUMIFS(Jobs!$S$5:$S$44,Jobs!$D$5:$D$44,B26)</f>
        <v/>
      </c>
      <c r="F26" s="39">
        <f>SUMIFS(Jobs!$T$5:$T$44,Jobs!$D$5:$D$44,B26)</f>
        <v/>
      </c>
    </row>
    <row r="27">
      <c r="B27" s="9" t="inlineStr">
        <is>
          <t>Quoted</t>
        </is>
      </c>
      <c r="C27" s="9">
        <f>COUNTIF(Jobs!$D$5:$D$44,B27)</f>
        <v/>
      </c>
      <c r="D27" s="39">
        <f>SUMIFS(Jobs!$K$5:$K$44,Jobs!$D$5:$D$44,B27)</f>
        <v/>
      </c>
      <c r="E27" s="39">
        <f>SUMIFS(Jobs!$S$5:$S$44,Jobs!$D$5:$D$44,B27)</f>
        <v/>
      </c>
      <c r="F27" s="39">
        <f>SUMIFS(Jobs!$T$5:$T$44,Jobs!$D$5:$D$44,B27)</f>
        <v/>
      </c>
    </row>
    <row r="28">
      <c r="B28" s="9" t="inlineStr">
        <is>
          <t>Approved</t>
        </is>
      </c>
      <c r="C28" s="9">
        <f>COUNTIF(Jobs!$D$5:$D$44,B28)</f>
        <v/>
      </c>
      <c r="D28" s="39">
        <f>SUMIFS(Jobs!$K$5:$K$44,Jobs!$D$5:$D$44,B28)</f>
        <v/>
      </c>
      <c r="E28" s="39">
        <f>SUMIFS(Jobs!$S$5:$S$44,Jobs!$D$5:$D$44,B28)</f>
        <v/>
      </c>
      <c r="F28" s="39">
        <f>SUMIFS(Jobs!$T$5:$T$44,Jobs!$D$5:$D$44,B28)</f>
        <v/>
      </c>
    </row>
    <row r="29">
      <c r="B29" s="9" t="inlineStr">
        <is>
          <t>In Progress</t>
        </is>
      </c>
      <c r="C29" s="9">
        <f>COUNTIF(Jobs!$D$5:$D$44,B29)</f>
        <v/>
      </c>
      <c r="D29" s="39">
        <f>SUMIFS(Jobs!$K$5:$K$44,Jobs!$D$5:$D$44,B29)</f>
        <v/>
      </c>
      <c r="E29" s="39">
        <f>SUMIFS(Jobs!$S$5:$S$44,Jobs!$D$5:$D$44,B29)</f>
        <v/>
      </c>
      <c r="F29" s="39">
        <f>SUMIFS(Jobs!$T$5:$T$44,Jobs!$D$5:$D$44,B29)</f>
        <v/>
      </c>
    </row>
    <row r="30">
      <c r="B30" s="9" t="inlineStr">
        <is>
          <t>Complete</t>
        </is>
      </c>
      <c r="C30" s="9">
        <f>COUNTIF(Jobs!$D$5:$D$44,B30)</f>
        <v/>
      </c>
      <c r="D30" s="39">
        <f>SUMIFS(Jobs!$K$5:$K$44,Jobs!$D$5:$D$44,B30)</f>
        <v/>
      </c>
      <c r="E30" s="39">
        <f>SUMIFS(Jobs!$S$5:$S$44,Jobs!$D$5:$D$44,B30)</f>
        <v/>
      </c>
      <c r="F30" s="39">
        <f>SUMIFS(Jobs!$T$5:$T$44,Jobs!$D$5:$D$44,B30)</f>
        <v/>
      </c>
    </row>
    <row r="31">
      <c r="B31" s="9" t="inlineStr">
        <is>
          <t>Closed</t>
        </is>
      </c>
      <c r="C31" s="9">
        <f>COUNTIF(Jobs!$D$5:$D$44,B31)</f>
        <v/>
      </c>
      <c r="D31" s="39">
        <f>SUMIFS(Jobs!$K$5:$K$44,Jobs!$D$5:$D$44,B31)</f>
        <v/>
      </c>
      <c r="E31" s="39">
        <f>SUMIFS(Jobs!$S$5:$S$44,Jobs!$D$5:$D$44,B31)</f>
        <v/>
      </c>
      <c r="F31" s="39">
        <f>SUMIFS(Jobs!$T$5:$T$44,Jobs!$D$5:$D$44,B31)</f>
        <v/>
      </c>
    </row>
    <row r="32">
      <c r="B32" s="9" t="inlineStr">
        <is>
          <t>Lost</t>
        </is>
      </c>
      <c r="C32" s="9">
        <f>COUNTIF(Jobs!$D$5:$D$44,B32)</f>
        <v/>
      </c>
      <c r="D32" s="39">
        <f>SUMIFS(Jobs!$K$5:$K$44,Jobs!$D$5:$D$44,B32)</f>
        <v/>
      </c>
      <c r="E32" s="39">
        <f>SUMIFS(Jobs!$S$5:$S$44,Jobs!$D$5:$D$44,B32)</f>
        <v/>
      </c>
      <c r="F32" s="39">
        <f>SUMIFS(Jobs!$T$5:$T$44,Jobs!$D$5:$D$44,B32)</f>
        <v/>
      </c>
    </row>
    <row r="33">
      <c r="B33" s="31" t="inlineStr">
        <is>
          <t>Total</t>
        </is>
      </c>
      <c r="C33" s="31">
        <f>SUM(C26:C32)</f>
        <v/>
      </c>
      <c r="D33" s="41">
        <f>SUM(D26:D32)</f>
        <v/>
      </c>
      <c r="E33" s="41">
        <f>SUM(E26:E32)</f>
        <v/>
      </c>
      <c r="F33" s="41">
        <f>SUM(F26:F32)</f>
        <v/>
      </c>
    </row>
    <row r="34">
      <c r="B34" s="44" t="inlineStr">
        <is>
          <t>Win rate (won ÷ won + lost)</t>
        </is>
      </c>
      <c r="C34" s="26">
        <f>IF(C28+C29+C30+C31+C32=0,0,(C28+C29+C30+C31)/(C28+C29+C30+C31+C32))</f>
        <v/>
      </c>
    </row>
    <row r="36">
      <c r="B36" s="3" t="inlineStr">
        <is>
          <t>COST CODE PERFORMANCE — all jobs</t>
        </is>
      </c>
    </row>
    <row r="37" ht="30" customHeight="1">
      <c r="B37" s="24" t="inlineStr">
        <is>
          <t>Cost code</t>
        </is>
      </c>
      <c r="C37" s="24" t="inlineStr">
        <is>
          <t>Estimated</t>
        </is>
      </c>
      <c r="D37" s="24" t="inlineStr">
        <is>
          <t>Actual</t>
        </is>
      </c>
      <c r="E37" s="24" t="inlineStr">
        <is>
          <t>Variance</t>
        </is>
      </c>
      <c r="F37" s="24" t="inlineStr">
        <is>
          <t>Variance %</t>
        </is>
      </c>
      <c r="G37" s="24" t="inlineStr">
        <is>
          <t>Flag</t>
        </is>
      </c>
    </row>
    <row r="38">
      <c r="B38" s="9">
        <f>Settings!E5&amp;"  "&amp;Settings!F5</f>
        <v/>
      </c>
      <c r="C38" s="39">
        <f>SUMIFS(Estimate!$K$5:$K$404,Estimate!$B$5:$B$404,Settings!E5)</f>
        <v/>
      </c>
      <c r="D38" s="39">
        <f>SUMIFS('Job Costs'!$I$5:$I$1004,'Job Costs'!$C$5:$C$1004,Settings!E5)+SUMIFS(Timesheet!$H$5:$H$1004,Timesheet!$D$5:$D$1004,Settings!E5)+SUMIFS(Mileage!$I$5:$I$304,Mileage!$C$5:$C$304,Settings!E5)</f>
        <v/>
      </c>
      <c r="E38" s="39">
        <f>C38-D38</f>
        <v/>
      </c>
      <c r="F38" s="26">
        <f>IF(C38=0,IF(D38&gt;0,-1,0),E38/C38)</f>
        <v/>
      </c>
      <c r="G38" s="9">
        <f>IF(AND(C38=0,D38=0),"",IF(D38&gt;C38,"OVER",IF(D38&gt;=0.9*C38,"Watch","OK")))</f>
        <v/>
      </c>
    </row>
    <row r="39">
      <c r="B39" s="9">
        <f>Settings!E6&amp;"  "&amp;Settings!F6</f>
        <v/>
      </c>
      <c r="C39" s="39">
        <f>SUMIFS(Estimate!$K$5:$K$404,Estimate!$B$5:$B$404,Settings!E6)</f>
        <v/>
      </c>
      <c r="D39" s="39">
        <f>SUMIFS('Job Costs'!$I$5:$I$1004,'Job Costs'!$C$5:$C$1004,Settings!E6)+SUMIFS(Timesheet!$H$5:$H$1004,Timesheet!$D$5:$D$1004,Settings!E6)+SUMIFS(Mileage!$I$5:$I$304,Mileage!$C$5:$C$304,Settings!E6)</f>
        <v/>
      </c>
      <c r="E39" s="39">
        <f>C39-D39</f>
        <v/>
      </c>
      <c r="F39" s="26">
        <f>IF(C39=0,IF(D39&gt;0,-1,0),E39/C39)</f>
        <v/>
      </c>
      <c r="G39" s="9">
        <f>IF(AND(C39=0,D39=0),"",IF(D39&gt;C39,"OVER",IF(D39&gt;=0.9*C39,"Watch","OK")))</f>
        <v/>
      </c>
    </row>
    <row r="40">
      <c r="B40" s="9">
        <f>Settings!E7&amp;"  "&amp;Settings!F7</f>
        <v/>
      </c>
      <c r="C40" s="39">
        <f>SUMIFS(Estimate!$K$5:$K$404,Estimate!$B$5:$B$404,Settings!E7)</f>
        <v/>
      </c>
      <c r="D40" s="39">
        <f>SUMIFS('Job Costs'!$I$5:$I$1004,'Job Costs'!$C$5:$C$1004,Settings!E7)+SUMIFS(Timesheet!$H$5:$H$1004,Timesheet!$D$5:$D$1004,Settings!E7)+SUMIFS(Mileage!$I$5:$I$304,Mileage!$C$5:$C$304,Settings!E7)</f>
        <v/>
      </c>
      <c r="E40" s="39">
        <f>C40-D40</f>
        <v/>
      </c>
      <c r="F40" s="26">
        <f>IF(C40=0,IF(D40&gt;0,-1,0),E40/C40)</f>
        <v/>
      </c>
      <c r="G40" s="9">
        <f>IF(AND(C40=0,D40=0),"",IF(D40&gt;C40,"OVER",IF(D40&gt;=0.9*C40,"Watch","OK")))</f>
        <v/>
      </c>
    </row>
    <row r="41">
      <c r="B41" s="9">
        <f>Settings!E8&amp;"  "&amp;Settings!F8</f>
        <v/>
      </c>
      <c r="C41" s="39">
        <f>SUMIFS(Estimate!$K$5:$K$404,Estimate!$B$5:$B$404,Settings!E8)</f>
        <v/>
      </c>
      <c r="D41" s="39">
        <f>SUMIFS('Job Costs'!$I$5:$I$1004,'Job Costs'!$C$5:$C$1004,Settings!E8)+SUMIFS(Timesheet!$H$5:$H$1004,Timesheet!$D$5:$D$1004,Settings!E8)+SUMIFS(Mileage!$I$5:$I$304,Mileage!$C$5:$C$304,Settings!E8)</f>
        <v/>
      </c>
      <c r="E41" s="39">
        <f>C41-D41</f>
        <v/>
      </c>
      <c r="F41" s="26">
        <f>IF(C41=0,IF(D41&gt;0,-1,0),E41/C41)</f>
        <v/>
      </c>
      <c r="G41" s="9">
        <f>IF(AND(C41=0,D41=0),"",IF(D41&gt;C41,"OVER",IF(D41&gt;=0.9*C41,"Watch","OK")))</f>
        <v/>
      </c>
    </row>
    <row r="42">
      <c r="B42" s="9">
        <f>Settings!E9&amp;"  "&amp;Settings!F9</f>
        <v/>
      </c>
      <c r="C42" s="39">
        <f>SUMIFS(Estimate!$K$5:$K$404,Estimate!$B$5:$B$404,Settings!E9)</f>
        <v/>
      </c>
      <c r="D42" s="39">
        <f>SUMIFS('Job Costs'!$I$5:$I$1004,'Job Costs'!$C$5:$C$1004,Settings!E9)+SUMIFS(Timesheet!$H$5:$H$1004,Timesheet!$D$5:$D$1004,Settings!E9)+SUMIFS(Mileage!$I$5:$I$304,Mileage!$C$5:$C$304,Settings!E9)</f>
        <v/>
      </c>
      <c r="E42" s="39">
        <f>C42-D42</f>
        <v/>
      </c>
      <c r="F42" s="26">
        <f>IF(C42=0,IF(D42&gt;0,-1,0),E42/C42)</f>
        <v/>
      </c>
      <c r="G42" s="9">
        <f>IF(AND(C42=0,D42=0),"",IF(D42&gt;C42,"OVER",IF(D42&gt;=0.9*C42,"Watch","OK")))</f>
        <v/>
      </c>
    </row>
    <row r="43">
      <c r="B43" s="9">
        <f>Settings!E10&amp;"  "&amp;Settings!F10</f>
        <v/>
      </c>
      <c r="C43" s="39">
        <f>SUMIFS(Estimate!$K$5:$K$404,Estimate!$B$5:$B$404,Settings!E10)</f>
        <v/>
      </c>
      <c r="D43" s="39">
        <f>SUMIFS('Job Costs'!$I$5:$I$1004,'Job Costs'!$C$5:$C$1004,Settings!E10)+SUMIFS(Timesheet!$H$5:$H$1004,Timesheet!$D$5:$D$1004,Settings!E10)+SUMIFS(Mileage!$I$5:$I$304,Mileage!$C$5:$C$304,Settings!E10)</f>
        <v/>
      </c>
      <c r="E43" s="39">
        <f>C43-D43</f>
        <v/>
      </c>
      <c r="F43" s="26">
        <f>IF(C43=0,IF(D43&gt;0,-1,0),E43/C43)</f>
        <v/>
      </c>
      <c r="G43" s="9">
        <f>IF(AND(C43=0,D43=0),"",IF(D43&gt;C43,"OVER",IF(D43&gt;=0.9*C43,"Watch","OK")))</f>
        <v/>
      </c>
    </row>
    <row r="44">
      <c r="B44" s="9">
        <f>Settings!E11&amp;"  "&amp;Settings!F11</f>
        <v/>
      </c>
      <c r="C44" s="39">
        <f>SUMIFS(Estimate!$K$5:$K$404,Estimate!$B$5:$B$404,Settings!E11)</f>
        <v/>
      </c>
      <c r="D44" s="39">
        <f>SUMIFS('Job Costs'!$I$5:$I$1004,'Job Costs'!$C$5:$C$1004,Settings!E11)+SUMIFS(Timesheet!$H$5:$H$1004,Timesheet!$D$5:$D$1004,Settings!E11)+SUMIFS(Mileage!$I$5:$I$304,Mileage!$C$5:$C$304,Settings!E11)</f>
        <v/>
      </c>
      <c r="E44" s="39">
        <f>C44-D44</f>
        <v/>
      </c>
      <c r="F44" s="26">
        <f>IF(C44=0,IF(D44&gt;0,-1,0),E44/C44)</f>
        <v/>
      </c>
      <c r="G44" s="9">
        <f>IF(AND(C44=0,D44=0),"",IF(D44&gt;C44,"OVER",IF(D44&gt;=0.9*C44,"Watch","OK")))</f>
        <v/>
      </c>
    </row>
    <row r="45">
      <c r="B45" s="9">
        <f>Settings!E12&amp;"  "&amp;Settings!F12</f>
        <v/>
      </c>
      <c r="C45" s="39">
        <f>SUMIFS(Estimate!$K$5:$K$404,Estimate!$B$5:$B$404,Settings!E12)</f>
        <v/>
      </c>
      <c r="D45" s="39">
        <f>SUMIFS('Job Costs'!$I$5:$I$1004,'Job Costs'!$C$5:$C$1004,Settings!E12)+SUMIFS(Timesheet!$H$5:$H$1004,Timesheet!$D$5:$D$1004,Settings!E12)+SUMIFS(Mileage!$I$5:$I$304,Mileage!$C$5:$C$304,Settings!E12)</f>
        <v/>
      </c>
      <c r="E45" s="39">
        <f>C45-D45</f>
        <v/>
      </c>
      <c r="F45" s="26">
        <f>IF(C45=0,IF(D45&gt;0,-1,0),E45/C45)</f>
        <v/>
      </c>
      <c r="G45" s="9">
        <f>IF(AND(C45=0,D45=0),"",IF(D45&gt;C45,"OVER",IF(D45&gt;=0.9*C45,"Watch","OK")))</f>
        <v/>
      </c>
    </row>
    <row r="46">
      <c r="B46" s="9">
        <f>Settings!E13&amp;"  "&amp;Settings!F13</f>
        <v/>
      </c>
      <c r="C46" s="39">
        <f>SUMIFS(Estimate!$K$5:$K$404,Estimate!$B$5:$B$404,Settings!E13)</f>
        <v/>
      </c>
      <c r="D46" s="39">
        <f>SUMIFS('Job Costs'!$I$5:$I$1004,'Job Costs'!$C$5:$C$1004,Settings!E13)+SUMIFS(Timesheet!$H$5:$H$1004,Timesheet!$D$5:$D$1004,Settings!E13)+SUMIFS(Mileage!$I$5:$I$304,Mileage!$C$5:$C$304,Settings!E13)</f>
        <v/>
      </c>
      <c r="E46" s="39">
        <f>C46-D46</f>
        <v/>
      </c>
      <c r="F46" s="26">
        <f>IF(C46=0,IF(D46&gt;0,-1,0),E46/C46)</f>
        <v/>
      </c>
      <c r="G46" s="9">
        <f>IF(AND(C46=0,D46=0),"",IF(D46&gt;C46,"OVER",IF(D46&gt;=0.9*C46,"Watch","OK")))</f>
        <v/>
      </c>
    </row>
    <row r="47">
      <c r="B47" s="9">
        <f>Settings!E14&amp;"  "&amp;Settings!F14</f>
        <v/>
      </c>
      <c r="C47" s="39">
        <f>SUMIFS(Estimate!$K$5:$K$404,Estimate!$B$5:$B$404,Settings!E14)</f>
        <v/>
      </c>
      <c r="D47" s="39">
        <f>SUMIFS('Job Costs'!$I$5:$I$1004,'Job Costs'!$C$5:$C$1004,Settings!E14)+SUMIFS(Timesheet!$H$5:$H$1004,Timesheet!$D$5:$D$1004,Settings!E14)+SUMIFS(Mileage!$I$5:$I$304,Mileage!$C$5:$C$304,Settings!E14)</f>
        <v/>
      </c>
      <c r="E47" s="39">
        <f>C47-D47</f>
        <v/>
      </c>
      <c r="F47" s="26">
        <f>IF(C47=0,IF(D47&gt;0,-1,0),E47/C47)</f>
        <v/>
      </c>
      <c r="G47" s="9">
        <f>IF(AND(C47=0,D47=0),"",IF(D47&gt;C47,"OVER",IF(D47&gt;=0.9*C47,"Watch","OK")))</f>
        <v/>
      </c>
    </row>
    <row r="48">
      <c r="B48" s="9">
        <f>Settings!E15&amp;"  "&amp;Settings!F15</f>
        <v/>
      </c>
      <c r="C48" s="39">
        <f>SUMIFS(Estimate!$K$5:$K$404,Estimate!$B$5:$B$404,Settings!E15)</f>
        <v/>
      </c>
      <c r="D48" s="39">
        <f>SUMIFS('Job Costs'!$I$5:$I$1004,'Job Costs'!$C$5:$C$1004,Settings!E15)+SUMIFS(Timesheet!$H$5:$H$1004,Timesheet!$D$5:$D$1004,Settings!E15)+SUMIFS(Mileage!$I$5:$I$304,Mileage!$C$5:$C$304,Settings!E15)</f>
        <v/>
      </c>
      <c r="E48" s="39">
        <f>C48-D48</f>
        <v/>
      </c>
      <c r="F48" s="26">
        <f>IF(C48=0,IF(D48&gt;0,-1,0),E48/C48)</f>
        <v/>
      </c>
      <c r="G48" s="9">
        <f>IF(AND(C48=0,D48=0),"",IF(D48&gt;C48,"OVER",IF(D48&gt;=0.9*C48,"Watch","OK")))</f>
        <v/>
      </c>
    </row>
    <row r="49">
      <c r="B49" s="9">
        <f>Settings!E16&amp;"  "&amp;Settings!F16</f>
        <v/>
      </c>
      <c r="C49" s="39">
        <f>SUMIFS(Estimate!$K$5:$K$404,Estimate!$B$5:$B$404,Settings!E16)</f>
        <v/>
      </c>
      <c r="D49" s="39">
        <f>SUMIFS('Job Costs'!$I$5:$I$1004,'Job Costs'!$C$5:$C$1004,Settings!E16)+SUMIFS(Timesheet!$H$5:$H$1004,Timesheet!$D$5:$D$1004,Settings!E16)+SUMIFS(Mileage!$I$5:$I$304,Mileage!$C$5:$C$304,Settings!E16)</f>
        <v/>
      </c>
      <c r="E49" s="39">
        <f>C49-D49</f>
        <v/>
      </c>
      <c r="F49" s="26">
        <f>IF(C49=0,IF(D49&gt;0,-1,0),E49/C49)</f>
        <v/>
      </c>
      <c r="G49" s="9">
        <f>IF(AND(C49=0,D49=0),"",IF(D49&gt;C49,"OVER",IF(D49&gt;=0.9*C49,"Watch","OK")))</f>
        <v/>
      </c>
    </row>
    <row r="50">
      <c r="B50" s="9">
        <f>Settings!E17&amp;"  "&amp;Settings!F17</f>
        <v/>
      </c>
      <c r="C50" s="39">
        <f>SUMIFS(Estimate!$K$5:$K$404,Estimate!$B$5:$B$404,Settings!E17)</f>
        <v/>
      </c>
      <c r="D50" s="39">
        <f>SUMIFS('Job Costs'!$I$5:$I$1004,'Job Costs'!$C$5:$C$1004,Settings!E17)+SUMIFS(Timesheet!$H$5:$H$1004,Timesheet!$D$5:$D$1004,Settings!E17)+SUMIFS(Mileage!$I$5:$I$304,Mileage!$C$5:$C$304,Settings!E17)</f>
        <v/>
      </c>
      <c r="E50" s="39">
        <f>C50-D50</f>
        <v/>
      </c>
      <c r="F50" s="26">
        <f>IF(C50=0,IF(D50&gt;0,-1,0),E50/C50)</f>
        <v/>
      </c>
      <c r="G50" s="9">
        <f>IF(AND(C50=0,D50=0),"",IF(D50&gt;C50,"OVER",IF(D50&gt;=0.9*C50,"Watch","OK")))</f>
        <v/>
      </c>
    </row>
    <row r="51">
      <c r="B51" s="9">
        <f>Settings!E18&amp;"  "&amp;Settings!F18</f>
        <v/>
      </c>
      <c r="C51" s="39">
        <f>SUMIFS(Estimate!$K$5:$K$404,Estimate!$B$5:$B$404,Settings!E18)</f>
        <v/>
      </c>
      <c r="D51" s="39">
        <f>SUMIFS('Job Costs'!$I$5:$I$1004,'Job Costs'!$C$5:$C$1004,Settings!E18)+SUMIFS(Timesheet!$H$5:$H$1004,Timesheet!$D$5:$D$1004,Settings!E18)+SUMIFS(Mileage!$I$5:$I$304,Mileage!$C$5:$C$304,Settings!E18)</f>
        <v/>
      </c>
      <c r="E51" s="39">
        <f>C51-D51</f>
        <v/>
      </c>
      <c r="F51" s="26">
        <f>IF(C51=0,IF(D51&gt;0,-1,0),E51/C51)</f>
        <v/>
      </c>
      <c r="G51" s="9">
        <f>IF(AND(C51=0,D51=0),"",IF(D51&gt;C51,"OVER",IF(D51&gt;=0.9*C51,"Watch","OK")))</f>
        <v/>
      </c>
    </row>
    <row r="52">
      <c r="B52" s="9">
        <f>Settings!E19&amp;"  "&amp;Settings!F19</f>
        <v/>
      </c>
      <c r="C52" s="39">
        <f>SUMIFS(Estimate!$K$5:$K$404,Estimate!$B$5:$B$404,Settings!E19)</f>
        <v/>
      </c>
      <c r="D52" s="39">
        <f>SUMIFS('Job Costs'!$I$5:$I$1004,'Job Costs'!$C$5:$C$1004,Settings!E19)+SUMIFS(Timesheet!$H$5:$H$1004,Timesheet!$D$5:$D$1004,Settings!E19)+SUMIFS(Mileage!$I$5:$I$304,Mileage!$C$5:$C$304,Settings!E19)</f>
        <v/>
      </c>
      <c r="E52" s="39">
        <f>C52-D52</f>
        <v/>
      </c>
      <c r="F52" s="26">
        <f>IF(C52=0,IF(D52&gt;0,-1,0),E52/C52)</f>
        <v/>
      </c>
      <c r="G52" s="9">
        <f>IF(AND(C52=0,D52=0),"",IF(D52&gt;C52,"OVER",IF(D52&gt;=0.9*C52,"Watch","OK")))</f>
        <v/>
      </c>
    </row>
    <row r="53">
      <c r="B53" s="9">
        <f>Settings!E20&amp;"  "&amp;Settings!F20</f>
        <v/>
      </c>
      <c r="C53" s="39">
        <f>SUMIFS(Estimate!$K$5:$K$404,Estimate!$B$5:$B$404,Settings!E20)</f>
        <v/>
      </c>
      <c r="D53" s="39">
        <f>SUMIFS('Job Costs'!$I$5:$I$1004,'Job Costs'!$C$5:$C$1004,Settings!E20)+SUMIFS(Timesheet!$H$5:$H$1004,Timesheet!$D$5:$D$1004,Settings!E20)+SUMIFS(Mileage!$I$5:$I$304,Mileage!$C$5:$C$304,Settings!E20)</f>
        <v/>
      </c>
      <c r="E53" s="39">
        <f>C53-D53</f>
        <v/>
      </c>
      <c r="F53" s="26">
        <f>IF(C53=0,IF(D53&gt;0,-1,0),E53/C53)</f>
        <v/>
      </c>
      <c r="G53" s="9">
        <f>IF(AND(C53=0,D53=0),"",IF(D53&gt;C53,"OVER",IF(D53&gt;=0.9*C53,"Watch","OK")))</f>
        <v/>
      </c>
    </row>
    <row r="54">
      <c r="B54" s="9">
        <f>Settings!E21&amp;"  "&amp;Settings!F21</f>
        <v/>
      </c>
      <c r="C54" s="39">
        <f>SUMIFS(Estimate!$K$5:$K$404,Estimate!$B$5:$B$404,Settings!E21)</f>
        <v/>
      </c>
      <c r="D54" s="39">
        <f>SUMIFS('Job Costs'!$I$5:$I$1004,'Job Costs'!$C$5:$C$1004,Settings!E21)+SUMIFS(Timesheet!$H$5:$H$1004,Timesheet!$D$5:$D$1004,Settings!E21)+SUMIFS(Mileage!$I$5:$I$304,Mileage!$C$5:$C$304,Settings!E21)</f>
        <v/>
      </c>
      <c r="E54" s="39">
        <f>C54-D54</f>
        <v/>
      </c>
      <c r="F54" s="26">
        <f>IF(C54=0,IF(D54&gt;0,-1,0),E54/C54)</f>
        <v/>
      </c>
      <c r="G54" s="9">
        <f>IF(AND(C54=0,D54=0),"",IF(D54&gt;C54,"OVER",IF(D54&gt;=0.9*C54,"Watch","OK")))</f>
        <v/>
      </c>
    </row>
    <row r="55">
      <c r="B55" s="9">
        <f>Settings!E22&amp;"  "&amp;Settings!F22</f>
        <v/>
      </c>
      <c r="C55" s="39">
        <f>SUMIFS(Estimate!$K$5:$K$404,Estimate!$B$5:$B$404,Settings!E22)</f>
        <v/>
      </c>
      <c r="D55" s="39">
        <f>SUMIFS('Job Costs'!$I$5:$I$1004,'Job Costs'!$C$5:$C$1004,Settings!E22)+SUMIFS(Timesheet!$H$5:$H$1004,Timesheet!$D$5:$D$1004,Settings!E22)+SUMIFS(Mileage!$I$5:$I$304,Mileage!$C$5:$C$304,Settings!E22)</f>
        <v/>
      </c>
      <c r="E55" s="39">
        <f>C55-D55</f>
        <v/>
      </c>
      <c r="F55" s="26">
        <f>IF(C55=0,IF(D55&gt;0,-1,0),E55/C55)</f>
        <v/>
      </c>
      <c r="G55" s="9">
        <f>IF(AND(C55=0,D55=0),"",IF(D55&gt;C55,"OVER",IF(D55&gt;=0.9*C55,"Watch","OK")))</f>
        <v/>
      </c>
    </row>
    <row r="56">
      <c r="B56" s="9">
        <f>Settings!E23&amp;"  "&amp;Settings!F23</f>
        <v/>
      </c>
      <c r="C56" s="39">
        <f>SUMIFS(Estimate!$K$5:$K$404,Estimate!$B$5:$B$404,Settings!E23)</f>
        <v/>
      </c>
      <c r="D56" s="39">
        <f>SUMIFS('Job Costs'!$I$5:$I$1004,'Job Costs'!$C$5:$C$1004,Settings!E23)+SUMIFS(Timesheet!$H$5:$H$1004,Timesheet!$D$5:$D$1004,Settings!E23)+SUMIFS(Mileage!$I$5:$I$304,Mileage!$C$5:$C$304,Settings!E23)</f>
        <v/>
      </c>
      <c r="E56" s="39">
        <f>C56-D56</f>
        <v/>
      </c>
      <c r="F56" s="26">
        <f>IF(C56=0,IF(D56&gt;0,-1,0),E56/C56)</f>
        <v/>
      </c>
      <c r="G56" s="9">
        <f>IF(AND(C56=0,D56=0),"",IF(D56&gt;C56,"OVER",IF(D56&gt;=0.9*C56,"Watch","OK")))</f>
        <v/>
      </c>
    </row>
    <row r="57">
      <c r="B57" s="9">
        <f>Settings!E24&amp;"  "&amp;Settings!F24</f>
        <v/>
      </c>
      <c r="C57" s="39">
        <f>SUMIFS(Estimate!$K$5:$K$404,Estimate!$B$5:$B$404,Settings!E24)</f>
        <v/>
      </c>
      <c r="D57" s="39">
        <f>SUMIFS('Job Costs'!$I$5:$I$1004,'Job Costs'!$C$5:$C$1004,Settings!E24)+SUMIFS(Timesheet!$H$5:$H$1004,Timesheet!$D$5:$D$1004,Settings!E24)+SUMIFS(Mileage!$I$5:$I$304,Mileage!$C$5:$C$304,Settings!E24)</f>
        <v/>
      </c>
      <c r="E57" s="39">
        <f>C57-D57</f>
        <v/>
      </c>
      <c r="F57" s="26">
        <f>IF(C57=0,IF(D57&gt;0,-1,0),E57/C57)</f>
        <v/>
      </c>
      <c r="G57" s="9">
        <f>IF(AND(C57=0,D57=0),"",IF(D57&gt;C57,"OVER",IF(D57&gt;=0.9*C57,"Watch","OK")))</f>
        <v/>
      </c>
    </row>
    <row r="58">
      <c r="B58" s="9">
        <f>Settings!E25&amp;"  "&amp;Settings!F25</f>
        <v/>
      </c>
      <c r="C58" s="39">
        <f>SUMIFS(Estimate!$K$5:$K$404,Estimate!$B$5:$B$404,Settings!E25)</f>
        <v/>
      </c>
      <c r="D58" s="39">
        <f>SUMIFS('Job Costs'!$I$5:$I$1004,'Job Costs'!$C$5:$C$1004,Settings!E25)+SUMIFS(Timesheet!$H$5:$H$1004,Timesheet!$D$5:$D$1004,Settings!E25)+SUMIFS(Mileage!$I$5:$I$304,Mileage!$C$5:$C$304,Settings!E25)</f>
        <v/>
      </c>
      <c r="E58" s="39">
        <f>C58-D58</f>
        <v/>
      </c>
      <c r="F58" s="26">
        <f>IF(C58=0,IF(D58&gt;0,-1,0),E58/C58)</f>
        <v/>
      </c>
      <c r="G58" s="9">
        <f>IF(AND(C58=0,D58=0),"",IF(D58&gt;C58,"OVER",IF(D58&gt;=0.9*C58,"Watch","OK")))</f>
        <v/>
      </c>
    </row>
    <row r="59">
      <c r="B59" s="9">
        <f>Settings!E26&amp;"  "&amp;Settings!F26</f>
        <v/>
      </c>
      <c r="C59" s="39">
        <f>SUMIFS(Estimate!$K$5:$K$404,Estimate!$B$5:$B$404,Settings!E26)</f>
        <v/>
      </c>
      <c r="D59" s="39">
        <f>SUMIFS('Job Costs'!$I$5:$I$1004,'Job Costs'!$C$5:$C$1004,Settings!E26)+SUMIFS(Timesheet!$H$5:$H$1004,Timesheet!$D$5:$D$1004,Settings!E26)+SUMIFS(Mileage!$I$5:$I$304,Mileage!$C$5:$C$304,Settings!E26)</f>
        <v/>
      </c>
      <c r="E59" s="39">
        <f>C59-D59</f>
        <v/>
      </c>
      <c r="F59" s="26">
        <f>IF(C59=0,IF(D59&gt;0,-1,0),E59/C59)</f>
        <v/>
      </c>
      <c r="G59" s="9">
        <f>IF(AND(C59=0,D59=0),"",IF(D59&gt;C59,"OVER",IF(D59&gt;=0.9*C59,"Watch","OK")))</f>
        <v/>
      </c>
    </row>
    <row r="60">
      <c r="B60" s="9">
        <f>Settings!E27&amp;"  "&amp;Settings!F27</f>
        <v/>
      </c>
      <c r="C60" s="39">
        <f>SUMIFS(Estimate!$K$5:$K$404,Estimate!$B$5:$B$404,Settings!E27)</f>
        <v/>
      </c>
      <c r="D60" s="39">
        <f>SUMIFS('Job Costs'!$I$5:$I$1004,'Job Costs'!$C$5:$C$1004,Settings!E27)+SUMIFS(Timesheet!$H$5:$H$1004,Timesheet!$D$5:$D$1004,Settings!E27)+SUMIFS(Mileage!$I$5:$I$304,Mileage!$C$5:$C$304,Settings!E27)</f>
        <v/>
      </c>
      <c r="E60" s="39">
        <f>C60-D60</f>
        <v/>
      </c>
      <c r="F60" s="26">
        <f>IF(C60=0,IF(D60&gt;0,-1,0),E60/C60)</f>
        <v/>
      </c>
      <c r="G60" s="9">
        <f>IF(AND(C60=0,D60=0),"",IF(D60&gt;C60,"OVER",IF(D60&gt;=0.9*C60,"Watch","OK")))</f>
        <v/>
      </c>
    </row>
    <row r="61">
      <c r="B61" s="9">
        <f>Settings!E28&amp;"  "&amp;Settings!F28</f>
        <v/>
      </c>
      <c r="C61" s="39">
        <f>SUMIFS(Estimate!$K$5:$K$404,Estimate!$B$5:$B$404,Settings!E28)</f>
        <v/>
      </c>
      <c r="D61" s="39">
        <f>SUMIFS('Job Costs'!$I$5:$I$1004,'Job Costs'!$C$5:$C$1004,Settings!E28)+SUMIFS(Timesheet!$H$5:$H$1004,Timesheet!$D$5:$D$1004,Settings!E28)+SUMIFS(Mileage!$I$5:$I$304,Mileage!$C$5:$C$304,Settings!E28)</f>
        <v/>
      </c>
      <c r="E61" s="39">
        <f>C61-D61</f>
        <v/>
      </c>
      <c r="F61" s="26">
        <f>IF(C61=0,IF(D61&gt;0,-1,0),E61/C61)</f>
        <v/>
      </c>
      <c r="G61" s="9">
        <f>IF(AND(C61=0,D61=0),"",IF(D61&gt;C61,"OVER",IF(D61&gt;=0.9*C61,"Watch","OK")))</f>
        <v/>
      </c>
    </row>
    <row r="62">
      <c r="B62" s="31" t="inlineStr">
        <is>
          <t>Total</t>
        </is>
      </c>
      <c r="C62" s="41">
        <f>SUM(C38:C61)</f>
        <v/>
      </c>
      <c r="D62" s="41">
        <f>SUM(D38:D61)</f>
        <v/>
      </c>
      <c r="E62" s="41">
        <f>C62-D62</f>
        <v/>
      </c>
      <c r="F62" s="42">
        <f>IF(C62=0,0,E62/C62)</f>
        <v/>
      </c>
      <c r="G62" s="31" t="n"/>
    </row>
  </sheetData>
  <conditionalFormatting sqref="G38:G61">
    <cfRule type="cellIs" priority="1" operator="equal" dxfId="1">
      <formula>"OVER"</formula>
    </cfRule>
    <cfRule type="cellIs" priority="2" operator="equal" dxfId="0">
      <formula>"Watch"</formula>
    </cfRule>
    <cfRule type="cellIs" priority="3" operator="equal" dxfId="2">
      <formula>"OK"</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3.xml><?xml version="1.0" encoding="utf-8"?>
<worksheet xmlns="http://schemas.openxmlformats.org/spreadsheetml/2006/main">
  <sheetPr>
    <tabColor rgb="003A9D5D"/>
    <outlinePr summaryBelow="1" summaryRight="1"/>
    <pageSetUpPr fitToPage="1"/>
  </sheetPr>
  <dimension ref="A1:F138"/>
  <sheetViews>
    <sheetView showGridLines="0" tabSelected="0" workbookViewId="0">
      <selection activeCell="B1" sqref="B1"/>
    </sheetView>
  </sheetViews>
  <sheetFormatPr baseColWidth="8" defaultRowHeight="15"/>
  <cols>
    <col width="4" customWidth="1" min="1" max="1"/>
    <col width="40" customWidth="1" min="2" max="2"/>
    <col width="18" customWidth="1" min="3" max="3"/>
    <col width="18" customWidth="1" min="4" max="4"/>
    <col width="18" customWidth="1" min="5" max="5"/>
    <col width="22" customWidth="1" min="6" max="6"/>
  </cols>
  <sheetData>
    <row r="1">
      <c r="A1" s="13" t="inlineStr">
        <is>
          <t>Year-end summary (cash basis, informational)</t>
        </is>
      </c>
    </row>
    <row r="2">
      <c r="A2" s="14" t="inlineStr">
        <is>
          <t>Totals for the reporting year set in Settings. Hand this to your accountant with your bank statements. Not tax advice.</t>
        </is>
      </c>
    </row>
    <row r="4">
      <c r="B4" s="44" t="inlineStr">
        <is>
          <t>Reporting year</t>
        </is>
      </c>
      <c r="C4">
        <f>Settings!$B$14</f>
        <v/>
      </c>
    </row>
    <row r="6">
      <c r="B6" s="3" t="inlineStr">
        <is>
          <t>INCOME</t>
        </is>
      </c>
    </row>
    <row r="7">
      <c r="B7" t="inlineStr">
        <is>
          <t>Payments received (cash collected)</t>
        </is>
      </c>
      <c r="C7" s="39">
        <f>SUMIFS(Payments!$D$5:$D$304,Payments!$A$5:$A$304,"&gt;="&amp;DATE($C$4,1,1),Payments!$A$5:$A$304,"&lt;="&amp;DATE($C$4,12,31))</f>
        <v/>
      </c>
    </row>
    <row r="8">
      <c r="B8" t="inlineStr">
        <is>
          <t>Invoiced (accrual reference)</t>
        </is>
      </c>
      <c r="C8" s="39">
        <f>SUMIFS(Invoices!$E$5:$E$204,Invoices!$C$5:$C$204,"&gt;="&amp;DATE($C$4,1,1),Invoices!$C$5:$C$204,"&lt;="&amp;DATE($C$4,12,31))</f>
        <v/>
      </c>
    </row>
    <row r="10">
      <c r="B10" s="3" t="inlineStr">
        <is>
          <t>JOB COSTS BY CATEGORY (as logged)</t>
        </is>
      </c>
    </row>
    <row r="11" ht="30" customHeight="1">
      <c r="B11" s="24" t="inlineStr">
        <is>
          <t>Category</t>
        </is>
      </c>
      <c r="C11" s="24" t="inlineStr">
        <is>
          <t>Job Costs</t>
        </is>
      </c>
      <c r="D11" s="24" t="inlineStr">
        <is>
          <t>Timesheet labor</t>
        </is>
      </c>
      <c r="E11" s="24" t="inlineStr">
        <is>
          <t>Mileage</t>
        </is>
      </c>
      <c r="F11" s="24" t="inlineStr">
        <is>
          <t>Total</t>
        </is>
      </c>
    </row>
    <row r="12">
      <c r="B12" s="9" t="inlineStr">
        <is>
          <t>Labor</t>
        </is>
      </c>
      <c r="C12" s="39">
        <f>SUMIFS('Job Costs'!$I$5:$I$1004,'Job Costs'!$D$5:$D$1004,B12,'Job Costs'!$A$5:$A$1004,"&gt;="&amp;DATE($C$4,1,1),'Job Costs'!$A$5:$A$1004,"&lt;="&amp;DATE($C$4,12,31))</f>
        <v/>
      </c>
      <c r="D12" s="39">
        <f>SUMIFS(Timesheet!$H$5:$H$1004,Timesheet!$L$5:$L$1004,B12,Timesheet!$A$5:$A$1004,"&gt;="&amp;DATE($C$4,1,1),Timesheet!$A$5:$A$1004,"&lt;="&amp;DATE($C$4,12,31))</f>
        <v/>
      </c>
      <c r="E12" s="39">
        <f>SUMIFS(Mileage!$I$5:$I$304,Mileage!$J$5:$J$304,B12,Mileage!$A$5:$A$304,"&gt;="&amp;DATE($C$4,1,1),Mileage!$A$5:$A$304,"&lt;="&amp;DATE($C$4,12,31))</f>
        <v/>
      </c>
      <c r="F12" s="39">
        <f>C12+D12+E12</f>
        <v/>
      </c>
    </row>
    <row r="13">
      <c r="B13" s="9" t="inlineStr">
        <is>
          <t>Material</t>
        </is>
      </c>
      <c r="C13" s="39">
        <f>SUMIFS('Job Costs'!$I$5:$I$1004,'Job Costs'!$D$5:$D$1004,B13,'Job Costs'!$A$5:$A$1004,"&gt;="&amp;DATE($C$4,1,1),'Job Costs'!$A$5:$A$1004,"&lt;="&amp;DATE($C$4,12,31))</f>
        <v/>
      </c>
      <c r="D13" s="39">
        <f>SUMIFS(Timesheet!$H$5:$H$1004,Timesheet!$L$5:$L$1004,B13,Timesheet!$A$5:$A$1004,"&gt;="&amp;DATE($C$4,1,1),Timesheet!$A$5:$A$1004,"&lt;="&amp;DATE($C$4,12,31))</f>
        <v/>
      </c>
      <c r="E13" s="39">
        <f>SUMIFS(Mileage!$I$5:$I$304,Mileage!$J$5:$J$304,B13,Mileage!$A$5:$A$304,"&gt;="&amp;DATE($C$4,1,1),Mileage!$A$5:$A$304,"&lt;="&amp;DATE($C$4,12,31))</f>
        <v/>
      </c>
      <c r="F13" s="39">
        <f>C13+D13+E13</f>
        <v/>
      </c>
    </row>
    <row r="14">
      <c r="B14" s="9" t="inlineStr">
        <is>
          <t>Subcontractor</t>
        </is>
      </c>
      <c r="C14" s="39">
        <f>SUMIFS('Job Costs'!$I$5:$I$1004,'Job Costs'!$D$5:$D$1004,B14,'Job Costs'!$A$5:$A$1004,"&gt;="&amp;DATE($C$4,1,1),'Job Costs'!$A$5:$A$1004,"&lt;="&amp;DATE($C$4,12,31))</f>
        <v/>
      </c>
      <c r="D14" s="39">
        <f>SUMIFS(Timesheet!$H$5:$H$1004,Timesheet!$L$5:$L$1004,B14,Timesheet!$A$5:$A$1004,"&gt;="&amp;DATE($C$4,1,1),Timesheet!$A$5:$A$1004,"&lt;="&amp;DATE($C$4,12,31))</f>
        <v/>
      </c>
      <c r="E14" s="39">
        <f>SUMIFS(Mileage!$I$5:$I$304,Mileage!$J$5:$J$304,B14,Mileage!$A$5:$A$304,"&gt;="&amp;DATE($C$4,1,1),Mileage!$A$5:$A$304,"&lt;="&amp;DATE($C$4,12,31))</f>
        <v/>
      </c>
      <c r="F14" s="39">
        <f>C14+D14+E14</f>
        <v/>
      </c>
    </row>
    <row r="15">
      <c r="B15" s="9" t="inlineStr">
        <is>
          <t>Equipment</t>
        </is>
      </c>
      <c r="C15" s="39">
        <f>SUMIFS('Job Costs'!$I$5:$I$1004,'Job Costs'!$D$5:$D$1004,B15,'Job Costs'!$A$5:$A$1004,"&gt;="&amp;DATE($C$4,1,1),'Job Costs'!$A$5:$A$1004,"&lt;="&amp;DATE($C$4,12,31))</f>
        <v/>
      </c>
      <c r="D15" s="39">
        <f>SUMIFS(Timesheet!$H$5:$H$1004,Timesheet!$L$5:$L$1004,B15,Timesheet!$A$5:$A$1004,"&gt;="&amp;DATE($C$4,1,1),Timesheet!$A$5:$A$1004,"&lt;="&amp;DATE($C$4,12,31))</f>
        <v/>
      </c>
      <c r="E15" s="39">
        <f>SUMIFS(Mileage!$I$5:$I$304,Mileage!$J$5:$J$304,B15,Mileage!$A$5:$A$304,"&gt;="&amp;DATE($C$4,1,1),Mileage!$A$5:$A$304,"&lt;="&amp;DATE($C$4,12,31))</f>
        <v/>
      </c>
      <c r="F15" s="39">
        <f>C15+D15+E15</f>
        <v/>
      </c>
    </row>
    <row r="16">
      <c r="B16" s="9" t="inlineStr">
        <is>
          <t>Permit/Fee</t>
        </is>
      </c>
      <c r="C16" s="39">
        <f>SUMIFS('Job Costs'!$I$5:$I$1004,'Job Costs'!$D$5:$D$1004,B16,'Job Costs'!$A$5:$A$1004,"&gt;="&amp;DATE($C$4,1,1),'Job Costs'!$A$5:$A$1004,"&lt;="&amp;DATE($C$4,12,31))</f>
        <v/>
      </c>
      <c r="D16" s="39">
        <f>SUMIFS(Timesheet!$H$5:$H$1004,Timesheet!$L$5:$L$1004,B16,Timesheet!$A$5:$A$1004,"&gt;="&amp;DATE($C$4,1,1),Timesheet!$A$5:$A$1004,"&lt;="&amp;DATE($C$4,12,31))</f>
        <v/>
      </c>
      <c r="E16" s="39">
        <f>SUMIFS(Mileage!$I$5:$I$304,Mileage!$J$5:$J$304,B16,Mileage!$A$5:$A$304,"&gt;="&amp;DATE($C$4,1,1),Mileage!$A$5:$A$304,"&lt;="&amp;DATE($C$4,12,31))</f>
        <v/>
      </c>
      <c r="F16" s="39">
        <f>C16+D16+E16</f>
        <v/>
      </c>
    </row>
    <row r="17">
      <c r="B17" s="9" t="inlineStr">
        <is>
          <t>Other</t>
        </is>
      </c>
      <c r="C17" s="39">
        <f>SUMIFS('Job Costs'!$I$5:$I$1004,'Job Costs'!$D$5:$D$1004,B17,'Job Costs'!$A$5:$A$1004,"&gt;="&amp;DATE($C$4,1,1),'Job Costs'!$A$5:$A$1004,"&lt;="&amp;DATE($C$4,12,31))</f>
        <v/>
      </c>
      <c r="D17" s="39">
        <f>SUMIFS(Timesheet!$H$5:$H$1004,Timesheet!$L$5:$L$1004,B17,Timesheet!$A$5:$A$1004,"&gt;="&amp;DATE($C$4,1,1),Timesheet!$A$5:$A$1004,"&lt;="&amp;DATE($C$4,12,31))</f>
        <v/>
      </c>
      <c r="E17" s="39">
        <f>SUMIFS(Mileage!$I$5:$I$304,Mileage!$J$5:$J$304,B17,Mileage!$A$5:$A$304,"&gt;="&amp;DATE($C$4,1,1),Mileage!$A$5:$A$304,"&lt;="&amp;DATE($C$4,12,31))</f>
        <v/>
      </c>
      <c r="F17" s="39">
        <f>C17+D17+E17</f>
        <v/>
      </c>
    </row>
    <row r="18">
      <c r="B18" s="31" t="inlineStr">
        <is>
          <t>Total job costs</t>
        </is>
      </c>
      <c r="C18" s="41">
        <f>SUM(C12:C17)</f>
        <v/>
      </c>
      <c r="D18" s="41">
        <f>SUM(D12:D17)</f>
        <v/>
      </c>
      <c r="E18" s="41">
        <f>SUM(E12:E17)</f>
        <v/>
      </c>
      <c r="F18" s="41">
        <f>SUM(F12:F17)</f>
        <v/>
      </c>
    </row>
    <row r="19">
      <c r="B19" t="inlineStr">
        <is>
          <t>Gross profit (collected − job costs)</t>
        </is>
      </c>
      <c r="F19" s="76">
        <f>C7-F18</f>
        <v/>
      </c>
    </row>
    <row r="21">
      <c r="B21" s="3" t="inlineStr">
        <is>
          <t>MILEAGE</t>
        </is>
      </c>
    </row>
    <row r="22">
      <c r="B22" t="inlineStr">
        <is>
          <t>Business miles logged</t>
        </is>
      </c>
      <c r="C22" s="28">
        <f>SUMIFS(Mileage!$G$5:$G$304,Mileage!$A$5:$A$304,"&gt;="&amp;DATE($C$4,1,1),Mileage!$A$5:$A$304,"&lt;="&amp;DATE($C$4,12,31))</f>
        <v/>
      </c>
    </row>
    <row r="23">
      <c r="B23" t="inlineStr">
        <is>
          <t>Mileage amount at Settings rate</t>
        </is>
      </c>
      <c r="C23" s="39">
        <f>SUMIFS(Mileage!$I$5:$I$304,Mileage!$A$5:$A$304,"&gt;="&amp;DATE($C$4,1,1),Mileage!$A$5:$A$304,"&lt;="&amp;DATE($C$4,12,31))</f>
        <v/>
      </c>
    </row>
    <row r="25">
      <c r="B25" s="3" t="inlineStr">
        <is>
          <t>1099 REVIEW (US)</t>
        </is>
      </c>
    </row>
    <row r="26">
      <c r="B26" t="inlineStr">
        <is>
          <t>Vendors flagged for 1099 review</t>
        </is>
      </c>
      <c r="C26" s="9">
        <f>COUNTIF('Vendors &amp; Crew'!$M$41:$M$140,"Review for 1099")</f>
        <v/>
      </c>
    </row>
    <row r="27">
      <c r="B27" s="14" t="inlineStr">
        <is>
          <t>Paid YTD uses the reporting year. Flag = marked 1099-eligible and paid $600 or more. Confirm with your tax professional.</t>
        </is>
      </c>
    </row>
    <row r="29">
      <c r="B29" s="3" t="inlineStr">
        <is>
          <t>BY QUARTER</t>
        </is>
      </c>
    </row>
    <row r="30" ht="30" customHeight="1">
      <c r="B30" s="24" t="inlineStr">
        <is>
          <t>Quarter</t>
        </is>
      </c>
      <c r="C30" s="24" t="inlineStr">
        <is>
          <t>Invoiced</t>
        </is>
      </c>
      <c r="D30" s="24" t="inlineStr">
        <is>
          <t>Collected</t>
        </is>
      </c>
      <c r="E30" s="24" t="inlineStr">
        <is>
          <t>Job costs</t>
        </is>
      </c>
      <c r="F30" s="24" t="inlineStr">
        <is>
          <t>Gross profit (cash)</t>
        </is>
      </c>
    </row>
    <row r="31">
      <c r="B31" s="9" t="inlineStr">
        <is>
          <t>Q1</t>
        </is>
      </c>
      <c r="C31" s="39">
        <f>SUMIFS(Invoices!$E$5:$E$204,Invoices!$C$5:$C$204,"&gt;="&amp;DATE($C$4,1,1),Invoices!$C$5:$C$204,"&lt;="&amp;EOMONTH(DATE($C$4,3,1),0))</f>
        <v/>
      </c>
      <c r="D31" s="39">
        <f>SUMIFS(Payments!$D$5:$D$304,Payments!$A$5:$A$304,"&gt;="&amp;DATE($C$4,1,1),Payments!$A$5:$A$304,"&lt;="&amp;EOMONTH(DATE($C$4,3,1),0))</f>
        <v/>
      </c>
      <c r="E31" s="39">
        <f>SUMIFS('Job Costs'!$I$5:$I$1004,'Job Costs'!$A$5:$A$1004,"&gt;="&amp;DATE($C$4,1,1),'Job Costs'!$A$5:$A$1004,"&lt;="&amp;EOMONTH(DATE($C$4,3,1),0))+SUMIFS(Timesheet!$H$5:$H$1004,Timesheet!$A$5:$A$1004,"&gt;="&amp;DATE($C$4,1,1),Timesheet!$A$5:$A$1004,"&lt;="&amp;EOMONTH(DATE($C$4,3,1),0))+SUMIFS(Mileage!$I$5:$I$304,Mileage!$A$5:$A$304,"&gt;="&amp;DATE($C$4,1,1),Mileage!$A$5:$A$304,"&lt;="&amp;EOMONTH(DATE($C$4,3,1),0))</f>
        <v/>
      </c>
      <c r="F31" s="39">
        <f>D31-E31</f>
        <v/>
      </c>
    </row>
    <row r="32">
      <c r="B32" s="9" t="inlineStr">
        <is>
          <t>Q2</t>
        </is>
      </c>
      <c r="C32" s="39">
        <f>SUMIFS(Invoices!$E$5:$E$204,Invoices!$C$5:$C$204,"&gt;="&amp;DATE($C$4,4,1),Invoices!$C$5:$C$204,"&lt;="&amp;EOMONTH(DATE($C$4,6,1),0))</f>
        <v/>
      </c>
      <c r="D32" s="39">
        <f>SUMIFS(Payments!$D$5:$D$304,Payments!$A$5:$A$304,"&gt;="&amp;DATE($C$4,4,1),Payments!$A$5:$A$304,"&lt;="&amp;EOMONTH(DATE($C$4,6,1),0))</f>
        <v/>
      </c>
      <c r="E32" s="39">
        <f>SUMIFS('Job Costs'!$I$5:$I$1004,'Job Costs'!$A$5:$A$1004,"&gt;="&amp;DATE($C$4,4,1),'Job Costs'!$A$5:$A$1004,"&lt;="&amp;EOMONTH(DATE($C$4,6,1),0))+SUMIFS(Timesheet!$H$5:$H$1004,Timesheet!$A$5:$A$1004,"&gt;="&amp;DATE($C$4,4,1),Timesheet!$A$5:$A$1004,"&lt;="&amp;EOMONTH(DATE($C$4,6,1),0))+SUMIFS(Mileage!$I$5:$I$304,Mileage!$A$5:$A$304,"&gt;="&amp;DATE($C$4,4,1),Mileage!$A$5:$A$304,"&lt;="&amp;EOMONTH(DATE($C$4,6,1),0))</f>
        <v/>
      </c>
      <c r="F32" s="39">
        <f>D32-E32</f>
        <v/>
      </c>
    </row>
    <row r="33">
      <c r="B33" s="9" t="inlineStr">
        <is>
          <t>Q3</t>
        </is>
      </c>
      <c r="C33" s="39">
        <f>SUMIFS(Invoices!$E$5:$E$204,Invoices!$C$5:$C$204,"&gt;="&amp;DATE($C$4,7,1),Invoices!$C$5:$C$204,"&lt;="&amp;EOMONTH(DATE($C$4,9,1),0))</f>
        <v/>
      </c>
      <c r="D33" s="39">
        <f>SUMIFS(Payments!$D$5:$D$304,Payments!$A$5:$A$304,"&gt;="&amp;DATE($C$4,7,1),Payments!$A$5:$A$304,"&lt;="&amp;EOMONTH(DATE($C$4,9,1),0))</f>
        <v/>
      </c>
      <c r="E33" s="39">
        <f>SUMIFS('Job Costs'!$I$5:$I$1004,'Job Costs'!$A$5:$A$1004,"&gt;="&amp;DATE($C$4,7,1),'Job Costs'!$A$5:$A$1004,"&lt;="&amp;EOMONTH(DATE($C$4,9,1),0))+SUMIFS(Timesheet!$H$5:$H$1004,Timesheet!$A$5:$A$1004,"&gt;="&amp;DATE($C$4,7,1),Timesheet!$A$5:$A$1004,"&lt;="&amp;EOMONTH(DATE($C$4,9,1),0))+SUMIFS(Mileage!$I$5:$I$304,Mileage!$A$5:$A$304,"&gt;="&amp;DATE($C$4,7,1),Mileage!$A$5:$A$304,"&lt;="&amp;EOMONTH(DATE($C$4,9,1),0))</f>
        <v/>
      </c>
      <c r="F33" s="39">
        <f>D33-E33</f>
        <v/>
      </c>
    </row>
    <row r="34">
      <c r="B34" s="9" t="inlineStr">
        <is>
          <t>Q4</t>
        </is>
      </c>
      <c r="C34" s="39">
        <f>SUMIFS(Invoices!$E$5:$E$204,Invoices!$C$5:$C$204,"&gt;="&amp;DATE($C$4,10,1),Invoices!$C$5:$C$204,"&lt;="&amp;EOMONTH(DATE($C$4,12,1),0))</f>
        <v/>
      </c>
      <c r="D34" s="39">
        <f>SUMIFS(Payments!$D$5:$D$304,Payments!$A$5:$A$304,"&gt;="&amp;DATE($C$4,10,1),Payments!$A$5:$A$304,"&lt;="&amp;EOMONTH(DATE($C$4,12,1),0))</f>
        <v/>
      </c>
      <c r="E34" s="39">
        <f>SUMIFS('Job Costs'!$I$5:$I$1004,'Job Costs'!$A$5:$A$1004,"&gt;="&amp;DATE($C$4,10,1),'Job Costs'!$A$5:$A$1004,"&lt;="&amp;EOMONTH(DATE($C$4,12,1),0))+SUMIFS(Timesheet!$H$5:$H$1004,Timesheet!$A$5:$A$1004,"&gt;="&amp;DATE($C$4,10,1),Timesheet!$A$5:$A$1004,"&lt;="&amp;EOMONTH(DATE($C$4,12,1),0))+SUMIFS(Mileage!$I$5:$I$304,Mileage!$A$5:$A$304,"&gt;="&amp;DATE($C$4,10,1),Mileage!$A$5:$A$304,"&lt;="&amp;EOMONTH(DATE($C$4,12,1),0))</f>
        <v/>
      </c>
      <c r="F34" s="39">
        <f>D34-E34</f>
        <v/>
      </c>
    </row>
    <row r="35">
      <c r="B35" s="31" t="inlineStr">
        <is>
          <t>Year</t>
        </is>
      </c>
      <c r="C35" s="41">
        <f>SUM(C31:C34)</f>
        <v/>
      </c>
      <c r="D35" s="41">
        <f>SUM(D31:D34)</f>
        <v/>
      </c>
      <c r="E35" s="41">
        <f>SUM(E31:E34)</f>
        <v/>
      </c>
      <c r="F35" s="41">
        <f>SUM(F31:F34)</f>
        <v/>
      </c>
    </row>
    <row r="37">
      <c r="B37" s="3" t="inlineStr">
        <is>
          <t>1099 REVIEW LIST</t>
        </is>
      </c>
    </row>
    <row r="38" ht="30" customHeight="1">
      <c r="B38" s="24" t="inlineStr">
        <is>
          <t>Vendor</t>
        </is>
      </c>
      <c r="C38" s="24" t="inlineStr">
        <is>
          <t>Type</t>
        </is>
      </c>
      <c r="D38" s="24" t="inlineStr">
        <is>
          <t>Paid YTD</t>
        </is>
      </c>
      <c r="E38" s="24" t="inlineStr">
        <is>
          <t>W-9 on file</t>
        </is>
      </c>
      <c r="F38" s="24" t="inlineStr">
        <is>
          <t>Flag</t>
        </is>
      </c>
    </row>
    <row r="39">
      <c r="B39" s="9">
        <f>IF('Vendors &amp; Crew'!$A$41="","",'Vendors &amp; Crew'!$A$41)</f>
        <v/>
      </c>
      <c r="C39" s="9">
        <f>IF('Vendors &amp; Crew'!$A$41="","",'Vendors &amp; Crew'!$B$41)</f>
        <v/>
      </c>
      <c r="D39" s="39">
        <f>IF('Vendors &amp; Crew'!$A$41="","",'Vendors &amp; Crew'!$K$41)</f>
        <v/>
      </c>
      <c r="E39" s="9">
        <f>IF('Vendors &amp; Crew'!$A$41="","",'Vendors &amp; Crew'!$I$41)</f>
        <v/>
      </c>
      <c r="F39" s="9">
        <f>IF('Vendors &amp; Crew'!$A$41="","",'Vendors &amp; Crew'!$M$41)</f>
        <v/>
      </c>
    </row>
    <row r="40">
      <c r="B40" s="9">
        <f>IF('Vendors &amp; Crew'!$A$42="","",'Vendors &amp; Crew'!$A$42)</f>
        <v/>
      </c>
      <c r="C40" s="9">
        <f>IF('Vendors &amp; Crew'!$A$42="","",'Vendors &amp; Crew'!$B$42)</f>
        <v/>
      </c>
      <c r="D40" s="39">
        <f>IF('Vendors &amp; Crew'!$A$42="","",'Vendors &amp; Crew'!$K$42)</f>
        <v/>
      </c>
      <c r="E40" s="9">
        <f>IF('Vendors &amp; Crew'!$A$42="","",'Vendors &amp; Crew'!$I$42)</f>
        <v/>
      </c>
      <c r="F40" s="9">
        <f>IF('Vendors &amp; Crew'!$A$42="","",'Vendors &amp; Crew'!$M$42)</f>
        <v/>
      </c>
    </row>
    <row r="41">
      <c r="B41" s="9">
        <f>IF('Vendors &amp; Crew'!$A$43="","",'Vendors &amp; Crew'!$A$43)</f>
        <v/>
      </c>
      <c r="C41" s="9">
        <f>IF('Vendors &amp; Crew'!$A$43="","",'Vendors &amp; Crew'!$B$43)</f>
        <v/>
      </c>
      <c r="D41" s="39">
        <f>IF('Vendors &amp; Crew'!$A$43="","",'Vendors &amp; Crew'!$K$43)</f>
        <v/>
      </c>
      <c r="E41" s="9">
        <f>IF('Vendors &amp; Crew'!$A$43="","",'Vendors &amp; Crew'!$I$43)</f>
        <v/>
      </c>
      <c r="F41" s="9">
        <f>IF('Vendors &amp; Crew'!$A$43="","",'Vendors &amp; Crew'!$M$43)</f>
        <v/>
      </c>
    </row>
    <row r="42">
      <c r="B42" s="9">
        <f>IF('Vendors &amp; Crew'!$A$44="","",'Vendors &amp; Crew'!$A$44)</f>
        <v/>
      </c>
      <c r="C42" s="9">
        <f>IF('Vendors &amp; Crew'!$A$44="","",'Vendors &amp; Crew'!$B$44)</f>
        <v/>
      </c>
      <c r="D42" s="39">
        <f>IF('Vendors &amp; Crew'!$A$44="","",'Vendors &amp; Crew'!$K$44)</f>
        <v/>
      </c>
      <c r="E42" s="9">
        <f>IF('Vendors &amp; Crew'!$A$44="","",'Vendors &amp; Crew'!$I$44)</f>
        <v/>
      </c>
      <c r="F42" s="9">
        <f>IF('Vendors &amp; Crew'!$A$44="","",'Vendors &amp; Crew'!$M$44)</f>
        <v/>
      </c>
    </row>
    <row r="43">
      <c r="B43" s="9">
        <f>IF('Vendors &amp; Crew'!$A$45="","",'Vendors &amp; Crew'!$A$45)</f>
        <v/>
      </c>
      <c r="C43" s="9">
        <f>IF('Vendors &amp; Crew'!$A$45="","",'Vendors &amp; Crew'!$B$45)</f>
        <v/>
      </c>
      <c r="D43" s="39">
        <f>IF('Vendors &amp; Crew'!$A$45="","",'Vendors &amp; Crew'!$K$45)</f>
        <v/>
      </c>
      <c r="E43" s="9">
        <f>IF('Vendors &amp; Crew'!$A$45="","",'Vendors &amp; Crew'!$I$45)</f>
        <v/>
      </c>
      <c r="F43" s="9">
        <f>IF('Vendors &amp; Crew'!$A$45="","",'Vendors &amp; Crew'!$M$45)</f>
        <v/>
      </c>
    </row>
    <row r="44">
      <c r="B44" s="9">
        <f>IF('Vendors &amp; Crew'!$A$46="","",'Vendors &amp; Crew'!$A$46)</f>
        <v/>
      </c>
      <c r="C44" s="9">
        <f>IF('Vendors &amp; Crew'!$A$46="","",'Vendors &amp; Crew'!$B$46)</f>
        <v/>
      </c>
      <c r="D44" s="39">
        <f>IF('Vendors &amp; Crew'!$A$46="","",'Vendors &amp; Crew'!$K$46)</f>
        <v/>
      </c>
      <c r="E44" s="9">
        <f>IF('Vendors &amp; Crew'!$A$46="","",'Vendors &amp; Crew'!$I$46)</f>
        <v/>
      </c>
      <c r="F44" s="9">
        <f>IF('Vendors &amp; Crew'!$A$46="","",'Vendors &amp; Crew'!$M$46)</f>
        <v/>
      </c>
    </row>
    <row r="45">
      <c r="B45" s="9">
        <f>IF('Vendors &amp; Crew'!$A$47="","",'Vendors &amp; Crew'!$A$47)</f>
        <v/>
      </c>
      <c r="C45" s="9">
        <f>IF('Vendors &amp; Crew'!$A$47="","",'Vendors &amp; Crew'!$B$47)</f>
        <v/>
      </c>
      <c r="D45" s="39">
        <f>IF('Vendors &amp; Crew'!$A$47="","",'Vendors &amp; Crew'!$K$47)</f>
        <v/>
      </c>
      <c r="E45" s="9">
        <f>IF('Vendors &amp; Crew'!$A$47="","",'Vendors &amp; Crew'!$I$47)</f>
        <v/>
      </c>
      <c r="F45" s="9">
        <f>IF('Vendors &amp; Crew'!$A$47="","",'Vendors &amp; Crew'!$M$47)</f>
        <v/>
      </c>
    </row>
    <row r="46">
      <c r="B46" s="9">
        <f>IF('Vendors &amp; Crew'!$A$48="","",'Vendors &amp; Crew'!$A$48)</f>
        <v/>
      </c>
      <c r="C46" s="9">
        <f>IF('Vendors &amp; Crew'!$A$48="","",'Vendors &amp; Crew'!$B$48)</f>
        <v/>
      </c>
      <c r="D46" s="39">
        <f>IF('Vendors &amp; Crew'!$A$48="","",'Vendors &amp; Crew'!$K$48)</f>
        <v/>
      </c>
      <c r="E46" s="9">
        <f>IF('Vendors &amp; Crew'!$A$48="","",'Vendors &amp; Crew'!$I$48)</f>
        <v/>
      </c>
      <c r="F46" s="9">
        <f>IF('Vendors &amp; Crew'!$A$48="","",'Vendors &amp; Crew'!$M$48)</f>
        <v/>
      </c>
    </row>
    <row r="47">
      <c r="B47" s="9">
        <f>IF('Vendors &amp; Crew'!$A$49="","",'Vendors &amp; Crew'!$A$49)</f>
        <v/>
      </c>
      <c r="C47" s="9">
        <f>IF('Vendors &amp; Crew'!$A$49="","",'Vendors &amp; Crew'!$B$49)</f>
        <v/>
      </c>
      <c r="D47" s="39">
        <f>IF('Vendors &amp; Crew'!$A$49="","",'Vendors &amp; Crew'!$K$49)</f>
        <v/>
      </c>
      <c r="E47" s="9">
        <f>IF('Vendors &amp; Crew'!$A$49="","",'Vendors &amp; Crew'!$I$49)</f>
        <v/>
      </c>
      <c r="F47" s="9">
        <f>IF('Vendors &amp; Crew'!$A$49="","",'Vendors &amp; Crew'!$M$49)</f>
        <v/>
      </c>
    </row>
    <row r="48">
      <c r="B48" s="9">
        <f>IF('Vendors &amp; Crew'!$A$50="","",'Vendors &amp; Crew'!$A$50)</f>
        <v/>
      </c>
      <c r="C48" s="9">
        <f>IF('Vendors &amp; Crew'!$A$50="","",'Vendors &amp; Crew'!$B$50)</f>
        <v/>
      </c>
      <c r="D48" s="39">
        <f>IF('Vendors &amp; Crew'!$A$50="","",'Vendors &amp; Crew'!$K$50)</f>
        <v/>
      </c>
      <c r="E48" s="9">
        <f>IF('Vendors &amp; Crew'!$A$50="","",'Vendors &amp; Crew'!$I$50)</f>
        <v/>
      </c>
      <c r="F48" s="9">
        <f>IF('Vendors &amp; Crew'!$A$50="","",'Vendors &amp; Crew'!$M$50)</f>
        <v/>
      </c>
    </row>
    <row r="49">
      <c r="B49" s="9">
        <f>IF('Vendors &amp; Crew'!$A$51="","",'Vendors &amp; Crew'!$A$51)</f>
        <v/>
      </c>
      <c r="C49" s="9">
        <f>IF('Vendors &amp; Crew'!$A$51="","",'Vendors &amp; Crew'!$B$51)</f>
        <v/>
      </c>
      <c r="D49" s="39">
        <f>IF('Vendors &amp; Crew'!$A$51="","",'Vendors &amp; Crew'!$K$51)</f>
        <v/>
      </c>
      <c r="E49" s="9">
        <f>IF('Vendors &amp; Crew'!$A$51="","",'Vendors &amp; Crew'!$I$51)</f>
        <v/>
      </c>
      <c r="F49" s="9">
        <f>IF('Vendors &amp; Crew'!$A$51="","",'Vendors &amp; Crew'!$M$51)</f>
        <v/>
      </c>
    </row>
    <row r="50">
      <c r="B50" s="9">
        <f>IF('Vendors &amp; Crew'!$A$52="","",'Vendors &amp; Crew'!$A$52)</f>
        <v/>
      </c>
      <c r="C50" s="9">
        <f>IF('Vendors &amp; Crew'!$A$52="","",'Vendors &amp; Crew'!$B$52)</f>
        <v/>
      </c>
      <c r="D50" s="39">
        <f>IF('Vendors &amp; Crew'!$A$52="","",'Vendors &amp; Crew'!$K$52)</f>
        <v/>
      </c>
      <c r="E50" s="9">
        <f>IF('Vendors &amp; Crew'!$A$52="","",'Vendors &amp; Crew'!$I$52)</f>
        <v/>
      </c>
      <c r="F50" s="9">
        <f>IF('Vendors &amp; Crew'!$A$52="","",'Vendors &amp; Crew'!$M$52)</f>
        <v/>
      </c>
    </row>
    <row r="51">
      <c r="B51" s="9">
        <f>IF('Vendors &amp; Crew'!$A$53="","",'Vendors &amp; Crew'!$A$53)</f>
        <v/>
      </c>
      <c r="C51" s="9">
        <f>IF('Vendors &amp; Crew'!$A$53="","",'Vendors &amp; Crew'!$B$53)</f>
        <v/>
      </c>
      <c r="D51" s="39">
        <f>IF('Vendors &amp; Crew'!$A$53="","",'Vendors &amp; Crew'!$K$53)</f>
        <v/>
      </c>
      <c r="E51" s="9">
        <f>IF('Vendors &amp; Crew'!$A$53="","",'Vendors &amp; Crew'!$I$53)</f>
        <v/>
      </c>
      <c r="F51" s="9">
        <f>IF('Vendors &amp; Crew'!$A$53="","",'Vendors &amp; Crew'!$M$53)</f>
        <v/>
      </c>
    </row>
    <row r="52">
      <c r="B52" s="9">
        <f>IF('Vendors &amp; Crew'!$A$54="","",'Vendors &amp; Crew'!$A$54)</f>
        <v/>
      </c>
      <c r="C52" s="9">
        <f>IF('Vendors &amp; Crew'!$A$54="","",'Vendors &amp; Crew'!$B$54)</f>
        <v/>
      </c>
      <c r="D52" s="39">
        <f>IF('Vendors &amp; Crew'!$A$54="","",'Vendors &amp; Crew'!$K$54)</f>
        <v/>
      </c>
      <c r="E52" s="9">
        <f>IF('Vendors &amp; Crew'!$A$54="","",'Vendors &amp; Crew'!$I$54)</f>
        <v/>
      </c>
      <c r="F52" s="9">
        <f>IF('Vendors &amp; Crew'!$A$54="","",'Vendors &amp; Crew'!$M$54)</f>
        <v/>
      </c>
    </row>
    <row r="53">
      <c r="B53" s="9">
        <f>IF('Vendors &amp; Crew'!$A$55="","",'Vendors &amp; Crew'!$A$55)</f>
        <v/>
      </c>
      <c r="C53" s="9">
        <f>IF('Vendors &amp; Crew'!$A$55="","",'Vendors &amp; Crew'!$B$55)</f>
        <v/>
      </c>
      <c r="D53" s="39">
        <f>IF('Vendors &amp; Crew'!$A$55="","",'Vendors &amp; Crew'!$K$55)</f>
        <v/>
      </c>
      <c r="E53" s="9">
        <f>IF('Vendors &amp; Crew'!$A$55="","",'Vendors &amp; Crew'!$I$55)</f>
        <v/>
      </c>
      <c r="F53" s="9">
        <f>IF('Vendors &amp; Crew'!$A$55="","",'Vendors &amp; Crew'!$M$55)</f>
        <v/>
      </c>
    </row>
    <row r="54">
      <c r="B54" s="9">
        <f>IF('Vendors &amp; Crew'!$A$56="","",'Vendors &amp; Crew'!$A$56)</f>
        <v/>
      </c>
      <c r="C54" s="9">
        <f>IF('Vendors &amp; Crew'!$A$56="","",'Vendors &amp; Crew'!$B$56)</f>
        <v/>
      </c>
      <c r="D54" s="39">
        <f>IF('Vendors &amp; Crew'!$A$56="","",'Vendors &amp; Crew'!$K$56)</f>
        <v/>
      </c>
      <c r="E54" s="9">
        <f>IF('Vendors &amp; Crew'!$A$56="","",'Vendors &amp; Crew'!$I$56)</f>
        <v/>
      </c>
      <c r="F54" s="9">
        <f>IF('Vendors &amp; Crew'!$A$56="","",'Vendors &amp; Crew'!$M$56)</f>
        <v/>
      </c>
    </row>
    <row r="55">
      <c r="B55" s="9">
        <f>IF('Vendors &amp; Crew'!$A$57="","",'Vendors &amp; Crew'!$A$57)</f>
        <v/>
      </c>
      <c r="C55" s="9">
        <f>IF('Vendors &amp; Crew'!$A$57="","",'Vendors &amp; Crew'!$B$57)</f>
        <v/>
      </c>
      <c r="D55" s="39">
        <f>IF('Vendors &amp; Crew'!$A$57="","",'Vendors &amp; Crew'!$K$57)</f>
        <v/>
      </c>
      <c r="E55" s="9">
        <f>IF('Vendors &amp; Crew'!$A$57="","",'Vendors &amp; Crew'!$I$57)</f>
        <v/>
      </c>
      <c r="F55" s="9">
        <f>IF('Vendors &amp; Crew'!$A$57="","",'Vendors &amp; Crew'!$M$57)</f>
        <v/>
      </c>
    </row>
    <row r="56">
      <c r="B56" s="9">
        <f>IF('Vendors &amp; Crew'!$A$58="","",'Vendors &amp; Crew'!$A$58)</f>
        <v/>
      </c>
      <c r="C56" s="9">
        <f>IF('Vendors &amp; Crew'!$A$58="","",'Vendors &amp; Crew'!$B$58)</f>
        <v/>
      </c>
      <c r="D56" s="39">
        <f>IF('Vendors &amp; Crew'!$A$58="","",'Vendors &amp; Crew'!$K$58)</f>
        <v/>
      </c>
      <c r="E56" s="9">
        <f>IF('Vendors &amp; Crew'!$A$58="","",'Vendors &amp; Crew'!$I$58)</f>
        <v/>
      </c>
      <c r="F56" s="9">
        <f>IF('Vendors &amp; Crew'!$A$58="","",'Vendors &amp; Crew'!$M$58)</f>
        <v/>
      </c>
    </row>
    <row r="57">
      <c r="B57" s="9">
        <f>IF('Vendors &amp; Crew'!$A$59="","",'Vendors &amp; Crew'!$A$59)</f>
        <v/>
      </c>
      <c r="C57" s="9">
        <f>IF('Vendors &amp; Crew'!$A$59="","",'Vendors &amp; Crew'!$B$59)</f>
        <v/>
      </c>
      <c r="D57" s="39">
        <f>IF('Vendors &amp; Crew'!$A$59="","",'Vendors &amp; Crew'!$K$59)</f>
        <v/>
      </c>
      <c r="E57" s="9">
        <f>IF('Vendors &amp; Crew'!$A$59="","",'Vendors &amp; Crew'!$I$59)</f>
        <v/>
      </c>
      <c r="F57" s="9">
        <f>IF('Vendors &amp; Crew'!$A$59="","",'Vendors &amp; Crew'!$M$59)</f>
        <v/>
      </c>
    </row>
    <row r="58">
      <c r="B58" s="9">
        <f>IF('Vendors &amp; Crew'!$A$60="","",'Vendors &amp; Crew'!$A$60)</f>
        <v/>
      </c>
      <c r="C58" s="9">
        <f>IF('Vendors &amp; Crew'!$A$60="","",'Vendors &amp; Crew'!$B$60)</f>
        <v/>
      </c>
      <c r="D58" s="39">
        <f>IF('Vendors &amp; Crew'!$A$60="","",'Vendors &amp; Crew'!$K$60)</f>
        <v/>
      </c>
      <c r="E58" s="9">
        <f>IF('Vendors &amp; Crew'!$A$60="","",'Vendors &amp; Crew'!$I$60)</f>
        <v/>
      </c>
      <c r="F58" s="9">
        <f>IF('Vendors &amp; Crew'!$A$60="","",'Vendors &amp; Crew'!$M$60)</f>
        <v/>
      </c>
    </row>
    <row r="59">
      <c r="B59" s="9">
        <f>IF('Vendors &amp; Crew'!$A$61="","",'Vendors &amp; Crew'!$A$61)</f>
        <v/>
      </c>
      <c r="C59" s="9">
        <f>IF('Vendors &amp; Crew'!$A$61="","",'Vendors &amp; Crew'!$B$61)</f>
        <v/>
      </c>
      <c r="D59" s="39">
        <f>IF('Vendors &amp; Crew'!$A$61="","",'Vendors &amp; Crew'!$K$61)</f>
        <v/>
      </c>
      <c r="E59" s="9">
        <f>IF('Vendors &amp; Crew'!$A$61="","",'Vendors &amp; Crew'!$I$61)</f>
        <v/>
      </c>
      <c r="F59" s="9">
        <f>IF('Vendors &amp; Crew'!$A$61="","",'Vendors &amp; Crew'!$M$61)</f>
        <v/>
      </c>
    </row>
    <row r="60">
      <c r="B60" s="9">
        <f>IF('Vendors &amp; Crew'!$A$62="","",'Vendors &amp; Crew'!$A$62)</f>
        <v/>
      </c>
      <c r="C60" s="9">
        <f>IF('Vendors &amp; Crew'!$A$62="","",'Vendors &amp; Crew'!$B$62)</f>
        <v/>
      </c>
      <c r="D60" s="39">
        <f>IF('Vendors &amp; Crew'!$A$62="","",'Vendors &amp; Crew'!$K$62)</f>
        <v/>
      </c>
      <c r="E60" s="9">
        <f>IF('Vendors &amp; Crew'!$A$62="","",'Vendors &amp; Crew'!$I$62)</f>
        <v/>
      </c>
      <c r="F60" s="9">
        <f>IF('Vendors &amp; Crew'!$A$62="","",'Vendors &amp; Crew'!$M$62)</f>
        <v/>
      </c>
    </row>
    <row r="61">
      <c r="B61" s="9">
        <f>IF('Vendors &amp; Crew'!$A$63="","",'Vendors &amp; Crew'!$A$63)</f>
        <v/>
      </c>
      <c r="C61" s="9">
        <f>IF('Vendors &amp; Crew'!$A$63="","",'Vendors &amp; Crew'!$B$63)</f>
        <v/>
      </c>
      <c r="D61" s="39">
        <f>IF('Vendors &amp; Crew'!$A$63="","",'Vendors &amp; Crew'!$K$63)</f>
        <v/>
      </c>
      <c r="E61" s="9">
        <f>IF('Vendors &amp; Crew'!$A$63="","",'Vendors &amp; Crew'!$I$63)</f>
        <v/>
      </c>
      <c r="F61" s="9">
        <f>IF('Vendors &amp; Crew'!$A$63="","",'Vendors &amp; Crew'!$M$63)</f>
        <v/>
      </c>
    </row>
    <row r="62">
      <c r="B62" s="9">
        <f>IF('Vendors &amp; Crew'!$A$64="","",'Vendors &amp; Crew'!$A$64)</f>
        <v/>
      </c>
      <c r="C62" s="9">
        <f>IF('Vendors &amp; Crew'!$A$64="","",'Vendors &amp; Crew'!$B$64)</f>
        <v/>
      </c>
      <c r="D62" s="39">
        <f>IF('Vendors &amp; Crew'!$A$64="","",'Vendors &amp; Crew'!$K$64)</f>
        <v/>
      </c>
      <c r="E62" s="9">
        <f>IF('Vendors &amp; Crew'!$A$64="","",'Vendors &amp; Crew'!$I$64)</f>
        <v/>
      </c>
      <c r="F62" s="9">
        <f>IF('Vendors &amp; Crew'!$A$64="","",'Vendors &amp; Crew'!$M$64)</f>
        <v/>
      </c>
    </row>
    <row r="63">
      <c r="B63" s="9">
        <f>IF('Vendors &amp; Crew'!$A$65="","",'Vendors &amp; Crew'!$A$65)</f>
        <v/>
      </c>
      <c r="C63" s="9">
        <f>IF('Vendors &amp; Crew'!$A$65="","",'Vendors &amp; Crew'!$B$65)</f>
        <v/>
      </c>
      <c r="D63" s="39">
        <f>IF('Vendors &amp; Crew'!$A$65="","",'Vendors &amp; Crew'!$K$65)</f>
        <v/>
      </c>
      <c r="E63" s="9">
        <f>IF('Vendors &amp; Crew'!$A$65="","",'Vendors &amp; Crew'!$I$65)</f>
        <v/>
      </c>
      <c r="F63" s="9">
        <f>IF('Vendors &amp; Crew'!$A$65="","",'Vendors &amp; Crew'!$M$65)</f>
        <v/>
      </c>
    </row>
    <row r="64">
      <c r="B64" s="9">
        <f>IF('Vendors &amp; Crew'!$A$66="","",'Vendors &amp; Crew'!$A$66)</f>
        <v/>
      </c>
      <c r="C64" s="9">
        <f>IF('Vendors &amp; Crew'!$A$66="","",'Vendors &amp; Crew'!$B$66)</f>
        <v/>
      </c>
      <c r="D64" s="39">
        <f>IF('Vendors &amp; Crew'!$A$66="","",'Vendors &amp; Crew'!$K$66)</f>
        <v/>
      </c>
      <c r="E64" s="9">
        <f>IF('Vendors &amp; Crew'!$A$66="","",'Vendors &amp; Crew'!$I$66)</f>
        <v/>
      </c>
      <c r="F64" s="9">
        <f>IF('Vendors &amp; Crew'!$A$66="","",'Vendors &amp; Crew'!$M$66)</f>
        <v/>
      </c>
    </row>
    <row r="65">
      <c r="B65" s="9">
        <f>IF('Vendors &amp; Crew'!$A$67="","",'Vendors &amp; Crew'!$A$67)</f>
        <v/>
      </c>
      <c r="C65" s="9">
        <f>IF('Vendors &amp; Crew'!$A$67="","",'Vendors &amp; Crew'!$B$67)</f>
        <v/>
      </c>
      <c r="D65" s="39">
        <f>IF('Vendors &amp; Crew'!$A$67="","",'Vendors &amp; Crew'!$K$67)</f>
        <v/>
      </c>
      <c r="E65" s="9">
        <f>IF('Vendors &amp; Crew'!$A$67="","",'Vendors &amp; Crew'!$I$67)</f>
        <v/>
      </c>
      <c r="F65" s="9">
        <f>IF('Vendors &amp; Crew'!$A$67="","",'Vendors &amp; Crew'!$M$67)</f>
        <v/>
      </c>
    </row>
    <row r="66">
      <c r="B66" s="9">
        <f>IF('Vendors &amp; Crew'!$A$68="","",'Vendors &amp; Crew'!$A$68)</f>
        <v/>
      </c>
      <c r="C66" s="9">
        <f>IF('Vendors &amp; Crew'!$A$68="","",'Vendors &amp; Crew'!$B$68)</f>
        <v/>
      </c>
      <c r="D66" s="39">
        <f>IF('Vendors &amp; Crew'!$A$68="","",'Vendors &amp; Crew'!$K$68)</f>
        <v/>
      </c>
      <c r="E66" s="9">
        <f>IF('Vendors &amp; Crew'!$A$68="","",'Vendors &amp; Crew'!$I$68)</f>
        <v/>
      </c>
      <c r="F66" s="9">
        <f>IF('Vendors &amp; Crew'!$A$68="","",'Vendors &amp; Crew'!$M$68)</f>
        <v/>
      </c>
    </row>
    <row r="67">
      <c r="B67" s="9">
        <f>IF('Vendors &amp; Crew'!$A$69="","",'Vendors &amp; Crew'!$A$69)</f>
        <v/>
      </c>
      <c r="C67" s="9">
        <f>IF('Vendors &amp; Crew'!$A$69="","",'Vendors &amp; Crew'!$B$69)</f>
        <v/>
      </c>
      <c r="D67" s="39">
        <f>IF('Vendors &amp; Crew'!$A$69="","",'Vendors &amp; Crew'!$K$69)</f>
        <v/>
      </c>
      <c r="E67" s="9">
        <f>IF('Vendors &amp; Crew'!$A$69="","",'Vendors &amp; Crew'!$I$69)</f>
        <v/>
      </c>
      <c r="F67" s="9">
        <f>IF('Vendors &amp; Crew'!$A$69="","",'Vendors &amp; Crew'!$M$69)</f>
        <v/>
      </c>
    </row>
    <row r="68">
      <c r="B68" s="9">
        <f>IF('Vendors &amp; Crew'!$A$70="","",'Vendors &amp; Crew'!$A$70)</f>
        <v/>
      </c>
      <c r="C68" s="9">
        <f>IF('Vendors &amp; Crew'!$A$70="","",'Vendors &amp; Crew'!$B$70)</f>
        <v/>
      </c>
      <c r="D68" s="39">
        <f>IF('Vendors &amp; Crew'!$A$70="","",'Vendors &amp; Crew'!$K$70)</f>
        <v/>
      </c>
      <c r="E68" s="9">
        <f>IF('Vendors &amp; Crew'!$A$70="","",'Vendors &amp; Crew'!$I$70)</f>
        <v/>
      </c>
      <c r="F68" s="9">
        <f>IF('Vendors &amp; Crew'!$A$70="","",'Vendors &amp; Crew'!$M$70)</f>
        <v/>
      </c>
    </row>
    <row r="69">
      <c r="B69" s="9">
        <f>IF('Vendors &amp; Crew'!$A$71="","",'Vendors &amp; Crew'!$A$71)</f>
        <v/>
      </c>
      <c r="C69" s="9">
        <f>IF('Vendors &amp; Crew'!$A$71="","",'Vendors &amp; Crew'!$B$71)</f>
        <v/>
      </c>
      <c r="D69" s="39">
        <f>IF('Vendors &amp; Crew'!$A$71="","",'Vendors &amp; Crew'!$K$71)</f>
        <v/>
      </c>
      <c r="E69" s="9">
        <f>IF('Vendors &amp; Crew'!$A$71="","",'Vendors &amp; Crew'!$I$71)</f>
        <v/>
      </c>
      <c r="F69" s="9">
        <f>IF('Vendors &amp; Crew'!$A$71="","",'Vendors &amp; Crew'!$M$71)</f>
        <v/>
      </c>
    </row>
    <row r="70">
      <c r="B70" s="9">
        <f>IF('Vendors &amp; Crew'!$A$72="","",'Vendors &amp; Crew'!$A$72)</f>
        <v/>
      </c>
      <c r="C70" s="9">
        <f>IF('Vendors &amp; Crew'!$A$72="","",'Vendors &amp; Crew'!$B$72)</f>
        <v/>
      </c>
      <c r="D70" s="39">
        <f>IF('Vendors &amp; Crew'!$A$72="","",'Vendors &amp; Crew'!$K$72)</f>
        <v/>
      </c>
      <c r="E70" s="9">
        <f>IF('Vendors &amp; Crew'!$A$72="","",'Vendors &amp; Crew'!$I$72)</f>
        <v/>
      </c>
      <c r="F70" s="9">
        <f>IF('Vendors &amp; Crew'!$A$72="","",'Vendors &amp; Crew'!$M$72)</f>
        <v/>
      </c>
    </row>
    <row r="71">
      <c r="B71" s="9">
        <f>IF('Vendors &amp; Crew'!$A$73="","",'Vendors &amp; Crew'!$A$73)</f>
        <v/>
      </c>
      <c r="C71" s="9">
        <f>IF('Vendors &amp; Crew'!$A$73="","",'Vendors &amp; Crew'!$B$73)</f>
        <v/>
      </c>
      <c r="D71" s="39">
        <f>IF('Vendors &amp; Crew'!$A$73="","",'Vendors &amp; Crew'!$K$73)</f>
        <v/>
      </c>
      <c r="E71" s="9">
        <f>IF('Vendors &amp; Crew'!$A$73="","",'Vendors &amp; Crew'!$I$73)</f>
        <v/>
      </c>
      <c r="F71" s="9">
        <f>IF('Vendors &amp; Crew'!$A$73="","",'Vendors &amp; Crew'!$M$73)</f>
        <v/>
      </c>
    </row>
    <row r="72">
      <c r="B72" s="9">
        <f>IF('Vendors &amp; Crew'!$A$74="","",'Vendors &amp; Crew'!$A$74)</f>
        <v/>
      </c>
      <c r="C72" s="9">
        <f>IF('Vendors &amp; Crew'!$A$74="","",'Vendors &amp; Crew'!$B$74)</f>
        <v/>
      </c>
      <c r="D72" s="39">
        <f>IF('Vendors &amp; Crew'!$A$74="","",'Vendors &amp; Crew'!$K$74)</f>
        <v/>
      </c>
      <c r="E72" s="9">
        <f>IF('Vendors &amp; Crew'!$A$74="","",'Vendors &amp; Crew'!$I$74)</f>
        <v/>
      </c>
      <c r="F72" s="9">
        <f>IF('Vendors &amp; Crew'!$A$74="","",'Vendors &amp; Crew'!$M$74)</f>
        <v/>
      </c>
    </row>
    <row r="73">
      <c r="B73" s="9">
        <f>IF('Vendors &amp; Crew'!$A$75="","",'Vendors &amp; Crew'!$A$75)</f>
        <v/>
      </c>
      <c r="C73" s="9">
        <f>IF('Vendors &amp; Crew'!$A$75="","",'Vendors &amp; Crew'!$B$75)</f>
        <v/>
      </c>
      <c r="D73" s="39">
        <f>IF('Vendors &amp; Crew'!$A$75="","",'Vendors &amp; Crew'!$K$75)</f>
        <v/>
      </c>
      <c r="E73" s="9">
        <f>IF('Vendors &amp; Crew'!$A$75="","",'Vendors &amp; Crew'!$I$75)</f>
        <v/>
      </c>
      <c r="F73" s="9">
        <f>IF('Vendors &amp; Crew'!$A$75="","",'Vendors &amp; Crew'!$M$75)</f>
        <v/>
      </c>
    </row>
    <row r="74">
      <c r="B74" s="9">
        <f>IF('Vendors &amp; Crew'!$A$76="","",'Vendors &amp; Crew'!$A$76)</f>
        <v/>
      </c>
      <c r="C74" s="9">
        <f>IF('Vendors &amp; Crew'!$A$76="","",'Vendors &amp; Crew'!$B$76)</f>
        <v/>
      </c>
      <c r="D74" s="39">
        <f>IF('Vendors &amp; Crew'!$A$76="","",'Vendors &amp; Crew'!$K$76)</f>
        <v/>
      </c>
      <c r="E74" s="9">
        <f>IF('Vendors &amp; Crew'!$A$76="","",'Vendors &amp; Crew'!$I$76)</f>
        <v/>
      </c>
      <c r="F74" s="9">
        <f>IF('Vendors &amp; Crew'!$A$76="","",'Vendors &amp; Crew'!$M$76)</f>
        <v/>
      </c>
    </row>
    <row r="75">
      <c r="B75" s="9">
        <f>IF('Vendors &amp; Crew'!$A$77="","",'Vendors &amp; Crew'!$A$77)</f>
        <v/>
      </c>
      <c r="C75" s="9">
        <f>IF('Vendors &amp; Crew'!$A$77="","",'Vendors &amp; Crew'!$B$77)</f>
        <v/>
      </c>
      <c r="D75" s="39">
        <f>IF('Vendors &amp; Crew'!$A$77="","",'Vendors &amp; Crew'!$K$77)</f>
        <v/>
      </c>
      <c r="E75" s="9">
        <f>IF('Vendors &amp; Crew'!$A$77="","",'Vendors &amp; Crew'!$I$77)</f>
        <v/>
      </c>
      <c r="F75" s="9">
        <f>IF('Vendors &amp; Crew'!$A$77="","",'Vendors &amp; Crew'!$M$77)</f>
        <v/>
      </c>
    </row>
    <row r="76">
      <c r="B76" s="9">
        <f>IF('Vendors &amp; Crew'!$A$78="","",'Vendors &amp; Crew'!$A$78)</f>
        <v/>
      </c>
      <c r="C76" s="9">
        <f>IF('Vendors &amp; Crew'!$A$78="","",'Vendors &amp; Crew'!$B$78)</f>
        <v/>
      </c>
      <c r="D76" s="39">
        <f>IF('Vendors &amp; Crew'!$A$78="","",'Vendors &amp; Crew'!$K$78)</f>
        <v/>
      </c>
      <c r="E76" s="9">
        <f>IF('Vendors &amp; Crew'!$A$78="","",'Vendors &amp; Crew'!$I$78)</f>
        <v/>
      </c>
      <c r="F76" s="9">
        <f>IF('Vendors &amp; Crew'!$A$78="","",'Vendors &amp; Crew'!$M$78)</f>
        <v/>
      </c>
    </row>
    <row r="77">
      <c r="B77" s="9">
        <f>IF('Vendors &amp; Crew'!$A$79="","",'Vendors &amp; Crew'!$A$79)</f>
        <v/>
      </c>
      <c r="C77" s="9">
        <f>IF('Vendors &amp; Crew'!$A$79="","",'Vendors &amp; Crew'!$B$79)</f>
        <v/>
      </c>
      <c r="D77" s="39">
        <f>IF('Vendors &amp; Crew'!$A$79="","",'Vendors &amp; Crew'!$K$79)</f>
        <v/>
      </c>
      <c r="E77" s="9">
        <f>IF('Vendors &amp; Crew'!$A$79="","",'Vendors &amp; Crew'!$I$79)</f>
        <v/>
      </c>
      <c r="F77" s="9">
        <f>IF('Vendors &amp; Crew'!$A$79="","",'Vendors &amp; Crew'!$M$79)</f>
        <v/>
      </c>
    </row>
    <row r="78">
      <c r="B78" s="9">
        <f>IF('Vendors &amp; Crew'!$A$80="","",'Vendors &amp; Crew'!$A$80)</f>
        <v/>
      </c>
      <c r="C78" s="9">
        <f>IF('Vendors &amp; Crew'!$A$80="","",'Vendors &amp; Crew'!$B$80)</f>
        <v/>
      </c>
      <c r="D78" s="39">
        <f>IF('Vendors &amp; Crew'!$A$80="","",'Vendors &amp; Crew'!$K$80)</f>
        <v/>
      </c>
      <c r="E78" s="9">
        <f>IF('Vendors &amp; Crew'!$A$80="","",'Vendors &amp; Crew'!$I$80)</f>
        <v/>
      </c>
      <c r="F78" s="9">
        <f>IF('Vendors &amp; Crew'!$A$80="","",'Vendors &amp; Crew'!$M$80)</f>
        <v/>
      </c>
    </row>
    <row r="79">
      <c r="B79" s="9">
        <f>IF('Vendors &amp; Crew'!$A$81="","",'Vendors &amp; Crew'!$A$81)</f>
        <v/>
      </c>
      <c r="C79" s="9">
        <f>IF('Vendors &amp; Crew'!$A$81="","",'Vendors &amp; Crew'!$B$81)</f>
        <v/>
      </c>
      <c r="D79" s="39">
        <f>IF('Vendors &amp; Crew'!$A$81="","",'Vendors &amp; Crew'!$K$81)</f>
        <v/>
      </c>
      <c r="E79" s="9">
        <f>IF('Vendors &amp; Crew'!$A$81="","",'Vendors &amp; Crew'!$I$81)</f>
        <v/>
      </c>
      <c r="F79" s="9">
        <f>IF('Vendors &amp; Crew'!$A$81="","",'Vendors &amp; Crew'!$M$81)</f>
        <v/>
      </c>
    </row>
    <row r="80">
      <c r="B80" s="9">
        <f>IF('Vendors &amp; Crew'!$A$82="","",'Vendors &amp; Crew'!$A$82)</f>
        <v/>
      </c>
      <c r="C80" s="9">
        <f>IF('Vendors &amp; Crew'!$A$82="","",'Vendors &amp; Crew'!$B$82)</f>
        <v/>
      </c>
      <c r="D80" s="39">
        <f>IF('Vendors &amp; Crew'!$A$82="","",'Vendors &amp; Crew'!$K$82)</f>
        <v/>
      </c>
      <c r="E80" s="9">
        <f>IF('Vendors &amp; Crew'!$A$82="","",'Vendors &amp; Crew'!$I$82)</f>
        <v/>
      </c>
      <c r="F80" s="9">
        <f>IF('Vendors &amp; Crew'!$A$82="","",'Vendors &amp; Crew'!$M$82)</f>
        <v/>
      </c>
    </row>
    <row r="81">
      <c r="B81" s="9">
        <f>IF('Vendors &amp; Crew'!$A$83="","",'Vendors &amp; Crew'!$A$83)</f>
        <v/>
      </c>
      <c r="C81" s="9">
        <f>IF('Vendors &amp; Crew'!$A$83="","",'Vendors &amp; Crew'!$B$83)</f>
        <v/>
      </c>
      <c r="D81" s="39">
        <f>IF('Vendors &amp; Crew'!$A$83="","",'Vendors &amp; Crew'!$K$83)</f>
        <v/>
      </c>
      <c r="E81" s="9">
        <f>IF('Vendors &amp; Crew'!$A$83="","",'Vendors &amp; Crew'!$I$83)</f>
        <v/>
      </c>
      <c r="F81" s="9">
        <f>IF('Vendors &amp; Crew'!$A$83="","",'Vendors &amp; Crew'!$M$83)</f>
        <v/>
      </c>
    </row>
    <row r="82">
      <c r="B82" s="9">
        <f>IF('Vendors &amp; Crew'!$A$84="","",'Vendors &amp; Crew'!$A$84)</f>
        <v/>
      </c>
      <c r="C82" s="9">
        <f>IF('Vendors &amp; Crew'!$A$84="","",'Vendors &amp; Crew'!$B$84)</f>
        <v/>
      </c>
      <c r="D82" s="39">
        <f>IF('Vendors &amp; Crew'!$A$84="","",'Vendors &amp; Crew'!$K$84)</f>
        <v/>
      </c>
      <c r="E82" s="9">
        <f>IF('Vendors &amp; Crew'!$A$84="","",'Vendors &amp; Crew'!$I$84)</f>
        <v/>
      </c>
      <c r="F82" s="9">
        <f>IF('Vendors &amp; Crew'!$A$84="","",'Vendors &amp; Crew'!$M$84)</f>
        <v/>
      </c>
    </row>
    <row r="83">
      <c r="B83" s="9">
        <f>IF('Vendors &amp; Crew'!$A$85="","",'Vendors &amp; Crew'!$A$85)</f>
        <v/>
      </c>
      <c r="C83" s="9">
        <f>IF('Vendors &amp; Crew'!$A$85="","",'Vendors &amp; Crew'!$B$85)</f>
        <v/>
      </c>
      <c r="D83" s="39">
        <f>IF('Vendors &amp; Crew'!$A$85="","",'Vendors &amp; Crew'!$K$85)</f>
        <v/>
      </c>
      <c r="E83" s="9">
        <f>IF('Vendors &amp; Crew'!$A$85="","",'Vendors &amp; Crew'!$I$85)</f>
        <v/>
      </c>
      <c r="F83" s="9">
        <f>IF('Vendors &amp; Crew'!$A$85="","",'Vendors &amp; Crew'!$M$85)</f>
        <v/>
      </c>
    </row>
    <row r="84">
      <c r="B84" s="9">
        <f>IF('Vendors &amp; Crew'!$A$86="","",'Vendors &amp; Crew'!$A$86)</f>
        <v/>
      </c>
      <c r="C84" s="9">
        <f>IF('Vendors &amp; Crew'!$A$86="","",'Vendors &amp; Crew'!$B$86)</f>
        <v/>
      </c>
      <c r="D84" s="39">
        <f>IF('Vendors &amp; Crew'!$A$86="","",'Vendors &amp; Crew'!$K$86)</f>
        <v/>
      </c>
      <c r="E84" s="9">
        <f>IF('Vendors &amp; Crew'!$A$86="","",'Vendors &amp; Crew'!$I$86)</f>
        <v/>
      </c>
      <c r="F84" s="9">
        <f>IF('Vendors &amp; Crew'!$A$86="","",'Vendors &amp; Crew'!$M$86)</f>
        <v/>
      </c>
    </row>
    <row r="85">
      <c r="B85" s="9">
        <f>IF('Vendors &amp; Crew'!$A$87="","",'Vendors &amp; Crew'!$A$87)</f>
        <v/>
      </c>
      <c r="C85" s="9">
        <f>IF('Vendors &amp; Crew'!$A$87="","",'Vendors &amp; Crew'!$B$87)</f>
        <v/>
      </c>
      <c r="D85" s="39">
        <f>IF('Vendors &amp; Crew'!$A$87="","",'Vendors &amp; Crew'!$K$87)</f>
        <v/>
      </c>
      <c r="E85" s="9">
        <f>IF('Vendors &amp; Crew'!$A$87="","",'Vendors &amp; Crew'!$I$87)</f>
        <v/>
      </c>
      <c r="F85" s="9">
        <f>IF('Vendors &amp; Crew'!$A$87="","",'Vendors &amp; Crew'!$M$87)</f>
        <v/>
      </c>
    </row>
    <row r="86">
      <c r="B86" s="9">
        <f>IF('Vendors &amp; Crew'!$A$88="","",'Vendors &amp; Crew'!$A$88)</f>
        <v/>
      </c>
      <c r="C86" s="9">
        <f>IF('Vendors &amp; Crew'!$A$88="","",'Vendors &amp; Crew'!$B$88)</f>
        <v/>
      </c>
      <c r="D86" s="39">
        <f>IF('Vendors &amp; Crew'!$A$88="","",'Vendors &amp; Crew'!$K$88)</f>
        <v/>
      </c>
      <c r="E86" s="9">
        <f>IF('Vendors &amp; Crew'!$A$88="","",'Vendors &amp; Crew'!$I$88)</f>
        <v/>
      </c>
      <c r="F86" s="9">
        <f>IF('Vendors &amp; Crew'!$A$88="","",'Vendors &amp; Crew'!$M$88)</f>
        <v/>
      </c>
    </row>
    <row r="87">
      <c r="B87" s="9">
        <f>IF('Vendors &amp; Crew'!$A$89="","",'Vendors &amp; Crew'!$A$89)</f>
        <v/>
      </c>
      <c r="C87" s="9">
        <f>IF('Vendors &amp; Crew'!$A$89="","",'Vendors &amp; Crew'!$B$89)</f>
        <v/>
      </c>
      <c r="D87" s="39">
        <f>IF('Vendors &amp; Crew'!$A$89="","",'Vendors &amp; Crew'!$K$89)</f>
        <v/>
      </c>
      <c r="E87" s="9">
        <f>IF('Vendors &amp; Crew'!$A$89="","",'Vendors &amp; Crew'!$I$89)</f>
        <v/>
      </c>
      <c r="F87" s="9">
        <f>IF('Vendors &amp; Crew'!$A$89="","",'Vendors &amp; Crew'!$M$89)</f>
        <v/>
      </c>
    </row>
    <row r="88">
      <c r="B88" s="9">
        <f>IF('Vendors &amp; Crew'!$A$90="","",'Vendors &amp; Crew'!$A$90)</f>
        <v/>
      </c>
      <c r="C88" s="9">
        <f>IF('Vendors &amp; Crew'!$A$90="","",'Vendors &amp; Crew'!$B$90)</f>
        <v/>
      </c>
      <c r="D88" s="39">
        <f>IF('Vendors &amp; Crew'!$A$90="","",'Vendors &amp; Crew'!$K$90)</f>
        <v/>
      </c>
      <c r="E88" s="9">
        <f>IF('Vendors &amp; Crew'!$A$90="","",'Vendors &amp; Crew'!$I$90)</f>
        <v/>
      </c>
      <c r="F88" s="9">
        <f>IF('Vendors &amp; Crew'!$A$90="","",'Vendors &amp; Crew'!$M$90)</f>
        <v/>
      </c>
    </row>
    <row r="89">
      <c r="B89" s="9">
        <f>IF('Vendors &amp; Crew'!$A$91="","",'Vendors &amp; Crew'!$A$91)</f>
        <v/>
      </c>
      <c r="C89" s="9">
        <f>IF('Vendors &amp; Crew'!$A$91="","",'Vendors &amp; Crew'!$B$91)</f>
        <v/>
      </c>
      <c r="D89" s="39">
        <f>IF('Vendors &amp; Crew'!$A$91="","",'Vendors &amp; Crew'!$K$91)</f>
        <v/>
      </c>
      <c r="E89" s="9">
        <f>IF('Vendors &amp; Crew'!$A$91="","",'Vendors &amp; Crew'!$I$91)</f>
        <v/>
      </c>
      <c r="F89" s="9">
        <f>IF('Vendors &amp; Crew'!$A$91="","",'Vendors &amp; Crew'!$M$91)</f>
        <v/>
      </c>
    </row>
    <row r="90">
      <c r="B90" s="9">
        <f>IF('Vendors &amp; Crew'!$A$92="","",'Vendors &amp; Crew'!$A$92)</f>
        <v/>
      </c>
      <c r="C90" s="9">
        <f>IF('Vendors &amp; Crew'!$A$92="","",'Vendors &amp; Crew'!$B$92)</f>
        <v/>
      </c>
      <c r="D90" s="39">
        <f>IF('Vendors &amp; Crew'!$A$92="","",'Vendors &amp; Crew'!$K$92)</f>
        <v/>
      </c>
      <c r="E90" s="9">
        <f>IF('Vendors &amp; Crew'!$A$92="","",'Vendors &amp; Crew'!$I$92)</f>
        <v/>
      </c>
      <c r="F90" s="9">
        <f>IF('Vendors &amp; Crew'!$A$92="","",'Vendors &amp; Crew'!$M$92)</f>
        <v/>
      </c>
    </row>
    <row r="91">
      <c r="B91" s="9">
        <f>IF('Vendors &amp; Crew'!$A$93="","",'Vendors &amp; Crew'!$A$93)</f>
        <v/>
      </c>
      <c r="C91" s="9">
        <f>IF('Vendors &amp; Crew'!$A$93="","",'Vendors &amp; Crew'!$B$93)</f>
        <v/>
      </c>
      <c r="D91" s="39">
        <f>IF('Vendors &amp; Crew'!$A$93="","",'Vendors &amp; Crew'!$K$93)</f>
        <v/>
      </c>
      <c r="E91" s="9">
        <f>IF('Vendors &amp; Crew'!$A$93="","",'Vendors &amp; Crew'!$I$93)</f>
        <v/>
      </c>
      <c r="F91" s="9">
        <f>IF('Vendors &amp; Crew'!$A$93="","",'Vendors &amp; Crew'!$M$93)</f>
        <v/>
      </c>
    </row>
    <row r="92">
      <c r="B92" s="9">
        <f>IF('Vendors &amp; Crew'!$A$94="","",'Vendors &amp; Crew'!$A$94)</f>
        <v/>
      </c>
      <c r="C92" s="9">
        <f>IF('Vendors &amp; Crew'!$A$94="","",'Vendors &amp; Crew'!$B$94)</f>
        <v/>
      </c>
      <c r="D92" s="39">
        <f>IF('Vendors &amp; Crew'!$A$94="","",'Vendors &amp; Crew'!$K$94)</f>
        <v/>
      </c>
      <c r="E92" s="9">
        <f>IF('Vendors &amp; Crew'!$A$94="","",'Vendors &amp; Crew'!$I$94)</f>
        <v/>
      </c>
      <c r="F92" s="9">
        <f>IF('Vendors &amp; Crew'!$A$94="","",'Vendors &amp; Crew'!$M$94)</f>
        <v/>
      </c>
    </row>
    <row r="93">
      <c r="B93" s="9">
        <f>IF('Vendors &amp; Crew'!$A$95="","",'Vendors &amp; Crew'!$A$95)</f>
        <v/>
      </c>
      <c r="C93" s="9">
        <f>IF('Vendors &amp; Crew'!$A$95="","",'Vendors &amp; Crew'!$B$95)</f>
        <v/>
      </c>
      <c r="D93" s="39">
        <f>IF('Vendors &amp; Crew'!$A$95="","",'Vendors &amp; Crew'!$K$95)</f>
        <v/>
      </c>
      <c r="E93" s="9">
        <f>IF('Vendors &amp; Crew'!$A$95="","",'Vendors &amp; Crew'!$I$95)</f>
        <v/>
      </c>
      <c r="F93" s="9">
        <f>IF('Vendors &amp; Crew'!$A$95="","",'Vendors &amp; Crew'!$M$95)</f>
        <v/>
      </c>
    </row>
    <row r="94">
      <c r="B94" s="9">
        <f>IF('Vendors &amp; Crew'!$A$96="","",'Vendors &amp; Crew'!$A$96)</f>
        <v/>
      </c>
      <c r="C94" s="9">
        <f>IF('Vendors &amp; Crew'!$A$96="","",'Vendors &amp; Crew'!$B$96)</f>
        <v/>
      </c>
      <c r="D94" s="39">
        <f>IF('Vendors &amp; Crew'!$A$96="","",'Vendors &amp; Crew'!$K$96)</f>
        <v/>
      </c>
      <c r="E94" s="9">
        <f>IF('Vendors &amp; Crew'!$A$96="","",'Vendors &amp; Crew'!$I$96)</f>
        <v/>
      </c>
      <c r="F94" s="9">
        <f>IF('Vendors &amp; Crew'!$A$96="","",'Vendors &amp; Crew'!$M$96)</f>
        <v/>
      </c>
    </row>
    <row r="95">
      <c r="B95" s="9">
        <f>IF('Vendors &amp; Crew'!$A$97="","",'Vendors &amp; Crew'!$A$97)</f>
        <v/>
      </c>
      <c r="C95" s="9">
        <f>IF('Vendors &amp; Crew'!$A$97="","",'Vendors &amp; Crew'!$B$97)</f>
        <v/>
      </c>
      <c r="D95" s="39">
        <f>IF('Vendors &amp; Crew'!$A$97="","",'Vendors &amp; Crew'!$K$97)</f>
        <v/>
      </c>
      <c r="E95" s="9">
        <f>IF('Vendors &amp; Crew'!$A$97="","",'Vendors &amp; Crew'!$I$97)</f>
        <v/>
      </c>
      <c r="F95" s="9">
        <f>IF('Vendors &amp; Crew'!$A$97="","",'Vendors &amp; Crew'!$M$97)</f>
        <v/>
      </c>
    </row>
    <row r="96">
      <c r="B96" s="9">
        <f>IF('Vendors &amp; Crew'!$A$98="","",'Vendors &amp; Crew'!$A$98)</f>
        <v/>
      </c>
      <c r="C96" s="9">
        <f>IF('Vendors &amp; Crew'!$A$98="","",'Vendors &amp; Crew'!$B$98)</f>
        <v/>
      </c>
      <c r="D96" s="39">
        <f>IF('Vendors &amp; Crew'!$A$98="","",'Vendors &amp; Crew'!$K$98)</f>
        <v/>
      </c>
      <c r="E96" s="9">
        <f>IF('Vendors &amp; Crew'!$A$98="","",'Vendors &amp; Crew'!$I$98)</f>
        <v/>
      </c>
      <c r="F96" s="9">
        <f>IF('Vendors &amp; Crew'!$A$98="","",'Vendors &amp; Crew'!$M$98)</f>
        <v/>
      </c>
    </row>
    <row r="97">
      <c r="B97" s="9">
        <f>IF('Vendors &amp; Crew'!$A$99="","",'Vendors &amp; Crew'!$A$99)</f>
        <v/>
      </c>
      <c r="C97" s="9">
        <f>IF('Vendors &amp; Crew'!$A$99="","",'Vendors &amp; Crew'!$B$99)</f>
        <v/>
      </c>
      <c r="D97" s="39">
        <f>IF('Vendors &amp; Crew'!$A$99="","",'Vendors &amp; Crew'!$K$99)</f>
        <v/>
      </c>
      <c r="E97" s="9">
        <f>IF('Vendors &amp; Crew'!$A$99="","",'Vendors &amp; Crew'!$I$99)</f>
        <v/>
      </c>
      <c r="F97" s="9">
        <f>IF('Vendors &amp; Crew'!$A$99="","",'Vendors &amp; Crew'!$M$99)</f>
        <v/>
      </c>
    </row>
    <row r="98">
      <c r="B98" s="9">
        <f>IF('Vendors &amp; Crew'!$A$100="","",'Vendors &amp; Crew'!$A$100)</f>
        <v/>
      </c>
      <c r="C98" s="9">
        <f>IF('Vendors &amp; Crew'!$A$100="","",'Vendors &amp; Crew'!$B$100)</f>
        <v/>
      </c>
      <c r="D98" s="39">
        <f>IF('Vendors &amp; Crew'!$A$100="","",'Vendors &amp; Crew'!$K$100)</f>
        <v/>
      </c>
      <c r="E98" s="9">
        <f>IF('Vendors &amp; Crew'!$A$100="","",'Vendors &amp; Crew'!$I$100)</f>
        <v/>
      </c>
      <c r="F98" s="9">
        <f>IF('Vendors &amp; Crew'!$A$100="","",'Vendors &amp; Crew'!$M$100)</f>
        <v/>
      </c>
    </row>
    <row r="99">
      <c r="B99" s="9">
        <f>IF('Vendors &amp; Crew'!$A$101="","",'Vendors &amp; Crew'!$A$101)</f>
        <v/>
      </c>
      <c r="C99" s="9">
        <f>IF('Vendors &amp; Crew'!$A$101="","",'Vendors &amp; Crew'!$B$101)</f>
        <v/>
      </c>
      <c r="D99" s="39">
        <f>IF('Vendors &amp; Crew'!$A$101="","",'Vendors &amp; Crew'!$K$101)</f>
        <v/>
      </c>
      <c r="E99" s="9">
        <f>IF('Vendors &amp; Crew'!$A$101="","",'Vendors &amp; Crew'!$I$101)</f>
        <v/>
      </c>
      <c r="F99" s="9">
        <f>IF('Vendors &amp; Crew'!$A$101="","",'Vendors &amp; Crew'!$M$101)</f>
        <v/>
      </c>
    </row>
    <row r="100">
      <c r="B100" s="9">
        <f>IF('Vendors &amp; Crew'!$A$102="","",'Vendors &amp; Crew'!$A$102)</f>
        <v/>
      </c>
      <c r="C100" s="9">
        <f>IF('Vendors &amp; Crew'!$A$102="","",'Vendors &amp; Crew'!$B$102)</f>
        <v/>
      </c>
      <c r="D100" s="39">
        <f>IF('Vendors &amp; Crew'!$A$102="","",'Vendors &amp; Crew'!$K$102)</f>
        <v/>
      </c>
      <c r="E100" s="9">
        <f>IF('Vendors &amp; Crew'!$A$102="","",'Vendors &amp; Crew'!$I$102)</f>
        <v/>
      </c>
      <c r="F100" s="9">
        <f>IF('Vendors &amp; Crew'!$A$102="","",'Vendors &amp; Crew'!$M$102)</f>
        <v/>
      </c>
    </row>
    <row r="101">
      <c r="B101" s="9">
        <f>IF('Vendors &amp; Crew'!$A$103="","",'Vendors &amp; Crew'!$A$103)</f>
        <v/>
      </c>
      <c r="C101" s="9">
        <f>IF('Vendors &amp; Crew'!$A$103="","",'Vendors &amp; Crew'!$B$103)</f>
        <v/>
      </c>
      <c r="D101" s="39">
        <f>IF('Vendors &amp; Crew'!$A$103="","",'Vendors &amp; Crew'!$K$103)</f>
        <v/>
      </c>
      <c r="E101" s="9">
        <f>IF('Vendors &amp; Crew'!$A$103="","",'Vendors &amp; Crew'!$I$103)</f>
        <v/>
      </c>
      <c r="F101" s="9">
        <f>IF('Vendors &amp; Crew'!$A$103="","",'Vendors &amp; Crew'!$M$103)</f>
        <v/>
      </c>
    </row>
    <row r="102">
      <c r="B102" s="9">
        <f>IF('Vendors &amp; Crew'!$A$104="","",'Vendors &amp; Crew'!$A$104)</f>
        <v/>
      </c>
      <c r="C102" s="9">
        <f>IF('Vendors &amp; Crew'!$A$104="","",'Vendors &amp; Crew'!$B$104)</f>
        <v/>
      </c>
      <c r="D102" s="39">
        <f>IF('Vendors &amp; Crew'!$A$104="","",'Vendors &amp; Crew'!$K$104)</f>
        <v/>
      </c>
      <c r="E102" s="9">
        <f>IF('Vendors &amp; Crew'!$A$104="","",'Vendors &amp; Crew'!$I$104)</f>
        <v/>
      </c>
      <c r="F102" s="9">
        <f>IF('Vendors &amp; Crew'!$A$104="","",'Vendors &amp; Crew'!$M$104)</f>
        <v/>
      </c>
    </row>
    <row r="103">
      <c r="B103" s="9">
        <f>IF('Vendors &amp; Crew'!$A$105="","",'Vendors &amp; Crew'!$A$105)</f>
        <v/>
      </c>
      <c r="C103" s="9">
        <f>IF('Vendors &amp; Crew'!$A$105="","",'Vendors &amp; Crew'!$B$105)</f>
        <v/>
      </c>
      <c r="D103" s="39">
        <f>IF('Vendors &amp; Crew'!$A$105="","",'Vendors &amp; Crew'!$K$105)</f>
        <v/>
      </c>
      <c r="E103" s="9">
        <f>IF('Vendors &amp; Crew'!$A$105="","",'Vendors &amp; Crew'!$I$105)</f>
        <v/>
      </c>
      <c r="F103" s="9">
        <f>IF('Vendors &amp; Crew'!$A$105="","",'Vendors &amp; Crew'!$M$105)</f>
        <v/>
      </c>
    </row>
    <row r="104">
      <c r="B104" s="9">
        <f>IF('Vendors &amp; Crew'!$A$106="","",'Vendors &amp; Crew'!$A$106)</f>
        <v/>
      </c>
      <c r="C104" s="9">
        <f>IF('Vendors &amp; Crew'!$A$106="","",'Vendors &amp; Crew'!$B$106)</f>
        <v/>
      </c>
      <c r="D104" s="39">
        <f>IF('Vendors &amp; Crew'!$A$106="","",'Vendors &amp; Crew'!$K$106)</f>
        <v/>
      </c>
      <c r="E104" s="9">
        <f>IF('Vendors &amp; Crew'!$A$106="","",'Vendors &amp; Crew'!$I$106)</f>
        <v/>
      </c>
      <c r="F104" s="9">
        <f>IF('Vendors &amp; Crew'!$A$106="","",'Vendors &amp; Crew'!$M$106)</f>
        <v/>
      </c>
    </row>
    <row r="105">
      <c r="B105" s="9">
        <f>IF('Vendors &amp; Crew'!$A$107="","",'Vendors &amp; Crew'!$A$107)</f>
        <v/>
      </c>
      <c r="C105" s="9">
        <f>IF('Vendors &amp; Crew'!$A$107="","",'Vendors &amp; Crew'!$B$107)</f>
        <v/>
      </c>
      <c r="D105" s="39">
        <f>IF('Vendors &amp; Crew'!$A$107="","",'Vendors &amp; Crew'!$K$107)</f>
        <v/>
      </c>
      <c r="E105" s="9">
        <f>IF('Vendors &amp; Crew'!$A$107="","",'Vendors &amp; Crew'!$I$107)</f>
        <v/>
      </c>
      <c r="F105" s="9">
        <f>IF('Vendors &amp; Crew'!$A$107="","",'Vendors &amp; Crew'!$M$107)</f>
        <v/>
      </c>
    </row>
    <row r="106">
      <c r="B106" s="9">
        <f>IF('Vendors &amp; Crew'!$A$108="","",'Vendors &amp; Crew'!$A$108)</f>
        <v/>
      </c>
      <c r="C106" s="9">
        <f>IF('Vendors &amp; Crew'!$A$108="","",'Vendors &amp; Crew'!$B$108)</f>
        <v/>
      </c>
      <c r="D106" s="39">
        <f>IF('Vendors &amp; Crew'!$A$108="","",'Vendors &amp; Crew'!$K$108)</f>
        <v/>
      </c>
      <c r="E106" s="9">
        <f>IF('Vendors &amp; Crew'!$A$108="","",'Vendors &amp; Crew'!$I$108)</f>
        <v/>
      </c>
      <c r="F106" s="9">
        <f>IF('Vendors &amp; Crew'!$A$108="","",'Vendors &amp; Crew'!$M$108)</f>
        <v/>
      </c>
    </row>
    <row r="107">
      <c r="B107" s="9">
        <f>IF('Vendors &amp; Crew'!$A$109="","",'Vendors &amp; Crew'!$A$109)</f>
        <v/>
      </c>
      <c r="C107" s="9">
        <f>IF('Vendors &amp; Crew'!$A$109="","",'Vendors &amp; Crew'!$B$109)</f>
        <v/>
      </c>
      <c r="D107" s="39">
        <f>IF('Vendors &amp; Crew'!$A$109="","",'Vendors &amp; Crew'!$K$109)</f>
        <v/>
      </c>
      <c r="E107" s="9">
        <f>IF('Vendors &amp; Crew'!$A$109="","",'Vendors &amp; Crew'!$I$109)</f>
        <v/>
      </c>
      <c r="F107" s="9">
        <f>IF('Vendors &amp; Crew'!$A$109="","",'Vendors &amp; Crew'!$M$109)</f>
        <v/>
      </c>
    </row>
    <row r="108">
      <c r="B108" s="9">
        <f>IF('Vendors &amp; Crew'!$A$110="","",'Vendors &amp; Crew'!$A$110)</f>
        <v/>
      </c>
      <c r="C108" s="9">
        <f>IF('Vendors &amp; Crew'!$A$110="","",'Vendors &amp; Crew'!$B$110)</f>
        <v/>
      </c>
      <c r="D108" s="39">
        <f>IF('Vendors &amp; Crew'!$A$110="","",'Vendors &amp; Crew'!$K$110)</f>
        <v/>
      </c>
      <c r="E108" s="9">
        <f>IF('Vendors &amp; Crew'!$A$110="","",'Vendors &amp; Crew'!$I$110)</f>
        <v/>
      </c>
      <c r="F108" s="9">
        <f>IF('Vendors &amp; Crew'!$A$110="","",'Vendors &amp; Crew'!$M$110)</f>
        <v/>
      </c>
    </row>
    <row r="109">
      <c r="B109" s="9">
        <f>IF('Vendors &amp; Crew'!$A$111="","",'Vendors &amp; Crew'!$A$111)</f>
        <v/>
      </c>
      <c r="C109" s="9">
        <f>IF('Vendors &amp; Crew'!$A$111="","",'Vendors &amp; Crew'!$B$111)</f>
        <v/>
      </c>
      <c r="D109" s="39">
        <f>IF('Vendors &amp; Crew'!$A$111="","",'Vendors &amp; Crew'!$K$111)</f>
        <v/>
      </c>
      <c r="E109" s="9">
        <f>IF('Vendors &amp; Crew'!$A$111="","",'Vendors &amp; Crew'!$I$111)</f>
        <v/>
      </c>
      <c r="F109" s="9">
        <f>IF('Vendors &amp; Crew'!$A$111="","",'Vendors &amp; Crew'!$M$111)</f>
        <v/>
      </c>
    </row>
    <row r="110">
      <c r="B110" s="9">
        <f>IF('Vendors &amp; Crew'!$A$112="","",'Vendors &amp; Crew'!$A$112)</f>
        <v/>
      </c>
      <c r="C110" s="9">
        <f>IF('Vendors &amp; Crew'!$A$112="","",'Vendors &amp; Crew'!$B$112)</f>
        <v/>
      </c>
      <c r="D110" s="39">
        <f>IF('Vendors &amp; Crew'!$A$112="","",'Vendors &amp; Crew'!$K$112)</f>
        <v/>
      </c>
      <c r="E110" s="9">
        <f>IF('Vendors &amp; Crew'!$A$112="","",'Vendors &amp; Crew'!$I$112)</f>
        <v/>
      </c>
      <c r="F110" s="9">
        <f>IF('Vendors &amp; Crew'!$A$112="","",'Vendors &amp; Crew'!$M$112)</f>
        <v/>
      </c>
    </row>
    <row r="111">
      <c r="B111" s="9">
        <f>IF('Vendors &amp; Crew'!$A$113="","",'Vendors &amp; Crew'!$A$113)</f>
        <v/>
      </c>
      <c r="C111" s="9">
        <f>IF('Vendors &amp; Crew'!$A$113="","",'Vendors &amp; Crew'!$B$113)</f>
        <v/>
      </c>
      <c r="D111" s="39">
        <f>IF('Vendors &amp; Crew'!$A$113="","",'Vendors &amp; Crew'!$K$113)</f>
        <v/>
      </c>
      <c r="E111" s="9">
        <f>IF('Vendors &amp; Crew'!$A$113="","",'Vendors &amp; Crew'!$I$113)</f>
        <v/>
      </c>
      <c r="F111" s="9">
        <f>IF('Vendors &amp; Crew'!$A$113="","",'Vendors &amp; Crew'!$M$113)</f>
        <v/>
      </c>
    </row>
    <row r="112">
      <c r="B112" s="9">
        <f>IF('Vendors &amp; Crew'!$A$114="","",'Vendors &amp; Crew'!$A$114)</f>
        <v/>
      </c>
      <c r="C112" s="9">
        <f>IF('Vendors &amp; Crew'!$A$114="","",'Vendors &amp; Crew'!$B$114)</f>
        <v/>
      </c>
      <c r="D112" s="39">
        <f>IF('Vendors &amp; Crew'!$A$114="","",'Vendors &amp; Crew'!$K$114)</f>
        <v/>
      </c>
      <c r="E112" s="9">
        <f>IF('Vendors &amp; Crew'!$A$114="","",'Vendors &amp; Crew'!$I$114)</f>
        <v/>
      </c>
      <c r="F112" s="9">
        <f>IF('Vendors &amp; Crew'!$A$114="","",'Vendors &amp; Crew'!$M$114)</f>
        <v/>
      </c>
    </row>
    <row r="113">
      <c r="B113" s="9">
        <f>IF('Vendors &amp; Crew'!$A$115="","",'Vendors &amp; Crew'!$A$115)</f>
        <v/>
      </c>
      <c r="C113" s="9">
        <f>IF('Vendors &amp; Crew'!$A$115="","",'Vendors &amp; Crew'!$B$115)</f>
        <v/>
      </c>
      <c r="D113" s="39">
        <f>IF('Vendors &amp; Crew'!$A$115="","",'Vendors &amp; Crew'!$K$115)</f>
        <v/>
      </c>
      <c r="E113" s="9">
        <f>IF('Vendors &amp; Crew'!$A$115="","",'Vendors &amp; Crew'!$I$115)</f>
        <v/>
      </c>
      <c r="F113" s="9">
        <f>IF('Vendors &amp; Crew'!$A$115="","",'Vendors &amp; Crew'!$M$115)</f>
        <v/>
      </c>
    </row>
    <row r="114">
      <c r="B114" s="9">
        <f>IF('Vendors &amp; Crew'!$A$116="","",'Vendors &amp; Crew'!$A$116)</f>
        <v/>
      </c>
      <c r="C114" s="9">
        <f>IF('Vendors &amp; Crew'!$A$116="","",'Vendors &amp; Crew'!$B$116)</f>
        <v/>
      </c>
      <c r="D114" s="39">
        <f>IF('Vendors &amp; Crew'!$A$116="","",'Vendors &amp; Crew'!$K$116)</f>
        <v/>
      </c>
      <c r="E114" s="9">
        <f>IF('Vendors &amp; Crew'!$A$116="","",'Vendors &amp; Crew'!$I$116)</f>
        <v/>
      </c>
      <c r="F114" s="9">
        <f>IF('Vendors &amp; Crew'!$A$116="","",'Vendors &amp; Crew'!$M$116)</f>
        <v/>
      </c>
    </row>
    <row r="115">
      <c r="B115" s="9">
        <f>IF('Vendors &amp; Crew'!$A$117="","",'Vendors &amp; Crew'!$A$117)</f>
        <v/>
      </c>
      <c r="C115" s="9">
        <f>IF('Vendors &amp; Crew'!$A$117="","",'Vendors &amp; Crew'!$B$117)</f>
        <v/>
      </c>
      <c r="D115" s="39">
        <f>IF('Vendors &amp; Crew'!$A$117="","",'Vendors &amp; Crew'!$K$117)</f>
        <v/>
      </c>
      <c r="E115" s="9">
        <f>IF('Vendors &amp; Crew'!$A$117="","",'Vendors &amp; Crew'!$I$117)</f>
        <v/>
      </c>
      <c r="F115" s="9">
        <f>IF('Vendors &amp; Crew'!$A$117="","",'Vendors &amp; Crew'!$M$117)</f>
        <v/>
      </c>
    </row>
    <row r="116">
      <c r="B116" s="9">
        <f>IF('Vendors &amp; Crew'!$A$118="","",'Vendors &amp; Crew'!$A$118)</f>
        <v/>
      </c>
      <c r="C116" s="9">
        <f>IF('Vendors &amp; Crew'!$A$118="","",'Vendors &amp; Crew'!$B$118)</f>
        <v/>
      </c>
      <c r="D116" s="39">
        <f>IF('Vendors &amp; Crew'!$A$118="","",'Vendors &amp; Crew'!$K$118)</f>
        <v/>
      </c>
      <c r="E116" s="9">
        <f>IF('Vendors &amp; Crew'!$A$118="","",'Vendors &amp; Crew'!$I$118)</f>
        <v/>
      </c>
      <c r="F116" s="9">
        <f>IF('Vendors &amp; Crew'!$A$118="","",'Vendors &amp; Crew'!$M$118)</f>
        <v/>
      </c>
    </row>
    <row r="117">
      <c r="B117" s="9">
        <f>IF('Vendors &amp; Crew'!$A$119="","",'Vendors &amp; Crew'!$A$119)</f>
        <v/>
      </c>
      <c r="C117" s="9">
        <f>IF('Vendors &amp; Crew'!$A$119="","",'Vendors &amp; Crew'!$B$119)</f>
        <v/>
      </c>
      <c r="D117" s="39">
        <f>IF('Vendors &amp; Crew'!$A$119="","",'Vendors &amp; Crew'!$K$119)</f>
        <v/>
      </c>
      <c r="E117" s="9">
        <f>IF('Vendors &amp; Crew'!$A$119="","",'Vendors &amp; Crew'!$I$119)</f>
        <v/>
      </c>
      <c r="F117" s="9">
        <f>IF('Vendors &amp; Crew'!$A$119="","",'Vendors &amp; Crew'!$M$119)</f>
        <v/>
      </c>
    </row>
    <row r="118">
      <c r="B118" s="9">
        <f>IF('Vendors &amp; Crew'!$A$120="","",'Vendors &amp; Crew'!$A$120)</f>
        <v/>
      </c>
      <c r="C118" s="9">
        <f>IF('Vendors &amp; Crew'!$A$120="","",'Vendors &amp; Crew'!$B$120)</f>
        <v/>
      </c>
      <c r="D118" s="39">
        <f>IF('Vendors &amp; Crew'!$A$120="","",'Vendors &amp; Crew'!$K$120)</f>
        <v/>
      </c>
      <c r="E118" s="9">
        <f>IF('Vendors &amp; Crew'!$A$120="","",'Vendors &amp; Crew'!$I$120)</f>
        <v/>
      </c>
      <c r="F118" s="9">
        <f>IF('Vendors &amp; Crew'!$A$120="","",'Vendors &amp; Crew'!$M$120)</f>
        <v/>
      </c>
    </row>
    <row r="119">
      <c r="B119" s="9">
        <f>IF('Vendors &amp; Crew'!$A$121="","",'Vendors &amp; Crew'!$A$121)</f>
        <v/>
      </c>
      <c r="C119" s="9">
        <f>IF('Vendors &amp; Crew'!$A$121="","",'Vendors &amp; Crew'!$B$121)</f>
        <v/>
      </c>
      <c r="D119" s="39">
        <f>IF('Vendors &amp; Crew'!$A$121="","",'Vendors &amp; Crew'!$K$121)</f>
        <v/>
      </c>
      <c r="E119" s="9">
        <f>IF('Vendors &amp; Crew'!$A$121="","",'Vendors &amp; Crew'!$I$121)</f>
        <v/>
      </c>
      <c r="F119" s="9">
        <f>IF('Vendors &amp; Crew'!$A$121="","",'Vendors &amp; Crew'!$M$121)</f>
        <v/>
      </c>
    </row>
    <row r="120">
      <c r="B120" s="9">
        <f>IF('Vendors &amp; Crew'!$A$122="","",'Vendors &amp; Crew'!$A$122)</f>
        <v/>
      </c>
      <c r="C120" s="9">
        <f>IF('Vendors &amp; Crew'!$A$122="","",'Vendors &amp; Crew'!$B$122)</f>
        <v/>
      </c>
      <c r="D120" s="39">
        <f>IF('Vendors &amp; Crew'!$A$122="","",'Vendors &amp; Crew'!$K$122)</f>
        <v/>
      </c>
      <c r="E120" s="9">
        <f>IF('Vendors &amp; Crew'!$A$122="","",'Vendors &amp; Crew'!$I$122)</f>
        <v/>
      </c>
      <c r="F120" s="9">
        <f>IF('Vendors &amp; Crew'!$A$122="","",'Vendors &amp; Crew'!$M$122)</f>
        <v/>
      </c>
    </row>
    <row r="121">
      <c r="B121" s="9">
        <f>IF('Vendors &amp; Crew'!$A$123="","",'Vendors &amp; Crew'!$A$123)</f>
        <v/>
      </c>
      <c r="C121" s="9">
        <f>IF('Vendors &amp; Crew'!$A$123="","",'Vendors &amp; Crew'!$B$123)</f>
        <v/>
      </c>
      <c r="D121" s="39">
        <f>IF('Vendors &amp; Crew'!$A$123="","",'Vendors &amp; Crew'!$K$123)</f>
        <v/>
      </c>
      <c r="E121" s="9">
        <f>IF('Vendors &amp; Crew'!$A$123="","",'Vendors &amp; Crew'!$I$123)</f>
        <v/>
      </c>
      <c r="F121" s="9">
        <f>IF('Vendors &amp; Crew'!$A$123="","",'Vendors &amp; Crew'!$M$123)</f>
        <v/>
      </c>
    </row>
    <row r="122">
      <c r="B122" s="9">
        <f>IF('Vendors &amp; Crew'!$A$124="","",'Vendors &amp; Crew'!$A$124)</f>
        <v/>
      </c>
      <c r="C122" s="9">
        <f>IF('Vendors &amp; Crew'!$A$124="","",'Vendors &amp; Crew'!$B$124)</f>
        <v/>
      </c>
      <c r="D122" s="39">
        <f>IF('Vendors &amp; Crew'!$A$124="","",'Vendors &amp; Crew'!$K$124)</f>
        <v/>
      </c>
      <c r="E122" s="9">
        <f>IF('Vendors &amp; Crew'!$A$124="","",'Vendors &amp; Crew'!$I$124)</f>
        <v/>
      </c>
      <c r="F122" s="9">
        <f>IF('Vendors &amp; Crew'!$A$124="","",'Vendors &amp; Crew'!$M$124)</f>
        <v/>
      </c>
    </row>
    <row r="123">
      <c r="B123" s="9">
        <f>IF('Vendors &amp; Crew'!$A$125="","",'Vendors &amp; Crew'!$A$125)</f>
        <v/>
      </c>
      <c r="C123" s="9">
        <f>IF('Vendors &amp; Crew'!$A$125="","",'Vendors &amp; Crew'!$B$125)</f>
        <v/>
      </c>
      <c r="D123" s="39">
        <f>IF('Vendors &amp; Crew'!$A$125="","",'Vendors &amp; Crew'!$K$125)</f>
        <v/>
      </c>
      <c r="E123" s="9">
        <f>IF('Vendors &amp; Crew'!$A$125="","",'Vendors &amp; Crew'!$I$125)</f>
        <v/>
      </c>
      <c r="F123" s="9">
        <f>IF('Vendors &amp; Crew'!$A$125="","",'Vendors &amp; Crew'!$M$125)</f>
        <v/>
      </c>
    </row>
    <row r="124">
      <c r="B124" s="9">
        <f>IF('Vendors &amp; Crew'!$A$126="","",'Vendors &amp; Crew'!$A$126)</f>
        <v/>
      </c>
      <c r="C124" s="9">
        <f>IF('Vendors &amp; Crew'!$A$126="","",'Vendors &amp; Crew'!$B$126)</f>
        <v/>
      </c>
      <c r="D124" s="39">
        <f>IF('Vendors &amp; Crew'!$A$126="","",'Vendors &amp; Crew'!$K$126)</f>
        <v/>
      </c>
      <c r="E124" s="9">
        <f>IF('Vendors &amp; Crew'!$A$126="","",'Vendors &amp; Crew'!$I$126)</f>
        <v/>
      </c>
      <c r="F124" s="9">
        <f>IF('Vendors &amp; Crew'!$A$126="","",'Vendors &amp; Crew'!$M$126)</f>
        <v/>
      </c>
    </row>
    <row r="125">
      <c r="B125" s="9">
        <f>IF('Vendors &amp; Crew'!$A$127="","",'Vendors &amp; Crew'!$A$127)</f>
        <v/>
      </c>
      <c r="C125" s="9">
        <f>IF('Vendors &amp; Crew'!$A$127="","",'Vendors &amp; Crew'!$B$127)</f>
        <v/>
      </c>
      <c r="D125" s="39">
        <f>IF('Vendors &amp; Crew'!$A$127="","",'Vendors &amp; Crew'!$K$127)</f>
        <v/>
      </c>
      <c r="E125" s="9">
        <f>IF('Vendors &amp; Crew'!$A$127="","",'Vendors &amp; Crew'!$I$127)</f>
        <v/>
      </c>
      <c r="F125" s="9">
        <f>IF('Vendors &amp; Crew'!$A$127="","",'Vendors &amp; Crew'!$M$127)</f>
        <v/>
      </c>
    </row>
    <row r="126">
      <c r="B126" s="9">
        <f>IF('Vendors &amp; Crew'!$A$128="","",'Vendors &amp; Crew'!$A$128)</f>
        <v/>
      </c>
      <c r="C126" s="9">
        <f>IF('Vendors &amp; Crew'!$A$128="","",'Vendors &amp; Crew'!$B$128)</f>
        <v/>
      </c>
      <c r="D126" s="39">
        <f>IF('Vendors &amp; Crew'!$A$128="","",'Vendors &amp; Crew'!$K$128)</f>
        <v/>
      </c>
      <c r="E126" s="9">
        <f>IF('Vendors &amp; Crew'!$A$128="","",'Vendors &amp; Crew'!$I$128)</f>
        <v/>
      </c>
      <c r="F126" s="9">
        <f>IF('Vendors &amp; Crew'!$A$128="","",'Vendors &amp; Crew'!$M$128)</f>
        <v/>
      </c>
    </row>
    <row r="127">
      <c r="B127" s="9">
        <f>IF('Vendors &amp; Crew'!$A$129="","",'Vendors &amp; Crew'!$A$129)</f>
        <v/>
      </c>
      <c r="C127" s="9">
        <f>IF('Vendors &amp; Crew'!$A$129="","",'Vendors &amp; Crew'!$B$129)</f>
        <v/>
      </c>
      <c r="D127" s="39">
        <f>IF('Vendors &amp; Crew'!$A$129="","",'Vendors &amp; Crew'!$K$129)</f>
        <v/>
      </c>
      <c r="E127" s="9">
        <f>IF('Vendors &amp; Crew'!$A$129="","",'Vendors &amp; Crew'!$I$129)</f>
        <v/>
      </c>
      <c r="F127" s="9">
        <f>IF('Vendors &amp; Crew'!$A$129="","",'Vendors &amp; Crew'!$M$129)</f>
        <v/>
      </c>
    </row>
    <row r="128">
      <c r="B128" s="9">
        <f>IF('Vendors &amp; Crew'!$A$130="","",'Vendors &amp; Crew'!$A$130)</f>
        <v/>
      </c>
      <c r="C128" s="9">
        <f>IF('Vendors &amp; Crew'!$A$130="","",'Vendors &amp; Crew'!$B$130)</f>
        <v/>
      </c>
      <c r="D128" s="39">
        <f>IF('Vendors &amp; Crew'!$A$130="","",'Vendors &amp; Crew'!$K$130)</f>
        <v/>
      </c>
      <c r="E128" s="9">
        <f>IF('Vendors &amp; Crew'!$A$130="","",'Vendors &amp; Crew'!$I$130)</f>
        <v/>
      </c>
      <c r="F128" s="9">
        <f>IF('Vendors &amp; Crew'!$A$130="","",'Vendors &amp; Crew'!$M$130)</f>
        <v/>
      </c>
    </row>
    <row r="129">
      <c r="B129" s="9">
        <f>IF('Vendors &amp; Crew'!$A$131="","",'Vendors &amp; Crew'!$A$131)</f>
        <v/>
      </c>
      <c r="C129" s="9">
        <f>IF('Vendors &amp; Crew'!$A$131="","",'Vendors &amp; Crew'!$B$131)</f>
        <v/>
      </c>
      <c r="D129" s="39">
        <f>IF('Vendors &amp; Crew'!$A$131="","",'Vendors &amp; Crew'!$K$131)</f>
        <v/>
      </c>
      <c r="E129" s="9">
        <f>IF('Vendors &amp; Crew'!$A$131="","",'Vendors &amp; Crew'!$I$131)</f>
        <v/>
      </c>
      <c r="F129" s="9">
        <f>IF('Vendors &amp; Crew'!$A$131="","",'Vendors &amp; Crew'!$M$131)</f>
        <v/>
      </c>
    </row>
    <row r="130">
      <c r="B130" s="9">
        <f>IF('Vendors &amp; Crew'!$A$132="","",'Vendors &amp; Crew'!$A$132)</f>
        <v/>
      </c>
      <c r="C130" s="9">
        <f>IF('Vendors &amp; Crew'!$A$132="","",'Vendors &amp; Crew'!$B$132)</f>
        <v/>
      </c>
      <c r="D130" s="39">
        <f>IF('Vendors &amp; Crew'!$A$132="","",'Vendors &amp; Crew'!$K$132)</f>
        <v/>
      </c>
      <c r="E130" s="9">
        <f>IF('Vendors &amp; Crew'!$A$132="","",'Vendors &amp; Crew'!$I$132)</f>
        <v/>
      </c>
      <c r="F130" s="9">
        <f>IF('Vendors &amp; Crew'!$A$132="","",'Vendors &amp; Crew'!$M$132)</f>
        <v/>
      </c>
    </row>
    <row r="131">
      <c r="B131" s="9">
        <f>IF('Vendors &amp; Crew'!$A$133="","",'Vendors &amp; Crew'!$A$133)</f>
        <v/>
      </c>
      <c r="C131" s="9">
        <f>IF('Vendors &amp; Crew'!$A$133="","",'Vendors &amp; Crew'!$B$133)</f>
        <v/>
      </c>
      <c r="D131" s="39">
        <f>IF('Vendors &amp; Crew'!$A$133="","",'Vendors &amp; Crew'!$K$133)</f>
        <v/>
      </c>
      <c r="E131" s="9">
        <f>IF('Vendors &amp; Crew'!$A$133="","",'Vendors &amp; Crew'!$I$133)</f>
        <v/>
      </c>
      <c r="F131" s="9">
        <f>IF('Vendors &amp; Crew'!$A$133="","",'Vendors &amp; Crew'!$M$133)</f>
        <v/>
      </c>
    </row>
    <row r="132">
      <c r="B132" s="9">
        <f>IF('Vendors &amp; Crew'!$A$134="","",'Vendors &amp; Crew'!$A$134)</f>
        <v/>
      </c>
      <c r="C132" s="9">
        <f>IF('Vendors &amp; Crew'!$A$134="","",'Vendors &amp; Crew'!$B$134)</f>
        <v/>
      </c>
      <c r="D132" s="39">
        <f>IF('Vendors &amp; Crew'!$A$134="","",'Vendors &amp; Crew'!$K$134)</f>
        <v/>
      </c>
      <c r="E132" s="9">
        <f>IF('Vendors &amp; Crew'!$A$134="","",'Vendors &amp; Crew'!$I$134)</f>
        <v/>
      </c>
      <c r="F132" s="9">
        <f>IF('Vendors &amp; Crew'!$A$134="","",'Vendors &amp; Crew'!$M$134)</f>
        <v/>
      </c>
    </row>
    <row r="133">
      <c r="B133" s="9">
        <f>IF('Vendors &amp; Crew'!$A$135="","",'Vendors &amp; Crew'!$A$135)</f>
        <v/>
      </c>
      <c r="C133" s="9">
        <f>IF('Vendors &amp; Crew'!$A$135="","",'Vendors &amp; Crew'!$B$135)</f>
        <v/>
      </c>
      <c r="D133" s="39">
        <f>IF('Vendors &amp; Crew'!$A$135="","",'Vendors &amp; Crew'!$K$135)</f>
        <v/>
      </c>
      <c r="E133" s="9">
        <f>IF('Vendors &amp; Crew'!$A$135="","",'Vendors &amp; Crew'!$I$135)</f>
        <v/>
      </c>
      <c r="F133" s="9">
        <f>IF('Vendors &amp; Crew'!$A$135="","",'Vendors &amp; Crew'!$M$135)</f>
        <v/>
      </c>
    </row>
    <row r="134">
      <c r="B134" s="9">
        <f>IF('Vendors &amp; Crew'!$A$136="","",'Vendors &amp; Crew'!$A$136)</f>
        <v/>
      </c>
      <c r="C134" s="9">
        <f>IF('Vendors &amp; Crew'!$A$136="","",'Vendors &amp; Crew'!$B$136)</f>
        <v/>
      </c>
      <c r="D134" s="39">
        <f>IF('Vendors &amp; Crew'!$A$136="","",'Vendors &amp; Crew'!$K$136)</f>
        <v/>
      </c>
      <c r="E134" s="9">
        <f>IF('Vendors &amp; Crew'!$A$136="","",'Vendors &amp; Crew'!$I$136)</f>
        <v/>
      </c>
      <c r="F134" s="9">
        <f>IF('Vendors &amp; Crew'!$A$136="","",'Vendors &amp; Crew'!$M$136)</f>
        <v/>
      </c>
    </row>
    <row r="135">
      <c r="B135" s="9">
        <f>IF('Vendors &amp; Crew'!$A$137="","",'Vendors &amp; Crew'!$A$137)</f>
        <v/>
      </c>
      <c r="C135" s="9">
        <f>IF('Vendors &amp; Crew'!$A$137="","",'Vendors &amp; Crew'!$B$137)</f>
        <v/>
      </c>
      <c r="D135" s="39">
        <f>IF('Vendors &amp; Crew'!$A$137="","",'Vendors &amp; Crew'!$K$137)</f>
        <v/>
      </c>
      <c r="E135" s="9">
        <f>IF('Vendors &amp; Crew'!$A$137="","",'Vendors &amp; Crew'!$I$137)</f>
        <v/>
      </c>
      <c r="F135" s="9">
        <f>IF('Vendors &amp; Crew'!$A$137="","",'Vendors &amp; Crew'!$M$137)</f>
        <v/>
      </c>
    </row>
    <row r="136">
      <c r="B136" s="9">
        <f>IF('Vendors &amp; Crew'!$A$138="","",'Vendors &amp; Crew'!$A$138)</f>
        <v/>
      </c>
      <c r="C136" s="9">
        <f>IF('Vendors &amp; Crew'!$A$138="","",'Vendors &amp; Crew'!$B$138)</f>
        <v/>
      </c>
      <c r="D136" s="39">
        <f>IF('Vendors &amp; Crew'!$A$138="","",'Vendors &amp; Crew'!$K$138)</f>
        <v/>
      </c>
      <c r="E136" s="9">
        <f>IF('Vendors &amp; Crew'!$A$138="","",'Vendors &amp; Crew'!$I$138)</f>
        <v/>
      </c>
      <c r="F136" s="9">
        <f>IF('Vendors &amp; Crew'!$A$138="","",'Vendors &amp; Crew'!$M$138)</f>
        <v/>
      </c>
    </row>
    <row r="137">
      <c r="B137" s="9">
        <f>IF('Vendors &amp; Crew'!$A$139="","",'Vendors &amp; Crew'!$A$139)</f>
        <v/>
      </c>
      <c r="C137" s="9">
        <f>IF('Vendors &amp; Crew'!$A$139="","",'Vendors &amp; Crew'!$B$139)</f>
        <v/>
      </c>
      <c r="D137" s="39">
        <f>IF('Vendors &amp; Crew'!$A$139="","",'Vendors &amp; Crew'!$K$139)</f>
        <v/>
      </c>
      <c r="E137" s="9">
        <f>IF('Vendors &amp; Crew'!$A$139="","",'Vendors &amp; Crew'!$I$139)</f>
        <v/>
      </c>
      <c r="F137" s="9">
        <f>IF('Vendors &amp; Crew'!$A$139="","",'Vendors &amp; Crew'!$M$139)</f>
        <v/>
      </c>
    </row>
    <row r="138">
      <c r="B138" s="9">
        <f>IF('Vendors &amp; Crew'!$A$140="","",'Vendors &amp; Crew'!$A$140)</f>
        <v/>
      </c>
      <c r="C138" s="9">
        <f>IF('Vendors &amp; Crew'!$A$140="","",'Vendors &amp; Crew'!$B$140)</f>
        <v/>
      </c>
      <c r="D138" s="39">
        <f>IF('Vendors &amp; Crew'!$A$140="","",'Vendors &amp; Crew'!$K$140)</f>
        <v/>
      </c>
      <c r="E138" s="9">
        <f>IF('Vendors &amp; Crew'!$A$140="","",'Vendors &amp; Crew'!$I$140)</f>
        <v/>
      </c>
      <c r="F138" s="9">
        <f>IF('Vendors &amp; Crew'!$A$140="","",'Vendors &amp; Crew'!$M$140)</f>
        <v/>
      </c>
    </row>
  </sheetData>
  <conditionalFormatting sqref="F39:F138">
    <cfRule type="cellIs" priority="1" operator="equal" dxfId="0">
      <formula>"Review for 1099"</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4.xml><?xml version="1.0" encoding="utf-8"?>
<worksheet xmlns="http://schemas.openxmlformats.org/spreadsheetml/2006/main">
  <sheetPr>
    <tabColor rgb="007F7F7F"/>
    <outlinePr summaryBelow="1" summaryRight="1"/>
    <pageSetUpPr fitToPage="1"/>
  </sheetPr>
  <dimension ref="A1:E53"/>
  <sheetViews>
    <sheetView showGridLines="0" tabSelected="0" workbookViewId="0">
      <selection activeCell="B1" sqref="B1"/>
    </sheetView>
  </sheetViews>
  <sheetFormatPr baseColWidth="8" defaultRowHeight="15"/>
  <cols>
    <col width="4" customWidth="1" min="1" max="1"/>
    <col width="50" customWidth="1" min="2" max="2"/>
    <col width="12" customWidth="1" min="3" max="3"/>
    <col width="12" customWidth="1" min="4" max="4"/>
    <col width="40" customWidth="1" min="5" max="5"/>
  </cols>
  <sheetData>
    <row r="1">
      <c r="A1" s="13" t="inlineStr">
        <is>
          <t>Health Check</t>
        </is>
      </c>
    </row>
    <row r="2">
      <c r="A2" s="14" t="inlineStr">
        <is>
          <t>Data problems that would make reports wrong. Each input sheet has a Check column; this page counts them. Fix anything marked Review.</t>
        </is>
      </c>
    </row>
    <row r="4" ht="30" customHeight="1">
      <c r="B4" s="24" t="inlineStr">
        <is>
          <t>Check</t>
        </is>
      </c>
      <c r="C4" s="24" t="inlineStr">
        <is>
          <t>Issues</t>
        </is>
      </c>
      <c r="D4" s="24" t="inlineStr">
        <is>
          <t>Status</t>
        </is>
      </c>
      <c r="E4" s="24" t="inlineStr">
        <is>
          <t>Where to look</t>
        </is>
      </c>
    </row>
    <row r="5">
      <c r="B5" s="3" t="inlineStr">
        <is>
          <t>DATA INTEGRITY</t>
        </is>
      </c>
    </row>
    <row r="6">
      <c r="B6" s="9" t="inlineStr">
        <is>
          <t>Jobs: duplicate IDs, unknown client, missing status</t>
        </is>
      </c>
      <c r="C6" s="9">
        <f>COUNTIF(Jobs!$X$5:$X$44,"?*")</f>
        <v/>
      </c>
      <c r="D6" s="9">
        <f>IF(C6=0,"OK","Review")</f>
        <v/>
      </c>
      <c r="E6" s="9" t="inlineStr">
        <is>
          <t>Jobs → Check column</t>
        </is>
      </c>
    </row>
    <row r="7">
      <c r="B7" s="9" t="inlineStr">
        <is>
          <t>Clients: duplicate names</t>
        </is>
      </c>
      <c r="C7" s="9">
        <f>COUNTIF(Clients!$K$5:$K$104,"?*")</f>
        <v/>
      </c>
      <c r="D7" s="9">
        <f>IF(C7=0,"OK","Review")</f>
        <v/>
      </c>
      <c r="E7" s="9" t="inlineStr">
        <is>
          <t>Clients → Check</t>
        </is>
      </c>
    </row>
    <row r="8">
      <c r="B8" s="9" t="inlineStr">
        <is>
          <t>Crew: duplicates, missing cost rate</t>
        </is>
      </c>
      <c r="C8" s="9">
        <f>COUNTIF('Vendors &amp; Crew'!$H$5:$H$34,"?*")</f>
        <v/>
      </c>
      <c r="D8" s="9">
        <f>IF(C8=0,"OK","Review")</f>
        <v/>
      </c>
      <c r="E8" s="9" t="inlineStr">
        <is>
          <t>Vendors &amp; Crew → Crew table</t>
        </is>
      </c>
    </row>
    <row r="9">
      <c r="B9" s="9" t="inlineStr">
        <is>
          <t>Vendors: duplicates</t>
        </is>
      </c>
      <c r="C9" s="9">
        <f>COUNTIF('Vendors &amp; Crew'!$N$41:$N$140,"?*")</f>
        <v/>
      </c>
      <c r="D9" s="9">
        <f>IF(C9=0,"OK","Review")</f>
        <v/>
      </c>
      <c r="E9" s="9" t="inlineStr">
        <is>
          <t>Vendors &amp; Crew → Vendor table</t>
        </is>
      </c>
    </row>
    <row r="10">
      <c r="B10" s="9" t="inlineStr">
        <is>
          <t>Estimate lines: unknown job/code, missing qty or cost</t>
        </is>
      </c>
      <c r="C10" s="9">
        <f>COUNTIF(Estimate!$P$5:$P$404,"?*")</f>
        <v/>
      </c>
      <c r="D10" s="9">
        <f>IF(C10=0,"OK","Review")</f>
        <v/>
      </c>
      <c r="E10" s="9" t="inlineStr">
        <is>
          <t>Estimate → Check</t>
        </is>
      </c>
    </row>
    <row r="11">
      <c r="B11" s="9" t="inlineStr">
        <is>
          <t>Schedule tasks: unknown job, missing start/duration</t>
        </is>
      </c>
      <c r="C11" s="9">
        <f>COUNTIF(Schedule!$I$5:$I$204,"?*")</f>
        <v/>
      </c>
      <c r="D11" s="9">
        <f>IF(C11=0,"OK","Review")</f>
        <v/>
      </c>
      <c r="E11" s="9" t="inlineStr">
        <is>
          <t>Schedule → Check</t>
        </is>
      </c>
    </row>
    <row r="12">
      <c r="B12" s="9" t="inlineStr">
        <is>
          <t>Timesheet: unknown worker/job, missing hours or date</t>
        </is>
      </c>
      <c r="C12" s="9">
        <f>COUNTIF(Timesheet!$M$5:$M$1004,"?*")</f>
        <v/>
      </c>
      <c r="D12" s="9">
        <f>IF(C12=0,"OK","Review")</f>
        <v/>
      </c>
      <c r="E12" s="9" t="inlineStr">
        <is>
          <t>Timesheet → Check</t>
        </is>
      </c>
    </row>
    <row r="13">
      <c r="B13" s="9" t="inlineStr">
        <is>
          <t>Job Costs: unknown job/code, missing qty, cost or date</t>
        </is>
      </c>
      <c r="C13" s="9">
        <f>COUNTIF('Job Costs'!$M$5:$M$1004,"?*")</f>
        <v/>
      </c>
      <c r="D13" s="9">
        <f>IF(C13=0,"OK","Review")</f>
        <v/>
      </c>
      <c r="E13" s="9" t="inlineStr">
        <is>
          <t>Job Costs → Check</t>
        </is>
      </c>
    </row>
    <row r="14">
      <c r="B14" s="9" t="inlineStr">
        <is>
          <t>Mileage: unknown job, missing miles or date</t>
        </is>
      </c>
      <c r="C14" s="9">
        <f>COUNTIF(Mileage!$K$5:$K$304,"?*")</f>
        <v/>
      </c>
      <c r="D14" s="9">
        <f>IF(C14=0,"OK","Review")</f>
        <v/>
      </c>
      <c r="E14" s="9" t="inlineStr">
        <is>
          <t>Mileage → Check</t>
        </is>
      </c>
    </row>
    <row r="15">
      <c r="B15" s="9" t="inlineStr">
        <is>
          <t>Daily Log: unknown job, missing date</t>
        </is>
      </c>
      <c r="C15" s="9">
        <f>COUNTIF('Daily Log'!$I$5:$I$304,"?*")</f>
        <v/>
      </c>
      <c r="D15" s="9">
        <f>IF(C15=0,"OK","Review")</f>
        <v/>
      </c>
      <c r="E15" s="9" t="inlineStr">
        <is>
          <t>Daily Log → Check</t>
        </is>
      </c>
    </row>
    <row r="16">
      <c r="B16" s="9" t="inlineStr">
        <is>
          <t>Change Orders: unknown job, duplicate #, missing status/date</t>
        </is>
      </c>
      <c r="C16" s="9">
        <f>COUNTIF('Change Orders'!$L$5:$L$104,"?*")</f>
        <v/>
      </c>
      <c r="D16" s="9">
        <f>IF(C16=0,"OK","Review")</f>
        <v/>
      </c>
      <c r="E16" s="9" t="inlineStr">
        <is>
          <t>Change Orders → Check</t>
        </is>
      </c>
    </row>
    <row r="17">
      <c r="B17" s="9" t="inlineStr">
        <is>
          <t>Invoices: duplicate #, unknown job, missing due date/amount</t>
        </is>
      </c>
      <c r="C17" s="9">
        <f>COUNTIF(Invoices!$L$5:$L$204,"?*")</f>
        <v/>
      </c>
      <c r="D17" s="9">
        <f>IF(C17=0,"OK","Review")</f>
        <v/>
      </c>
      <c r="E17" s="9" t="inlineStr">
        <is>
          <t>Invoices → Check</t>
        </is>
      </c>
    </row>
    <row r="18">
      <c r="B18" s="9" t="inlineStr">
        <is>
          <t>Payments: unknown job or invoice #, missing date</t>
        </is>
      </c>
      <c r="C18" s="9">
        <f>COUNTIF(Payments!$G$5:$G$304,"?*")</f>
        <v/>
      </c>
      <c r="D18" s="9">
        <f>IF(C18=0,"OK","Review")</f>
        <v/>
      </c>
      <c r="E18" s="9" t="inlineStr">
        <is>
          <t>Payments → Check</t>
        </is>
      </c>
    </row>
    <row r="19">
      <c r="B19" s="31" t="inlineStr">
        <is>
          <t>Total data issues</t>
        </is>
      </c>
      <c r="C19" s="31">
        <f>SUM(C6:C18)</f>
        <v/>
      </c>
      <c r="D19" s="31">
        <f>IF(C19=0,"ALL CLEAR","Review")</f>
        <v/>
      </c>
      <c r="E19" s="31" t="n"/>
    </row>
    <row r="21">
      <c r="B21" s="3" t="inlineStr">
        <is>
          <t>ATTENTION ITEMS (not errors)</t>
        </is>
      </c>
    </row>
    <row r="22">
      <c r="B22" s="9" t="inlineStr">
        <is>
          <t>Jobs over budget</t>
        </is>
      </c>
      <c r="C22" s="9">
        <f>COUNTIF(Jobs!$O$5:$O$44,"&gt;1")</f>
        <v/>
      </c>
      <c r="D22" s="9">
        <f>IF(C22=0,"—","Look")</f>
        <v/>
      </c>
      <c r="E22" s="9" t="inlineStr">
        <is>
          <t>Job Profit Report</t>
        </is>
      </c>
    </row>
    <row r="23">
      <c r="B23" s="9" t="inlineStr">
        <is>
          <t>Invoices overdue</t>
        </is>
      </c>
      <c r="C23" s="9">
        <f>COUNTIF(Invoices!$I$5:$I$204,"Overdue")</f>
        <v/>
      </c>
      <c r="D23" s="9">
        <f>IF(C23=0,"—","Look")</f>
        <v/>
      </c>
      <c r="E23" s="9" t="inlineStr">
        <is>
          <t>Invoices / Client Statement</t>
        </is>
      </c>
    </row>
    <row r="24">
      <c r="B24" s="9" t="inlineStr">
        <is>
          <t>Schedule tasks late</t>
        </is>
      </c>
      <c r="C24" s="9">
        <f>COUNTIF(Schedule!$H$5:$H$204,"Late")</f>
        <v/>
      </c>
      <c r="D24" s="9">
        <f>IF(C24=0,"—","Look")</f>
        <v/>
      </c>
      <c r="E24" s="9" t="inlineStr">
        <is>
          <t>Schedule</t>
        </is>
      </c>
    </row>
    <row r="25">
      <c r="B25" s="9" t="inlineStr">
        <is>
          <t>Vendors with expired insurance</t>
        </is>
      </c>
      <c r="C25" s="9">
        <f>COUNTIF('Vendors &amp; Crew'!$H$41:$H$140,"EXPIRED")</f>
        <v/>
      </c>
      <c r="D25" s="9">
        <f>IF(C25=0,"—","Look")</f>
        <v/>
      </c>
      <c r="E25" s="9" t="inlineStr">
        <is>
          <t>Vendors &amp; Crew</t>
        </is>
      </c>
    </row>
    <row r="26">
      <c r="B26" s="9" t="inlineStr">
        <is>
          <t>Vendors with insurance expiring within 30 days</t>
        </is>
      </c>
      <c r="C26" s="9">
        <f>COUNTIF('Vendors &amp; Crew'!$H$41:$H$140,"Expiring soon")</f>
        <v/>
      </c>
      <c r="D26" s="9">
        <f>IF(C26=0,"—","Look")</f>
        <v/>
      </c>
      <c r="E26" s="9" t="inlineStr">
        <is>
          <t>Vendors &amp; Crew</t>
        </is>
      </c>
    </row>
    <row r="27">
      <c r="B27" s="9" t="inlineStr">
        <is>
          <t>Approved change orders without client-approved date</t>
        </is>
      </c>
      <c r="C27" s="9">
        <f>COUNTIF('Change Orders'!$L$5:$L$104,"Approved without client date")</f>
        <v/>
      </c>
      <c r="D27" s="9">
        <f>IF(C27=0,"—","Look")</f>
        <v/>
      </c>
      <c r="E27" s="9" t="inlineStr">
        <is>
          <t>Change Orders</t>
        </is>
      </c>
    </row>
    <row r="28">
      <c r="B28" s="9" t="inlineStr">
        <is>
          <t>Unpaid bills logged (count)</t>
        </is>
      </c>
      <c r="C28" s="9">
        <f>COUNTIF('Job Costs'!$J$5:$J$1004,"No")</f>
        <v/>
      </c>
      <c r="D28" s="9">
        <f>IF(C28=0,"—","Look")</f>
        <v/>
      </c>
      <c r="E28" s="9" t="inlineStr">
        <is>
          <t>Job Costs → Paid?</t>
        </is>
      </c>
    </row>
    <row r="29">
      <c r="B29" s="9" t="inlineStr">
        <is>
          <t>Invoices overpaid (balance below zero)</t>
        </is>
      </c>
      <c r="C29" s="9">
        <f>COUNTIF(Invoices!$H$5:$H$204,"&lt;0")</f>
        <v/>
      </c>
      <c r="D29" s="9">
        <f>IF(C29=0,"—","Look")</f>
        <v/>
      </c>
      <c r="E29" s="9" t="inlineStr">
        <is>
          <t>Invoices / Payments</t>
        </is>
      </c>
    </row>
    <row r="31">
      <c r="B31" s="3" t="inlineStr">
        <is>
          <t>FORMULA DIAGNOSTICS (should all be 0)</t>
        </is>
      </c>
    </row>
    <row r="32">
      <c r="B32" s="9" t="inlineStr">
        <is>
          <t>Formula errors on Jobs</t>
        </is>
      </c>
      <c r="C32" s="9">
        <f>SUMPRODUCT(--ISERROR(Jobs!A5:Y45))</f>
        <v/>
      </c>
      <c r="D32" s="9">
        <f>IF(C32=0,"OK","ERROR")</f>
        <v/>
      </c>
      <c r="E32" s="9" t="inlineStr"/>
    </row>
    <row r="33">
      <c r="B33" s="9" t="inlineStr">
        <is>
          <t>Formula errors on Estimate</t>
        </is>
      </c>
      <c r="C33" s="9">
        <f>SUMPRODUCT(--ISERROR(Estimate!A5:Q405))</f>
        <v/>
      </c>
      <c r="D33" s="9">
        <f>IF(C33=0,"OK","ERROR")</f>
        <v/>
      </c>
      <c r="E33" s="9" t="inlineStr"/>
    </row>
    <row r="34">
      <c r="B34" s="9" t="inlineStr">
        <is>
          <t>Formula errors on Timesheet</t>
        </is>
      </c>
      <c r="C34" s="9">
        <f>SUMPRODUCT(--ISERROR(Timesheet!A5:T1005))</f>
        <v/>
      </c>
      <c r="D34" s="9">
        <f>IF(C34=0,"OK","ERROR")</f>
        <v/>
      </c>
      <c r="E34" s="9" t="inlineStr"/>
    </row>
    <row r="35">
      <c r="B35" s="9" t="inlineStr">
        <is>
          <t>Formula errors on Job Costs</t>
        </is>
      </c>
      <c r="C35" s="9">
        <f>SUMPRODUCT(--ISERROR('Job Costs'!A5:N1005))</f>
        <v/>
      </c>
      <c r="D35" s="9">
        <f>IF(C35=0,"OK","ERROR")</f>
        <v/>
      </c>
      <c r="E35" s="9" t="inlineStr"/>
    </row>
    <row r="36">
      <c r="B36" s="9" t="inlineStr">
        <is>
          <t>Formula errors on Mileage</t>
        </is>
      </c>
      <c r="C36" s="9">
        <f>SUMPRODUCT(--ISERROR(Mileage!A5:L305))</f>
        <v/>
      </c>
      <c r="D36" s="9">
        <f>IF(C36=0,"OK","ERROR")</f>
        <v/>
      </c>
      <c r="E36" s="9" t="inlineStr"/>
    </row>
    <row r="37">
      <c r="B37" s="9" t="inlineStr">
        <is>
          <t>Formula errors on Daily Log</t>
        </is>
      </c>
      <c r="C37" s="9">
        <f>SUMPRODUCT(--ISERROR('Daily Log'!A5:I304))</f>
        <v/>
      </c>
      <c r="D37" s="9">
        <f>IF(C37=0,"OK","ERROR")</f>
        <v/>
      </c>
      <c r="E37" s="9" t="inlineStr"/>
    </row>
    <row r="38">
      <c r="B38" s="9" t="inlineStr">
        <is>
          <t>Formula errors on Change Orders</t>
        </is>
      </c>
      <c r="C38" s="9">
        <f>SUMPRODUCT(--ISERROR('Change Orders'!A5:M104))</f>
        <v/>
      </c>
      <c r="D38" s="9">
        <f>IF(C38=0,"OK","ERROR")</f>
        <v/>
      </c>
      <c r="E38" s="9" t="inlineStr"/>
    </row>
    <row r="39">
      <c r="B39" s="9" t="inlineStr">
        <is>
          <t>Formula errors on Invoices</t>
        </is>
      </c>
      <c r="C39" s="9">
        <f>SUMPRODUCT(--ISERROR(Invoices!A5:O205))</f>
        <v/>
      </c>
      <c r="D39" s="9">
        <f>IF(C39=0,"OK","ERROR")</f>
        <v/>
      </c>
      <c r="E39" s="9" t="inlineStr"/>
    </row>
    <row r="40">
      <c r="B40" s="9" t="inlineStr">
        <is>
          <t>Formula errors on Payments</t>
        </is>
      </c>
      <c r="C40" s="9">
        <f>SUMPRODUCT(--ISERROR(Payments!A5:H305))</f>
        <v/>
      </c>
      <c r="D40" s="9">
        <f>IF(C40=0,"OK","ERROR")</f>
        <v/>
      </c>
      <c r="E40" s="9" t="inlineStr"/>
    </row>
    <row r="41">
      <c r="B41" s="9" t="inlineStr">
        <is>
          <t>Formula errors on Schedule</t>
        </is>
      </c>
      <c r="C41" s="9">
        <f>SUMPRODUCT(--ISERROR(Schedule!A5:J204))</f>
        <v/>
      </c>
      <c r="D41" s="9">
        <f>IF(C41=0,"OK","ERROR")</f>
        <v/>
      </c>
      <c r="E41" s="9" t="inlineStr"/>
    </row>
    <row r="42">
      <c r="B42" s="9" t="inlineStr">
        <is>
          <t>Formula errors on Clients</t>
        </is>
      </c>
      <c r="C42" s="9">
        <f>SUMPRODUCT(--ISERROR(Clients!A5:K104))</f>
        <v/>
      </c>
      <c r="D42" s="9">
        <f>IF(C42=0,"OK","ERROR")</f>
        <v/>
      </c>
      <c r="E42" s="9" t="inlineStr"/>
    </row>
    <row r="43">
      <c r="B43" s="9" t="inlineStr">
        <is>
          <t>Formula errors on Vendors &amp; Crew</t>
        </is>
      </c>
      <c r="C43" s="9">
        <f>SUMPRODUCT(--ISERROR('Vendors &amp; Crew'!A5:O140))</f>
        <v/>
      </c>
      <c r="D43" s="9">
        <f>IF(C43=0,"OK","ERROR")</f>
        <v/>
      </c>
      <c r="E43" s="9" t="inlineStr"/>
    </row>
    <row r="44">
      <c r="B44" s="9" t="inlineStr">
        <is>
          <t>Formula errors on Cost Library</t>
        </is>
      </c>
      <c r="C44" s="9">
        <f>SUMPRODUCT(--ISERROR('Cost Library'!A5:G204))</f>
        <v/>
      </c>
      <c r="D44" s="9">
        <f>IF(C44=0,"OK","ERROR")</f>
        <v/>
      </c>
      <c r="E44" s="9" t="inlineStr"/>
    </row>
    <row r="45">
      <c r="B45" s="9" t="inlineStr">
        <is>
          <t>Formula errors on Proposal</t>
        </is>
      </c>
      <c r="C45" s="9">
        <f>SUMPRODUCT(--ISERROR(Proposal!A1:J80))</f>
        <v/>
      </c>
      <c r="D45" s="9">
        <f>IF(C45=0,"OK","ERROR")</f>
        <v/>
      </c>
      <c r="E45" s="9" t="inlineStr"/>
    </row>
    <row r="46">
      <c r="B46" s="9" t="inlineStr">
        <is>
          <t>Formula errors on CO Form</t>
        </is>
      </c>
      <c r="C46" s="9">
        <f>SUMPRODUCT(--ISERROR('CO Form'!A1:F23))</f>
        <v/>
      </c>
      <c r="D46" s="9">
        <f>IF(C46=0,"OK","ERROR")</f>
        <v/>
      </c>
      <c r="E46" s="9" t="inlineStr"/>
    </row>
    <row r="47">
      <c r="B47" s="9" t="inlineStr">
        <is>
          <t>Formula errors on Invoice Print</t>
        </is>
      </c>
      <c r="C47" s="9">
        <f>SUMPRODUCT(--ISERROR('Invoice Print'!A1:F29))</f>
        <v/>
      </c>
      <c r="D47" s="9">
        <f>IF(C47=0,"OK","ERROR")</f>
        <v/>
      </c>
      <c r="E47" s="9" t="inlineStr"/>
    </row>
    <row r="48">
      <c r="B48" s="9" t="inlineStr">
        <is>
          <t>Formula errors on Client Statement</t>
        </is>
      </c>
      <c r="C48" s="9">
        <f>SUMPRODUCT(--ISERROR('Client Statement'!A1:I55))</f>
        <v/>
      </c>
      <c r="D48" s="9">
        <f>IF(C48=0,"OK","ERROR")</f>
        <v/>
      </c>
      <c r="E48" s="9" t="inlineStr"/>
    </row>
    <row r="49">
      <c r="B49" s="9" t="inlineStr">
        <is>
          <t>Formula errors on Job Profit Report</t>
        </is>
      </c>
      <c r="C49" s="9">
        <f>SUMPRODUCT(--ISERROR('Job Profit Report'!A1:I60))</f>
        <v/>
      </c>
      <c r="D49" s="9">
        <f>IF(C49=0,"OK","ERROR")</f>
        <v/>
      </c>
      <c r="E49" s="9" t="inlineStr"/>
    </row>
    <row r="50">
      <c r="B50" s="9" t="inlineStr">
        <is>
          <t>Formula errors on Reports</t>
        </is>
      </c>
      <c r="C50" s="9">
        <f>SUMPRODUCT(--ISERROR(Reports!A1:G70))</f>
        <v/>
      </c>
      <c r="D50" s="9">
        <f>IF(C50=0,"OK","ERROR")</f>
        <v/>
      </c>
      <c r="E50" s="9" t="inlineStr"/>
    </row>
    <row r="51">
      <c r="B51" s="9" t="inlineStr">
        <is>
          <t>Formula errors on Tax Summary</t>
        </is>
      </c>
      <c r="C51" s="9">
        <f>SUMPRODUCT(--ISERROR('Tax Summary'!A1:F145))</f>
        <v/>
      </c>
      <c r="D51" s="9">
        <f>IF(C51=0,"OK","ERROR")</f>
        <v/>
      </c>
      <c r="E51" s="9" t="inlineStr"/>
    </row>
    <row r="52">
      <c r="B52" s="9" t="inlineStr">
        <is>
          <t>Formula errors on Dashboard</t>
        </is>
      </c>
      <c r="C52" s="9">
        <f>SUMPRODUCT(--ISERROR(Dashboard!A1:L100))</f>
        <v/>
      </c>
      <c r="D52" s="9">
        <f>IF(C52=0,"OK","ERROR")</f>
        <v/>
      </c>
      <c r="E52" s="9" t="inlineStr"/>
    </row>
    <row r="53">
      <c r="B53" s="31" t="inlineStr">
        <is>
          <t>Total formula errors</t>
        </is>
      </c>
      <c r="C53" s="31">
        <f>SUM(C32:C52)</f>
        <v/>
      </c>
      <c r="D53" s="31">
        <f>IF(C53=0,"OK","ERROR")</f>
        <v/>
      </c>
      <c r="E53" s="31" t="n"/>
    </row>
  </sheetData>
  <conditionalFormatting sqref="D5:D53">
    <cfRule type="cellIs" priority="1" operator="equal" dxfId="1">
      <formula>"Review"</formula>
    </cfRule>
    <cfRule type="cellIs" priority="2" operator="equal" dxfId="1">
      <formula>"ERROR"</formula>
    </cfRule>
    <cfRule type="cellIs" priority="3" operator="equal" dxfId="0">
      <formula>"Look"</formula>
    </cfRule>
    <cfRule type="cellIs" priority="4" operator="equal" dxfId="2">
      <formula>"OK"</formula>
    </cfRule>
    <cfRule type="cellIs" priority="5" operator="equal" dxfId="2">
      <formula>"ALL CLEAR"</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Contractor Job Costing template</dc:creator>
  <dc:title>Contractor Job Costing &amp; Estimate Spreadsheet</dc:title>
  <dc:description>Version 1.0 (2026-09). 24 sheets. Light-blue cells are inputs.</dc:description>
  <dc:subject>Job costing, estimating, scheduling, invoicing and profit reporting for small contractors</dc:subject>
  <dcterms:created xsi:type="dcterms:W3CDTF">2026-09-08T17:07:44Z</dcterms:created>
  <dcterms:modified xsi:type="dcterms:W3CDTF">2026-09-08T17:07:46Z</dcterms:modified>
  <cp:keywords>contractor, job costing, estimate, proposal, gantt, timesheet, change order, invoice, budget vs actual</cp:keywords>
</cp:coreProperties>
</file>